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227"/>
  <workbookPr/>
  <mc:AlternateContent xmlns:mc="http://schemas.openxmlformats.org/markup-compatibility/2006">
    <mc:Choice Requires="x15">
      <x15ac:absPath xmlns:x15ac="http://schemas.microsoft.com/office/spreadsheetml/2010/11/ac" url="C:\Users\moham\Desktop\Projects\2101\Automating Points Prototype\"/>
    </mc:Choice>
  </mc:AlternateContent>
  <xr:revisionPtr revIDLastSave="0" documentId="13_ncr:1_{F6B3CD91-C748-4A82-8E93-5D4A39E5DC08}" xr6:coauthVersionLast="47" xr6:coauthVersionMax="47" xr10:uidLastSave="{00000000-0000-0000-0000-000000000000}"/>
  <bookViews>
    <workbookView xWindow="-108" yWindow="-108" windowWidth="23256" windowHeight="12456" tabRatio="804" firstSheet="1" activeTab="1" xr2:uid="{00000000-000D-0000-FFFF-FFFF00000000}"/>
  </bookViews>
  <sheets>
    <sheet name="Legand" sheetId="5" state="hidden" r:id="rId1"/>
    <sheet name="WEB_Database" sheetId="15" r:id="rId2"/>
    <sheet name="Cable Schedule" sheetId="6" state="hidden" r:id="rId3"/>
    <sheet name="WEB_240805" sheetId="14" state="hidden" r:id="rId4"/>
    <sheet name="IO Recieved on 17-9-2024" sheetId="19" state="hidden" r:id="rId5"/>
    <sheet name="Statistics" sheetId="18" r:id="rId6"/>
    <sheet name="Rack Analysis" sheetId="21" state="hidden" r:id="rId7"/>
    <sheet name="Racks" sheetId="22" r:id="rId8"/>
    <sheet name="WEB DCS OLD IOs " sheetId="1" state="hidden" r:id="rId9"/>
    <sheet name="WEB _ ESD F&amp;G Ios" sheetId="2" state="hidden" r:id="rId10"/>
    <sheet name="PCS_CEM(1)" sheetId="3" state="hidden" r:id="rId11"/>
    <sheet name="PCS_CEM(2)" sheetId="4" state="hidden" r:id="rId12"/>
    <sheet name="PCS_CEM(3)" sheetId="8" state="hidden" r:id="rId13"/>
    <sheet name="PCS_CEM(4)" sheetId="9" state="hidden" r:id="rId14"/>
    <sheet name="SIS_CEM(1)" sheetId="11" state="hidden" r:id="rId15"/>
    <sheet name="SIS_CEM(2)" sheetId="12" state="hidden" r:id="rId16"/>
    <sheet name="SIS_CEM(3)" sheetId="13" state="hidden" r:id="rId17"/>
    <sheet name="Missings Sheet" sheetId="17" state="hidden" r:id="rId18"/>
  </sheets>
  <externalReferences>
    <externalReference r:id="rId19"/>
    <externalReference r:id="rId20"/>
  </externalReferences>
  <definedNames>
    <definedName name="_xlnm._FilterDatabase" localSheetId="2" hidden="1">'Cable Schedule'!$A$1:$O$259</definedName>
    <definedName name="_xlnm._FilterDatabase" localSheetId="10" hidden="1">'PCS_CEM(1)'!$A$1:$BN$5</definedName>
    <definedName name="_xlnm._FilterDatabase" localSheetId="9" hidden="1">'WEB _ ESD F&amp;G Ios'!$A$1:$N$211</definedName>
    <definedName name="_xlnm._FilterDatabase" localSheetId="8" hidden="1">'WEB DCS OLD IOs '!$E$1:$Q$171</definedName>
    <definedName name="_xlnm._FilterDatabase" localSheetId="3" hidden="1">WEB_240805!$A$3:$U$581</definedName>
    <definedName name="_xlnm._FilterDatabase" localSheetId="1" hidden="1">WEB_Database!$A$1:$F$404</definedName>
    <definedName name="_xleta.IF" hidden="1" xlm="1">#NAME?</definedName>
    <definedName name="_xleta.NOT" hidden="1" xlm="1">#NAME?</definedName>
    <definedName name="_xleta.T" hidden="1" xlm="1">#NAME?</definedName>
    <definedName name="AS_Materials_PCS">'[1]AS Material'!$B$8:$F$30</definedName>
    <definedName name="AS_Materials_SIS">'[1]AS Material'!$B$31:$F$47</definedName>
    <definedName name="AS_Materials_WDDM">'[1]AS Material'!$B$2:$F$7</definedName>
    <definedName name="CA">'[2]Cable Schedule'!$B$2:$K$500</definedName>
    <definedName name="Cable_Schedule">'Cable Schedule'!$B$2:$K$500</definedName>
    <definedName name="IO_DB_R4">WEB_Database!$A$2:$F$409</definedName>
    <definedName name="IODB">'[2]Cable Schedule'!$B$2:$K$500</definedName>
    <definedName name="Papyrus_ModulesAI">'[1]AS Material'!$F$24</definedName>
    <definedName name="Papyrus_ModulesDI">'[1]AS Material'!$F$25</definedName>
    <definedName name="Papyrus_ModulesDO">'[1]AS Material'!$F$26</definedName>
    <definedName name="Papyrus_ModulesUIO">'[1]AS Material'!$F$43</definedName>
    <definedName name="PapyrusPCS_HoneywellPS">'[1]AS Material'!$F$22</definedName>
    <definedName name="PapyrusPCS_PhxPS">'[1]AS Material'!$F$16</definedName>
    <definedName name="PapyrusSIS_HoneywellPS">'[1]AS Material'!$F$41</definedName>
    <definedName name="PapyrusSIS_PhxPS">'[1]AS Material'!$F$34</definedName>
    <definedName name="PapyrusWDDM_SiemensPS">2</definedName>
    <definedName name="PapyrusWDDM_SW">'[1]AS Material'!$F$2</definedName>
    <definedName name="_xlnm.Print_Area" localSheetId="7">Racks!$A$1:$O$59</definedName>
    <definedName name="WEB_ModulesAI">'[1]AS Material'!$E$24</definedName>
    <definedName name="WEB_ModulesDI">'[1]AS Material'!$E$25</definedName>
    <definedName name="Web_ModulesDO">'[1]AS Material'!$E$26</definedName>
    <definedName name="WEB_ModulesUIO">'[1]AS Material'!$E$43</definedName>
    <definedName name="WEBPCS_HoneywellPS">'[1]AS Material'!$E$22</definedName>
    <definedName name="WEBPCS_PhxPS">'[1]AS Material'!$E$16</definedName>
    <definedName name="WEBSIS_HoneywellPS">'[1]AS Material'!$E$41</definedName>
    <definedName name="WEBSIS_PhxPS">'[1]AS Material'!$E$34</definedName>
    <definedName name="WEBWDDM_SiemensPS">2</definedName>
    <definedName name="WEBWDDM_SW">'[1]AS Material'!$E$2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 i="18" l="1"/>
  <c r="I8" i="18"/>
  <c r="I7" i="18"/>
  <c r="I6" i="18"/>
  <c r="I5" i="18"/>
  <c r="I4" i="18"/>
  <c r="C36" i="18" l="1"/>
  <c r="C35" i="18"/>
  <c r="C34" i="18"/>
  <c r="C33" i="18"/>
  <c r="C32" i="18"/>
  <c r="C31" i="18"/>
  <c r="N12" i="21" l="1"/>
  <c r="L12" i="21"/>
  <c r="J12" i="21"/>
  <c r="F12" i="21"/>
  <c r="N5" i="21"/>
  <c r="L5" i="21"/>
  <c r="J5" i="21"/>
  <c r="F5" i="21"/>
  <c r="F182" i="19" l="1"/>
  <c r="F183" i="19"/>
  <c r="F184" i="19"/>
  <c r="F185" i="19"/>
  <c r="F186" i="19"/>
  <c r="F187" i="19"/>
  <c r="F188" i="19"/>
  <c r="F189" i="19"/>
  <c r="F190" i="19"/>
  <c r="F191" i="19"/>
  <c r="F192" i="19"/>
  <c r="F193" i="19"/>
  <c r="C2"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E17" i="18" l="1"/>
  <c r="E16" i="18"/>
  <c r="E8" i="18"/>
  <c r="E22" i="18"/>
  <c r="F22" i="18" s="1"/>
  <c r="E13" i="18"/>
  <c r="E23" i="18"/>
  <c r="F23" i="18" s="1"/>
  <c r="E27" i="18"/>
  <c r="E18" i="18"/>
  <c r="E26" i="18"/>
  <c r="E14" i="18"/>
  <c r="E25" i="18"/>
  <c r="E7" i="18"/>
  <c r="E9" i="18"/>
  <c r="E5" i="18"/>
  <c r="E4" i="18"/>
  <c r="K9" i="18" l="1"/>
  <c r="F13" i="18"/>
  <c r="K4" i="18"/>
  <c r="L4" i="18" s="1"/>
  <c r="F14" i="18"/>
  <c r="K5" i="18"/>
  <c r="L5" i="18" s="1"/>
  <c r="K7" i="18"/>
  <c r="K8" i="18"/>
  <c r="E34" i="18"/>
  <c r="F4" i="18"/>
  <c r="E31" i="18"/>
  <c r="F31" i="18" s="1"/>
  <c r="F5" i="18"/>
  <c r="E32" i="18"/>
  <c r="F32" i="18" s="1"/>
  <c r="E36" i="18"/>
  <c r="E35" i="18"/>
  <c r="E10" i="19"/>
  <c r="F10" i="19" s="1"/>
  <c r="E11" i="19"/>
  <c r="F11" i="19" s="1"/>
  <c r="B10" i="19"/>
  <c r="E46" i="19"/>
  <c r="F46" i="19" s="1"/>
  <c r="B11" i="19"/>
  <c r="E47" i="19"/>
  <c r="F47" i="19" s="1"/>
  <c r="B46" i="19"/>
  <c r="B47" i="19"/>
  <c r="B158" i="19"/>
  <c r="E139" i="19"/>
  <c r="F139" i="19" s="1"/>
  <c r="E97" i="19"/>
  <c r="F97" i="19" s="1"/>
  <c r="B145" i="19"/>
  <c r="E155" i="19"/>
  <c r="F155" i="19" s="1"/>
  <c r="E141" i="19"/>
  <c r="F141" i="19" s="1"/>
  <c r="E156" i="19"/>
  <c r="F156" i="19" s="1"/>
  <c r="B96" i="19"/>
  <c r="B141" i="19"/>
  <c r="B139" i="19"/>
  <c r="B156" i="19"/>
  <c r="E145" i="19"/>
  <c r="E157" i="19"/>
  <c r="F157" i="19" s="1"/>
  <c r="B97" i="19"/>
  <c r="B157" i="19"/>
  <c r="E158" i="19"/>
  <c r="F158" i="19" s="1"/>
  <c r="B155" i="19"/>
  <c r="E96" i="19"/>
  <c r="F96" i="19" s="1"/>
  <c r="B13" i="19"/>
  <c r="E99" i="19"/>
  <c r="F99" i="19" s="1"/>
  <c r="B146" i="19"/>
  <c r="E8" i="19"/>
  <c r="F8" i="19" s="1"/>
  <c r="B20" i="19"/>
  <c r="B34" i="19"/>
  <c r="E124" i="19"/>
  <c r="F124" i="19" s="1"/>
  <c r="E150" i="19"/>
  <c r="F150" i="19" s="1"/>
  <c r="E20" i="19"/>
  <c r="F20" i="19" s="1"/>
  <c r="B32" i="19"/>
  <c r="E37" i="19"/>
  <c r="F37" i="19" s="1"/>
  <c r="B37" i="19"/>
  <c r="B99" i="19"/>
  <c r="E32" i="19"/>
  <c r="F32" i="19" s="1"/>
  <c r="B152" i="19"/>
  <c r="E49" i="19"/>
  <c r="F49" i="19" s="1"/>
  <c r="E98" i="19"/>
  <c r="F98" i="19" s="1"/>
  <c r="B121" i="19"/>
  <c r="E151" i="19"/>
  <c r="F151" i="19" s="1"/>
  <c r="B151" i="19"/>
  <c r="E35" i="19"/>
  <c r="F35" i="19" s="1"/>
  <c r="E146" i="19"/>
  <c r="E12" i="19"/>
  <c r="F12" i="19" s="1"/>
  <c r="E123" i="19"/>
  <c r="F123" i="19" s="1"/>
  <c r="E149" i="19"/>
  <c r="F149" i="19" s="1"/>
  <c r="B124" i="19"/>
  <c r="E22" i="19"/>
  <c r="F22" i="19" s="1"/>
  <c r="E48" i="19"/>
  <c r="F48" i="19" s="1"/>
  <c r="B23" i="19"/>
  <c r="E13" i="19"/>
  <c r="F13" i="19" s="1"/>
  <c r="B48" i="19"/>
  <c r="B98" i="19"/>
  <c r="E152" i="19"/>
  <c r="F152" i="19" s="1"/>
  <c r="E34" i="19"/>
  <c r="F34" i="19" s="1"/>
  <c r="E121" i="19"/>
  <c r="F121" i="19" s="1"/>
  <c r="B35" i="19"/>
  <c r="B12" i="19"/>
  <c r="B120" i="19"/>
  <c r="B122" i="19"/>
  <c r="B149" i="19"/>
  <c r="B8" i="19"/>
  <c r="B22" i="19"/>
  <c r="E120" i="19"/>
  <c r="F120" i="19" s="1"/>
  <c r="B49" i="19"/>
  <c r="B123" i="19"/>
  <c r="B150" i="19"/>
  <c r="E23" i="19"/>
  <c r="F23" i="19" s="1"/>
  <c r="E122" i="19"/>
  <c r="F122" i="19" s="1"/>
  <c r="E36" i="19"/>
  <c r="F36" i="19" s="1"/>
  <c r="E125" i="19"/>
  <c r="F125" i="19" s="1"/>
  <c r="B36" i="19"/>
  <c r="B125" i="19"/>
  <c r="E24" i="18"/>
  <c r="F24" i="18" s="1"/>
  <c r="E15" i="18"/>
  <c r="E6" i="18"/>
  <c r="B142" i="19"/>
  <c r="E142" i="19"/>
  <c r="F142" i="19" s="1"/>
  <c r="B140" i="19"/>
  <c r="E140" i="19"/>
  <c r="F140" i="19" s="1"/>
  <c r="E134" i="19"/>
  <c r="F134" i="19" s="1"/>
  <c r="B134" i="19"/>
  <c r="E71" i="19"/>
  <c r="F71" i="19" s="1"/>
  <c r="B84" i="19"/>
  <c r="B88" i="19"/>
  <c r="B66" i="19"/>
  <c r="E88" i="19"/>
  <c r="F88" i="19" s="1"/>
  <c r="B60" i="19"/>
  <c r="B67" i="19"/>
  <c r="B82" i="19"/>
  <c r="E59" i="19"/>
  <c r="F59" i="19" s="1"/>
  <c r="E82" i="19"/>
  <c r="F82" i="19" s="1"/>
  <c r="B68" i="19"/>
  <c r="B57" i="19"/>
  <c r="E86" i="19"/>
  <c r="F86" i="19" s="1"/>
  <c r="E66" i="19"/>
  <c r="F66" i="19" s="1"/>
  <c r="E57" i="19"/>
  <c r="F57" i="19" s="1"/>
  <c r="B85" i="19"/>
  <c r="E62" i="19"/>
  <c r="F62" i="19" s="1"/>
  <c r="B69" i="19"/>
  <c r="B83" i="19"/>
  <c r="E67" i="19"/>
  <c r="F67" i="19" s="1"/>
  <c r="B58" i="19"/>
  <c r="B61" i="19"/>
  <c r="E60" i="19"/>
  <c r="F60" i="19" s="1"/>
  <c r="B70" i="19"/>
  <c r="E68" i="19"/>
  <c r="F68" i="19" s="1"/>
  <c r="E85" i="19"/>
  <c r="F85" i="19" s="1"/>
  <c r="B62" i="19"/>
  <c r="E84" i="19"/>
  <c r="F84" i="19" s="1"/>
  <c r="B71" i="19"/>
  <c r="E58" i="19"/>
  <c r="F58" i="19" s="1"/>
  <c r="B86" i="19"/>
  <c r="E70" i="19"/>
  <c r="F70" i="19" s="1"/>
  <c r="E83" i="19"/>
  <c r="F83" i="19" s="1"/>
  <c r="E69" i="19"/>
  <c r="F69" i="19" s="1"/>
  <c r="B59" i="19"/>
  <c r="E61" i="19"/>
  <c r="F61" i="19" s="1"/>
  <c r="E89" i="19"/>
  <c r="F89" i="19" s="1"/>
  <c r="B166" i="19"/>
  <c r="B165" i="19"/>
  <c r="E163" i="19"/>
  <c r="F163" i="19" s="1"/>
  <c r="B105" i="19"/>
  <c r="B170" i="19"/>
  <c r="E167" i="19"/>
  <c r="F167" i="19" s="1"/>
  <c r="B73" i="19"/>
  <c r="E165" i="19"/>
  <c r="F165" i="19" s="1"/>
  <c r="B109" i="19"/>
  <c r="E162" i="19"/>
  <c r="F162" i="19" s="1"/>
  <c r="E91" i="19"/>
  <c r="F91" i="19" s="1"/>
  <c r="B90" i="19"/>
  <c r="B72" i="19"/>
  <c r="B169" i="19"/>
  <c r="E174" i="19"/>
  <c r="F174" i="19" s="1"/>
  <c r="E72" i="19"/>
  <c r="F72" i="19" s="1"/>
  <c r="B91" i="19"/>
  <c r="B64" i="19"/>
  <c r="E109" i="19"/>
  <c r="F109" i="19" s="1"/>
  <c r="B108" i="19"/>
  <c r="E64" i="19"/>
  <c r="F64" i="19" s="1"/>
  <c r="B63" i="19"/>
  <c r="E164" i="19"/>
  <c r="F164" i="19" s="1"/>
  <c r="B162" i="19"/>
  <c r="E108" i="19"/>
  <c r="F108" i="19" s="1"/>
  <c r="E170" i="19"/>
  <c r="F170" i="19" s="1"/>
  <c r="B167" i="19"/>
  <c r="B163" i="19"/>
  <c r="B112" i="19"/>
  <c r="E112" i="19"/>
  <c r="F112" i="19" s="1"/>
  <c r="B87" i="19"/>
  <c r="B89" i="19"/>
  <c r="B174" i="19"/>
  <c r="B92" i="19"/>
  <c r="B164" i="19"/>
  <c r="E104" i="19"/>
  <c r="F104" i="19" s="1"/>
  <c r="E63" i="19"/>
  <c r="F63" i="19" s="1"/>
  <c r="E105" i="19"/>
  <c r="F105" i="19" s="1"/>
  <c r="B104" i="19"/>
  <c r="E169" i="19"/>
  <c r="F169" i="19" s="1"/>
  <c r="E87" i="19"/>
  <c r="F87" i="19" s="1"/>
  <c r="E166" i="19"/>
  <c r="F166" i="19" s="1"/>
  <c r="E90" i="19"/>
  <c r="F90" i="19" s="1"/>
  <c r="E92" i="19"/>
  <c r="F92" i="19" s="1"/>
  <c r="E73" i="19"/>
  <c r="F73" i="19" s="1"/>
  <c r="B76" i="19"/>
  <c r="E111" i="19"/>
  <c r="F111" i="19" s="1"/>
  <c r="B6" i="19"/>
  <c r="B101" i="19"/>
  <c r="E40" i="19"/>
  <c r="F40" i="19" s="1"/>
  <c r="E148" i="19"/>
  <c r="F148" i="19" s="1"/>
  <c r="E17" i="19"/>
  <c r="F17" i="19" s="1"/>
  <c r="B51" i="19"/>
  <c r="E55" i="19"/>
  <c r="F55" i="19" s="1"/>
  <c r="B79" i="19"/>
  <c r="B111" i="19"/>
  <c r="E19" i="19"/>
  <c r="F19" i="19" s="1"/>
  <c r="E161" i="19"/>
  <c r="F161" i="19" s="1"/>
  <c r="B103" i="19"/>
  <c r="B31" i="19"/>
  <c r="B118" i="19"/>
  <c r="E14" i="19"/>
  <c r="F14" i="19" s="1"/>
  <c r="E137" i="19"/>
  <c r="F137" i="19" s="1"/>
  <c r="E41" i="19"/>
  <c r="F41" i="19" s="1"/>
  <c r="E79" i="19"/>
  <c r="F79" i="19" s="1"/>
  <c r="B137" i="19"/>
  <c r="B42" i="19"/>
  <c r="B55" i="19"/>
  <c r="B175" i="19"/>
  <c r="E113" i="19"/>
  <c r="F113" i="19" s="1"/>
  <c r="B117" i="19"/>
  <c r="E52" i="19"/>
  <c r="F52" i="19" s="1"/>
  <c r="B116" i="19"/>
  <c r="B52" i="19"/>
  <c r="E26" i="19"/>
  <c r="F26" i="19" s="1"/>
  <c r="B144" i="19"/>
  <c r="E53" i="19"/>
  <c r="F53" i="19" s="1"/>
  <c r="E29" i="19"/>
  <c r="F29" i="19" s="1"/>
  <c r="B40" i="19"/>
  <c r="E117" i="19"/>
  <c r="F117" i="19" s="1"/>
  <c r="E101" i="19"/>
  <c r="F101" i="19" s="1"/>
  <c r="E116" i="19"/>
  <c r="F116" i="19" s="1"/>
  <c r="E6" i="19"/>
  <c r="F6" i="19" s="1"/>
  <c r="E50" i="19"/>
  <c r="F50" i="19" s="1"/>
  <c r="B168" i="19"/>
  <c r="B14" i="19"/>
  <c r="E65" i="19"/>
  <c r="F65" i="19" s="1"/>
  <c r="B4" i="19"/>
  <c r="B78" i="19"/>
  <c r="B126" i="19"/>
  <c r="E43" i="19"/>
  <c r="F43" i="19" s="1"/>
  <c r="B75" i="19"/>
  <c r="B130" i="19"/>
  <c r="B100" i="19"/>
  <c r="B113" i="19"/>
  <c r="E15" i="19"/>
  <c r="F15" i="19" s="1"/>
  <c r="B26" i="19"/>
  <c r="E77" i="19"/>
  <c r="F77" i="19" s="1"/>
  <c r="B16" i="19"/>
  <c r="E39" i="19"/>
  <c r="F39" i="19" s="1"/>
  <c r="E153" i="19"/>
  <c r="F153" i="19" s="1"/>
  <c r="B159" i="19"/>
  <c r="E100" i="19"/>
  <c r="F100" i="19" s="1"/>
  <c r="E143" i="19"/>
  <c r="F143" i="19" s="1"/>
  <c r="B119" i="19"/>
  <c r="E110" i="19"/>
  <c r="F110" i="19" s="1"/>
  <c r="E27" i="19"/>
  <c r="F27" i="19" s="1"/>
  <c r="B50" i="19"/>
  <c r="B135" i="19"/>
  <c r="B28" i="19"/>
  <c r="B5" i="19"/>
  <c r="B138" i="19"/>
  <c r="E118" i="19"/>
  <c r="F118" i="19" s="1"/>
  <c r="B107" i="19"/>
  <c r="E74" i="19"/>
  <c r="F74" i="19" s="1"/>
  <c r="E129" i="19"/>
  <c r="F129" i="19" s="1"/>
  <c r="E2" i="19"/>
  <c r="F2" i="19" s="1"/>
  <c r="B114" i="19"/>
  <c r="E51" i="19"/>
  <c r="F51" i="19" s="1"/>
  <c r="E138" i="19"/>
  <c r="F138" i="19" s="1"/>
  <c r="B147" i="19"/>
  <c r="B17" i="19"/>
  <c r="E56" i="19"/>
  <c r="F56" i="19" s="1"/>
  <c r="B161" i="19"/>
  <c r="B160" i="19"/>
  <c r="E103" i="19"/>
  <c r="F103" i="19" s="1"/>
  <c r="E159" i="19"/>
  <c r="F159" i="19" s="1"/>
  <c r="B129" i="19"/>
  <c r="E31" i="19"/>
  <c r="F31" i="19" s="1"/>
  <c r="E135" i="19"/>
  <c r="F135" i="19" s="1"/>
  <c r="E4" i="19"/>
  <c r="F4" i="19" s="1"/>
  <c r="B110" i="19"/>
  <c r="E18" i="19"/>
  <c r="F18" i="19" s="1"/>
  <c r="B41" i="19"/>
  <c r="E80" i="19"/>
  <c r="F80" i="19" s="1"/>
  <c r="E38" i="19"/>
  <c r="F38" i="19" s="1"/>
  <c r="E115" i="19"/>
  <c r="F115" i="19" s="1"/>
  <c r="E107" i="19"/>
  <c r="F107" i="19" s="1"/>
  <c r="B74" i="19"/>
  <c r="E119" i="19"/>
  <c r="F119" i="19" s="1"/>
  <c r="B153" i="19"/>
  <c r="E147" i="19"/>
  <c r="F147" i="19" s="1"/>
  <c r="E16" i="19"/>
  <c r="F16" i="19" s="1"/>
  <c r="E30" i="19"/>
  <c r="F30" i="19" s="1"/>
  <c r="B53" i="19"/>
  <c r="E94" i="19"/>
  <c r="F94" i="19" s="1"/>
  <c r="E76" i="19"/>
  <c r="F76" i="19" s="1"/>
  <c r="B143" i="19"/>
  <c r="E5" i="19"/>
  <c r="F5" i="19" s="1"/>
  <c r="E78" i="19"/>
  <c r="F78" i="19" s="1"/>
  <c r="B30" i="19"/>
  <c r="B81" i="19"/>
  <c r="B54" i="19"/>
  <c r="E160" i="19"/>
  <c r="F160" i="19" s="1"/>
  <c r="E130" i="19"/>
  <c r="F130" i="19" s="1"/>
  <c r="B3" i="19"/>
  <c r="E126" i="19"/>
  <c r="F126" i="19" s="1"/>
  <c r="B29" i="19"/>
  <c r="B19" i="19"/>
  <c r="E28" i="19"/>
  <c r="F28" i="19" s="1"/>
  <c r="E42" i="19"/>
  <c r="F42" i="19" s="1"/>
  <c r="B136" i="19"/>
  <c r="B65" i="19"/>
  <c r="E81" i="19"/>
  <c r="F81" i="19" s="1"/>
  <c r="E95" i="19"/>
  <c r="F95" i="19" s="1"/>
  <c r="B43" i="19"/>
  <c r="E136" i="19"/>
  <c r="F136" i="19" s="1"/>
  <c r="B27" i="19"/>
  <c r="E175" i="19"/>
  <c r="F175" i="19" s="1"/>
  <c r="E75" i="19"/>
  <c r="F75" i="19" s="1"/>
  <c r="E114" i="19"/>
  <c r="F114" i="19" s="1"/>
  <c r="B38" i="19"/>
  <c r="B115" i="19"/>
  <c r="B2" i="19"/>
  <c r="B15" i="19"/>
  <c r="E54" i="19"/>
  <c r="F54" i="19" s="1"/>
  <c r="B148" i="19"/>
  <c r="B77" i="19"/>
  <c r="E144" i="19"/>
  <c r="F144" i="19" s="1"/>
  <c r="B95" i="19"/>
  <c r="E3" i="19"/>
  <c r="F3" i="19" s="1"/>
  <c r="B39" i="19"/>
  <c r="E7" i="19"/>
  <c r="F7" i="19" s="1"/>
  <c r="B18" i="19"/>
  <c r="E168" i="19"/>
  <c r="F168" i="19" s="1"/>
  <c r="B94" i="19"/>
  <c r="B7" i="19"/>
  <c r="B56" i="19"/>
  <c r="B80" i="19"/>
  <c r="E207" i="19"/>
  <c r="F207" i="19" s="1"/>
  <c r="E354" i="19"/>
  <c r="F354" i="19" s="1"/>
  <c r="B312" i="19"/>
  <c r="E268" i="19"/>
  <c r="F268" i="19" s="1"/>
  <c r="B25" i="19"/>
  <c r="B241" i="19"/>
  <c r="B387" i="19"/>
  <c r="E209" i="19"/>
  <c r="F209" i="19" s="1"/>
  <c r="E356" i="19"/>
  <c r="F356" i="19" s="1"/>
  <c r="B326" i="19"/>
  <c r="E270" i="19"/>
  <c r="F270" i="19" s="1"/>
  <c r="B219" i="19"/>
  <c r="B365" i="19"/>
  <c r="E319" i="19"/>
  <c r="F319" i="19" s="1"/>
  <c r="B280" i="19"/>
  <c r="E260" i="19"/>
  <c r="F260" i="19" s="1"/>
  <c r="B209" i="19"/>
  <c r="B355" i="19"/>
  <c r="E309" i="19"/>
  <c r="F309" i="19" s="1"/>
  <c r="B258" i="19"/>
  <c r="B404" i="19"/>
  <c r="E214" i="19"/>
  <c r="F214" i="19" s="1"/>
  <c r="E361" i="19"/>
  <c r="F361" i="19" s="1"/>
  <c r="B211" i="19"/>
  <c r="B357" i="19"/>
  <c r="E203" i="19"/>
  <c r="F203" i="19" s="1"/>
  <c r="E350" i="19"/>
  <c r="F350" i="19" s="1"/>
  <c r="B284" i="19"/>
  <c r="E276" i="19"/>
  <c r="F276" i="19" s="1"/>
  <c r="B21" i="19"/>
  <c r="B249" i="19"/>
  <c r="B395" i="19"/>
  <c r="E229" i="19"/>
  <c r="F229" i="19" s="1"/>
  <c r="E376" i="19"/>
  <c r="F376" i="19" s="1"/>
  <c r="B226" i="19"/>
  <c r="B372" i="19"/>
  <c r="E206" i="19"/>
  <c r="F206" i="19" s="1"/>
  <c r="E353" i="19"/>
  <c r="F353" i="19" s="1"/>
  <c r="B215" i="19"/>
  <c r="B361" i="19"/>
  <c r="B227" i="19"/>
  <c r="E219" i="19"/>
  <c r="F219" i="19" s="1"/>
  <c r="E366" i="19"/>
  <c r="F366" i="19" s="1"/>
  <c r="B324" i="19"/>
  <c r="E280" i="19"/>
  <c r="F280" i="19" s="1"/>
  <c r="B253" i="19"/>
  <c r="B399" i="19"/>
  <c r="E221" i="19"/>
  <c r="F221" i="19" s="1"/>
  <c r="E368" i="19"/>
  <c r="F368" i="19" s="1"/>
  <c r="B194" i="19"/>
  <c r="B338" i="19"/>
  <c r="E282" i="19"/>
  <c r="F282" i="19" s="1"/>
  <c r="B231" i="19"/>
  <c r="B377" i="19"/>
  <c r="E331" i="19"/>
  <c r="F331" i="19" s="1"/>
  <c r="B292" i="19"/>
  <c r="E272" i="19"/>
  <c r="F272" i="19" s="1"/>
  <c r="B221" i="19"/>
  <c r="B367" i="19"/>
  <c r="E321" i="19"/>
  <c r="F321" i="19" s="1"/>
  <c r="B270" i="19"/>
  <c r="E9" i="19"/>
  <c r="F9" i="19" s="1"/>
  <c r="E226" i="19"/>
  <c r="F226" i="19" s="1"/>
  <c r="E373" i="19"/>
  <c r="F373" i="19" s="1"/>
  <c r="B223" i="19"/>
  <c r="B369" i="19"/>
  <c r="E215" i="19"/>
  <c r="F215" i="19" s="1"/>
  <c r="E362" i="19"/>
  <c r="F362" i="19" s="1"/>
  <c r="B128" i="19"/>
  <c r="B296" i="19"/>
  <c r="E288" i="19"/>
  <c r="F288" i="19" s="1"/>
  <c r="B33" i="19"/>
  <c r="B261" i="19"/>
  <c r="E24" i="19"/>
  <c r="F24" i="19" s="1"/>
  <c r="E241" i="19"/>
  <c r="F241" i="19" s="1"/>
  <c r="E388" i="19"/>
  <c r="F388" i="19" s="1"/>
  <c r="B238" i="19"/>
  <c r="B384" i="19"/>
  <c r="E218" i="19"/>
  <c r="F218" i="19" s="1"/>
  <c r="E365" i="19"/>
  <c r="F365" i="19" s="1"/>
  <c r="E231" i="19"/>
  <c r="F231" i="19" s="1"/>
  <c r="E378" i="19"/>
  <c r="F378" i="19" s="1"/>
  <c r="B180" i="19"/>
  <c r="B336" i="19"/>
  <c r="E292" i="19"/>
  <c r="F292" i="19" s="1"/>
  <c r="B265" i="19"/>
  <c r="E233" i="19"/>
  <c r="F233" i="19" s="1"/>
  <c r="E380" i="19"/>
  <c r="F380" i="19" s="1"/>
  <c r="B206" i="19"/>
  <c r="B352" i="19"/>
  <c r="E294" i="19"/>
  <c r="F294" i="19" s="1"/>
  <c r="B243" i="19"/>
  <c r="B389" i="19"/>
  <c r="E199" i="19"/>
  <c r="F199" i="19" s="1"/>
  <c r="E346" i="19"/>
  <c r="F346" i="19" s="1"/>
  <c r="B304" i="19"/>
  <c r="E284" i="19"/>
  <c r="F284" i="19" s="1"/>
  <c r="B233" i="19"/>
  <c r="B379" i="19"/>
  <c r="E177" i="19"/>
  <c r="F177" i="19" s="1"/>
  <c r="E333" i="19"/>
  <c r="F333" i="19" s="1"/>
  <c r="B102" i="19"/>
  <c r="B282" i="19"/>
  <c r="E21" i="19"/>
  <c r="F21" i="19" s="1"/>
  <c r="E238" i="19"/>
  <c r="F238" i="19" s="1"/>
  <c r="E385" i="19"/>
  <c r="F385" i="19" s="1"/>
  <c r="B235" i="19"/>
  <c r="B381" i="19"/>
  <c r="E227" i="19"/>
  <c r="F227" i="19" s="1"/>
  <c r="E374" i="19"/>
  <c r="F374" i="19" s="1"/>
  <c r="B308" i="19"/>
  <c r="E132" i="19"/>
  <c r="F132" i="19" s="1"/>
  <c r="E300" i="19"/>
  <c r="F300" i="19" s="1"/>
  <c r="B45" i="19"/>
  <c r="B273" i="19"/>
  <c r="E253" i="19"/>
  <c r="F253" i="19" s="1"/>
  <c r="E400" i="19"/>
  <c r="F400" i="19" s="1"/>
  <c r="B250" i="19"/>
  <c r="B396" i="19"/>
  <c r="E230" i="19"/>
  <c r="F230" i="19" s="1"/>
  <c r="E377" i="19"/>
  <c r="F377" i="19" s="1"/>
  <c r="B239" i="19"/>
  <c r="B385" i="19"/>
  <c r="E243" i="19"/>
  <c r="F243" i="19" s="1"/>
  <c r="E390" i="19"/>
  <c r="F390" i="19" s="1"/>
  <c r="B204" i="19"/>
  <c r="B350" i="19"/>
  <c r="E304" i="19"/>
  <c r="F304" i="19" s="1"/>
  <c r="B277" i="19"/>
  <c r="E245" i="19"/>
  <c r="F245" i="19" s="1"/>
  <c r="E392" i="19"/>
  <c r="F392" i="19" s="1"/>
  <c r="B218" i="19"/>
  <c r="B364" i="19"/>
  <c r="E306" i="19"/>
  <c r="F306" i="19" s="1"/>
  <c r="B255" i="19"/>
  <c r="B401" i="19"/>
  <c r="E211" i="19"/>
  <c r="F211" i="19" s="1"/>
  <c r="E358" i="19"/>
  <c r="F358" i="19" s="1"/>
  <c r="B316" i="19"/>
  <c r="E128" i="19"/>
  <c r="F128" i="19" s="1"/>
  <c r="E296" i="19"/>
  <c r="F296" i="19" s="1"/>
  <c r="B245" i="19"/>
  <c r="B391" i="19"/>
  <c r="E201" i="19"/>
  <c r="F201" i="19" s="1"/>
  <c r="E348" i="19"/>
  <c r="F348" i="19" s="1"/>
  <c r="B294" i="19"/>
  <c r="E33" i="19"/>
  <c r="F33" i="19" s="1"/>
  <c r="E250" i="19"/>
  <c r="F250" i="19" s="1"/>
  <c r="E397" i="19"/>
  <c r="F397" i="19" s="1"/>
  <c r="B247" i="19"/>
  <c r="B393" i="19"/>
  <c r="E239" i="19"/>
  <c r="F239" i="19" s="1"/>
  <c r="E386" i="19"/>
  <c r="F386" i="19" s="1"/>
  <c r="B320" i="19"/>
  <c r="E312" i="19"/>
  <c r="F312" i="19" s="1"/>
  <c r="B285" i="19"/>
  <c r="E265" i="19"/>
  <c r="F265" i="19" s="1"/>
  <c r="B262" i="19"/>
  <c r="E25" i="19"/>
  <c r="F25" i="19" s="1"/>
  <c r="E242" i="19"/>
  <c r="F242" i="19" s="1"/>
  <c r="E389" i="19"/>
  <c r="F389" i="19" s="1"/>
  <c r="B251" i="19"/>
  <c r="B397" i="19"/>
  <c r="E255" i="19"/>
  <c r="F255" i="19" s="1"/>
  <c r="E402" i="19"/>
  <c r="F402" i="19" s="1"/>
  <c r="B216" i="19"/>
  <c r="B362" i="19"/>
  <c r="E316" i="19"/>
  <c r="F316" i="19" s="1"/>
  <c r="B289" i="19"/>
  <c r="E257" i="19"/>
  <c r="F257" i="19" s="1"/>
  <c r="E404" i="19"/>
  <c r="F404" i="19" s="1"/>
  <c r="B230" i="19"/>
  <c r="B376" i="19"/>
  <c r="E318" i="19"/>
  <c r="F318" i="19" s="1"/>
  <c r="B267" i="19"/>
  <c r="E223" i="19"/>
  <c r="F223" i="19" s="1"/>
  <c r="E370" i="19"/>
  <c r="F370" i="19" s="1"/>
  <c r="B172" i="19"/>
  <c r="B328" i="19"/>
  <c r="E308" i="19"/>
  <c r="F308" i="19" s="1"/>
  <c r="B257" i="19"/>
  <c r="B403" i="19"/>
  <c r="E213" i="19"/>
  <c r="F213" i="19" s="1"/>
  <c r="E360" i="19"/>
  <c r="F360" i="19" s="1"/>
  <c r="B306" i="19"/>
  <c r="E45" i="19"/>
  <c r="F45" i="19" s="1"/>
  <c r="E262" i="19"/>
  <c r="F262" i="19" s="1"/>
  <c r="B259" i="19"/>
  <c r="B405" i="19"/>
  <c r="E251" i="19"/>
  <c r="F251" i="19" s="1"/>
  <c r="E398" i="19"/>
  <c r="F398" i="19" s="1"/>
  <c r="B176" i="19"/>
  <c r="B332" i="19"/>
  <c r="E324" i="19"/>
  <c r="F324" i="19" s="1"/>
  <c r="B93" i="19"/>
  <c r="B297" i="19"/>
  <c r="E277" i="19"/>
  <c r="F277" i="19" s="1"/>
  <c r="B274" i="19"/>
  <c r="E254" i="19"/>
  <c r="F254" i="19" s="1"/>
  <c r="E401" i="19"/>
  <c r="F401" i="19" s="1"/>
  <c r="B263" i="19"/>
  <c r="E267" i="19"/>
  <c r="F267" i="19" s="1"/>
  <c r="B24" i="19"/>
  <c r="B228" i="19"/>
  <c r="B374" i="19"/>
  <c r="E172" i="19"/>
  <c r="F172" i="19" s="1"/>
  <c r="E328" i="19"/>
  <c r="F328" i="19" s="1"/>
  <c r="B301" i="19"/>
  <c r="E269" i="19"/>
  <c r="F269" i="19" s="1"/>
  <c r="B242" i="19"/>
  <c r="B388" i="19"/>
  <c r="E330" i="19"/>
  <c r="F330" i="19" s="1"/>
  <c r="B279" i="19"/>
  <c r="E235" i="19"/>
  <c r="F235" i="19" s="1"/>
  <c r="E382" i="19"/>
  <c r="F382" i="19" s="1"/>
  <c r="B196" i="19"/>
  <c r="B340" i="19"/>
  <c r="E320" i="19"/>
  <c r="F320" i="19" s="1"/>
  <c r="B269" i="19"/>
  <c r="E225" i="19"/>
  <c r="F225" i="19" s="1"/>
  <c r="E372" i="19"/>
  <c r="F372" i="19" s="1"/>
  <c r="B318" i="19"/>
  <c r="E274" i="19"/>
  <c r="F274" i="19" s="1"/>
  <c r="B271" i="19"/>
  <c r="E263" i="19"/>
  <c r="F263" i="19" s="1"/>
  <c r="B200" i="19"/>
  <c r="B346" i="19"/>
  <c r="E180" i="19"/>
  <c r="F180" i="19" s="1"/>
  <c r="E336" i="19"/>
  <c r="F336" i="19" s="1"/>
  <c r="B309" i="19"/>
  <c r="E289" i="19"/>
  <c r="F289" i="19" s="1"/>
  <c r="B286" i="19"/>
  <c r="E266" i="19"/>
  <c r="F266" i="19" s="1"/>
  <c r="B275" i="19"/>
  <c r="E237" i="19"/>
  <c r="F237" i="19" s="1"/>
  <c r="B330" i="19"/>
  <c r="E286" i="19"/>
  <c r="F286" i="19" s="1"/>
  <c r="B283" i="19"/>
  <c r="E275" i="19"/>
  <c r="F275" i="19" s="1"/>
  <c r="B212" i="19"/>
  <c r="E204" i="19"/>
  <c r="F204" i="19" s="1"/>
  <c r="E351" i="19"/>
  <c r="F351" i="19" s="1"/>
  <c r="B321" i="19"/>
  <c r="E301" i="19"/>
  <c r="F301" i="19" s="1"/>
  <c r="B298" i="19"/>
  <c r="E278" i="19"/>
  <c r="F278" i="19" s="1"/>
  <c r="B287" i="19"/>
  <c r="E363" i="19"/>
  <c r="F363" i="19" s="1"/>
  <c r="B333" i="19"/>
  <c r="B154" i="19"/>
  <c r="B197" i="19"/>
  <c r="B246" i="19"/>
  <c r="E179" i="19"/>
  <c r="F179" i="19" s="1"/>
  <c r="E264" i="19"/>
  <c r="F264" i="19" s="1"/>
  <c r="E364" i="19"/>
  <c r="F364" i="19" s="1"/>
  <c r="B349" i="19"/>
  <c r="E279" i="19"/>
  <c r="F279" i="19" s="1"/>
  <c r="B240" i="19"/>
  <c r="B386" i="19"/>
  <c r="E196" i="19"/>
  <c r="F196" i="19" s="1"/>
  <c r="E340" i="19"/>
  <c r="F340" i="19" s="1"/>
  <c r="B133" i="19"/>
  <c r="B313" i="19"/>
  <c r="E281" i="19"/>
  <c r="F281" i="19" s="1"/>
  <c r="B254" i="19"/>
  <c r="B400" i="19"/>
  <c r="E198" i="19"/>
  <c r="F198" i="19" s="1"/>
  <c r="E342" i="19"/>
  <c r="F342" i="19" s="1"/>
  <c r="B291" i="19"/>
  <c r="E247" i="19"/>
  <c r="F247" i="19" s="1"/>
  <c r="E394" i="19"/>
  <c r="F394" i="19" s="1"/>
  <c r="B208" i="19"/>
  <c r="B354" i="19"/>
  <c r="E176" i="19"/>
  <c r="F176" i="19" s="1"/>
  <c r="E332" i="19"/>
  <c r="F332" i="19" s="1"/>
  <c r="B281" i="19"/>
  <c r="E384" i="19"/>
  <c r="F384" i="19" s="1"/>
  <c r="E93" i="19"/>
  <c r="F93" i="19" s="1"/>
  <c r="B358" i="19"/>
  <c r="B106" i="19"/>
  <c r="E216" i="19"/>
  <c r="F216" i="19" s="1"/>
  <c r="E133" i="19"/>
  <c r="F133" i="19" s="1"/>
  <c r="E290" i="19"/>
  <c r="F290" i="19" s="1"/>
  <c r="E248" i="19"/>
  <c r="F248" i="19" s="1"/>
  <c r="B392" i="19"/>
  <c r="B272" i="19"/>
  <c r="E217" i="19"/>
  <c r="F217" i="19" s="1"/>
  <c r="E291" i="19"/>
  <c r="F291" i="19" s="1"/>
  <c r="B252" i="19"/>
  <c r="B398" i="19"/>
  <c r="E208" i="19"/>
  <c r="F208" i="19" s="1"/>
  <c r="E355" i="19"/>
  <c r="F355" i="19" s="1"/>
  <c r="B325" i="19"/>
  <c r="E293" i="19"/>
  <c r="F293" i="19" s="1"/>
  <c r="B266" i="19"/>
  <c r="E210" i="19"/>
  <c r="F210" i="19" s="1"/>
  <c r="E357" i="19"/>
  <c r="F357" i="19" s="1"/>
  <c r="B303" i="19"/>
  <c r="E259" i="19"/>
  <c r="F259" i="19" s="1"/>
  <c r="E406" i="19"/>
  <c r="F406" i="19" s="1"/>
  <c r="B220" i="19"/>
  <c r="B366" i="19"/>
  <c r="E200" i="19"/>
  <c r="F200" i="19" s="1"/>
  <c r="E347" i="19"/>
  <c r="F347" i="19" s="1"/>
  <c r="B293" i="19"/>
  <c r="E249" i="19"/>
  <c r="F249" i="19" s="1"/>
  <c r="E396" i="19"/>
  <c r="F396" i="19" s="1"/>
  <c r="B198" i="19"/>
  <c r="B342" i="19"/>
  <c r="E298" i="19"/>
  <c r="F298" i="19" s="1"/>
  <c r="B295" i="19"/>
  <c r="E287" i="19"/>
  <c r="F287" i="19" s="1"/>
  <c r="B224" i="19"/>
  <c r="B370" i="19"/>
  <c r="B177" i="19"/>
  <c r="E313" i="19"/>
  <c r="F313" i="19" s="1"/>
  <c r="B310" i="19"/>
  <c r="B299" i="19"/>
  <c r="B199" i="19"/>
  <c r="B360" i="19"/>
  <c r="B373" i="19"/>
  <c r="E303" i="19"/>
  <c r="F303" i="19" s="1"/>
  <c r="B264" i="19"/>
  <c r="E220" i="19"/>
  <c r="F220" i="19" s="1"/>
  <c r="E367" i="19"/>
  <c r="F367" i="19" s="1"/>
  <c r="B181" i="19"/>
  <c r="B337" i="19"/>
  <c r="E305" i="19"/>
  <c r="F305" i="19" s="1"/>
  <c r="B278" i="19"/>
  <c r="E222" i="19"/>
  <c r="F222" i="19" s="1"/>
  <c r="E369" i="19"/>
  <c r="F369" i="19" s="1"/>
  <c r="B315" i="19"/>
  <c r="E271" i="19"/>
  <c r="F271" i="19" s="1"/>
  <c r="B232" i="19"/>
  <c r="B378" i="19"/>
  <c r="E212" i="19"/>
  <c r="F212" i="19" s="1"/>
  <c r="E359" i="19"/>
  <c r="F359" i="19" s="1"/>
  <c r="B305" i="19"/>
  <c r="E44" i="19"/>
  <c r="F44" i="19" s="1"/>
  <c r="E261" i="19"/>
  <c r="F261" i="19" s="1"/>
  <c r="B210" i="19"/>
  <c r="B356" i="19"/>
  <c r="E154" i="19"/>
  <c r="F154" i="19" s="1"/>
  <c r="E310" i="19"/>
  <c r="F310" i="19" s="1"/>
  <c r="B127" i="19"/>
  <c r="B307" i="19"/>
  <c r="E106" i="19"/>
  <c r="F106" i="19" s="1"/>
  <c r="E299" i="19"/>
  <c r="F299" i="19" s="1"/>
  <c r="B44" i="19"/>
  <c r="B236" i="19"/>
  <c r="B382" i="19"/>
  <c r="E228" i="19"/>
  <c r="F228" i="19" s="1"/>
  <c r="E375" i="19"/>
  <c r="F375" i="19" s="1"/>
  <c r="B201" i="19"/>
  <c r="B347" i="19"/>
  <c r="E325" i="19"/>
  <c r="F325" i="19" s="1"/>
  <c r="B322" i="19"/>
  <c r="E302" i="19"/>
  <c r="F302" i="19" s="1"/>
  <c r="B131" i="19"/>
  <c r="B311" i="19"/>
  <c r="E399" i="19"/>
  <c r="F399" i="19" s="1"/>
  <c r="E205" i="19"/>
  <c r="F205" i="19" s="1"/>
  <c r="B348" i="19"/>
  <c r="B179" i="19"/>
  <c r="E195" i="19"/>
  <c r="F195" i="19" s="1"/>
  <c r="B300" i="19"/>
  <c r="B229" i="19"/>
  <c r="E197" i="19"/>
  <c r="F197" i="19" s="1"/>
  <c r="B314" i="19"/>
  <c r="B207" i="19"/>
  <c r="E127" i="19"/>
  <c r="F127" i="19" s="1"/>
  <c r="B268" i="19"/>
  <c r="B341" i="19"/>
  <c r="E202" i="19"/>
  <c r="F202" i="19" s="1"/>
  <c r="E335" i="19"/>
  <c r="F335" i="19" s="1"/>
  <c r="B383" i="19"/>
  <c r="B214" i="19"/>
  <c r="B203" i="19"/>
  <c r="E315" i="19"/>
  <c r="F315" i="19" s="1"/>
  <c r="B276" i="19"/>
  <c r="E232" i="19"/>
  <c r="F232" i="19" s="1"/>
  <c r="E379" i="19"/>
  <c r="F379" i="19" s="1"/>
  <c r="B205" i="19"/>
  <c r="B351" i="19"/>
  <c r="E317" i="19"/>
  <c r="F317" i="19" s="1"/>
  <c r="B290" i="19"/>
  <c r="E234" i="19"/>
  <c r="F234" i="19" s="1"/>
  <c r="E381" i="19"/>
  <c r="F381" i="19" s="1"/>
  <c r="B171" i="19"/>
  <c r="B327" i="19"/>
  <c r="E283" i="19"/>
  <c r="F283" i="19" s="1"/>
  <c r="B244" i="19"/>
  <c r="B390" i="19"/>
  <c r="E224" i="19"/>
  <c r="F224" i="19" s="1"/>
  <c r="E371" i="19"/>
  <c r="F371" i="19" s="1"/>
  <c r="B317" i="19"/>
  <c r="E273" i="19"/>
  <c r="F273" i="19" s="1"/>
  <c r="B222" i="19"/>
  <c r="B368" i="19"/>
  <c r="E322" i="19"/>
  <c r="F322" i="19" s="1"/>
  <c r="B319" i="19"/>
  <c r="E131" i="19"/>
  <c r="F131" i="19" s="1"/>
  <c r="E311" i="19"/>
  <c r="F311" i="19" s="1"/>
  <c r="B248" i="19"/>
  <c r="B394" i="19"/>
  <c r="E240" i="19"/>
  <c r="F240" i="19" s="1"/>
  <c r="E387" i="19"/>
  <c r="F387" i="19" s="1"/>
  <c r="B213" i="19"/>
  <c r="B359" i="19"/>
  <c r="E181" i="19"/>
  <c r="F181" i="19" s="1"/>
  <c r="E337" i="19"/>
  <c r="F337" i="19" s="1"/>
  <c r="B178" i="19"/>
  <c r="B334" i="19"/>
  <c r="E314" i="19"/>
  <c r="F314" i="19" s="1"/>
  <c r="B323" i="19"/>
  <c r="B260" i="19"/>
  <c r="E252" i="19"/>
  <c r="F252" i="19" s="1"/>
  <c r="B371" i="19"/>
  <c r="E352" i="19"/>
  <c r="F352" i="19" s="1"/>
  <c r="B335" i="19"/>
  <c r="E339" i="19"/>
  <c r="F339" i="19" s="1"/>
  <c r="E256" i="19"/>
  <c r="F256" i="19" s="1"/>
  <c r="B375" i="19"/>
  <c r="E405" i="19"/>
  <c r="F405" i="19" s="1"/>
  <c r="B353" i="19"/>
  <c r="E297" i="19"/>
  <c r="F297" i="19" s="1"/>
  <c r="E349" i="19"/>
  <c r="F349" i="19" s="1"/>
  <c r="B237" i="19"/>
  <c r="E194" i="19"/>
  <c r="F194" i="19" s="1"/>
  <c r="E171" i="19"/>
  <c r="F171" i="19" s="1"/>
  <c r="E327" i="19"/>
  <c r="F327" i="19" s="1"/>
  <c r="B288" i="19"/>
  <c r="E244" i="19"/>
  <c r="F244" i="19" s="1"/>
  <c r="E391" i="19"/>
  <c r="F391" i="19" s="1"/>
  <c r="B217" i="19"/>
  <c r="B363" i="19"/>
  <c r="E173" i="19"/>
  <c r="F173" i="19" s="1"/>
  <c r="E329" i="19"/>
  <c r="F329" i="19" s="1"/>
  <c r="B302" i="19"/>
  <c r="E246" i="19"/>
  <c r="F246" i="19" s="1"/>
  <c r="E393" i="19"/>
  <c r="F393" i="19" s="1"/>
  <c r="B195" i="19"/>
  <c r="B339" i="19"/>
  <c r="E102" i="19"/>
  <c r="F102" i="19" s="1"/>
  <c r="E295" i="19"/>
  <c r="F295" i="19" s="1"/>
  <c r="B256" i="19"/>
  <c r="B402" i="19"/>
  <c r="E236" i="19"/>
  <c r="F236" i="19" s="1"/>
  <c r="E383" i="19"/>
  <c r="F383" i="19" s="1"/>
  <c r="B173" i="19"/>
  <c r="B329" i="19"/>
  <c r="E285" i="19"/>
  <c r="F285" i="19" s="1"/>
  <c r="B234" i="19"/>
  <c r="B380" i="19"/>
  <c r="E178" i="19"/>
  <c r="F178" i="19" s="1"/>
  <c r="E334" i="19"/>
  <c r="F334" i="19" s="1"/>
  <c r="B331" i="19"/>
  <c r="E323" i="19"/>
  <c r="F323" i="19" s="1"/>
  <c r="B406" i="19"/>
  <c r="B225" i="19"/>
  <c r="B202" i="19"/>
  <c r="E326" i="19"/>
  <c r="F326" i="19" s="1"/>
  <c r="B132" i="19"/>
  <c r="E403" i="19"/>
  <c r="F403" i="19" s="1"/>
  <c r="E341" i="19"/>
  <c r="F341" i="19" s="1"/>
  <c r="E258" i="19"/>
  <c r="F258" i="19" s="1"/>
  <c r="E307" i="19"/>
  <c r="F307" i="19" s="1"/>
  <c r="E395" i="19"/>
  <c r="F395" i="19" s="1"/>
  <c r="B345" i="19"/>
  <c r="B9" i="19"/>
  <c r="E338" i="19"/>
  <c r="F338" i="19" s="1"/>
  <c r="B186" i="19"/>
  <c r="B191" i="19"/>
  <c r="B182" i="19"/>
  <c r="B185" i="19"/>
  <c r="B183" i="19"/>
  <c r="B184" i="19"/>
  <c r="B187" i="19"/>
  <c r="B343" i="19"/>
  <c r="B188" i="19"/>
  <c r="B344" i="19"/>
  <c r="B190" i="19"/>
  <c r="B189" i="19"/>
  <c r="B192" i="19"/>
  <c r="B193" i="19"/>
  <c r="F15" i="18" l="1"/>
  <c r="K6" i="18"/>
  <c r="L6" i="18" s="1"/>
  <c r="F6" i="18"/>
  <c r="E33" i="18"/>
  <c r="F33" i="18" s="1"/>
  <c r="P12" i="21" l="1"/>
  <c r="P5" i="21"/>
  <c r="D31" i="18"/>
  <c r="D4" i="18" l="1"/>
  <c r="D16" i="18"/>
  <c r="D17" i="18"/>
  <c r="D9" i="18"/>
  <c r="D18" i="18"/>
  <c r="D8" i="18"/>
  <c r="D22" i="18"/>
  <c r="D7" i="18"/>
  <c r="D23" i="18"/>
  <c r="D5" i="18"/>
  <c r="D25" i="18"/>
  <c r="D13" i="18"/>
  <c r="D26" i="18"/>
  <c r="D14" i="18"/>
  <c r="D27" i="18"/>
  <c r="J4" i="18" l="1"/>
  <c r="J5" i="18"/>
  <c r="J9" i="18"/>
  <c r="J8" i="18"/>
  <c r="J7" i="18"/>
  <c r="D24" i="18"/>
  <c r="D15" i="18"/>
  <c r="D6" i="18"/>
  <c r="J6" i="18" l="1"/>
  <c r="D32" i="18"/>
  <c r="D34" i="18"/>
  <c r="D35" i="18"/>
  <c r="D36" i="18"/>
  <c r="D33" i="18" l="1"/>
  <c r="N212" i="2" l="1"/>
  <c r="R171" i="1"/>
  <c r="H12" i="21" l="1"/>
  <c r="H5" i="21"/>
  <c r="K32" i="18" l="1"/>
  <c r="K33" i="18"/>
  <c r="K31" i="18"/>
  <c r="K34"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Mohamed Ayman Hany</author>
  </authors>
  <commentList>
    <comment ref="D309" authorId="0" shapeId="0" xr:uid="{00000000-0006-0000-0100-000003000000}">
      <text>
        <r>
          <rPr>
            <b/>
            <sz val="9"/>
            <color indexed="81"/>
            <rFont val="Tahoma"/>
            <family val="2"/>
          </rPr>
          <t>Mohamed Ayman Hany:</t>
        </r>
        <r>
          <rPr>
            <sz val="9"/>
            <color indexed="81"/>
            <rFont val="Tahoma"/>
            <family val="2"/>
          </rPr>
          <t xml:space="preserve">
wrong P&amp;ID no , it is in 
1001</t>
        </r>
      </text>
    </comment>
    <comment ref="D310" authorId="0" shapeId="0" xr:uid="{00000000-0006-0000-0100-000004000000}">
      <text>
        <r>
          <rPr>
            <b/>
            <sz val="9"/>
            <color indexed="81"/>
            <rFont val="Tahoma"/>
            <family val="2"/>
          </rPr>
          <t>Mohamed Ayman Hany:</t>
        </r>
        <r>
          <rPr>
            <sz val="9"/>
            <color indexed="81"/>
            <rFont val="Tahoma"/>
            <family val="2"/>
          </rPr>
          <t xml:space="preserve">
wrong P&amp;ID no , it is in 
1001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Mohamed Ayman Hany</author>
  </authors>
  <commentList>
    <comment ref="F125" authorId="0" shapeId="0" xr:uid="{00000000-0006-0000-0300-000001000000}">
      <text>
        <r>
          <rPr>
            <b/>
            <sz val="9"/>
            <color indexed="81"/>
            <rFont val="Tahoma"/>
            <family val="2"/>
          </rPr>
          <t>Mohamed Ayman Hany:</t>
        </r>
        <r>
          <rPr>
            <sz val="9"/>
            <color indexed="81"/>
            <rFont val="Tahoma"/>
            <family val="2"/>
          </rPr>
          <t xml:space="preserve">
wrong P&amp;ID no , it is in 
1001</t>
        </r>
      </text>
    </comment>
    <comment ref="F126" authorId="0" shapeId="0" xr:uid="{00000000-0006-0000-0300-000002000000}">
      <text>
        <r>
          <rPr>
            <b/>
            <sz val="9"/>
            <color indexed="81"/>
            <rFont val="Tahoma"/>
            <family val="2"/>
          </rPr>
          <t>Mohamed Ayman Hany:</t>
        </r>
        <r>
          <rPr>
            <sz val="9"/>
            <color indexed="81"/>
            <rFont val="Tahoma"/>
            <family val="2"/>
          </rPr>
          <t xml:space="preserve">
wrong P&amp;ID no , it is in 
1001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Mohamed Ayman Hany</author>
  </authors>
  <commentList>
    <comment ref="J2" authorId="0" shapeId="0" xr:uid="{00000000-0006-0000-0A00-000001000000}">
      <text>
        <r>
          <rPr>
            <b/>
            <sz val="9"/>
            <color indexed="81"/>
            <rFont val="Tahoma"/>
            <family val="2"/>
          </rPr>
          <t>Mohamed Ayman Hany:</t>
        </r>
        <r>
          <rPr>
            <sz val="9"/>
            <color indexed="81"/>
            <rFont val="Tahoma"/>
            <family val="2"/>
          </rPr>
          <t xml:space="preserve">
no in new Received IO List , However it was in the old plementary Spec IO List</t>
        </r>
      </text>
    </comment>
    <comment ref="N2" authorId="0" shapeId="0" xr:uid="{00000000-0006-0000-0A00-000002000000}">
      <text>
        <r>
          <rPr>
            <b/>
            <sz val="9"/>
            <color indexed="81"/>
            <rFont val="Tahoma"/>
            <family val="2"/>
          </rPr>
          <t>Mohamed Ayman Hany:</t>
        </r>
        <r>
          <rPr>
            <sz val="9"/>
            <color indexed="81"/>
            <rFont val="Tahoma"/>
            <family val="2"/>
          </rPr>
          <t xml:space="preserve">
same as 
100-Sy-w901A</t>
        </r>
      </text>
    </comment>
    <comment ref="R2" authorId="0" shapeId="0" xr:uid="{00000000-0006-0000-0A00-000003000000}">
      <text>
        <r>
          <rPr>
            <b/>
            <sz val="9"/>
            <color indexed="81"/>
            <rFont val="Tahoma"/>
            <family val="2"/>
          </rPr>
          <t>Mohamed Ayman Hany:</t>
        </r>
        <r>
          <rPr>
            <sz val="9"/>
            <color indexed="81"/>
            <rFont val="Tahoma"/>
            <family val="2"/>
          </rPr>
          <t xml:space="preserve">
same as 
100-Sy-w901A</t>
        </r>
      </text>
    </comment>
    <comment ref="V2" authorId="0" shapeId="0" xr:uid="{00000000-0006-0000-0A00-000004000000}">
      <text>
        <r>
          <rPr>
            <b/>
            <sz val="9"/>
            <color indexed="81"/>
            <rFont val="Tahoma"/>
            <family val="2"/>
          </rPr>
          <t>Mohamed Ayman Hany:</t>
        </r>
        <r>
          <rPr>
            <sz val="9"/>
            <color indexed="81"/>
            <rFont val="Tahoma"/>
            <family val="2"/>
          </rPr>
          <t xml:space="preserve">
same as 
100-Sy-w901A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Mohamed Ayman Hany</author>
  </authors>
  <commentList>
    <comment ref="J2" authorId="0" shapeId="0" xr:uid="{00000000-0006-0000-0B00-000001000000}">
      <text>
        <r>
          <rPr>
            <b/>
            <sz val="9"/>
            <color indexed="81"/>
            <rFont val="Tahoma"/>
            <family val="2"/>
          </rPr>
          <t>Mohamed Ayman Hany:</t>
        </r>
        <r>
          <rPr>
            <sz val="9"/>
            <color indexed="81"/>
            <rFont val="Tahoma"/>
            <family val="2"/>
          </rPr>
          <t xml:space="preserve">
no in new Received IO List , However it was in the old plementary Spec IO List</t>
        </r>
      </text>
    </comment>
    <comment ref="N2" authorId="0" shapeId="0" xr:uid="{00000000-0006-0000-0B00-000002000000}">
      <text>
        <r>
          <rPr>
            <b/>
            <sz val="9"/>
            <color indexed="81"/>
            <rFont val="Tahoma"/>
            <family val="2"/>
          </rPr>
          <t>Mohamed Ayman Hany:</t>
        </r>
        <r>
          <rPr>
            <sz val="9"/>
            <color indexed="81"/>
            <rFont val="Tahoma"/>
            <family val="2"/>
          </rPr>
          <t xml:space="preserve">
</t>
        </r>
      </text>
    </comment>
    <comment ref="AB2" authorId="0" shapeId="0" xr:uid="{00000000-0006-0000-0B00-000003000000}">
      <text>
        <r>
          <rPr>
            <b/>
            <sz val="9"/>
            <color indexed="81"/>
            <rFont val="Tahoma"/>
            <family val="2"/>
          </rPr>
          <t>Mohamed Ayman Hany:</t>
        </r>
        <r>
          <rPr>
            <sz val="9"/>
            <color indexed="81"/>
            <rFont val="Tahoma"/>
            <family val="2"/>
          </rPr>
          <t xml:space="preserve">
is it SV-910 A in the IO List ?</t>
        </r>
      </text>
    </comment>
    <comment ref="AC2" authorId="0" shapeId="0" xr:uid="{00000000-0006-0000-0B00-000004000000}">
      <text>
        <r>
          <rPr>
            <b/>
            <sz val="9"/>
            <color indexed="81"/>
            <rFont val="Tahoma"/>
            <family val="2"/>
          </rPr>
          <t>Mohamed Ayman Hany:</t>
        </r>
        <r>
          <rPr>
            <sz val="9"/>
            <color indexed="81"/>
            <rFont val="Tahoma"/>
            <family val="2"/>
          </rPr>
          <t xml:space="preserve">
is it sb-910B in the Io List and first CEM Page ?</t>
        </r>
      </text>
    </comment>
    <comment ref="AD2" authorId="0" shapeId="0" xr:uid="{00000000-0006-0000-0B00-000005000000}">
      <text>
        <r>
          <rPr>
            <b/>
            <sz val="9"/>
            <color indexed="81"/>
            <rFont val="Tahoma"/>
            <family val="2"/>
          </rPr>
          <t>Mohamed Ayman Hany:</t>
        </r>
        <r>
          <rPr>
            <sz val="9"/>
            <color indexed="81"/>
            <rFont val="Tahoma"/>
            <family val="2"/>
          </rPr>
          <t xml:space="preserve">
is it sb-910C in the Io List and first CEM Page ?</t>
        </r>
      </text>
    </comment>
    <comment ref="AE2" authorId="0" shapeId="0" xr:uid="{00000000-0006-0000-0B00-000006000000}">
      <text>
        <r>
          <rPr>
            <b/>
            <sz val="9"/>
            <color indexed="81"/>
            <rFont val="Tahoma"/>
            <family val="2"/>
          </rPr>
          <t>Mohamed Ayman Hany:</t>
        </r>
        <r>
          <rPr>
            <sz val="9"/>
            <color indexed="81"/>
            <rFont val="Tahoma"/>
            <family val="2"/>
          </rPr>
          <t xml:space="preserve">
is it 100-SV-910A in IO List and first CEM Page</t>
        </r>
      </text>
    </comment>
    <comment ref="AF2" authorId="0" shapeId="0" xr:uid="{00000000-0006-0000-0B00-000007000000}">
      <text>
        <r>
          <rPr>
            <b/>
            <sz val="9"/>
            <color indexed="81"/>
            <rFont val="Tahoma"/>
            <family val="2"/>
          </rPr>
          <t>Mohamed Ayman Hany:</t>
        </r>
        <r>
          <rPr>
            <sz val="9"/>
            <color indexed="81"/>
            <rFont val="Tahoma"/>
            <family val="2"/>
          </rPr>
          <t xml:space="preserve">
is it 100-SV-911A in IO List and first CEM Page</t>
        </r>
      </text>
    </comment>
    <comment ref="AG2" authorId="0" shapeId="0" xr:uid="{00000000-0006-0000-0B00-000008000000}">
      <text>
        <r>
          <rPr>
            <b/>
            <sz val="9"/>
            <color indexed="81"/>
            <rFont val="Tahoma"/>
            <family val="2"/>
          </rPr>
          <t>Mohamed Ayman Hany:</t>
        </r>
        <r>
          <rPr>
            <sz val="9"/>
            <color indexed="81"/>
            <rFont val="Tahoma"/>
            <family val="2"/>
          </rPr>
          <t xml:space="preserve">
is it 100-SV-911B in IO List and first CEM Page</t>
        </r>
      </text>
    </comment>
    <comment ref="AH2" authorId="0" shapeId="0" xr:uid="{00000000-0006-0000-0B00-000009000000}">
      <text>
        <r>
          <rPr>
            <b/>
            <sz val="9"/>
            <color indexed="81"/>
            <rFont val="Tahoma"/>
            <family val="2"/>
          </rPr>
          <t>Mohamed Ayman Hany:</t>
        </r>
        <r>
          <rPr>
            <sz val="9"/>
            <color indexed="81"/>
            <rFont val="Tahoma"/>
            <family val="2"/>
          </rPr>
          <t xml:space="preserve">
is it 100-SV-911C in IO List and first CEM Page</t>
        </r>
      </text>
    </comment>
    <comment ref="AI2" authorId="0" shapeId="0" xr:uid="{00000000-0006-0000-0B00-00000A000000}">
      <text>
        <r>
          <rPr>
            <b/>
            <sz val="9"/>
            <color indexed="81"/>
            <rFont val="Tahoma"/>
            <family val="2"/>
          </rPr>
          <t>Mohamed Ayman Hany:</t>
        </r>
        <r>
          <rPr>
            <sz val="9"/>
            <color indexed="81"/>
            <rFont val="Tahoma"/>
            <family val="2"/>
          </rPr>
          <t xml:space="preserve">
is it 100-SV-911D in IO List and first CEM Page</t>
        </r>
      </text>
    </comment>
    <comment ref="AJ2" authorId="0" shapeId="0" xr:uid="{00000000-0006-0000-0B00-00000B000000}">
      <text>
        <r>
          <rPr>
            <b/>
            <sz val="9"/>
            <color indexed="81"/>
            <rFont val="Tahoma"/>
            <family val="2"/>
          </rPr>
          <t>Mohamed Ayman Hany:</t>
        </r>
        <r>
          <rPr>
            <sz val="9"/>
            <color indexed="81"/>
            <rFont val="Tahoma"/>
            <family val="2"/>
          </rPr>
          <t xml:space="preserve">
is it 100-SV-909A in IO List and first CEM Page</t>
        </r>
      </text>
    </comment>
    <comment ref="AK2" authorId="0" shapeId="0" xr:uid="{00000000-0006-0000-0B00-00000C000000}">
      <text>
        <r>
          <rPr>
            <b/>
            <sz val="9"/>
            <color indexed="81"/>
            <rFont val="Tahoma"/>
            <family val="2"/>
          </rPr>
          <t>Mohamed Ayman Hany:</t>
        </r>
        <r>
          <rPr>
            <sz val="9"/>
            <color indexed="81"/>
            <rFont val="Tahoma"/>
            <family val="2"/>
          </rPr>
          <t xml:space="preserve">
is it 100-SV-909A in IO List and first CEM Page</t>
        </r>
      </text>
    </comment>
    <comment ref="AL2" authorId="0" shapeId="0" xr:uid="{00000000-0006-0000-0B00-00000D000000}">
      <text>
        <r>
          <rPr>
            <b/>
            <sz val="9"/>
            <color indexed="81"/>
            <rFont val="Tahoma"/>
            <family val="2"/>
          </rPr>
          <t>Mohamed Ayman Hany:</t>
        </r>
        <r>
          <rPr>
            <sz val="9"/>
            <color indexed="81"/>
            <rFont val="Tahoma"/>
            <family val="2"/>
          </rPr>
          <t xml:space="preserve">
is it 100-SV-909C in IO List and first CEM Page</t>
        </r>
      </text>
    </comment>
    <comment ref="AM2" authorId="0" shapeId="0" xr:uid="{00000000-0006-0000-0B00-00000E000000}">
      <text>
        <r>
          <rPr>
            <b/>
            <sz val="9"/>
            <color indexed="81"/>
            <rFont val="Tahoma"/>
            <family val="2"/>
          </rPr>
          <t>Mohamed Ayman Hany:</t>
        </r>
        <r>
          <rPr>
            <sz val="9"/>
            <color indexed="81"/>
            <rFont val="Tahoma"/>
            <family val="2"/>
          </rPr>
          <t xml:space="preserve">
is it 100-SV-909D in IO List and first CEM Page</t>
        </r>
      </text>
    </comment>
    <comment ref="AN2" authorId="0" shapeId="0" xr:uid="{00000000-0006-0000-0B00-00000F000000}">
      <text>
        <r>
          <rPr>
            <b/>
            <sz val="9"/>
            <color indexed="81"/>
            <rFont val="Tahoma"/>
            <family val="2"/>
          </rPr>
          <t>Mohamed Ayman Hany:</t>
        </r>
        <r>
          <rPr>
            <sz val="9"/>
            <color indexed="81"/>
            <rFont val="Tahoma"/>
            <family val="2"/>
          </rPr>
          <t xml:space="preserve">
is it 100-SV-912 showed in IO list &amp; first CEM page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Mohamed Ayman Hany</author>
  </authors>
  <commentList>
    <comment ref="AC2" authorId="0" shapeId="0" xr:uid="{00000000-0006-0000-0C00-000001000000}">
      <text>
        <r>
          <rPr>
            <b/>
            <sz val="9"/>
            <color indexed="81"/>
            <rFont val="Tahoma"/>
            <family val="2"/>
          </rPr>
          <t>Mohamed Ayman Hany:</t>
        </r>
        <r>
          <rPr>
            <sz val="9"/>
            <color indexed="81"/>
            <rFont val="Tahoma"/>
            <family val="2"/>
          </rPr>
          <t xml:space="preserve">
in Io list SV-910 , is it same valve ?
</t>
        </r>
      </text>
    </comment>
  </commentList>
</comments>
</file>

<file path=xl/sharedStrings.xml><?xml version="1.0" encoding="utf-8"?>
<sst xmlns="http://schemas.openxmlformats.org/spreadsheetml/2006/main" count="20228" uniqueCount="3756">
  <si>
    <r>
      <rPr>
        <b/>
        <sz val="6"/>
        <rFont val="Arial"/>
        <family val="2"/>
      </rPr>
      <t>Rev.</t>
    </r>
  </si>
  <si>
    <r>
      <rPr>
        <b/>
        <sz val="6"/>
        <rFont val="Arial"/>
        <family val="2"/>
      </rPr>
      <t>Loop No.</t>
    </r>
  </si>
  <si>
    <r>
      <rPr>
        <b/>
        <sz val="6"/>
        <rFont val="Arial"/>
        <family val="2"/>
      </rPr>
      <t>Tag No.</t>
    </r>
  </si>
  <si>
    <r>
      <rPr>
        <b/>
        <sz val="6"/>
        <rFont val="Arial"/>
        <family val="2"/>
      </rPr>
      <t>Instrument Type Desc</t>
    </r>
  </si>
  <si>
    <r>
      <rPr>
        <b/>
        <sz val="6"/>
        <rFont val="Arial"/>
        <family val="2"/>
      </rPr>
      <t>Tag Service</t>
    </r>
  </si>
  <si>
    <r>
      <rPr>
        <b/>
        <sz val="6"/>
        <rFont val="Arial"/>
        <family val="2"/>
      </rPr>
      <t>P&amp;ID No.</t>
    </r>
  </si>
  <si>
    <r>
      <rPr>
        <b/>
        <sz val="6"/>
        <rFont val="Arial"/>
        <family val="2"/>
      </rPr>
      <t>Location</t>
    </r>
  </si>
  <si>
    <r>
      <rPr>
        <b/>
        <sz val="6"/>
        <rFont val="Arial"/>
        <family val="2"/>
      </rPr>
      <t>IO Type 1</t>
    </r>
  </si>
  <si>
    <r>
      <rPr>
        <b/>
        <sz val="6"/>
        <rFont val="Arial"/>
        <family val="2"/>
      </rPr>
      <t>System 1</t>
    </r>
  </si>
  <si>
    <r>
      <rPr>
        <b/>
        <sz val="6"/>
        <rFont val="Arial"/>
        <family val="2"/>
      </rPr>
      <t>Status</t>
    </r>
  </si>
  <si>
    <r>
      <rPr>
        <b/>
        <sz val="6"/>
        <rFont val="Arial"/>
        <family val="2"/>
      </rPr>
      <t>IS/NIS</t>
    </r>
  </si>
  <si>
    <r>
      <rPr>
        <b/>
        <sz val="6"/>
        <rFont val="Arial"/>
        <family val="2"/>
      </rPr>
      <t>I/O LIST REMARKS</t>
    </r>
  </si>
  <si>
    <t>Load Type</t>
  </si>
  <si>
    <t>Current (mA)</t>
  </si>
  <si>
    <r>
      <rPr>
        <sz val="6.5"/>
        <rFont val="Arial MT"/>
        <family val="2"/>
      </rPr>
      <t>100-XF-XXX</t>
    </r>
  </si>
  <si>
    <r>
      <rPr>
        <sz val="6.5"/>
        <rFont val="Arial MT"/>
        <family val="2"/>
      </rPr>
      <t>FAULT</t>
    </r>
  </si>
  <si>
    <r>
      <rPr>
        <sz val="6.5"/>
        <rFont val="Arial MT"/>
        <family val="2"/>
      </rPr>
      <t>-</t>
    </r>
  </si>
  <si>
    <r>
      <rPr>
        <sz val="6.5"/>
        <rFont val="Arial MT"/>
        <family val="2"/>
      </rPr>
      <t>NAV AID</t>
    </r>
  </si>
  <si>
    <r>
      <rPr>
        <sz val="6.5"/>
        <rFont val="Arial MT"/>
        <family val="2"/>
      </rPr>
      <t>DVFC</t>
    </r>
  </si>
  <si>
    <r>
      <rPr>
        <sz val="6.5"/>
        <rFont val="Arial MT"/>
        <family val="2"/>
      </rPr>
      <t>PCS</t>
    </r>
  </si>
  <si>
    <r>
      <rPr>
        <sz val="6.5"/>
        <rFont val="Arial MT"/>
        <family val="2"/>
      </rPr>
      <t>NIS</t>
    </r>
  </si>
  <si>
    <r>
      <rPr>
        <sz val="6.5"/>
        <rFont val="Arial MT"/>
        <family val="2"/>
      </rPr>
      <t>100-LSH-XXX</t>
    </r>
  </si>
  <si>
    <r>
      <rPr>
        <sz val="6.5"/>
        <rFont val="Arial MT"/>
        <family val="2"/>
      </rPr>
      <t>LEVEL SWITCH HIGH</t>
    </r>
  </si>
  <si>
    <r>
      <rPr>
        <sz val="6.5"/>
        <rFont val="Arial MT"/>
        <family val="2"/>
      </rPr>
      <t>ON 100-V-002 FOAM TANK</t>
    </r>
  </si>
  <si>
    <r>
      <rPr>
        <sz val="6.5"/>
        <rFont val="Arial MT"/>
        <family val="2"/>
      </rPr>
      <t>80289-HSE-PID-1001</t>
    </r>
  </si>
  <si>
    <r>
      <rPr>
        <sz val="6.5"/>
        <rFont val="Arial MT"/>
        <family val="2"/>
      </rPr>
      <t>FIELD</t>
    </r>
  </si>
  <si>
    <r>
      <rPr>
        <sz val="6.5"/>
        <rFont val="Arial MT"/>
        <family val="2"/>
      </rPr>
      <t xml:space="preserve">BY FOAM PACKAGE
</t>
    </r>
    <r>
      <rPr>
        <sz val="6.5"/>
        <rFont val="Arial MT"/>
        <family val="2"/>
      </rPr>
      <t>VENDOR</t>
    </r>
  </si>
  <si>
    <t>SW</t>
  </si>
  <si>
    <r>
      <rPr>
        <sz val="6.5"/>
        <rFont val="Arial MT"/>
        <family val="2"/>
      </rPr>
      <t>100-LSL-XXX</t>
    </r>
  </si>
  <si>
    <r>
      <rPr>
        <sz val="6.5"/>
        <rFont val="Arial MT"/>
        <family val="2"/>
      </rPr>
      <t>LEVEL SWITCH LOW</t>
    </r>
  </si>
  <si>
    <r>
      <rPr>
        <sz val="6.5"/>
        <rFont val="Arial MT"/>
        <family val="2"/>
      </rPr>
      <t>100-PSL-XXX</t>
    </r>
  </si>
  <si>
    <r>
      <rPr>
        <sz val="6.5"/>
        <rFont val="Arial MT"/>
        <family val="2"/>
      </rPr>
      <t>PRESSURE SWITCH LOW</t>
    </r>
  </si>
  <si>
    <r>
      <rPr>
        <sz val="6.5"/>
        <rFont val="Arial MT"/>
        <family val="2"/>
      </rPr>
      <t>ON 100-V-006A ACTUATION BOTTLE</t>
    </r>
  </si>
  <si>
    <r>
      <rPr>
        <sz val="6.5"/>
        <rFont val="Arial MT"/>
        <family val="2"/>
      </rPr>
      <t>ON 100-V-006B ACTUATION BOTTLE</t>
    </r>
  </si>
  <si>
    <r>
      <rPr>
        <sz val="6.5"/>
        <rFont val="Arial MT"/>
        <family val="2"/>
      </rPr>
      <t>100-P-XXX</t>
    </r>
  </si>
  <si>
    <r>
      <rPr>
        <sz val="6.5"/>
        <rFont val="Arial MT"/>
        <family val="2"/>
      </rPr>
      <t>100-PT-XXX</t>
    </r>
  </si>
  <si>
    <r>
      <rPr>
        <sz val="6.5"/>
        <rFont val="Arial MT"/>
        <family val="2"/>
      </rPr>
      <t>PRESSURE TRANSMITTER</t>
    </r>
  </si>
  <si>
    <r>
      <rPr>
        <sz val="6.5"/>
        <rFont val="Arial MT"/>
        <family val="2"/>
      </rPr>
      <t>ON NITROGEN MANIFOLD</t>
    </r>
  </si>
  <si>
    <r>
      <rPr>
        <sz val="6.5"/>
        <rFont val="Arial MT"/>
        <family val="2"/>
      </rPr>
      <t>AI</t>
    </r>
  </si>
  <si>
    <r>
      <rPr>
        <sz val="6.5"/>
        <rFont val="Arial MT"/>
        <family val="2"/>
      </rPr>
      <t>100-Z-XXX</t>
    </r>
  </si>
  <si>
    <r>
      <rPr>
        <sz val="6.5"/>
        <rFont val="Arial MT"/>
        <family val="2"/>
      </rPr>
      <t>100-ZSL-XXX</t>
    </r>
  </si>
  <si>
    <r>
      <rPr>
        <sz val="6.5"/>
        <rFont val="Arial MT"/>
        <family val="2"/>
      </rPr>
      <t>POSITION SWITCH CLOSE</t>
    </r>
  </si>
  <si>
    <r>
      <rPr>
        <sz val="6.5"/>
        <rFont val="Arial MT"/>
        <family val="2"/>
      </rPr>
      <t>100-UZV-XXX VALVE SWITCH CLOSE</t>
    </r>
  </si>
  <si>
    <r>
      <rPr>
        <sz val="6.5"/>
        <rFont val="Arial MT"/>
        <family val="2"/>
      </rPr>
      <t>100-ZSH-XXX</t>
    </r>
  </si>
  <si>
    <r>
      <rPr>
        <sz val="6.5"/>
        <rFont val="Arial MT"/>
        <family val="2"/>
      </rPr>
      <t>100-L-601</t>
    </r>
  </si>
  <si>
    <r>
      <rPr>
        <sz val="6.5"/>
        <rFont val="Arial MT"/>
        <family val="2"/>
      </rPr>
      <t>100-LIT-601</t>
    </r>
  </si>
  <si>
    <r>
      <rPr>
        <sz val="6.5"/>
        <rFont val="Arial MT"/>
        <family val="2"/>
      </rPr>
      <t>LEVEL TRANSMITTER</t>
    </r>
  </si>
  <si>
    <r>
      <rPr>
        <sz val="6.5"/>
        <rFont val="Arial MT"/>
        <family val="2"/>
      </rPr>
      <t>HP RESERVOIR HYDRAULIC OIL LEVEL</t>
    </r>
  </si>
  <si>
    <r>
      <rPr>
        <sz val="6.5"/>
        <rFont val="Arial MT"/>
        <family val="2"/>
      </rPr>
      <t>WHCP</t>
    </r>
  </si>
  <si>
    <r>
      <rPr>
        <sz val="6.5"/>
        <rFont val="Arial MT"/>
        <family val="2"/>
      </rPr>
      <t>BY WHCP VENDOR</t>
    </r>
  </si>
  <si>
    <r>
      <rPr>
        <sz val="6.5"/>
        <rFont val="Arial MT"/>
        <family val="2"/>
      </rPr>
      <t>100-L-602</t>
    </r>
  </si>
  <si>
    <r>
      <rPr>
        <sz val="6.5"/>
        <rFont val="Arial MT"/>
        <family val="2"/>
      </rPr>
      <t>100-LIT-602</t>
    </r>
  </si>
  <si>
    <r>
      <rPr>
        <sz val="6.5"/>
        <rFont val="Arial MT"/>
        <family val="2"/>
      </rPr>
      <t>LP RESERVOIR HYDRAULIC OIL LEVEL</t>
    </r>
  </si>
  <si>
    <r>
      <rPr>
        <sz val="6.5"/>
        <rFont val="Arial MT"/>
        <family val="2"/>
      </rPr>
      <t>100-P-605</t>
    </r>
  </si>
  <si>
    <r>
      <rPr>
        <sz val="6.5"/>
        <rFont val="Arial MT"/>
        <family val="2"/>
      </rPr>
      <t>100-PIT-605</t>
    </r>
  </si>
  <si>
    <r>
      <rPr>
        <sz val="6.5"/>
        <rFont val="Arial MT"/>
        <family val="2"/>
      </rPr>
      <t>HP HEADER HYDRAULIC OIL PRESSURE</t>
    </r>
  </si>
  <si>
    <r>
      <rPr>
        <sz val="6.5"/>
        <rFont val="Arial MT"/>
        <family val="2"/>
      </rPr>
      <t>100-P-607</t>
    </r>
  </si>
  <si>
    <r>
      <rPr>
        <sz val="6.5"/>
        <rFont val="Arial MT"/>
        <family val="2"/>
      </rPr>
      <t>100-PIT-607</t>
    </r>
  </si>
  <si>
    <r>
      <rPr>
        <sz val="6.5"/>
        <rFont val="Arial MT"/>
        <family val="2"/>
      </rPr>
      <t>LP HEADER HYDRAULIC OIL PRESSURE</t>
    </r>
  </si>
  <si>
    <r>
      <rPr>
        <sz val="6.5"/>
        <rFont val="Arial MT"/>
        <family val="2"/>
      </rPr>
      <t>100-P-611</t>
    </r>
  </si>
  <si>
    <r>
      <rPr>
        <sz val="6.5"/>
        <rFont val="Arial MT"/>
        <family val="2"/>
      </rPr>
      <t>100-PIT-611</t>
    </r>
  </si>
  <si>
    <r>
      <rPr>
        <sz val="6.5"/>
        <rFont val="Arial MT"/>
        <family val="2"/>
      </rPr>
      <t xml:space="preserve">HP HEADER ACCUMULATOR N2 PRECHARGE
</t>
    </r>
    <r>
      <rPr>
        <sz val="6.5"/>
        <rFont val="Arial MT"/>
        <family val="2"/>
      </rPr>
      <t>PRESSURE</t>
    </r>
  </si>
  <si>
    <r>
      <rPr>
        <sz val="6.5"/>
        <rFont val="Arial MT"/>
        <family val="2"/>
      </rPr>
      <t>100-P-612</t>
    </r>
  </si>
  <si>
    <r>
      <rPr>
        <sz val="6.5"/>
        <rFont val="Arial MT"/>
        <family val="2"/>
      </rPr>
      <t>100-PIT-612</t>
    </r>
  </si>
  <si>
    <r>
      <rPr>
        <sz val="6.5"/>
        <rFont val="Arial MT"/>
        <family val="2"/>
      </rPr>
      <t xml:space="preserve">LP HEADER ACCUMULATOR  N2 PRECHARGE
</t>
    </r>
    <r>
      <rPr>
        <sz val="6.5"/>
        <rFont val="Arial MT"/>
        <family val="2"/>
      </rPr>
      <t>PRESSURE</t>
    </r>
  </si>
  <si>
    <r>
      <rPr>
        <sz val="6.5"/>
        <rFont val="Arial MT"/>
        <family val="2"/>
      </rPr>
      <t>100-P-619</t>
    </r>
  </si>
  <si>
    <r>
      <rPr>
        <sz val="6.5"/>
        <rFont val="Arial MT"/>
        <family val="2"/>
      </rPr>
      <t>100-PIT-619</t>
    </r>
  </si>
  <si>
    <r>
      <rPr>
        <sz val="6.5"/>
        <rFont val="Arial MT"/>
        <family val="2"/>
      </rPr>
      <t>CHOKE/SD VALVE HEADER PRESSURE</t>
    </r>
  </si>
  <si>
    <r>
      <rPr>
        <sz val="6.5"/>
        <rFont val="Arial MT"/>
        <family val="2"/>
      </rPr>
      <t>100-H-006A</t>
    </r>
  </si>
  <si>
    <r>
      <rPr>
        <sz val="6.5"/>
        <rFont val="Arial MT"/>
        <family val="2"/>
      </rPr>
      <t>100-HSBR-006A</t>
    </r>
  </si>
  <si>
    <r>
      <rPr>
        <sz val="6.5"/>
        <rFont val="Arial MT"/>
        <family val="2"/>
      </rPr>
      <t>REMOTE STOP</t>
    </r>
  </si>
  <si>
    <r>
      <rPr>
        <sz val="6.5"/>
        <rFont val="Arial MT"/>
        <family val="2"/>
      </rPr>
      <t>100-P-006A HP HYDRAULIC RESERVOIR PUMP</t>
    </r>
  </si>
  <si>
    <r>
      <rPr>
        <sz val="6.5"/>
        <rFont val="Arial MT"/>
        <family val="2"/>
      </rPr>
      <t xml:space="preserve">HP HYDRAULIC
</t>
    </r>
    <r>
      <rPr>
        <sz val="6.5"/>
        <rFont val="Arial MT"/>
        <family val="2"/>
      </rPr>
      <t>RESERVOIR PUMP</t>
    </r>
  </si>
  <si>
    <r>
      <rPr>
        <sz val="6.5"/>
        <rFont val="Arial MT"/>
        <family val="2"/>
      </rPr>
      <t>DPM</t>
    </r>
  </si>
  <si>
    <t>Motor</t>
  </si>
  <si>
    <r>
      <rPr>
        <sz val="6.5"/>
        <rFont val="Arial MT"/>
        <family val="2"/>
      </rPr>
      <t>100-HSAR-006A</t>
    </r>
  </si>
  <si>
    <r>
      <rPr>
        <sz val="6.5"/>
        <rFont val="Arial MT"/>
        <family val="2"/>
      </rPr>
      <t>REMOTE START</t>
    </r>
  </si>
  <si>
    <r>
      <rPr>
        <sz val="6.5"/>
        <rFont val="Arial MT"/>
        <family val="2"/>
      </rPr>
      <t>100-H-006B</t>
    </r>
  </si>
  <si>
    <r>
      <rPr>
        <sz val="6.5"/>
        <rFont val="Arial MT"/>
        <family val="2"/>
      </rPr>
      <t>100-HSBR-006B</t>
    </r>
  </si>
  <si>
    <r>
      <rPr>
        <sz val="6.5"/>
        <rFont val="Arial MT"/>
        <family val="2"/>
      </rPr>
      <t>100-P-006B HP HYDRAULIC RESERVOIR PUMP</t>
    </r>
  </si>
  <si>
    <r>
      <rPr>
        <sz val="6.5"/>
        <rFont val="Arial MT"/>
        <family val="2"/>
      </rPr>
      <t>100-HSAR-006B</t>
    </r>
  </si>
  <si>
    <r>
      <rPr>
        <sz val="6.5"/>
        <rFont val="Arial MT"/>
        <family val="2"/>
      </rPr>
      <t>100-H-007A</t>
    </r>
  </si>
  <si>
    <r>
      <rPr>
        <sz val="6.5"/>
        <rFont val="Arial MT"/>
        <family val="2"/>
      </rPr>
      <t>100-HSBR-007A</t>
    </r>
  </si>
  <si>
    <r>
      <rPr>
        <sz val="6.5"/>
        <rFont val="Arial MT"/>
        <family val="2"/>
      </rPr>
      <t>100-P-007A LP HYDRAULIC RESERVOIR PUMP</t>
    </r>
  </si>
  <si>
    <r>
      <rPr>
        <sz val="6.5"/>
        <rFont val="Arial MT"/>
        <family val="2"/>
      </rPr>
      <t xml:space="preserve">LP HYDRAULIC
</t>
    </r>
    <r>
      <rPr>
        <sz val="6.5"/>
        <rFont val="Arial MT"/>
        <family val="2"/>
      </rPr>
      <t>RESERVOIR PUMP</t>
    </r>
  </si>
  <si>
    <r>
      <rPr>
        <sz val="6.5"/>
        <rFont val="Arial MT"/>
        <family val="2"/>
      </rPr>
      <t>100-HSAR-007A</t>
    </r>
  </si>
  <si>
    <r>
      <rPr>
        <sz val="6.5"/>
        <rFont val="Arial MT"/>
        <family val="2"/>
      </rPr>
      <t>100-H-007B</t>
    </r>
  </si>
  <si>
    <r>
      <rPr>
        <sz val="6.5"/>
        <rFont val="Arial MT"/>
        <family val="2"/>
      </rPr>
      <t>100-HSBR-007B</t>
    </r>
  </si>
  <si>
    <r>
      <rPr>
        <sz val="6.5"/>
        <rFont val="Arial MT"/>
        <family val="2"/>
      </rPr>
      <t>100-P-007B LP HYDRAULIC RESERVOIR PUMP</t>
    </r>
  </si>
  <si>
    <r>
      <rPr>
        <sz val="6.5"/>
        <rFont val="Arial MT"/>
        <family val="2"/>
      </rPr>
      <t>100-HSAR-007B</t>
    </r>
  </si>
  <si>
    <r>
      <rPr>
        <sz val="6.5"/>
        <rFont val="Arial MT"/>
        <family val="2"/>
      </rPr>
      <t>100-P-609</t>
    </r>
  </si>
  <si>
    <r>
      <rPr>
        <sz val="6.5"/>
        <rFont val="Arial MT"/>
        <family val="2"/>
      </rPr>
      <t>100-PIT-609</t>
    </r>
  </si>
  <si>
    <r>
      <rPr>
        <sz val="6.5"/>
        <rFont val="Arial MT"/>
        <family val="2"/>
      </rPr>
      <t>LOGIC HEADER HYDRAULIC OIL PRESSURE</t>
    </r>
  </si>
  <si>
    <r>
      <rPr>
        <sz val="6.5"/>
        <rFont val="Arial MT"/>
        <family val="2"/>
      </rPr>
      <t>100-XF-006A</t>
    </r>
  </si>
  <si>
    <r>
      <rPr>
        <sz val="6.5"/>
        <rFont val="Arial MT"/>
        <family val="2"/>
      </rPr>
      <t>100-XB-006A</t>
    </r>
  </si>
  <si>
    <r>
      <rPr>
        <sz val="6.5"/>
        <rFont val="Arial MT"/>
        <family val="2"/>
      </rPr>
      <t>RUN STATUS</t>
    </r>
  </si>
  <si>
    <r>
      <rPr>
        <sz val="6.5"/>
        <rFont val="Arial MT"/>
        <family val="2"/>
      </rPr>
      <t>100-XF-006B</t>
    </r>
  </si>
  <si>
    <r>
      <rPr>
        <sz val="6.5"/>
        <rFont val="Arial MT"/>
        <family val="2"/>
      </rPr>
      <t>100-XB-006B</t>
    </r>
  </si>
  <si>
    <r>
      <rPr>
        <sz val="6.5"/>
        <rFont val="Arial MT"/>
        <family val="2"/>
      </rPr>
      <t>100-XF-007A</t>
    </r>
  </si>
  <si>
    <r>
      <rPr>
        <sz val="6.5"/>
        <rFont val="Arial MT"/>
        <family val="2"/>
      </rPr>
      <t>100-XB-007A</t>
    </r>
  </si>
  <si>
    <r>
      <rPr>
        <sz val="6.5"/>
        <rFont val="Arial MT"/>
        <family val="2"/>
      </rPr>
      <t>100-XF-007B</t>
    </r>
  </si>
  <si>
    <r>
      <rPr>
        <sz val="6.5"/>
        <rFont val="Arial MT"/>
        <family val="2"/>
      </rPr>
      <t>100-XB-007B</t>
    </r>
  </si>
  <si>
    <r>
      <rPr>
        <sz val="6.5"/>
        <rFont val="Arial MT"/>
        <family val="2"/>
      </rPr>
      <t>100-P-W217A</t>
    </r>
  </si>
  <si>
    <r>
      <rPr>
        <sz val="6.5"/>
        <rFont val="Arial MT"/>
        <family val="2"/>
      </rPr>
      <t>100-PIT- W217A</t>
    </r>
  </si>
  <si>
    <r>
      <rPr>
        <sz val="6.5"/>
        <rFont val="Arial MT"/>
        <family val="2"/>
      </rPr>
      <t>OUTLET FROM WEB NE WELLHEAD</t>
    </r>
  </si>
  <si>
    <r>
      <rPr>
        <sz val="6.5"/>
        <rFont val="Arial MT"/>
        <family val="2"/>
      </rPr>
      <t>80289-PRO-PID-1001</t>
    </r>
  </si>
  <si>
    <r>
      <rPr>
        <sz val="6.5"/>
        <rFont val="Arial MT"/>
        <family val="2"/>
      </rPr>
      <t>100-P-W206A</t>
    </r>
  </si>
  <si>
    <r>
      <rPr>
        <sz val="6.5"/>
        <rFont val="Arial MT"/>
        <family val="2"/>
      </rPr>
      <t>100-PIT-W206A</t>
    </r>
  </si>
  <si>
    <r>
      <rPr>
        <sz val="6.5"/>
        <rFont val="Arial MT"/>
        <family val="2"/>
      </rPr>
      <t>100-P-W209A</t>
    </r>
  </si>
  <si>
    <r>
      <rPr>
        <sz val="6.5"/>
        <rFont val="Arial MT"/>
        <family val="2"/>
      </rPr>
      <t>100-PIT-W209A</t>
    </r>
  </si>
  <si>
    <r>
      <rPr>
        <sz val="6.5"/>
        <rFont val="Arial MT"/>
        <family val="2"/>
      </rPr>
      <t>100-T-W401A</t>
    </r>
  </si>
  <si>
    <r>
      <rPr>
        <sz val="6.5"/>
        <rFont val="Arial MT"/>
        <family val="2"/>
      </rPr>
      <t>100-TIT-W401A</t>
    </r>
  </si>
  <si>
    <r>
      <rPr>
        <sz val="6.5"/>
        <rFont val="Arial MT"/>
        <family val="2"/>
      </rPr>
      <t>TEMPERATURE TRANSMITTER</t>
    </r>
  </si>
  <si>
    <r>
      <rPr>
        <sz val="6.5"/>
        <rFont val="Arial MT"/>
        <family val="2"/>
      </rPr>
      <t>100-P-W204A</t>
    </r>
  </si>
  <si>
    <r>
      <rPr>
        <sz val="6.5"/>
        <rFont val="Arial MT"/>
        <family val="2"/>
      </rPr>
      <t>100-PIT-W204A</t>
    </r>
  </si>
  <si>
    <r>
      <rPr>
        <sz val="6.5"/>
        <rFont val="Arial MT"/>
        <family val="2"/>
      </rPr>
      <t>100-H-W904A</t>
    </r>
  </si>
  <si>
    <r>
      <rPr>
        <sz val="6.5"/>
        <rFont val="Arial MT"/>
        <family val="2"/>
      </rPr>
      <t>100-XZT-W904A</t>
    </r>
  </si>
  <si>
    <r>
      <rPr>
        <sz val="6.5"/>
        <rFont val="Arial MT"/>
        <family val="2"/>
      </rPr>
      <t>POSITION TRANSMITTER</t>
    </r>
  </si>
  <si>
    <r>
      <rPr>
        <sz val="6.5"/>
        <rFont val="Arial MT"/>
        <family val="2"/>
      </rPr>
      <t>100-HCV-W904A- CHOKE VALVE</t>
    </r>
  </si>
  <si>
    <r>
      <rPr>
        <sz val="6.5"/>
        <rFont val="Arial MT"/>
        <family val="2"/>
      </rPr>
      <t>BY CLIENT</t>
    </r>
  </si>
  <si>
    <r>
      <rPr>
        <sz val="6.5"/>
        <rFont val="Arial MT"/>
        <family val="2"/>
      </rPr>
      <t>100-HY-W904-1A</t>
    </r>
  </si>
  <si>
    <r>
      <rPr>
        <sz val="6.5"/>
        <rFont val="Arial MT"/>
        <family val="2"/>
      </rPr>
      <t>SOLENOID VALVE</t>
    </r>
  </si>
  <si>
    <r>
      <rPr>
        <sz val="6.5"/>
        <rFont val="Arial MT"/>
        <family val="2"/>
      </rPr>
      <t>100-HY-W904-2A</t>
    </r>
  </si>
  <si>
    <t>Valve</t>
  </si>
  <si>
    <r>
      <rPr>
        <sz val="6.5"/>
        <rFont val="Arial MT"/>
        <family val="2"/>
      </rPr>
      <t>100-S-W904A</t>
    </r>
  </si>
  <si>
    <r>
      <rPr>
        <sz val="6.5"/>
        <rFont val="Arial MT"/>
        <family val="2"/>
      </rPr>
      <t>100-ZSO-W904A</t>
    </r>
  </si>
  <si>
    <r>
      <rPr>
        <sz val="6.5"/>
        <rFont val="Arial MT"/>
        <family val="2"/>
      </rPr>
      <t>POSITION SWITCH OPEN</t>
    </r>
  </si>
  <si>
    <r>
      <rPr>
        <sz val="6.5"/>
        <rFont val="Arial MT"/>
        <family val="2"/>
      </rPr>
      <t>100-SDV-W904A VALVE SWITCH OPEN</t>
    </r>
  </si>
  <si>
    <r>
      <rPr>
        <sz val="6.5"/>
        <rFont val="Arial MT"/>
        <family val="2"/>
      </rPr>
      <t>100-ZSC-W904A</t>
    </r>
  </si>
  <si>
    <r>
      <rPr>
        <sz val="6.5"/>
        <rFont val="Arial MT"/>
        <family val="2"/>
      </rPr>
      <t>100-SDV-W904A  VALVE SWITCH CLOSE</t>
    </r>
  </si>
  <si>
    <r>
      <rPr>
        <sz val="6.5"/>
        <rFont val="Arial MT"/>
        <family val="2"/>
      </rPr>
      <t>100-S-W905A</t>
    </r>
  </si>
  <si>
    <r>
      <rPr>
        <sz val="6.5"/>
        <rFont val="Arial MT"/>
        <family val="2"/>
      </rPr>
      <t>100-ZSO-W905A</t>
    </r>
  </si>
  <si>
    <r>
      <rPr>
        <sz val="6.5"/>
        <rFont val="Arial MT"/>
        <family val="2"/>
      </rPr>
      <t>100-SDV-W905A-VALVE SWITCH OPEN</t>
    </r>
  </si>
  <si>
    <r>
      <rPr>
        <sz val="6.5"/>
        <rFont val="Arial MT"/>
        <family val="2"/>
      </rPr>
      <t>100-ZSC-W905A</t>
    </r>
  </si>
  <si>
    <r>
      <rPr>
        <sz val="6.5"/>
        <rFont val="Arial MT"/>
        <family val="2"/>
      </rPr>
      <t>100-SDV-W905A- VALVE POSITION CLOSE</t>
    </r>
  </si>
  <si>
    <r>
      <rPr>
        <sz val="6.5"/>
        <rFont val="Arial MT"/>
        <family val="2"/>
      </rPr>
      <t>100-P-W217B</t>
    </r>
  </si>
  <si>
    <r>
      <rPr>
        <sz val="6.5"/>
        <rFont val="Arial MT"/>
        <family val="2"/>
      </rPr>
      <t>100-PIT- W217B</t>
    </r>
  </si>
  <si>
    <r>
      <rPr>
        <sz val="6.5"/>
        <rFont val="Arial MT"/>
        <family val="2"/>
      </rPr>
      <t>OUTLET FROM WEB NW WELLHEAD</t>
    </r>
  </si>
  <si>
    <r>
      <rPr>
        <sz val="6.5"/>
        <rFont val="Arial MT"/>
        <family val="2"/>
      </rPr>
      <t>80289-PRO-PID-1002</t>
    </r>
  </si>
  <si>
    <r>
      <rPr>
        <sz val="6.5"/>
        <rFont val="Arial MT"/>
        <family val="2"/>
      </rPr>
      <t>100-P-W206B</t>
    </r>
  </si>
  <si>
    <r>
      <rPr>
        <sz val="6.5"/>
        <rFont val="Arial MT"/>
        <family val="2"/>
      </rPr>
      <t>100-PIT-W206B</t>
    </r>
  </si>
  <si>
    <r>
      <rPr>
        <sz val="6.5"/>
        <rFont val="Arial MT"/>
        <family val="2"/>
      </rPr>
      <t>100-P-W209B</t>
    </r>
  </si>
  <si>
    <r>
      <rPr>
        <sz val="6.5"/>
        <rFont val="Arial MT"/>
        <family val="2"/>
      </rPr>
      <t>100-PIT-W209B</t>
    </r>
  </si>
  <si>
    <r>
      <rPr>
        <sz val="6.5"/>
        <rFont val="Arial MT"/>
        <family val="2"/>
      </rPr>
      <t>100-T-W401B</t>
    </r>
  </si>
  <si>
    <r>
      <rPr>
        <sz val="6.5"/>
        <rFont val="Arial MT"/>
        <family val="2"/>
      </rPr>
      <t>100-TIT-W401B</t>
    </r>
  </si>
  <si>
    <r>
      <rPr>
        <sz val="6.5"/>
        <rFont val="Arial MT"/>
        <family val="2"/>
      </rPr>
      <t>100-P-W204B</t>
    </r>
  </si>
  <si>
    <r>
      <rPr>
        <sz val="6.5"/>
        <rFont val="Arial MT"/>
        <family val="2"/>
      </rPr>
      <t>100-PIT-W204B</t>
    </r>
  </si>
  <si>
    <r>
      <rPr>
        <sz val="6.5"/>
        <rFont val="Arial MT"/>
        <family val="2"/>
      </rPr>
      <t>100-H-W904B</t>
    </r>
  </si>
  <si>
    <r>
      <rPr>
        <sz val="6.5"/>
        <rFont val="Arial MT"/>
        <family val="2"/>
      </rPr>
      <t>100-XZT-W904B</t>
    </r>
  </si>
  <si>
    <r>
      <rPr>
        <sz val="6.5"/>
        <rFont val="Arial MT"/>
        <family val="2"/>
      </rPr>
      <t>100-HCV-W904B- CHOKE VALVE</t>
    </r>
  </si>
  <si>
    <r>
      <rPr>
        <sz val="6.5"/>
        <rFont val="Arial MT"/>
        <family val="2"/>
      </rPr>
      <t>100-HY-W904-1B</t>
    </r>
  </si>
  <si>
    <r>
      <rPr>
        <sz val="6.5"/>
        <rFont val="Arial MT"/>
        <family val="2"/>
      </rPr>
      <t>100-HY-W904-2B</t>
    </r>
  </si>
  <si>
    <r>
      <rPr>
        <sz val="6.5"/>
        <rFont val="Arial MT"/>
        <family val="2"/>
      </rPr>
      <t>100-S-W904B</t>
    </r>
  </si>
  <si>
    <r>
      <rPr>
        <sz val="6.5"/>
        <rFont val="Arial MT"/>
        <family val="2"/>
      </rPr>
      <t>100-ZSO-W904B</t>
    </r>
  </si>
  <si>
    <r>
      <rPr>
        <sz val="6.5"/>
        <rFont val="Arial MT"/>
        <family val="2"/>
      </rPr>
      <t>100-SDV-W904B VALVE SWITCH OPEN</t>
    </r>
  </si>
  <si>
    <r>
      <rPr>
        <sz val="6.5"/>
        <rFont val="Arial MT"/>
        <family val="2"/>
      </rPr>
      <t>100-ZSC-W904B</t>
    </r>
  </si>
  <si>
    <r>
      <rPr>
        <sz val="6.5"/>
        <rFont val="Arial MT"/>
        <family val="2"/>
      </rPr>
      <t>100-SDV-W904B VALVE SWITCH CLOSE</t>
    </r>
  </si>
  <si>
    <r>
      <rPr>
        <sz val="6.5"/>
        <rFont val="Arial MT"/>
        <family val="2"/>
      </rPr>
      <t>100-S-W905B</t>
    </r>
  </si>
  <si>
    <r>
      <rPr>
        <sz val="6.5"/>
        <rFont val="Arial MT"/>
        <family val="2"/>
      </rPr>
      <t>100-ZSO-W905B</t>
    </r>
  </si>
  <si>
    <r>
      <rPr>
        <sz val="6.5"/>
        <rFont val="Arial MT"/>
        <family val="2"/>
      </rPr>
      <t>100-SDV-W905B-VALVE SWITCH OPEN</t>
    </r>
  </si>
  <si>
    <r>
      <rPr>
        <sz val="6.5"/>
        <rFont val="Arial MT"/>
        <family val="2"/>
      </rPr>
      <t>100-ZSC-W905B</t>
    </r>
  </si>
  <si>
    <r>
      <rPr>
        <sz val="6.5"/>
        <rFont val="Arial MT"/>
        <family val="2"/>
      </rPr>
      <t>100-SDV-W905B- VALVE POSITION CLOSE</t>
    </r>
  </si>
  <si>
    <r>
      <rPr>
        <sz val="6.5"/>
        <rFont val="Arial MT"/>
        <family val="2"/>
      </rPr>
      <t>100-P-W217C</t>
    </r>
  </si>
  <si>
    <r>
      <rPr>
        <sz val="6.5"/>
        <rFont val="Arial MT"/>
        <family val="2"/>
      </rPr>
      <t>100-PIT- W217C</t>
    </r>
  </si>
  <si>
    <r>
      <rPr>
        <sz val="6.5"/>
        <rFont val="Arial MT"/>
        <family val="2"/>
      </rPr>
      <t>OUTLET FROM WEB SE WELLHEAD</t>
    </r>
  </si>
  <si>
    <r>
      <rPr>
        <sz val="6.5"/>
        <rFont val="Arial MT"/>
        <family val="2"/>
      </rPr>
      <t>80289-PRO-PID-1003</t>
    </r>
  </si>
  <si>
    <r>
      <rPr>
        <sz val="6.5"/>
        <rFont val="Arial MT"/>
        <family val="2"/>
      </rPr>
      <t>100-P-W206C</t>
    </r>
  </si>
  <si>
    <r>
      <rPr>
        <sz val="6.5"/>
        <rFont val="Arial MT"/>
        <family val="2"/>
      </rPr>
      <t>100-PIT-W206C</t>
    </r>
  </si>
  <si>
    <r>
      <rPr>
        <sz val="6.5"/>
        <rFont val="Arial MT"/>
        <family val="2"/>
      </rPr>
      <t>100-P-W209C</t>
    </r>
  </si>
  <si>
    <r>
      <rPr>
        <sz val="6.5"/>
        <rFont val="Arial MT"/>
        <family val="2"/>
      </rPr>
      <t>100-PIT-W209C</t>
    </r>
  </si>
  <si>
    <r>
      <rPr>
        <sz val="6.5"/>
        <rFont val="Arial MT"/>
        <family val="2"/>
      </rPr>
      <t>100-T-W401C</t>
    </r>
  </si>
  <si>
    <r>
      <rPr>
        <sz val="6.5"/>
        <rFont val="Arial MT"/>
        <family val="2"/>
      </rPr>
      <t>100-TIT-W401C</t>
    </r>
  </si>
  <si>
    <r>
      <rPr>
        <sz val="6.5"/>
        <rFont val="Arial MT"/>
        <family val="2"/>
      </rPr>
      <t>100-P-W204C</t>
    </r>
  </si>
  <si>
    <r>
      <rPr>
        <sz val="6.5"/>
        <rFont val="Arial MT"/>
        <family val="2"/>
      </rPr>
      <t>100-PIT-W204C</t>
    </r>
  </si>
  <si>
    <r>
      <rPr>
        <sz val="6.5"/>
        <rFont val="Arial MT"/>
        <family val="2"/>
      </rPr>
      <t>100-H-W904C</t>
    </r>
  </si>
  <si>
    <r>
      <rPr>
        <sz val="6.5"/>
        <rFont val="Arial MT"/>
        <family val="2"/>
      </rPr>
      <t>100-XZT-W904C</t>
    </r>
  </si>
  <si>
    <r>
      <rPr>
        <sz val="6.5"/>
        <rFont val="Arial MT"/>
        <family val="2"/>
      </rPr>
      <t>100-HCV-W904C- CHOKE VALVE</t>
    </r>
  </si>
  <si>
    <r>
      <rPr>
        <sz val="6.5"/>
        <rFont val="Arial MT"/>
        <family val="2"/>
      </rPr>
      <t>100-HY-W904-1C</t>
    </r>
  </si>
  <si>
    <r>
      <rPr>
        <sz val="6.5"/>
        <rFont val="Arial MT"/>
        <family val="2"/>
      </rPr>
      <t>100-HY-W904-2C</t>
    </r>
  </si>
  <si>
    <r>
      <rPr>
        <sz val="6.5"/>
        <rFont val="Arial MT"/>
        <family val="2"/>
      </rPr>
      <t>100-S-W904C</t>
    </r>
  </si>
  <si>
    <r>
      <rPr>
        <sz val="6.5"/>
        <rFont val="Arial MT"/>
        <family val="2"/>
      </rPr>
      <t>100-ZSO-W904C</t>
    </r>
  </si>
  <si>
    <r>
      <rPr>
        <sz val="6.5"/>
        <rFont val="Arial MT"/>
        <family val="2"/>
      </rPr>
      <t>100-SDV-W904C VALVE SWITCH OPEN</t>
    </r>
  </si>
  <si>
    <r>
      <rPr>
        <sz val="6.5"/>
        <rFont val="Arial MT"/>
        <family val="2"/>
      </rPr>
      <t>100-ZSC-W904C</t>
    </r>
  </si>
  <si>
    <r>
      <rPr>
        <sz val="6.5"/>
        <rFont val="Arial MT"/>
        <family val="2"/>
      </rPr>
      <t>100-SDV-W904C-VALVE SWITCH CLOSE</t>
    </r>
  </si>
  <si>
    <r>
      <rPr>
        <sz val="6.5"/>
        <rFont val="Arial MT"/>
        <family val="2"/>
      </rPr>
      <t>100-S-W905C</t>
    </r>
  </si>
  <si>
    <r>
      <rPr>
        <sz val="6.5"/>
        <rFont val="Arial MT"/>
        <family val="2"/>
      </rPr>
      <t>100-ZSO-W905C</t>
    </r>
  </si>
  <si>
    <r>
      <rPr>
        <sz val="6.5"/>
        <rFont val="Arial MT"/>
        <family val="2"/>
      </rPr>
      <t>100-SDV-W905C-VALVE SWITCH OPEN</t>
    </r>
  </si>
  <si>
    <r>
      <rPr>
        <sz val="6.5"/>
        <rFont val="Arial MT"/>
        <family val="2"/>
      </rPr>
      <t>100-ZSC-W905C</t>
    </r>
  </si>
  <si>
    <r>
      <rPr>
        <sz val="6.5"/>
        <rFont val="Arial MT"/>
        <family val="2"/>
      </rPr>
      <t>100-SDV-W905C- VALVE POSITION CLOSE</t>
    </r>
  </si>
  <si>
    <r>
      <rPr>
        <sz val="6.5"/>
        <rFont val="Arial MT"/>
        <family val="2"/>
      </rPr>
      <t>100-P-W217D</t>
    </r>
  </si>
  <si>
    <r>
      <rPr>
        <sz val="6.5"/>
        <rFont val="Arial MT"/>
        <family val="2"/>
      </rPr>
      <t>100-PIT-W217D</t>
    </r>
  </si>
  <si>
    <r>
      <rPr>
        <sz val="6.5"/>
        <rFont val="Arial MT"/>
        <family val="2"/>
      </rPr>
      <t>OUTLET FROM WEB SW WELLHEAD</t>
    </r>
  </si>
  <si>
    <r>
      <rPr>
        <sz val="6.5"/>
        <rFont val="Arial MT"/>
        <family val="2"/>
      </rPr>
      <t>80289-PRO-PID-1004</t>
    </r>
  </si>
  <si>
    <r>
      <rPr>
        <sz val="6.5"/>
        <rFont val="Arial MT"/>
        <family val="2"/>
      </rPr>
      <t>100-P-W206D</t>
    </r>
  </si>
  <si>
    <r>
      <rPr>
        <sz val="6.5"/>
        <rFont val="Arial MT"/>
        <family val="2"/>
      </rPr>
      <t>100-PIT-W206D</t>
    </r>
  </si>
  <si>
    <r>
      <rPr>
        <sz val="6.5"/>
        <rFont val="Arial MT"/>
        <family val="2"/>
      </rPr>
      <t>100-P-W209D</t>
    </r>
  </si>
  <si>
    <r>
      <rPr>
        <sz val="6.5"/>
        <rFont val="Arial MT"/>
        <family val="2"/>
      </rPr>
      <t>100-PIT-W209D</t>
    </r>
  </si>
  <si>
    <r>
      <rPr>
        <sz val="6.5"/>
        <rFont val="Arial MT"/>
        <family val="2"/>
      </rPr>
      <t>100-T-W401D</t>
    </r>
  </si>
  <si>
    <r>
      <rPr>
        <sz val="6.5"/>
        <rFont val="Arial MT"/>
        <family val="2"/>
      </rPr>
      <t>100-TIT-W401D</t>
    </r>
  </si>
  <si>
    <r>
      <rPr>
        <sz val="6.5"/>
        <rFont val="Arial MT"/>
        <family val="2"/>
      </rPr>
      <t>100-P-W204D</t>
    </r>
  </si>
  <si>
    <r>
      <rPr>
        <sz val="6.5"/>
        <rFont val="Arial MT"/>
        <family val="2"/>
      </rPr>
      <t>100-PIT-W204D</t>
    </r>
  </si>
  <si>
    <r>
      <rPr>
        <sz val="6.5"/>
        <rFont val="Arial MT"/>
        <family val="2"/>
      </rPr>
      <t>100-H-W904D</t>
    </r>
  </si>
  <si>
    <r>
      <rPr>
        <sz val="6.5"/>
        <rFont val="Arial MT"/>
        <family val="2"/>
      </rPr>
      <t>100-XZT-W904D</t>
    </r>
  </si>
  <si>
    <r>
      <rPr>
        <sz val="6.5"/>
        <rFont val="Arial MT"/>
        <family val="2"/>
      </rPr>
      <t>100-HCV-W904D - CHOKE VALVE</t>
    </r>
  </si>
  <si>
    <r>
      <rPr>
        <sz val="6.5"/>
        <rFont val="Arial MT"/>
        <family val="2"/>
      </rPr>
      <t>100-HY-W904-1D</t>
    </r>
  </si>
  <si>
    <r>
      <rPr>
        <sz val="6.5"/>
        <rFont val="Arial MT"/>
        <family val="2"/>
      </rPr>
      <t>100-HY-W904-2D</t>
    </r>
  </si>
  <si>
    <r>
      <rPr>
        <sz val="6.5"/>
        <rFont val="Arial MT"/>
        <family val="2"/>
      </rPr>
      <t>100-S-W904D</t>
    </r>
  </si>
  <si>
    <r>
      <rPr>
        <sz val="6.5"/>
        <rFont val="Arial MT"/>
        <family val="2"/>
      </rPr>
      <t>100-ZSO-W904D</t>
    </r>
  </si>
  <si>
    <r>
      <rPr>
        <sz val="6.5"/>
        <rFont val="Arial MT"/>
        <family val="2"/>
      </rPr>
      <t>100-SDV-W904D VALVE SWITCH OPEN</t>
    </r>
  </si>
  <si>
    <r>
      <rPr>
        <sz val="6.5"/>
        <rFont val="Arial MT"/>
        <family val="2"/>
      </rPr>
      <t>100-ZSC-W904D</t>
    </r>
  </si>
  <si>
    <r>
      <rPr>
        <sz val="6.5"/>
        <rFont val="Arial MT"/>
        <family val="2"/>
      </rPr>
      <t>100-SDV-W904D-VALVE SWITCH CLOSE</t>
    </r>
  </si>
  <si>
    <r>
      <rPr>
        <sz val="6.5"/>
        <rFont val="Arial MT"/>
        <family val="2"/>
      </rPr>
      <t>100-S-W905D</t>
    </r>
  </si>
  <si>
    <r>
      <rPr>
        <sz val="6.5"/>
        <rFont val="Arial MT"/>
        <family val="2"/>
      </rPr>
      <t>100-ZSO-W905D</t>
    </r>
  </si>
  <si>
    <r>
      <rPr>
        <sz val="6.5"/>
        <rFont val="Arial MT"/>
        <family val="2"/>
      </rPr>
      <t>100-SDV-W905D-VALVE SWITCH OPEN</t>
    </r>
  </si>
  <si>
    <r>
      <rPr>
        <sz val="6.5"/>
        <rFont val="Arial MT"/>
        <family val="2"/>
      </rPr>
      <t>100-ZSC-W905D</t>
    </r>
  </si>
  <si>
    <r>
      <rPr>
        <sz val="6.5"/>
        <rFont val="Arial MT"/>
        <family val="2"/>
      </rPr>
      <t>100-SDV-W905D- VALVE POSITION CLOSE</t>
    </r>
  </si>
  <si>
    <r>
      <rPr>
        <sz val="6.5"/>
        <rFont val="Arial MT"/>
        <family val="2"/>
      </rPr>
      <t>100-S-W901A</t>
    </r>
  </si>
  <si>
    <r>
      <rPr>
        <sz val="6.5"/>
        <rFont val="Arial MT"/>
        <family val="2"/>
      </rPr>
      <t>100-SIT-W901A</t>
    </r>
  </si>
  <si>
    <r>
      <rPr>
        <sz val="6.5"/>
        <rFont val="Arial MT"/>
        <family val="2"/>
      </rPr>
      <t>SAND DETECTOR</t>
    </r>
  </si>
  <si>
    <r>
      <rPr>
        <sz val="6.5"/>
        <rFont val="Arial MT"/>
        <family val="2"/>
      </rPr>
      <t>FROM WEB NE WELLHEAD</t>
    </r>
  </si>
  <si>
    <r>
      <rPr>
        <sz val="6.5"/>
        <rFont val="Arial MT"/>
        <family val="2"/>
      </rPr>
      <t>80289-PRO-PID-1007</t>
    </r>
  </si>
  <si>
    <r>
      <rPr>
        <sz val="6.5"/>
        <rFont val="Arial MT"/>
        <family val="2"/>
      </rPr>
      <t>100-F-W101A</t>
    </r>
  </si>
  <si>
    <r>
      <rPr>
        <sz val="6.5"/>
        <rFont val="Arial MT"/>
        <family val="2"/>
      </rPr>
      <t>100-PIT-W205A</t>
    </r>
  </si>
  <si>
    <r>
      <rPr>
        <sz val="6.5"/>
        <rFont val="Arial MT"/>
        <family val="2"/>
      </rPr>
      <t>100-FIT-W101A</t>
    </r>
  </si>
  <si>
    <r>
      <rPr>
        <sz val="6.5"/>
        <rFont val="Arial MT"/>
        <family val="2"/>
      </rPr>
      <t>FLOW TRANSMITTER</t>
    </r>
  </si>
  <si>
    <r>
      <rPr>
        <sz val="6.5"/>
        <rFont val="Arial MT"/>
        <family val="2"/>
      </rPr>
      <t>100-TIT-W402A</t>
    </r>
  </si>
  <si>
    <r>
      <rPr>
        <sz val="6.5"/>
        <rFont val="Arial MT"/>
        <family val="2"/>
      </rPr>
      <t>100-S-W901B</t>
    </r>
  </si>
  <si>
    <r>
      <rPr>
        <sz val="6.5"/>
        <rFont val="Arial MT"/>
        <family val="2"/>
      </rPr>
      <t>100-SIT-W901B</t>
    </r>
  </si>
  <si>
    <r>
      <rPr>
        <sz val="6.5"/>
        <rFont val="Arial MT"/>
        <family val="2"/>
      </rPr>
      <t>FROM WEB NW WELLHEAD</t>
    </r>
  </si>
  <si>
    <r>
      <rPr>
        <sz val="6.5"/>
        <rFont val="Arial MT"/>
        <family val="2"/>
      </rPr>
      <t>100-F-W101B</t>
    </r>
  </si>
  <si>
    <r>
      <rPr>
        <sz val="6.5"/>
        <rFont val="Arial MT"/>
        <family val="2"/>
      </rPr>
      <t>100-PIT-W205B</t>
    </r>
  </si>
  <si>
    <r>
      <rPr>
        <sz val="6.5"/>
        <rFont val="Arial MT"/>
        <family val="2"/>
      </rPr>
      <t>100-FIT-W101B</t>
    </r>
  </si>
  <si>
    <r>
      <rPr>
        <sz val="6.5"/>
        <rFont val="Arial MT"/>
        <family val="2"/>
      </rPr>
      <t>100-TIT-W402B</t>
    </r>
  </si>
  <si>
    <r>
      <rPr>
        <sz val="6.5"/>
        <rFont val="Arial MT"/>
        <family val="2"/>
      </rPr>
      <t>100-S-W901C</t>
    </r>
  </si>
  <si>
    <r>
      <rPr>
        <sz val="6.5"/>
        <rFont val="Arial MT"/>
        <family val="2"/>
      </rPr>
      <t>100-SIT-W901C</t>
    </r>
  </si>
  <si>
    <r>
      <rPr>
        <sz val="6.5"/>
        <rFont val="Arial MT"/>
        <family val="2"/>
      </rPr>
      <t>FROM WEB SE WELLHEAD</t>
    </r>
  </si>
  <si>
    <r>
      <rPr>
        <sz val="6.5"/>
        <rFont val="Arial MT"/>
        <family val="2"/>
      </rPr>
      <t>100-F-W101C</t>
    </r>
  </si>
  <si>
    <r>
      <rPr>
        <sz val="6.5"/>
        <rFont val="Arial MT"/>
        <family val="2"/>
      </rPr>
      <t>100-PIT-W205C</t>
    </r>
  </si>
  <si>
    <r>
      <rPr>
        <sz val="6.5"/>
        <rFont val="Arial MT"/>
        <family val="2"/>
      </rPr>
      <t>100-FIT-W101C</t>
    </r>
  </si>
  <si>
    <r>
      <rPr>
        <sz val="6.5"/>
        <rFont val="Arial MT"/>
        <family val="2"/>
      </rPr>
      <t>100-TIT-W402C</t>
    </r>
  </si>
  <si>
    <r>
      <rPr>
        <sz val="6.5"/>
        <rFont val="Arial MT"/>
        <family val="2"/>
      </rPr>
      <t>100-S-W901D</t>
    </r>
  </si>
  <si>
    <r>
      <rPr>
        <sz val="6.5"/>
        <rFont val="Arial MT"/>
        <family val="2"/>
      </rPr>
      <t>100-SIT-W901D</t>
    </r>
  </si>
  <si>
    <r>
      <rPr>
        <sz val="6.5"/>
        <rFont val="Arial MT"/>
        <family val="2"/>
      </rPr>
      <t>FROM WEB SW WELLHEAD</t>
    </r>
  </si>
  <si>
    <r>
      <rPr>
        <sz val="6.5"/>
        <rFont val="Arial MT"/>
        <family val="2"/>
      </rPr>
      <t>100-F-W101D</t>
    </r>
  </si>
  <si>
    <r>
      <rPr>
        <sz val="6.5"/>
        <rFont val="Arial MT"/>
        <family val="2"/>
      </rPr>
      <t>100-PIT-W205D</t>
    </r>
  </si>
  <si>
    <r>
      <rPr>
        <sz val="6.5"/>
        <rFont val="Arial MT"/>
        <family val="2"/>
      </rPr>
      <t>100-FIT-W101D</t>
    </r>
  </si>
  <si>
    <r>
      <rPr>
        <sz val="6.5"/>
        <rFont val="Arial MT"/>
        <family val="2"/>
      </rPr>
      <t>100-TIT-W402D</t>
    </r>
  </si>
  <si>
    <r>
      <rPr>
        <sz val="6.5"/>
        <rFont val="Arial MT"/>
        <family val="2"/>
      </rPr>
      <t>100-T-404</t>
    </r>
  </si>
  <si>
    <r>
      <rPr>
        <sz val="6.5"/>
        <rFont val="Arial MT"/>
        <family val="2"/>
      </rPr>
      <t>100-TIT-404</t>
    </r>
  </si>
  <si>
    <r>
      <rPr>
        <sz val="6.5"/>
        <rFont val="Arial MT"/>
        <family val="2"/>
      </rPr>
      <t>FROM WEB PRODUCTION MANIFOLD</t>
    </r>
  </si>
  <si>
    <r>
      <rPr>
        <sz val="6.5"/>
        <rFont val="Arial MT"/>
        <family val="2"/>
      </rPr>
      <t>80289-PRO-PID-1008</t>
    </r>
  </si>
  <si>
    <r>
      <rPr>
        <sz val="6.5"/>
        <rFont val="Arial MT"/>
        <family val="2"/>
      </rPr>
      <t>100-P-210</t>
    </r>
  </si>
  <si>
    <r>
      <rPr>
        <sz val="6.5"/>
        <rFont val="Arial MT"/>
        <family val="2"/>
      </rPr>
      <t>100-PIT-210</t>
    </r>
  </si>
  <si>
    <r>
      <rPr>
        <sz val="6.5"/>
        <rFont val="Arial MT"/>
        <family val="2"/>
      </rPr>
      <t>100-L-604</t>
    </r>
  </si>
  <si>
    <r>
      <rPr>
        <sz val="6.5"/>
        <rFont val="Arial MT"/>
        <family val="2"/>
      </rPr>
      <t>100-LIT-604</t>
    </r>
  </si>
  <si>
    <r>
      <rPr>
        <sz val="6.5"/>
        <rFont val="Arial MT"/>
        <family val="2"/>
      </rPr>
      <t xml:space="preserve">LEVEL TRANSMITTER-DP TYPE
</t>
    </r>
    <r>
      <rPr>
        <sz val="6.5"/>
        <rFont val="Arial MT"/>
        <family val="2"/>
      </rPr>
      <t>DIAPHRAM SEAL</t>
    </r>
  </si>
  <si>
    <r>
      <rPr>
        <sz val="6.5"/>
        <rFont val="Arial MT"/>
        <family val="2"/>
      </rPr>
      <t>ON 100-TK-004 DIESEL STORAGE TANK</t>
    </r>
  </si>
  <si>
    <r>
      <rPr>
        <sz val="6.5"/>
        <rFont val="Arial MT"/>
        <family val="2"/>
      </rPr>
      <t>80289-PRO-PID-1009</t>
    </r>
  </si>
  <si>
    <r>
      <rPr>
        <sz val="6.5"/>
        <rFont val="Arial MT"/>
        <family val="2"/>
      </rPr>
      <t>100-HRN-002</t>
    </r>
  </si>
  <si>
    <r>
      <rPr>
        <sz val="6.5"/>
        <rFont val="Arial MT"/>
        <family val="2"/>
      </rPr>
      <t>HORN</t>
    </r>
  </si>
  <si>
    <r>
      <rPr>
        <sz val="6.5"/>
        <rFont val="Arial MT"/>
        <family val="2"/>
      </rPr>
      <t>100-TK-004 DIESEL STORAGE TANK HORN</t>
    </r>
  </si>
  <si>
    <r>
      <rPr>
        <sz val="6.5"/>
        <rFont val="Arial MT"/>
        <family val="2"/>
      </rPr>
      <t>DP (NDE)</t>
    </r>
  </si>
  <si>
    <t>Relay</t>
  </si>
  <si>
    <r>
      <rPr>
        <sz val="6.5"/>
        <rFont val="Arial MT"/>
        <family val="2"/>
      </rPr>
      <t>100-P-212A</t>
    </r>
  </si>
  <si>
    <r>
      <rPr>
        <sz val="6.5"/>
        <rFont val="Arial MT"/>
        <family val="2"/>
      </rPr>
      <t>100-PIT-212A</t>
    </r>
  </si>
  <si>
    <r>
      <rPr>
        <sz val="6.5"/>
        <rFont val="Arial MT"/>
        <family val="2"/>
      </rPr>
      <t>DISCHARGE OF 100-P-005A</t>
    </r>
  </si>
  <si>
    <r>
      <rPr>
        <sz val="6.5"/>
        <rFont val="Arial MT"/>
        <family val="2"/>
      </rPr>
      <t>100-P-212B</t>
    </r>
  </si>
  <si>
    <r>
      <rPr>
        <sz val="6.5"/>
        <rFont val="Arial MT"/>
        <family val="2"/>
      </rPr>
      <t>100-PIT-212B</t>
    </r>
  </si>
  <si>
    <r>
      <rPr>
        <sz val="6.5"/>
        <rFont val="Arial MT"/>
        <family val="2"/>
      </rPr>
      <t>DISCHARGE OF 100-P-005B</t>
    </r>
  </si>
  <si>
    <r>
      <rPr>
        <sz val="6.5"/>
        <rFont val="Arial MT"/>
        <family val="2"/>
      </rPr>
      <t>100-H-005A</t>
    </r>
  </si>
  <si>
    <r>
      <rPr>
        <sz val="6.5"/>
        <rFont val="Arial MT"/>
        <family val="2"/>
      </rPr>
      <t>100-HSBR-005A</t>
    </r>
  </si>
  <si>
    <r>
      <rPr>
        <sz val="6.5"/>
        <rFont val="Arial MT"/>
        <family val="2"/>
      </rPr>
      <t>ON 100-P-005A DIESEL PUMPS</t>
    </r>
  </si>
  <si>
    <r>
      <rPr>
        <sz val="6.5"/>
        <rFont val="Arial MT"/>
        <family val="2"/>
      </rPr>
      <t>MCC</t>
    </r>
  </si>
  <si>
    <r>
      <rPr>
        <sz val="6.5"/>
        <rFont val="Arial MT"/>
        <family val="2"/>
      </rPr>
      <t>100-HSAR-005A</t>
    </r>
  </si>
  <si>
    <r>
      <rPr>
        <sz val="6.5"/>
        <rFont val="Arial MT"/>
        <family val="2"/>
      </rPr>
      <t>100-H-005B</t>
    </r>
  </si>
  <si>
    <r>
      <rPr>
        <sz val="6.5"/>
        <rFont val="Arial MT"/>
        <family val="2"/>
      </rPr>
      <t>100-HSBR-005B</t>
    </r>
  </si>
  <si>
    <r>
      <rPr>
        <sz val="6.5"/>
        <rFont val="Arial MT"/>
        <family val="2"/>
      </rPr>
      <t>ON 100-P-005B DIESEL PUMPS</t>
    </r>
  </si>
  <si>
    <r>
      <rPr>
        <sz val="6.5"/>
        <rFont val="Arial MT"/>
        <family val="2"/>
      </rPr>
      <t>100-HSAR-005B</t>
    </r>
  </si>
  <si>
    <r>
      <rPr>
        <sz val="6.5"/>
        <rFont val="Arial MT"/>
        <family val="2"/>
      </rPr>
      <t>100-P-213</t>
    </r>
  </si>
  <si>
    <r>
      <rPr>
        <sz val="6.5"/>
        <rFont val="Arial MT"/>
        <family val="2"/>
      </rPr>
      <t>100-PDIT-213A</t>
    </r>
  </si>
  <si>
    <r>
      <rPr>
        <sz val="6.5"/>
        <rFont val="Arial MT"/>
        <family val="2"/>
      </rPr>
      <t xml:space="preserve">DIFFERENTIAL PRESSURE
</t>
    </r>
    <r>
      <rPr>
        <sz val="6.5"/>
        <rFont val="Arial MT"/>
        <family val="2"/>
      </rPr>
      <t>TRANSMITTER</t>
    </r>
  </si>
  <si>
    <r>
      <rPr>
        <sz val="6.5"/>
        <rFont val="Arial MT"/>
        <family val="2"/>
      </rPr>
      <t>ACROSS 100-FL-001B DIESEL FILTER SKID</t>
    </r>
  </si>
  <si>
    <r>
      <rPr>
        <sz val="6.5"/>
        <rFont val="Arial MT"/>
        <family val="2"/>
      </rPr>
      <t>100-PDIT-213B</t>
    </r>
  </si>
  <si>
    <r>
      <rPr>
        <sz val="6.5"/>
        <rFont val="Arial MT"/>
        <family val="2"/>
      </rPr>
      <t>ACROSS 100-FL-001A DIESEL FILTER SKID</t>
    </r>
  </si>
  <si>
    <r>
      <rPr>
        <sz val="6.5"/>
        <rFont val="Arial MT"/>
        <family val="2"/>
      </rPr>
      <t>100-Z-910</t>
    </r>
  </si>
  <si>
    <r>
      <rPr>
        <sz val="6.5"/>
        <rFont val="Arial MT"/>
        <family val="2"/>
      </rPr>
      <t>100-XI-003A</t>
    </r>
  </si>
  <si>
    <r>
      <rPr>
        <sz val="6.5"/>
        <rFont val="Arial MT"/>
        <family val="2"/>
      </rPr>
      <t>RUNNING INDICATION</t>
    </r>
  </si>
  <si>
    <r>
      <rPr>
        <sz val="6.5"/>
        <rFont val="Arial MT"/>
        <family val="2"/>
      </rPr>
      <t xml:space="preserve">100-PK-003A DIESEL GENERATOR PACKAGE
</t>
    </r>
    <r>
      <rPr>
        <sz val="6.5"/>
        <rFont val="Arial MT"/>
        <family val="2"/>
      </rPr>
      <t>INDICATION</t>
    </r>
  </si>
  <si>
    <r>
      <rPr>
        <sz val="6.5"/>
        <rFont val="Arial MT"/>
        <family val="2"/>
      </rPr>
      <t xml:space="preserve">DIESEL GENERATOR
</t>
    </r>
    <r>
      <rPr>
        <sz val="6.5"/>
        <rFont val="Arial MT"/>
        <family val="2"/>
      </rPr>
      <t>PACKAGE</t>
    </r>
  </si>
  <si>
    <r>
      <rPr>
        <sz val="6.5"/>
        <rFont val="Arial MT"/>
        <family val="2"/>
      </rPr>
      <t>100-LI-603A</t>
    </r>
  </si>
  <si>
    <r>
      <rPr>
        <sz val="6.5"/>
        <rFont val="Arial MT"/>
        <family val="2"/>
      </rPr>
      <t>LEVEL INDICATION</t>
    </r>
  </si>
  <si>
    <r>
      <rPr>
        <sz val="6.5"/>
        <rFont val="Arial MT"/>
        <family val="2"/>
      </rPr>
      <t>100-HSAR-910</t>
    </r>
  </si>
  <si>
    <r>
      <rPr>
        <sz val="6.5"/>
        <rFont val="Arial MT"/>
        <family val="2"/>
      </rPr>
      <t>START</t>
    </r>
  </si>
  <si>
    <r>
      <rPr>
        <sz val="6.5"/>
        <rFont val="Arial MT"/>
        <family val="2"/>
      </rPr>
      <t>100-PK-003A DIESEL GENERATOR PACKAGE</t>
    </r>
  </si>
  <si>
    <r>
      <rPr>
        <sz val="6.5"/>
        <rFont val="Arial MT"/>
        <family val="2"/>
      </rPr>
      <t>100-HSBR-910</t>
    </r>
  </si>
  <si>
    <r>
      <rPr>
        <sz val="6.5"/>
        <rFont val="Arial MT"/>
        <family val="2"/>
      </rPr>
      <t>STOP</t>
    </r>
  </si>
  <si>
    <r>
      <rPr>
        <sz val="6.5"/>
        <rFont val="Arial MT"/>
        <family val="2"/>
      </rPr>
      <t>100-Z-911</t>
    </r>
  </si>
  <si>
    <r>
      <rPr>
        <sz val="6.5"/>
        <rFont val="Arial MT"/>
        <family val="2"/>
      </rPr>
      <t>100-XI-003B</t>
    </r>
  </si>
  <si>
    <r>
      <rPr>
        <sz val="6.5"/>
        <rFont val="Arial MT"/>
        <family val="2"/>
      </rPr>
      <t xml:space="preserve">100-PK-003B DIESEL GENERATOR PACKAGE
</t>
    </r>
    <r>
      <rPr>
        <sz val="6.5"/>
        <rFont val="Arial MT"/>
        <family val="2"/>
      </rPr>
      <t>INDICATION</t>
    </r>
  </si>
  <si>
    <r>
      <rPr>
        <sz val="6.5"/>
        <rFont val="Arial MT"/>
        <family val="2"/>
      </rPr>
      <t>100-LI-603B</t>
    </r>
  </si>
  <si>
    <r>
      <rPr>
        <sz val="6.5"/>
        <rFont val="Arial MT"/>
        <family val="2"/>
      </rPr>
      <t>100-HSAR-911</t>
    </r>
  </si>
  <si>
    <r>
      <rPr>
        <sz val="6.5"/>
        <rFont val="Arial MT"/>
        <family val="2"/>
      </rPr>
      <t>100-PK-003B DIESEL GENERATOR PACKAGE</t>
    </r>
  </si>
  <si>
    <r>
      <rPr>
        <sz val="6.5"/>
        <rFont val="Arial MT"/>
        <family val="2"/>
      </rPr>
      <t>100-HSBR-911</t>
    </r>
  </si>
  <si>
    <r>
      <rPr>
        <sz val="6.5"/>
        <rFont val="Arial MT"/>
        <family val="2"/>
      </rPr>
      <t>100-P-228</t>
    </r>
  </si>
  <si>
    <r>
      <rPr>
        <sz val="6.5"/>
        <rFont val="Arial MT"/>
        <family val="2"/>
      </rPr>
      <t>100-PIT-228</t>
    </r>
  </si>
  <si>
    <r>
      <rPr>
        <sz val="6.5"/>
        <rFont val="Arial MT"/>
        <family val="2"/>
      </rPr>
      <t>100-PK-005 COLD VENT PACKAGE</t>
    </r>
  </si>
  <si>
    <r>
      <rPr>
        <sz val="6.5"/>
        <rFont val="Arial MT"/>
        <family val="2"/>
      </rPr>
      <t>80289-PRO-PID-1010</t>
    </r>
  </si>
  <si>
    <r>
      <rPr>
        <sz val="6.5"/>
        <rFont val="Arial MT"/>
        <family val="2"/>
      </rPr>
      <t xml:space="preserve">BY COLD VENT PACAKGE
</t>
    </r>
    <r>
      <rPr>
        <sz val="6.5"/>
        <rFont val="Arial MT"/>
        <family val="2"/>
      </rPr>
      <t>VENDOR</t>
    </r>
  </si>
  <si>
    <r>
      <rPr>
        <sz val="6.5"/>
        <rFont val="Arial MT"/>
        <family val="2"/>
      </rPr>
      <t>100-L-703</t>
    </r>
  </si>
  <si>
    <r>
      <rPr>
        <sz val="6.5"/>
        <rFont val="Arial MT"/>
        <family val="2"/>
      </rPr>
      <t>100-LG/LIT-703</t>
    </r>
  </si>
  <si>
    <r>
      <rPr>
        <sz val="6.5"/>
        <rFont val="Arial MT"/>
        <family val="2"/>
      </rPr>
      <t xml:space="preserve">MAGNETORESTRICTIVE LEVEL
</t>
    </r>
    <r>
      <rPr>
        <sz val="6.5"/>
        <rFont val="Arial MT"/>
        <family val="2"/>
      </rPr>
      <t>INDICATOR AND TRANSMITTER</t>
    </r>
  </si>
  <si>
    <r>
      <rPr>
        <sz val="6.5"/>
        <rFont val="Arial MT"/>
        <family val="2"/>
      </rPr>
      <t xml:space="preserve">ON 100-V-001 VENT/CLOSED DRAIN KNOCKOUT
</t>
    </r>
    <r>
      <rPr>
        <sz val="6.5"/>
        <rFont val="Arial MT"/>
        <family val="2"/>
      </rPr>
      <t>DRUM</t>
    </r>
  </si>
  <si>
    <r>
      <rPr>
        <sz val="6.5"/>
        <rFont val="Arial MT"/>
        <family val="2"/>
      </rPr>
      <t>100-HRN-001</t>
    </r>
  </si>
  <si>
    <r>
      <rPr>
        <sz val="6.5"/>
        <rFont val="Arial MT"/>
        <family val="2"/>
      </rPr>
      <t xml:space="preserve">100-V-001 VENT/CLOSED DRAIN KNOCKOUT DRUM
</t>
    </r>
    <r>
      <rPr>
        <sz val="6.5"/>
        <rFont val="Arial MT"/>
        <family val="2"/>
      </rPr>
      <t>HORN</t>
    </r>
  </si>
  <si>
    <r>
      <rPr>
        <sz val="6.5"/>
        <rFont val="Arial MT"/>
        <family val="2"/>
      </rPr>
      <t>100-T-408</t>
    </r>
  </si>
  <si>
    <r>
      <rPr>
        <sz val="6.5"/>
        <rFont val="Arial MT"/>
        <family val="2"/>
      </rPr>
      <t>100-TIT-408</t>
    </r>
  </si>
  <si>
    <r>
      <rPr>
        <sz val="6.5"/>
        <rFont val="Arial MT"/>
        <family val="2"/>
      </rPr>
      <t>100-L-633</t>
    </r>
  </si>
  <si>
    <r>
      <rPr>
        <sz val="6.5"/>
        <rFont val="Arial MT"/>
        <family val="2"/>
      </rPr>
      <t>100-LIT-633</t>
    </r>
  </si>
  <si>
    <r>
      <rPr>
        <sz val="6.5"/>
        <rFont val="Arial MT"/>
        <family val="2"/>
      </rPr>
      <t xml:space="preserve">LEVEL TRANSMITTER-DIAPHRAM
</t>
    </r>
    <r>
      <rPr>
        <sz val="6.5"/>
        <rFont val="Arial MT"/>
        <family val="2"/>
      </rPr>
      <t>SEAL</t>
    </r>
  </si>
  <si>
    <r>
      <rPr>
        <sz val="6.5"/>
        <rFont val="Arial MT"/>
        <family val="2"/>
      </rPr>
      <t>ON 100-Z-001 FIXED SUMP TANK</t>
    </r>
  </si>
  <si>
    <r>
      <rPr>
        <sz val="6.5"/>
        <rFont val="Arial MT"/>
        <family val="2"/>
      </rPr>
      <t>100-L-626</t>
    </r>
  </si>
  <si>
    <r>
      <rPr>
        <sz val="6.5"/>
        <rFont val="Arial MT"/>
        <family val="2"/>
      </rPr>
      <t>100-LIT-626</t>
    </r>
  </si>
  <si>
    <r>
      <rPr>
        <sz val="6.5"/>
        <rFont val="Arial MT"/>
        <family val="2"/>
      </rPr>
      <t>ON 100-TK-001 CORROSION INHIBITOR TANK</t>
    </r>
  </si>
  <si>
    <r>
      <rPr>
        <sz val="6.5"/>
        <rFont val="Arial MT"/>
        <family val="2"/>
      </rPr>
      <t>80289-PRO-PID-1011</t>
    </r>
  </si>
  <si>
    <r>
      <rPr>
        <sz val="6.5"/>
        <rFont val="Arial MT"/>
        <family val="2"/>
      </rPr>
      <t xml:space="preserve">BY CORROSION INHIBITOR
</t>
    </r>
    <r>
      <rPr>
        <sz val="6.5"/>
        <rFont val="Arial MT"/>
        <family val="2"/>
      </rPr>
      <t>INJECTION SKID VENDOR</t>
    </r>
  </si>
  <si>
    <r>
      <rPr>
        <sz val="6.5"/>
        <rFont val="Arial MT"/>
        <family val="2"/>
      </rPr>
      <t>100-P-220A</t>
    </r>
  </si>
  <si>
    <r>
      <rPr>
        <sz val="6.5"/>
        <rFont val="Arial MT"/>
        <family val="2"/>
      </rPr>
      <t>100-PIT-220A</t>
    </r>
  </si>
  <si>
    <r>
      <rPr>
        <sz val="6.5"/>
        <rFont val="Arial MT"/>
        <family val="2"/>
      </rPr>
      <t xml:space="preserve">OUTLET FROM CORROSION INHIBITOR PUMP (100-P-
</t>
    </r>
    <r>
      <rPr>
        <sz val="6.5"/>
        <rFont val="Arial MT"/>
        <family val="2"/>
      </rPr>
      <t>001A )</t>
    </r>
  </si>
  <si>
    <r>
      <rPr>
        <sz val="6.5"/>
        <rFont val="Arial MT"/>
        <family val="2"/>
      </rPr>
      <t>100-P-220B</t>
    </r>
  </si>
  <si>
    <r>
      <rPr>
        <sz val="6.5"/>
        <rFont val="Arial MT"/>
        <family val="2"/>
      </rPr>
      <t>100-PIT-220B</t>
    </r>
  </si>
  <si>
    <r>
      <rPr>
        <sz val="6.5"/>
        <rFont val="Arial MT"/>
        <family val="2"/>
      </rPr>
      <t xml:space="preserve">OUTLET FROM CORROSION INHIBITOR PUMP (100-P-
</t>
    </r>
    <r>
      <rPr>
        <sz val="6.5"/>
        <rFont val="Arial MT"/>
        <family val="2"/>
      </rPr>
      <t>001B )</t>
    </r>
  </si>
  <si>
    <r>
      <rPr>
        <sz val="6.5"/>
        <rFont val="Arial MT"/>
        <family val="2"/>
      </rPr>
      <t>100-H-001</t>
    </r>
  </si>
  <si>
    <r>
      <rPr>
        <sz val="6.5"/>
        <rFont val="Arial MT"/>
        <family val="2"/>
      </rPr>
      <t>100-HSBR-MX-001</t>
    </r>
  </si>
  <si>
    <r>
      <rPr>
        <sz val="6.5"/>
        <rFont val="Arial MT"/>
        <family val="2"/>
      </rPr>
      <t>100-MX-001 CORRISION INHIBITOR TANK MIXER</t>
    </r>
  </si>
  <si>
    <r>
      <rPr>
        <sz val="6.5"/>
        <rFont val="Arial MT"/>
        <family val="2"/>
      </rPr>
      <t xml:space="preserve">CORRISION INHIBITOR
</t>
    </r>
    <r>
      <rPr>
        <sz val="6.5"/>
        <rFont val="Arial MT"/>
        <family val="2"/>
      </rPr>
      <t>SKID</t>
    </r>
  </si>
  <si>
    <r>
      <rPr>
        <sz val="6.5"/>
        <rFont val="Arial MT"/>
        <family val="2"/>
      </rPr>
      <t>100-HSAR-MX-001</t>
    </r>
  </si>
  <si>
    <r>
      <rPr>
        <sz val="6.5"/>
        <rFont val="Arial MT"/>
        <family val="2"/>
      </rPr>
      <t>100-H-001A</t>
    </r>
  </si>
  <si>
    <r>
      <rPr>
        <sz val="6.5"/>
        <rFont val="Arial MT"/>
        <family val="2"/>
      </rPr>
      <t>100-HSBR-001A</t>
    </r>
  </si>
  <si>
    <r>
      <rPr>
        <sz val="6.5"/>
        <rFont val="Arial MT"/>
        <family val="2"/>
      </rPr>
      <t>100-P-001A CORRISION INHIBITOR PUMP</t>
    </r>
  </si>
  <si>
    <r>
      <rPr>
        <sz val="6.5"/>
        <rFont val="Arial MT"/>
        <family val="2"/>
      </rPr>
      <t>100-HSAR-001A</t>
    </r>
  </si>
  <si>
    <r>
      <rPr>
        <sz val="6.5"/>
        <rFont val="Arial MT"/>
        <family val="2"/>
      </rPr>
      <t>100-H-001B</t>
    </r>
  </si>
  <si>
    <r>
      <rPr>
        <sz val="6.5"/>
        <rFont val="Arial MT"/>
        <family val="2"/>
      </rPr>
      <t>100-HSBR-001B</t>
    </r>
  </si>
  <si>
    <r>
      <rPr>
        <sz val="6.5"/>
        <rFont val="Arial MT"/>
        <family val="2"/>
      </rPr>
      <t>100-P-001B CORRISION INHIBITOR PUMPS</t>
    </r>
  </si>
  <si>
    <r>
      <rPr>
        <sz val="6.5"/>
        <rFont val="Arial MT"/>
        <family val="2"/>
      </rPr>
      <t>100-HSAR-001B</t>
    </r>
  </si>
  <si>
    <r>
      <rPr>
        <sz val="6.5"/>
        <rFont val="Arial MT"/>
        <family val="2"/>
      </rPr>
      <t>100-L-628</t>
    </r>
  </si>
  <si>
    <r>
      <rPr>
        <sz val="6.5"/>
        <rFont val="Arial MT"/>
        <family val="2"/>
      </rPr>
      <t>100-LIT-628</t>
    </r>
  </si>
  <si>
    <r>
      <rPr>
        <sz val="6.5"/>
        <rFont val="Arial MT"/>
        <family val="2"/>
      </rPr>
      <t>ON 100-TK-002 KHI INJECTION</t>
    </r>
  </si>
  <si>
    <r>
      <rPr>
        <sz val="6.5"/>
        <rFont val="Arial MT"/>
        <family val="2"/>
      </rPr>
      <t>80289-PRO-PID-1012</t>
    </r>
  </si>
  <si>
    <r>
      <rPr>
        <sz val="6.5"/>
        <rFont val="Arial MT"/>
        <family val="2"/>
      </rPr>
      <t xml:space="preserve">BY KHI INJECTION SKID
</t>
    </r>
    <r>
      <rPr>
        <sz val="6.5"/>
        <rFont val="Arial MT"/>
        <family val="2"/>
      </rPr>
      <t>VENDOR</t>
    </r>
  </si>
  <si>
    <r>
      <rPr>
        <sz val="6.5"/>
        <rFont val="Arial MT"/>
        <family val="2"/>
      </rPr>
      <t>100-H-002</t>
    </r>
  </si>
  <si>
    <r>
      <rPr>
        <sz val="6.5"/>
        <rFont val="Arial MT"/>
        <family val="2"/>
      </rPr>
      <t>100-HSBR-MX-002</t>
    </r>
  </si>
  <si>
    <r>
      <rPr>
        <sz val="6.5"/>
        <rFont val="Arial MT"/>
        <family val="2"/>
      </rPr>
      <t>100-MX-002 KHI TANK MIXER</t>
    </r>
  </si>
  <si>
    <r>
      <rPr>
        <sz val="6.5"/>
        <rFont val="Arial MT"/>
        <family val="2"/>
      </rPr>
      <t>KHI TANK MIXER</t>
    </r>
  </si>
  <si>
    <r>
      <rPr>
        <sz val="6.5"/>
        <rFont val="Arial MT"/>
        <family val="2"/>
      </rPr>
      <t>100-HSAR-MX-002</t>
    </r>
  </si>
  <si>
    <r>
      <rPr>
        <sz val="6.5"/>
        <rFont val="Arial MT"/>
        <family val="2"/>
      </rPr>
      <t>100-P-221A</t>
    </r>
  </si>
  <si>
    <r>
      <rPr>
        <sz val="6.5"/>
        <rFont val="Arial MT"/>
        <family val="2"/>
      </rPr>
      <t>100-PIT-221A</t>
    </r>
  </si>
  <si>
    <r>
      <rPr>
        <sz val="6.5"/>
        <rFont val="Arial MT"/>
        <family val="2"/>
      </rPr>
      <t xml:space="preserve">OUTLET FROM CORROSION INHIBITOR PUMP (100-P-
</t>
    </r>
    <r>
      <rPr>
        <sz val="6.5"/>
        <rFont val="Arial MT"/>
        <family val="2"/>
      </rPr>
      <t>002A )</t>
    </r>
  </si>
  <si>
    <r>
      <rPr>
        <sz val="6.5"/>
        <rFont val="Arial MT"/>
        <family val="2"/>
      </rPr>
      <t>100-P-221B</t>
    </r>
  </si>
  <si>
    <r>
      <rPr>
        <sz val="6.5"/>
        <rFont val="Arial MT"/>
        <family val="2"/>
      </rPr>
      <t>100-PIT-221B</t>
    </r>
  </si>
  <si>
    <r>
      <rPr>
        <sz val="6.5"/>
        <rFont val="Arial MT"/>
        <family val="2"/>
      </rPr>
      <t xml:space="preserve">OUTLET FROM CORROSION INHIBITOR PUMP (100-P-
</t>
    </r>
    <r>
      <rPr>
        <sz val="6.5"/>
        <rFont val="Arial MT"/>
        <family val="2"/>
      </rPr>
      <t>002B )</t>
    </r>
  </si>
  <si>
    <r>
      <rPr>
        <sz val="6.5"/>
        <rFont val="Arial MT"/>
        <family val="2"/>
      </rPr>
      <t>100-H-002A</t>
    </r>
  </si>
  <si>
    <r>
      <rPr>
        <sz val="6.5"/>
        <rFont val="Arial MT"/>
        <family val="2"/>
      </rPr>
      <t>100-HSBR-002A</t>
    </r>
  </si>
  <si>
    <r>
      <rPr>
        <sz val="6.5"/>
        <rFont val="Arial MT"/>
        <family val="2"/>
      </rPr>
      <t>100-P-002A KHI PUMPS</t>
    </r>
  </si>
  <si>
    <r>
      <rPr>
        <sz val="6.5"/>
        <rFont val="Arial MT"/>
        <family val="2"/>
      </rPr>
      <t>KHI SKID</t>
    </r>
  </si>
  <si>
    <r>
      <rPr>
        <sz val="6.5"/>
        <rFont val="Arial MT"/>
        <family val="2"/>
      </rPr>
      <t>100-HSAR-002A</t>
    </r>
  </si>
  <si>
    <r>
      <rPr>
        <sz val="6.5"/>
        <rFont val="Arial MT"/>
        <family val="2"/>
      </rPr>
      <t>100-H-002B</t>
    </r>
  </si>
  <si>
    <r>
      <rPr>
        <sz val="6.5"/>
        <rFont val="Arial MT"/>
        <family val="2"/>
      </rPr>
      <t>100-HSBR-002B</t>
    </r>
  </si>
  <si>
    <r>
      <rPr>
        <sz val="6.5"/>
        <rFont val="Arial MT"/>
        <family val="2"/>
      </rPr>
      <t>100-P-002B KHI PUMPS</t>
    </r>
  </si>
  <si>
    <r>
      <rPr>
        <sz val="6.5"/>
        <rFont val="Arial MT"/>
        <family val="2"/>
      </rPr>
      <t>100-HSAR-002B</t>
    </r>
  </si>
  <si>
    <r>
      <rPr>
        <sz val="6.5"/>
        <rFont val="Arial MT"/>
        <family val="2"/>
      </rPr>
      <t>100-P-223</t>
    </r>
  </si>
  <si>
    <r>
      <rPr>
        <sz val="6.5"/>
        <rFont val="Arial MT"/>
        <family val="2"/>
      </rPr>
      <t>100-PIT-223</t>
    </r>
  </si>
  <si>
    <r>
      <rPr>
        <sz val="6.5"/>
        <rFont val="Arial MT"/>
        <family val="2"/>
      </rPr>
      <t>100-V-004 METHANOL STORAGE VESSEL</t>
    </r>
  </si>
  <si>
    <r>
      <rPr>
        <sz val="6.5"/>
        <rFont val="Arial MT"/>
        <family val="2"/>
      </rPr>
      <t>80289-PRO-PID-1013</t>
    </r>
  </si>
  <si>
    <r>
      <rPr>
        <sz val="6.5"/>
        <rFont val="Arial MT"/>
        <family val="2"/>
      </rPr>
      <t xml:space="preserve">BY METHANOL INJECTION
</t>
    </r>
    <r>
      <rPr>
        <sz val="6.5"/>
        <rFont val="Arial MT"/>
        <family val="2"/>
      </rPr>
      <t>SKID VENDOR</t>
    </r>
  </si>
  <si>
    <r>
      <rPr>
        <sz val="6.5"/>
        <rFont val="Arial MT"/>
        <family val="2"/>
      </rPr>
      <t>100-L-630</t>
    </r>
  </si>
  <si>
    <r>
      <rPr>
        <sz val="6.5"/>
        <rFont val="Arial MT"/>
        <family val="2"/>
      </rPr>
      <t>100-LIT-630</t>
    </r>
  </si>
  <si>
    <r>
      <rPr>
        <sz val="6.5"/>
        <rFont val="Arial MT"/>
        <family val="2"/>
      </rPr>
      <t>ON 100-V-004 METHANOL STORAGE VESSEL</t>
    </r>
  </si>
  <si>
    <r>
      <rPr>
        <sz val="6.5"/>
        <rFont val="Arial MT"/>
        <family val="2"/>
      </rPr>
      <t>100-P-222A</t>
    </r>
  </si>
  <si>
    <r>
      <rPr>
        <sz val="6.5"/>
        <rFont val="Arial MT"/>
        <family val="2"/>
      </rPr>
      <t>100-PIT-222A</t>
    </r>
  </si>
  <si>
    <r>
      <rPr>
        <sz val="6.5"/>
        <rFont val="Arial MT"/>
        <family val="2"/>
      </rPr>
      <t xml:space="preserve">OUTLET FROM CORROSION INHIBITOR PUMP (100-P-
</t>
    </r>
    <r>
      <rPr>
        <sz val="6.5"/>
        <rFont val="Arial MT"/>
        <family val="2"/>
      </rPr>
      <t>003A )</t>
    </r>
  </si>
  <si>
    <r>
      <rPr>
        <sz val="6.5"/>
        <rFont val="Arial MT"/>
        <family val="2"/>
      </rPr>
      <t>100-P-222B</t>
    </r>
  </si>
  <si>
    <r>
      <rPr>
        <sz val="6.5"/>
        <rFont val="Arial MT"/>
        <family val="2"/>
      </rPr>
      <t>100-PIT-222B</t>
    </r>
  </si>
  <si>
    <r>
      <rPr>
        <sz val="6.5"/>
        <rFont val="Arial MT"/>
        <family val="2"/>
      </rPr>
      <t xml:space="preserve">OUTLET FROM CORROSION INHIBITOR PUMP (100-P-
</t>
    </r>
    <r>
      <rPr>
        <sz val="6.5"/>
        <rFont val="Arial MT"/>
        <family val="2"/>
      </rPr>
      <t>003B )</t>
    </r>
  </si>
  <si>
    <r>
      <rPr>
        <sz val="6.5"/>
        <rFont val="Arial MT"/>
        <family val="2"/>
      </rPr>
      <t>100-H-003A</t>
    </r>
  </si>
  <si>
    <r>
      <rPr>
        <sz val="6.5"/>
        <rFont val="Arial MT"/>
        <family val="2"/>
      </rPr>
      <t>100-HSBR-003A</t>
    </r>
  </si>
  <si>
    <r>
      <rPr>
        <sz val="6.5"/>
        <rFont val="Arial MT"/>
        <family val="2"/>
      </rPr>
      <t>100-P-003A METHANOL PUMPS</t>
    </r>
  </si>
  <si>
    <r>
      <rPr>
        <sz val="6.5"/>
        <rFont val="Arial MT"/>
        <family val="2"/>
      </rPr>
      <t>METHANOL PUMP SKID</t>
    </r>
  </si>
  <si>
    <r>
      <rPr>
        <sz val="6.5"/>
        <rFont val="Arial MT"/>
        <family val="2"/>
      </rPr>
      <t>100-HSAR-003A</t>
    </r>
  </si>
  <si>
    <r>
      <rPr>
        <sz val="6.5"/>
        <rFont val="Arial MT"/>
        <family val="2"/>
      </rPr>
      <t>100-H-003B</t>
    </r>
  </si>
  <si>
    <r>
      <rPr>
        <sz val="6.5"/>
        <rFont val="Arial MT"/>
        <family val="2"/>
      </rPr>
      <t>100-HSBR-003B</t>
    </r>
  </si>
  <si>
    <r>
      <rPr>
        <sz val="6.5"/>
        <rFont val="Arial MT"/>
        <family val="2"/>
      </rPr>
      <t>100-P-003B METHANOL PUMPS</t>
    </r>
  </si>
  <si>
    <r>
      <rPr>
        <sz val="6.5"/>
        <rFont val="Arial MT"/>
        <family val="2"/>
      </rPr>
      <t>100-HSAR-003B</t>
    </r>
  </si>
  <si>
    <r>
      <rPr>
        <sz val="6.5"/>
        <rFont val="Arial MT"/>
        <family val="2"/>
      </rPr>
      <t>100-P-218</t>
    </r>
  </si>
  <si>
    <r>
      <rPr>
        <sz val="6.5"/>
        <rFont val="Arial MT"/>
        <family val="2"/>
      </rPr>
      <t>100-PIT-218</t>
    </r>
  </si>
  <si>
    <r>
      <rPr>
        <sz val="6.5"/>
        <rFont val="Arial MT"/>
        <family val="2"/>
      </rPr>
      <t>TO VENT CLOSED DRAIN KNOCKOUT DRUM</t>
    </r>
  </si>
  <si>
    <r>
      <rPr>
        <sz val="6.5"/>
        <rFont val="Arial MT"/>
        <family val="2"/>
      </rPr>
      <t>80289-PRO-PID-1014</t>
    </r>
  </si>
  <si>
    <r>
      <rPr>
        <sz val="6.5"/>
        <rFont val="Arial MT"/>
        <family val="2"/>
      </rPr>
      <t>100-L-631</t>
    </r>
  </si>
  <si>
    <r>
      <rPr>
        <sz val="6.5"/>
        <rFont val="Arial MT"/>
        <family val="2"/>
      </rPr>
      <t>100-LIT-631</t>
    </r>
  </si>
  <si>
    <r>
      <rPr>
        <sz val="6.5"/>
        <rFont val="Arial MT"/>
        <family val="2"/>
      </rPr>
      <t>ON 100-TK-003 SCALE INHIBITOR STORAGE TANK</t>
    </r>
  </si>
  <si>
    <r>
      <rPr>
        <sz val="6.5"/>
        <rFont val="Arial MT"/>
        <family val="2"/>
      </rPr>
      <t>80289-PRO-PID-1015</t>
    </r>
  </si>
  <si>
    <r>
      <rPr>
        <sz val="6.5"/>
        <rFont val="Arial MT"/>
        <family val="2"/>
      </rPr>
      <t xml:space="preserve">BY SCALE INHIBITOR
</t>
    </r>
    <r>
      <rPr>
        <sz val="6.5"/>
        <rFont val="Arial MT"/>
        <family val="2"/>
      </rPr>
      <t>SYSTEM</t>
    </r>
  </si>
  <si>
    <r>
      <rPr>
        <sz val="6.5"/>
        <rFont val="Arial MT"/>
        <family val="2"/>
      </rPr>
      <t>100-H-008</t>
    </r>
  </si>
  <si>
    <r>
      <rPr>
        <sz val="6.5"/>
        <rFont val="Arial MT"/>
        <family val="2"/>
      </rPr>
      <t>100-HSBR-MX-008</t>
    </r>
  </si>
  <si>
    <r>
      <rPr>
        <sz val="6.5"/>
        <rFont val="Arial MT"/>
        <family val="2"/>
      </rPr>
      <t>100-MX-008 SCALE INHIBITOR TANK MIXER</t>
    </r>
  </si>
  <si>
    <r>
      <rPr>
        <sz val="6.5"/>
        <rFont val="Arial MT"/>
        <family val="2"/>
      </rPr>
      <t>SCALE INHIBITOR SKID</t>
    </r>
  </si>
  <si>
    <r>
      <rPr>
        <sz val="6.5"/>
        <rFont val="Arial MT"/>
        <family val="2"/>
      </rPr>
      <t>100-HSAR-MX-008</t>
    </r>
  </si>
  <si>
    <r>
      <rPr>
        <sz val="6.5"/>
        <rFont val="Arial MT"/>
        <family val="2"/>
      </rPr>
      <t>100-P-225A</t>
    </r>
  </si>
  <si>
    <r>
      <rPr>
        <sz val="6.5"/>
        <rFont val="Arial MT"/>
        <family val="2"/>
      </rPr>
      <t>100-PIT-225A</t>
    </r>
  </si>
  <si>
    <r>
      <rPr>
        <sz val="6.5"/>
        <rFont val="Arial MT"/>
        <family val="2"/>
      </rPr>
      <t>DISCHARGE OF 100-P-008A</t>
    </r>
  </si>
  <si>
    <r>
      <rPr>
        <sz val="6.5"/>
        <rFont val="Arial MT"/>
        <family val="2"/>
      </rPr>
      <t>100-P-225B</t>
    </r>
  </si>
  <si>
    <r>
      <rPr>
        <sz val="6.5"/>
        <rFont val="Arial MT"/>
        <family val="2"/>
      </rPr>
      <t>100-PIT-225B</t>
    </r>
  </si>
  <si>
    <r>
      <rPr>
        <sz val="6.5"/>
        <rFont val="Arial MT"/>
        <family val="2"/>
      </rPr>
      <t>DISCHARGE OF 100-P-008B</t>
    </r>
  </si>
  <si>
    <r>
      <rPr>
        <sz val="6.5"/>
        <rFont val="Arial MT"/>
        <family val="2"/>
      </rPr>
      <t>100-H-008A</t>
    </r>
  </si>
  <si>
    <r>
      <rPr>
        <sz val="6.5"/>
        <rFont val="Arial MT"/>
        <family val="2"/>
      </rPr>
      <t>100-HSBR-008A</t>
    </r>
  </si>
  <si>
    <r>
      <rPr>
        <sz val="6.5"/>
        <rFont val="Arial MT"/>
        <family val="2"/>
      </rPr>
      <t>100-P-008A SCALE INHIBITOR PUMPS</t>
    </r>
  </si>
  <si>
    <r>
      <rPr>
        <sz val="6.5"/>
        <rFont val="Arial MT"/>
        <family val="2"/>
      </rPr>
      <t>100-HSAR-008A</t>
    </r>
  </si>
  <si>
    <r>
      <rPr>
        <sz val="6.5"/>
        <rFont val="Arial MT"/>
        <family val="2"/>
      </rPr>
      <t>100-H-008B</t>
    </r>
  </si>
  <si>
    <r>
      <rPr>
        <sz val="6.5"/>
        <rFont val="Arial MT"/>
        <family val="2"/>
      </rPr>
      <t>100-HSBR-008B</t>
    </r>
  </si>
  <si>
    <r>
      <rPr>
        <sz val="6.5"/>
        <rFont val="Arial MT"/>
        <family val="2"/>
      </rPr>
      <t>100-P-008B SCALE INHIBITOR PUMPS</t>
    </r>
  </si>
  <si>
    <r>
      <rPr>
        <sz val="6.5"/>
        <rFont val="Arial MT"/>
        <family val="2"/>
      </rPr>
      <t>100-HSAR-008B</t>
    </r>
  </si>
  <si>
    <r>
      <rPr>
        <sz val="6.5"/>
        <rFont val="Arial MT"/>
        <family val="2"/>
      </rPr>
      <t>100-L-608</t>
    </r>
  </si>
  <si>
    <r>
      <rPr>
        <sz val="6.5"/>
        <rFont val="Arial MT"/>
        <family val="2"/>
      </rPr>
      <t>100-LIT-608</t>
    </r>
  </si>
  <si>
    <r>
      <rPr>
        <sz val="6.5"/>
        <rFont val="Arial MT"/>
        <family val="2"/>
      </rPr>
      <t>100-TK-005 FRESH WATER TANK</t>
    </r>
  </si>
  <si>
    <r>
      <rPr>
        <sz val="6.5"/>
        <rFont val="Arial MT"/>
        <family val="2"/>
      </rPr>
      <t>80289-PRO-PID-1016</t>
    </r>
  </si>
  <si>
    <r>
      <rPr>
        <sz val="6.5"/>
        <rFont val="Arial MT"/>
        <family val="2"/>
      </rPr>
      <t>100-HRN-003</t>
    </r>
  </si>
  <si>
    <r>
      <rPr>
        <sz val="6.5"/>
        <rFont val="Arial MT"/>
        <family val="2"/>
      </rPr>
      <t>100-TK-005 FRESH WATER TANK HORN</t>
    </r>
  </si>
  <si>
    <r>
      <rPr>
        <sz val="6.5"/>
        <rFont val="Arial MT"/>
        <family val="2"/>
      </rPr>
      <t>100-H-004A</t>
    </r>
  </si>
  <si>
    <r>
      <rPr>
        <sz val="6.5"/>
        <rFont val="Arial MT"/>
        <family val="2"/>
      </rPr>
      <t>100-HSBR-004A</t>
    </r>
  </si>
  <si>
    <r>
      <rPr>
        <sz val="6.5"/>
        <rFont val="Arial MT"/>
        <family val="2"/>
      </rPr>
      <t>100-P-004A FRESH WATER PUMPS</t>
    </r>
  </si>
  <si>
    <r>
      <rPr>
        <sz val="6.5"/>
        <rFont val="Arial MT"/>
        <family val="2"/>
      </rPr>
      <t>100-HSAR-004A</t>
    </r>
  </si>
  <si>
    <r>
      <rPr>
        <sz val="6.5"/>
        <rFont val="Arial MT"/>
        <family val="2"/>
      </rPr>
      <t>100-H-004B</t>
    </r>
  </si>
  <si>
    <r>
      <rPr>
        <sz val="6.5"/>
        <rFont val="Arial MT"/>
        <family val="2"/>
      </rPr>
      <t>100-HSBR-004B</t>
    </r>
  </si>
  <si>
    <r>
      <rPr>
        <sz val="6.5"/>
        <rFont val="Arial MT"/>
        <family val="2"/>
      </rPr>
      <t>100-P-004B FRESH WATER PUMPS</t>
    </r>
  </si>
  <si>
    <r>
      <rPr>
        <sz val="6.5"/>
        <rFont val="Arial MT"/>
        <family val="2"/>
      </rPr>
      <t>100-HSAR-004B</t>
    </r>
  </si>
  <si>
    <r>
      <rPr>
        <sz val="6.5"/>
        <rFont val="Arial MT"/>
        <family val="2"/>
      </rPr>
      <t>100-P-214A</t>
    </r>
  </si>
  <si>
    <r>
      <rPr>
        <sz val="6.5"/>
        <rFont val="Arial MT"/>
        <family val="2"/>
      </rPr>
      <t>100-PIT-214A</t>
    </r>
  </si>
  <si>
    <r>
      <rPr>
        <sz val="6.5"/>
        <rFont val="Arial MT"/>
        <family val="2"/>
      </rPr>
      <t>100-P-214B</t>
    </r>
  </si>
  <si>
    <r>
      <rPr>
        <sz val="6.5"/>
        <rFont val="Arial MT"/>
        <family val="2"/>
      </rPr>
      <t>100-PIT-214B</t>
    </r>
  </si>
  <si>
    <r>
      <rPr>
        <sz val="6.5"/>
        <rFont val="Arial MT"/>
        <family val="2"/>
      </rPr>
      <t>DISCHARGE OF 100-P-004B</t>
    </r>
  </si>
  <si>
    <r>
      <rPr>
        <sz val="6.5"/>
        <rFont val="Arial MT"/>
        <family val="2"/>
      </rPr>
      <t>100-P-215</t>
    </r>
  </si>
  <si>
    <r>
      <rPr>
        <sz val="6.5"/>
        <rFont val="Arial MT"/>
        <family val="2"/>
      </rPr>
      <t>100-PIT-215</t>
    </r>
  </si>
  <si>
    <r>
      <rPr>
        <sz val="6.5"/>
        <rFont val="Arial MT"/>
        <family val="2"/>
      </rPr>
      <t>TO ACCOMMODATION MODULE</t>
    </r>
  </si>
  <si>
    <r>
      <rPr>
        <sz val="6.5"/>
        <rFont val="Arial MT"/>
        <family val="2"/>
      </rPr>
      <t>100-T-407</t>
    </r>
  </si>
  <si>
    <r>
      <rPr>
        <sz val="6.5"/>
        <rFont val="Arial MT"/>
        <family val="2"/>
      </rPr>
      <t>100-TIT-407</t>
    </r>
  </si>
  <si>
    <r>
      <rPr>
        <sz val="6.5"/>
        <rFont val="Arial MT"/>
        <family val="2"/>
      </rPr>
      <t>TO WEB PIPELINE PIG LAUNCHER</t>
    </r>
  </si>
  <si>
    <r>
      <rPr>
        <sz val="6.5"/>
        <rFont val="Arial MT"/>
        <family val="2"/>
      </rPr>
      <t>80289-PRO-PID-1017</t>
    </r>
  </si>
  <si>
    <r>
      <rPr>
        <sz val="6.5"/>
        <rFont val="Arial MT"/>
        <family val="2"/>
      </rPr>
      <t>100-P-216</t>
    </r>
  </si>
  <si>
    <r>
      <rPr>
        <sz val="6.5"/>
        <rFont val="Arial MT"/>
        <family val="2"/>
      </rPr>
      <t>100-PIT-216</t>
    </r>
  </si>
  <si>
    <t>Currnet (mA)</t>
  </si>
  <si>
    <r>
      <rPr>
        <sz val="6.5"/>
        <rFont val="Arial MT"/>
        <family val="2"/>
      </rPr>
      <t>100-XL-XX1</t>
    </r>
  </si>
  <si>
    <r>
      <rPr>
        <sz val="6.5"/>
        <rFont val="Arial MT"/>
        <family val="2"/>
      </rPr>
      <t>POWER ON</t>
    </r>
  </si>
  <si>
    <r>
      <rPr>
        <sz val="6.5"/>
        <rFont val="Arial MT"/>
        <family val="2"/>
      </rPr>
      <t>POWER ON LAMP ON ICSS PANEL</t>
    </r>
  </si>
  <si>
    <r>
      <rPr>
        <sz val="6.5"/>
        <rFont val="Arial MT"/>
        <family val="2"/>
      </rPr>
      <t>SIS PANEL</t>
    </r>
  </si>
  <si>
    <r>
      <rPr>
        <sz val="6.5"/>
        <rFont val="Arial MT"/>
        <family val="2"/>
      </rPr>
      <t>SIS</t>
    </r>
  </si>
  <si>
    <t>LED</t>
  </si>
  <si>
    <r>
      <rPr>
        <sz val="6.5"/>
        <rFont val="Arial MT"/>
        <family val="2"/>
      </rPr>
      <t>100-XL-XX2</t>
    </r>
  </si>
  <si>
    <r>
      <rPr>
        <sz val="6.5"/>
        <rFont val="Arial MT"/>
        <family val="2"/>
      </rPr>
      <t>SYSTEM HEALTHY</t>
    </r>
  </si>
  <si>
    <r>
      <rPr>
        <sz val="6.5"/>
        <rFont val="Arial MT"/>
        <family val="2"/>
      </rPr>
      <t>SYSTEM HEALTHY LAMP ON ICSS PANEL</t>
    </r>
  </si>
  <si>
    <r>
      <rPr>
        <sz val="6.5"/>
        <rFont val="Arial MT"/>
        <family val="2"/>
      </rPr>
      <t>100-XL-XX3</t>
    </r>
  </si>
  <si>
    <r>
      <rPr>
        <sz val="6.5"/>
        <rFont val="Arial MT"/>
        <family val="2"/>
      </rPr>
      <t>SYSTEM FAULT</t>
    </r>
  </si>
  <si>
    <r>
      <rPr>
        <sz val="6.5"/>
        <rFont val="Arial MT"/>
        <family val="2"/>
      </rPr>
      <t>SYSTEM FAULT LAMP ON ICSS PANEL</t>
    </r>
  </si>
  <si>
    <r>
      <rPr>
        <sz val="6.5"/>
        <rFont val="Arial MT"/>
        <family val="2"/>
      </rPr>
      <t>100-XL-XX4</t>
    </r>
  </si>
  <si>
    <r>
      <rPr>
        <sz val="6.5"/>
        <rFont val="Arial MT"/>
        <family val="2"/>
      </rPr>
      <t>ESD STATUS</t>
    </r>
  </si>
  <si>
    <r>
      <rPr>
        <sz val="6.5"/>
        <rFont val="Arial MT"/>
        <family val="2"/>
      </rPr>
      <t>ESD STATUS LAMP ON ICSS PANEL</t>
    </r>
  </si>
  <si>
    <r>
      <rPr>
        <sz val="6.5"/>
        <rFont val="Arial MT"/>
        <family val="2"/>
      </rPr>
      <t>100-XL-XX5</t>
    </r>
  </si>
  <si>
    <r>
      <rPr>
        <sz val="6.5"/>
        <rFont val="Arial MT"/>
        <family val="2"/>
      </rPr>
      <t>PSD STATUS</t>
    </r>
  </si>
  <si>
    <r>
      <rPr>
        <sz val="6.5"/>
        <rFont val="Arial MT"/>
        <family val="2"/>
      </rPr>
      <t>PSD STATUS LAMP ON ICSS PANEL</t>
    </r>
  </si>
  <si>
    <r>
      <rPr>
        <sz val="6.5"/>
        <rFont val="Arial MT"/>
        <family val="2"/>
      </rPr>
      <t>100-XL-XX6</t>
    </r>
  </si>
  <si>
    <r>
      <rPr>
        <sz val="6.5"/>
        <rFont val="Arial MT"/>
        <family val="2"/>
      </rPr>
      <t>SPARE</t>
    </r>
  </si>
  <si>
    <r>
      <rPr>
        <sz val="6.5"/>
        <rFont val="Arial MT"/>
        <family val="2"/>
      </rPr>
      <t>SPARE LAMP ON ICSS PANEL</t>
    </r>
  </si>
  <si>
    <r>
      <rPr>
        <sz val="6.5"/>
        <rFont val="Arial MT"/>
        <family val="2"/>
      </rPr>
      <t>100-XL-XX7</t>
    </r>
  </si>
  <si>
    <r>
      <rPr>
        <sz val="6.5"/>
        <rFont val="Arial MT"/>
        <family val="2"/>
      </rPr>
      <t>100-XL-XX8</t>
    </r>
  </si>
  <si>
    <r>
      <rPr>
        <sz val="6.5"/>
        <rFont val="Arial MT"/>
        <family val="2"/>
      </rPr>
      <t>OVERRIDE STATUS</t>
    </r>
  </si>
  <si>
    <r>
      <rPr>
        <sz val="6.5"/>
        <rFont val="Arial MT"/>
        <family val="2"/>
      </rPr>
      <t>OVERRIDE STATUS LAMP ON ICSS PANEL</t>
    </r>
  </si>
  <si>
    <r>
      <rPr>
        <sz val="6.5"/>
        <rFont val="Arial MT"/>
        <family val="2"/>
      </rPr>
      <t>100-XL-XX9</t>
    </r>
  </si>
  <si>
    <r>
      <rPr>
        <sz val="6.5"/>
        <rFont val="Arial MT"/>
        <family val="2"/>
      </rPr>
      <t xml:space="preserve">MAINTENANCE OVERRIDE
</t>
    </r>
    <r>
      <rPr>
        <sz val="6.5"/>
        <rFont val="Arial MT"/>
        <family val="2"/>
      </rPr>
      <t>STATUS</t>
    </r>
  </si>
  <si>
    <r>
      <rPr>
        <sz val="6.5"/>
        <rFont val="Arial MT"/>
        <family val="2"/>
      </rPr>
      <t xml:space="preserve">MAINTENANCE OVERRIDE STATUS LAMP ON ICSS
</t>
    </r>
    <r>
      <rPr>
        <sz val="6.5"/>
        <rFont val="Arial MT"/>
        <family val="2"/>
      </rPr>
      <t>PANEL</t>
    </r>
  </si>
  <si>
    <r>
      <rPr>
        <sz val="6.5"/>
        <rFont val="Arial MT"/>
        <family val="2"/>
      </rPr>
      <t>100-XL-X11</t>
    </r>
  </si>
  <si>
    <r>
      <rPr>
        <sz val="6.5"/>
        <rFont val="Arial MT"/>
        <family val="2"/>
      </rPr>
      <t>100-XL-X12</t>
    </r>
  </si>
  <si>
    <r>
      <rPr>
        <sz val="6.5"/>
        <rFont val="Arial MT"/>
        <family val="2"/>
      </rPr>
      <t>100-XL-X13</t>
    </r>
  </si>
  <si>
    <r>
      <rPr>
        <sz val="6.5"/>
        <rFont val="Arial MT"/>
        <family val="2"/>
      </rPr>
      <t>100-XL-X14</t>
    </r>
  </si>
  <si>
    <r>
      <rPr>
        <sz val="6.5"/>
        <rFont val="Arial MT"/>
        <family val="2"/>
      </rPr>
      <t>100-PB-XX1</t>
    </r>
  </si>
  <si>
    <r>
      <rPr>
        <sz val="6.5"/>
        <rFont val="Arial MT"/>
        <family val="2"/>
      </rPr>
      <t xml:space="preserve">ACKNOWLEDGEMENT-PUSH
</t>
    </r>
    <r>
      <rPr>
        <sz val="6.5"/>
        <rFont val="Arial MT"/>
        <family val="2"/>
      </rPr>
      <t>BUTTON</t>
    </r>
  </si>
  <si>
    <r>
      <rPr>
        <sz val="6.5"/>
        <rFont val="Arial MT"/>
        <family val="2"/>
      </rPr>
      <t>ACKNOWLEDGEMENT-PUSH BUTTON ON ICSS PANEL</t>
    </r>
  </si>
  <si>
    <t>PB</t>
  </si>
  <si>
    <r>
      <rPr>
        <sz val="6.5"/>
        <rFont val="Arial MT"/>
        <family val="2"/>
      </rPr>
      <t>100-PB-XX2</t>
    </r>
  </si>
  <si>
    <r>
      <rPr>
        <sz val="6.5"/>
        <rFont val="Arial MT"/>
        <family val="2"/>
      </rPr>
      <t>LAMP TEST-PUSH BUTTON</t>
    </r>
  </si>
  <si>
    <r>
      <rPr>
        <sz val="6.5"/>
        <rFont val="Arial MT"/>
        <family val="2"/>
      </rPr>
      <t>LAMP TEST-PUSH BUTTON ON ICSS PANEL</t>
    </r>
  </si>
  <si>
    <r>
      <rPr>
        <sz val="6.5"/>
        <rFont val="Arial MT"/>
        <family val="2"/>
      </rPr>
      <t>100-PB-XX3</t>
    </r>
  </si>
  <si>
    <r>
      <rPr>
        <sz val="6.5"/>
        <rFont val="Arial MT"/>
        <family val="2"/>
      </rPr>
      <t>ESD-PUSH BUTTON</t>
    </r>
  </si>
  <si>
    <r>
      <rPr>
        <sz val="6.5"/>
        <rFont val="Arial MT"/>
        <family val="2"/>
      </rPr>
      <t>ESD-PUSH BUTTON ON ICSS PANEL</t>
    </r>
  </si>
  <si>
    <r>
      <rPr>
        <sz val="6.5"/>
        <rFont val="Arial MT"/>
        <family val="2"/>
      </rPr>
      <t>100-PB-XX4</t>
    </r>
  </si>
  <si>
    <r>
      <rPr>
        <sz val="6.5"/>
        <rFont val="Arial MT"/>
        <family val="2"/>
      </rPr>
      <t>PSD-PUSH BUTTON</t>
    </r>
  </si>
  <si>
    <r>
      <rPr>
        <sz val="6.5"/>
        <rFont val="Arial MT"/>
        <family val="2"/>
      </rPr>
      <t>PSD-PUSH BUTTON ON ICSS PANEL</t>
    </r>
  </si>
  <si>
    <r>
      <rPr>
        <sz val="6.5"/>
        <rFont val="Arial MT"/>
        <family val="2"/>
      </rPr>
      <t>100-PB-XX6</t>
    </r>
  </si>
  <si>
    <r>
      <rPr>
        <sz val="6.5"/>
        <rFont val="Arial MT"/>
        <family val="2"/>
      </rPr>
      <t>START-UP OVERRIDE KEYSWITCH</t>
    </r>
  </si>
  <si>
    <r>
      <rPr>
        <sz val="6.5"/>
        <rFont val="Arial MT"/>
        <family val="2"/>
      </rPr>
      <t>START-UP OVERRIDE KEYSWITCH ON ICSS PANEL</t>
    </r>
  </si>
  <si>
    <r>
      <rPr>
        <sz val="6.5"/>
        <rFont val="Arial MT"/>
        <family val="2"/>
      </rPr>
      <t>100-PB-XX7</t>
    </r>
  </si>
  <si>
    <r>
      <rPr>
        <sz val="6.5"/>
        <rFont val="Arial MT"/>
        <family val="2"/>
      </rPr>
      <t xml:space="preserve">MAINTENANCE OVERRIDE
</t>
    </r>
    <r>
      <rPr>
        <sz val="6.5"/>
        <rFont val="Arial MT"/>
        <family val="2"/>
      </rPr>
      <t>KEYSWITCH</t>
    </r>
  </si>
  <si>
    <r>
      <rPr>
        <sz val="6.5"/>
        <rFont val="Arial MT"/>
        <family val="2"/>
      </rPr>
      <t xml:space="preserve">MAINTENANCE OVERRIDE KEYSWITCH ON ICSS
</t>
    </r>
    <r>
      <rPr>
        <sz val="6.5"/>
        <rFont val="Arial MT"/>
        <family val="2"/>
      </rPr>
      <t>PANEL</t>
    </r>
  </si>
  <si>
    <r>
      <rPr>
        <sz val="6.5"/>
        <rFont val="Arial MT"/>
        <family val="2"/>
      </rPr>
      <t>100-PB-XX9</t>
    </r>
  </si>
  <si>
    <r>
      <rPr>
        <sz val="6.5"/>
        <rFont val="Arial MT"/>
        <family val="2"/>
      </rPr>
      <t>LOCAL / REMOTE KEYSWITCH</t>
    </r>
  </si>
  <si>
    <r>
      <rPr>
        <sz val="6.5"/>
        <rFont val="Arial MT"/>
        <family val="2"/>
      </rPr>
      <t>LOCAL / REMOTE KEYSWITCH ON ICSS PANEL</t>
    </r>
  </si>
  <si>
    <r>
      <rPr>
        <sz val="6.5"/>
        <rFont val="Arial MT"/>
        <family val="2"/>
      </rPr>
      <t>100-PB-X10</t>
    </r>
  </si>
  <si>
    <r>
      <rPr>
        <sz val="6.5"/>
        <rFont val="Arial MT"/>
        <family val="2"/>
      </rPr>
      <t>ESD RESET-PUSH BUTTON</t>
    </r>
  </si>
  <si>
    <r>
      <rPr>
        <sz val="6.5"/>
        <rFont val="Arial MT"/>
        <family val="2"/>
      </rPr>
      <t>ESD RESET-PUSH BUTTON ON ICSS PANEL</t>
    </r>
  </si>
  <si>
    <r>
      <rPr>
        <sz val="6.5"/>
        <rFont val="Arial MT"/>
        <family val="2"/>
      </rPr>
      <t>100-PB-X11</t>
    </r>
  </si>
  <si>
    <r>
      <rPr>
        <sz val="6.5"/>
        <rFont val="Arial MT"/>
        <family val="2"/>
      </rPr>
      <t>PSD RESET-PUSH BUTTON</t>
    </r>
  </si>
  <si>
    <r>
      <rPr>
        <sz val="6.5"/>
        <rFont val="Arial MT"/>
        <family val="2"/>
      </rPr>
      <t>PSD RESET-PUSH BUTTON ON ICSS PANEL</t>
    </r>
  </si>
  <si>
    <r>
      <rPr>
        <sz val="6.5"/>
        <rFont val="Arial MT"/>
        <family val="2"/>
      </rPr>
      <t>100-PB-X12</t>
    </r>
  </si>
  <si>
    <r>
      <rPr>
        <sz val="6.5"/>
        <rFont val="Arial MT"/>
        <family val="2"/>
      </rPr>
      <t>LSD RESET-PUSH BUTTON</t>
    </r>
  </si>
  <si>
    <r>
      <rPr>
        <sz val="6.5"/>
        <rFont val="Arial MT"/>
        <family val="2"/>
      </rPr>
      <t>LSD RESET-PUSH BUTTON ON ICSS PANEL</t>
    </r>
  </si>
  <si>
    <r>
      <rPr>
        <sz val="6.5"/>
        <rFont val="Arial MT"/>
        <family val="2"/>
      </rPr>
      <t>100-PB-X13</t>
    </r>
  </si>
  <si>
    <r>
      <rPr>
        <sz val="6.5"/>
        <rFont val="Arial MT"/>
        <family val="2"/>
      </rPr>
      <t>SPARE -KEYSWITCH</t>
    </r>
  </si>
  <si>
    <r>
      <rPr>
        <sz val="6.5"/>
        <rFont val="Arial MT"/>
        <family val="2"/>
      </rPr>
      <t>SPARE -KEYSWITCH ON ICSS PANEL</t>
    </r>
  </si>
  <si>
    <r>
      <rPr>
        <sz val="6.5"/>
        <rFont val="Arial MT"/>
        <family val="2"/>
      </rPr>
      <t>100-PB-X14</t>
    </r>
  </si>
  <si>
    <r>
      <rPr>
        <sz val="6.5"/>
        <rFont val="Arial MT"/>
        <family val="2"/>
      </rPr>
      <t>100-PB-X15</t>
    </r>
  </si>
  <si>
    <r>
      <rPr>
        <sz val="6.5"/>
        <rFont val="Arial MT"/>
        <family val="2"/>
      </rPr>
      <t>100-PB-X16</t>
    </r>
  </si>
  <si>
    <r>
      <rPr>
        <sz val="6.5"/>
        <rFont val="Arial MT"/>
        <family val="2"/>
      </rPr>
      <t>100-PB-X17</t>
    </r>
  </si>
  <si>
    <r>
      <rPr>
        <sz val="6.5"/>
        <rFont val="Arial MT"/>
        <family val="2"/>
      </rPr>
      <t>SPARE -PUSH BUTTON</t>
    </r>
  </si>
  <si>
    <r>
      <rPr>
        <sz val="6.5"/>
        <rFont val="Arial MT"/>
        <family val="2"/>
      </rPr>
      <t>SPARE -PUSH BUTTON ON ICSS PANEL</t>
    </r>
  </si>
  <si>
    <r>
      <rPr>
        <sz val="6.5"/>
        <rFont val="Arial MT"/>
        <family val="2"/>
      </rPr>
      <t>100-PB-X18</t>
    </r>
  </si>
  <si>
    <r>
      <rPr>
        <sz val="6.5"/>
        <rFont val="Arial MT"/>
        <family val="2"/>
      </rPr>
      <t>100-HS-ESD-001</t>
    </r>
  </si>
  <si>
    <r>
      <rPr>
        <sz val="6.5"/>
        <rFont val="Arial MT"/>
        <family val="2"/>
      </rPr>
      <t>ESD SHUTDOWN</t>
    </r>
  </si>
  <si>
    <r>
      <rPr>
        <sz val="6.5"/>
        <rFont val="Arial MT"/>
        <family val="2"/>
      </rPr>
      <t>100-HS-ESD-002</t>
    </r>
  </si>
  <si>
    <r>
      <rPr>
        <sz val="6.5"/>
        <rFont val="Arial MT"/>
        <family val="2"/>
      </rPr>
      <t>100-HS-ESD-003</t>
    </r>
  </si>
  <si>
    <r>
      <rPr>
        <sz val="6.5"/>
        <rFont val="Arial MT"/>
        <family val="2"/>
      </rPr>
      <t>100-HS-ESD-004</t>
    </r>
  </si>
  <si>
    <r>
      <rPr>
        <sz val="6.5"/>
        <rFont val="Arial MT"/>
        <family val="2"/>
      </rPr>
      <t>100-HS-ESD-005</t>
    </r>
  </si>
  <si>
    <r>
      <rPr>
        <sz val="6.5"/>
        <rFont val="Arial MT"/>
        <family val="2"/>
      </rPr>
      <t>100-HS-ESD-006</t>
    </r>
  </si>
  <si>
    <r>
      <rPr>
        <sz val="6.5"/>
        <rFont val="Arial MT"/>
        <family val="2"/>
      </rPr>
      <t>100-XS-009</t>
    </r>
  </si>
  <si>
    <r>
      <rPr>
        <sz val="6.5"/>
        <rFont val="Arial MT"/>
        <family val="2"/>
      </rPr>
      <t>ESD SIGNAL TO PAGA</t>
    </r>
  </si>
  <si>
    <r>
      <rPr>
        <sz val="6.5"/>
        <rFont val="Arial MT"/>
        <family val="2"/>
      </rPr>
      <t>PAGA</t>
    </r>
  </si>
  <si>
    <r>
      <rPr>
        <sz val="6.5"/>
        <rFont val="Arial MT"/>
        <family val="2"/>
      </rPr>
      <t>DP (NE)</t>
    </r>
  </si>
  <si>
    <r>
      <rPr>
        <sz val="6.5"/>
        <rFont val="Arial MT"/>
        <family val="2"/>
      </rPr>
      <t>100-XS-012</t>
    </r>
  </si>
  <si>
    <r>
      <rPr>
        <sz val="6.5"/>
        <rFont val="Arial MT"/>
        <family val="2"/>
      </rPr>
      <t>TOTAL POWER LOSS STATUS</t>
    </r>
  </si>
  <si>
    <r>
      <rPr>
        <sz val="6.5"/>
        <rFont val="Arial MT"/>
        <family val="2"/>
      </rPr>
      <t>100-XS-013</t>
    </r>
  </si>
  <si>
    <r>
      <rPr>
        <sz val="6.5"/>
        <rFont val="Arial MT"/>
        <family val="2"/>
      </rPr>
      <t>COMMUNICATION LOSS IN WDDM STATUS</t>
    </r>
  </si>
  <si>
    <r>
      <rPr>
        <sz val="6.5"/>
        <rFont val="Arial MT"/>
        <family val="2"/>
      </rPr>
      <t>TELE</t>
    </r>
  </si>
  <si>
    <r>
      <rPr>
        <sz val="6.5"/>
        <rFont val="Arial MT"/>
        <family val="2"/>
      </rPr>
      <t>100-HS-ESD-007</t>
    </r>
  </si>
  <si>
    <r>
      <rPr>
        <sz val="6.5"/>
        <rFont val="Arial MT"/>
        <family val="2"/>
      </rPr>
      <t>100-HS-ESD-008</t>
    </r>
  </si>
  <si>
    <r>
      <rPr>
        <sz val="6.5"/>
        <rFont val="Arial MT"/>
        <family val="2"/>
      </rPr>
      <t>100-SV-XXX</t>
    </r>
  </si>
  <si>
    <r>
      <rPr>
        <sz val="6.5"/>
        <rFont val="Arial MT"/>
        <family val="2"/>
      </rPr>
      <t>100-V-006A ACTUATION BOTTLE</t>
    </r>
  </si>
  <si>
    <r>
      <rPr>
        <sz val="6.5"/>
        <rFont val="Arial MT"/>
        <family val="2"/>
      </rPr>
      <t>100-L-603</t>
    </r>
  </si>
  <si>
    <r>
      <rPr>
        <sz val="6.5"/>
        <rFont val="Arial MT"/>
        <family val="2"/>
      </rPr>
      <t>100-LZIT-603</t>
    </r>
  </si>
  <si>
    <r>
      <rPr>
        <sz val="6.5"/>
        <rFont val="Arial MT"/>
        <family val="2"/>
      </rPr>
      <t>LEVEL SAFETY TRANSMITTER</t>
    </r>
  </si>
  <si>
    <r>
      <rPr>
        <sz val="6.5"/>
        <rFont val="Arial MT"/>
        <family val="2"/>
      </rPr>
      <t>HYDRAULIC OIL LEVEL T-001</t>
    </r>
  </si>
  <si>
    <r>
      <rPr>
        <sz val="6.5"/>
        <rFont val="Arial MT"/>
        <family val="2"/>
      </rPr>
      <t>80289-INC-DGM-1001</t>
    </r>
  </si>
  <si>
    <r>
      <rPr>
        <sz val="6.5"/>
        <rFont val="Arial MT"/>
        <family val="2"/>
      </rPr>
      <t>100-LZIT-604</t>
    </r>
  </si>
  <si>
    <r>
      <rPr>
        <sz val="6.5"/>
        <rFont val="Arial MT"/>
        <family val="2"/>
      </rPr>
      <t>HYDRAULIC OIL LEVEL T-002</t>
    </r>
  </si>
  <si>
    <r>
      <rPr>
        <sz val="6.5"/>
        <rFont val="Arial MT"/>
        <family val="2"/>
      </rPr>
      <t>100-P-606</t>
    </r>
  </si>
  <si>
    <r>
      <rPr>
        <sz val="6.5"/>
        <rFont val="Arial MT"/>
        <family val="2"/>
      </rPr>
      <t>100-PZIT-606</t>
    </r>
  </si>
  <si>
    <r>
      <rPr>
        <sz val="6.5"/>
        <rFont val="Arial MT"/>
        <family val="2"/>
      </rPr>
      <t xml:space="preserve">PRESSURE SAFETY
</t>
    </r>
    <r>
      <rPr>
        <sz val="6.5"/>
        <rFont val="Arial MT"/>
        <family val="2"/>
      </rPr>
      <t>TRANSMITTER</t>
    </r>
  </si>
  <si>
    <r>
      <rPr>
        <sz val="6.5"/>
        <rFont val="Arial MT"/>
        <family val="2"/>
      </rPr>
      <t>100-P-608</t>
    </r>
  </si>
  <si>
    <r>
      <rPr>
        <sz val="6.5"/>
        <rFont val="Arial MT"/>
        <family val="2"/>
      </rPr>
      <t>100-PZIT-608</t>
    </r>
  </si>
  <si>
    <r>
      <rPr>
        <sz val="6.5"/>
        <rFont val="Arial MT"/>
        <family val="2"/>
      </rPr>
      <t>100-P-613</t>
    </r>
  </si>
  <si>
    <r>
      <rPr>
        <sz val="6.5"/>
        <rFont val="Arial MT"/>
        <family val="2"/>
      </rPr>
      <t>100-PZIT-613</t>
    </r>
  </si>
  <si>
    <r>
      <rPr>
        <sz val="6.5"/>
        <rFont val="Arial MT"/>
        <family val="2"/>
      </rPr>
      <t>100-P-614</t>
    </r>
  </si>
  <si>
    <r>
      <rPr>
        <sz val="6.5"/>
        <rFont val="Arial MT"/>
        <family val="2"/>
      </rPr>
      <t>100-PZIT-614</t>
    </r>
  </si>
  <si>
    <r>
      <rPr>
        <sz val="6.5"/>
        <rFont val="Arial MT"/>
        <family val="2"/>
      </rPr>
      <t>100-P-615A</t>
    </r>
  </si>
  <si>
    <r>
      <rPr>
        <sz val="6.5"/>
        <rFont val="Arial MT"/>
        <family val="2"/>
      </rPr>
      <t>100-PZIT-615A</t>
    </r>
  </si>
  <si>
    <r>
      <rPr>
        <sz val="6.5"/>
        <rFont val="Arial MT"/>
        <family val="2"/>
      </rPr>
      <t>FUSIBLE LOOP PRESSURE</t>
    </r>
  </si>
  <si>
    <r>
      <rPr>
        <sz val="6.5"/>
        <rFont val="Arial MT"/>
        <family val="2"/>
      </rPr>
      <t>100-P-615B</t>
    </r>
  </si>
  <si>
    <r>
      <rPr>
        <sz val="6.5"/>
        <rFont val="Arial MT"/>
        <family val="2"/>
      </rPr>
      <t>100-PZIT-615B</t>
    </r>
  </si>
  <si>
    <r>
      <rPr>
        <sz val="6.5"/>
        <rFont val="Arial MT"/>
        <family val="2"/>
      </rPr>
      <t>100-XS-006A</t>
    </r>
  </si>
  <si>
    <r>
      <rPr>
        <sz val="6.5"/>
        <rFont val="Arial MT"/>
        <family val="2"/>
      </rPr>
      <t>ESD TRIP</t>
    </r>
  </si>
  <si>
    <r>
      <rPr>
        <sz val="6.5"/>
        <rFont val="Arial MT"/>
        <family val="2"/>
      </rPr>
      <t>100-XS-006B</t>
    </r>
  </si>
  <si>
    <r>
      <rPr>
        <sz val="6.5"/>
        <rFont val="Arial MT"/>
        <family val="2"/>
      </rPr>
      <t>100-XS-007A</t>
    </r>
  </si>
  <si>
    <r>
      <rPr>
        <sz val="6.5"/>
        <rFont val="Arial MT"/>
        <family val="2"/>
      </rPr>
      <t>100-XS-007B</t>
    </r>
  </si>
  <si>
    <r>
      <rPr>
        <sz val="6.5"/>
        <rFont val="Arial MT"/>
        <family val="2"/>
      </rPr>
      <t>100-S-XX1</t>
    </r>
  </si>
  <si>
    <r>
      <rPr>
        <sz val="6.5"/>
        <rFont val="Arial MT"/>
        <family val="2"/>
      </rPr>
      <t>100-SY-XX1</t>
    </r>
  </si>
  <si>
    <r>
      <rPr>
        <sz val="6.5"/>
        <rFont val="Arial MT"/>
        <family val="2"/>
      </rPr>
      <t>REMOTE ESD</t>
    </r>
  </si>
  <si>
    <t>SOV</t>
  </si>
  <si>
    <r>
      <rPr>
        <sz val="6.5"/>
        <rFont val="Arial MT"/>
        <family val="2"/>
      </rPr>
      <t>100-S-XX2</t>
    </r>
  </si>
  <si>
    <r>
      <rPr>
        <sz val="6.5"/>
        <rFont val="Arial MT"/>
        <family val="2"/>
      </rPr>
      <t>100-SY-XX2</t>
    </r>
  </si>
  <si>
    <r>
      <rPr>
        <sz val="6.5"/>
        <rFont val="Arial MT"/>
        <family val="2"/>
      </rPr>
      <t>100-S-XX3</t>
    </r>
  </si>
  <si>
    <r>
      <rPr>
        <sz val="6.5"/>
        <rFont val="Arial MT"/>
        <family val="2"/>
      </rPr>
      <t>100-SY-XX3</t>
    </r>
  </si>
  <si>
    <r>
      <rPr>
        <sz val="6.5"/>
        <rFont val="Arial MT"/>
        <family val="2"/>
      </rPr>
      <t>REMOTE PSD</t>
    </r>
  </si>
  <si>
    <r>
      <rPr>
        <sz val="6.5"/>
        <rFont val="Arial MT"/>
        <family val="2"/>
      </rPr>
      <t>100-S-XX4</t>
    </r>
  </si>
  <si>
    <r>
      <rPr>
        <sz val="6.5"/>
        <rFont val="Arial MT"/>
        <family val="2"/>
      </rPr>
      <t>100-SY-XX4</t>
    </r>
  </si>
  <si>
    <r>
      <rPr>
        <sz val="6.5"/>
        <rFont val="Arial MT"/>
        <family val="2"/>
      </rPr>
      <t>100-P-616</t>
    </r>
  </si>
  <si>
    <r>
      <rPr>
        <sz val="6.5"/>
        <rFont val="Arial MT"/>
        <family val="2"/>
      </rPr>
      <t>100-PZIT-616</t>
    </r>
  </si>
  <si>
    <r>
      <rPr>
        <sz val="6.5"/>
        <rFont val="Arial MT"/>
        <family val="2"/>
      </rPr>
      <t>ESD HEADER HYDRAULIC OIL PRESSURE</t>
    </r>
  </si>
  <si>
    <r>
      <rPr>
        <sz val="6.5"/>
        <rFont val="Arial MT"/>
        <family val="2"/>
      </rPr>
      <t>100-P-617</t>
    </r>
  </si>
  <si>
    <r>
      <rPr>
        <sz val="6.5"/>
        <rFont val="Arial MT"/>
        <family val="2"/>
      </rPr>
      <t>100-PZIT-617</t>
    </r>
  </si>
  <si>
    <r>
      <rPr>
        <sz val="6.5"/>
        <rFont val="Arial MT"/>
        <family val="2"/>
      </rPr>
      <t>PSD HEADER HYDRAULIC OIL PRESSURE</t>
    </r>
  </si>
  <si>
    <r>
      <rPr>
        <sz val="6.5"/>
        <rFont val="Arial MT"/>
        <family val="2"/>
      </rPr>
      <t>100-SY-W901A</t>
    </r>
  </si>
  <si>
    <r>
      <rPr>
        <sz val="6.5"/>
        <rFont val="Arial MT"/>
        <family val="2"/>
      </rPr>
      <t>100-S-W902A</t>
    </r>
  </si>
  <si>
    <r>
      <rPr>
        <sz val="6.5"/>
        <rFont val="Arial MT"/>
        <family val="2"/>
      </rPr>
      <t>100-SY-W902A</t>
    </r>
  </si>
  <si>
    <r>
      <rPr>
        <sz val="6.5"/>
        <rFont val="Arial MT"/>
        <family val="2"/>
      </rPr>
      <t>100-SSV-W902A SURFACE SAFETY VALVE</t>
    </r>
  </si>
  <si>
    <r>
      <rPr>
        <sz val="6.5"/>
        <rFont val="Arial MT"/>
        <family val="2"/>
      </rPr>
      <t>100-S-W903A</t>
    </r>
  </si>
  <si>
    <r>
      <rPr>
        <sz val="6.5"/>
        <rFont val="Arial MT"/>
        <family val="2"/>
      </rPr>
      <t>100-SY-W903A</t>
    </r>
  </si>
  <si>
    <r>
      <rPr>
        <sz val="6.5"/>
        <rFont val="Arial MT"/>
        <family val="2"/>
      </rPr>
      <t>100-SDV-W903A SHUT DOWN VALVE</t>
    </r>
  </si>
  <si>
    <r>
      <rPr>
        <sz val="6.5"/>
        <rFont val="Arial MT"/>
        <family val="2"/>
      </rPr>
      <t>100-P-W201A</t>
    </r>
  </si>
  <si>
    <r>
      <rPr>
        <sz val="6.5"/>
        <rFont val="Arial MT"/>
        <family val="2"/>
      </rPr>
      <t>100-PZIT-W201A</t>
    </r>
  </si>
  <si>
    <r>
      <rPr>
        <sz val="6.5"/>
        <rFont val="Arial MT"/>
        <family val="2"/>
      </rPr>
      <t>100-SSSV-W901A  HYDRAULIC CONTROL PRESSURE</t>
    </r>
  </si>
  <si>
    <r>
      <rPr>
        <sz val="6.5"/>
        <rFont val="Arial MT"/>
        <family val="2"/>
      </rPr>
      <t>100-P-W202A</t>
    </r>
  </si>
  <si>
    <r>
      <rPr>
        <sz val="6.5"/>
        <rFont val="Arial MT"/>
        <family val="2"/>
      </rPr>
      <t>100-PZIT-W202A</t>
    </r>
  </si>
  <si>
    <r>
      <rPr>
        <sz val="6.5"/>
        <rFont val="Arial MT"/>
        <family val="2"/>
      </rPr>
      <t>100-SSV-W902A  HYDRAULIC CONTROL PRESSURE</t>
    </r>
  </si>
  <si>
    <r>
      <rPr>
        <sz val="6.5"/>
        <rFont val="Arial MT"/>
        <family val="2"/>
      </rPr>
      <t>100-P-W203A</t>
    </r>
  </si>
  <si>
    <r>
      <rPr>
        <sz val="6.5"/>
        <rFont val="Arial MT"/>
        <family val="2"/>
      </rPr>
      <t>100-PZIT-W203A</t>
    </r>
  </si>
  <si>
    <r>
      <rPr>
        <sz val="6.5"/>
        <rFont val="Arial MT"/>
        <family val="2"/>
      </rPr>
      <t>100-SDV-W903A   HYDRAULIC CONTROL PRESSURE</t>
    </r>
  </si>
  <si>
    <r>
      <rPr>
        <sz val="6.5"/>
        <rFont val="Arial MT"/>
        <family val="2"/>
      </rPr>
      <t>100-P-W208A</t>
    </r>
  </si>
  <si>
    <r>
      <rPr>
        <sz val="6.5"/>
        <rFont val="Arial MT"/>
        <family val="2"/>
      </rPr>
      <t>100-PZIT-W208A</t>
    </r>
  </si>
  <si>
    <r>
      <rPr>
        <sz val="6.5"/>
        <rFont val="Arial MT"/>
        <family val="2"/>
      </rPr>
      <t>TO WEB PLATFORM MANIFOLD</t>
    </r>
  </si>
  <si>
    <r>
      <rPr>
        <sz val="6.5"/>
        <rFont val="Arial MT"/>
        <family val="2"/>
      </rPr>
      <t>100-P-W207A</t>
    </r>
  </si>
  <si>
    <r>
      <rPr>
        <sz val="6.5"/>
        <rFont val="Arial MT"/>
        <family val="2"/>
      </rPr>
      <t>100-PZIT-W207A</t>
    </r>
  </si>
  <si>
    <r>
      <rPr>
        <sz val="6.5"/>
        <rFont val="Arial MT"/>
        <family val="2"/>
      </rPr>
      <t>100-SY-W901B</t>
    </r>
  </si>
  <si>
    <r>
      <rPr>
        <sz val="6.5"/>
        <rFont val="Arial MT"/>
        <family val="2"/>
      </rPr>
      <t>100-SSSV-W901B SUB SURFACE SAFETY VALVE</t>
    </r>
  </si>
  <si>
    <r>
      <rPr>
        <sz val="6.5"/>
        <rFont val="Arial MT"/>
        <family val="2"/>
      </rPr>
      <t>100-S-W902B</t>
    </r>
  </si>
  <si>
    <r>
      <rPr>
        <sz val="6.5"/>
        <rFont val="Arial MT"/>
        <family val="2"/>
      </rPr>
      <t>100-SY-W902B</t>
    </r>
  </si>
  <si>
    <r>
      <rPr>
        <sz val="6.5"/>
        <rFont val="Arial MT"/>
        <family val="2"/>
      </rPr>
      <t>100-SSV-W902B SURFACE SAFETY VALVE</t>
    </r>
  </si>
  <si>
    <r>
      <rPr>
        <sz val="6.5"/>
        <rFont val="Arial MT"/>
        <family val="2"/>
      </rPr>
      <t>100-S-W903B</t>
    </r>
  </si>
  <si>
    <r>
      <rPr>
        <sz val="6.5"/>
        <rFont val="Arial MT"/>
        <family val="2"/>
      </rPr>
      <t>100-SY-W903B</t>
    </r>
  </si>
  <si>
    <r>
      <rPr>
        <sz val="6.5"/>
        <rFont val="Arial MT"/>
        <family val="2"/>
      </rPr>
      <t>100-SDV-W903B WING VALVE</t>
    </r>
  </si>
  <si>
    <r>
      <rPr>
        <sz val="6.5"/>
        <rFont val="Arial MT"/>
        <family val="2"/>
      </rPr>
      <t>100-P-W201B</t>
    </r>
  </si>
  <si>
    <r>
      <rPr>
        <sz val="6.5"/>
        <rFont val="Arial MT"/>
        <family val="2"/>
      </rPr>
      <t>100-PZIT-W201B</t>
    </r>
  </si>
  <si>
    <r>
      <rPr>
        <sz val="6.5"/>
        <rFont val="Arial MT"/>
        <family val="2"/>
      </rPr>
      <t>100-SSSV-W901B HYDRAULIC CONTROL PRESSURE</t>
    </r>
  </si>
  <si>
    <r>
      <rPr>
        <sz val="6.5"/>
        <rFont val="Arial MT"/>
        <family val="2"/>
      </rPr>
      <t>100-P-W202B</t>
    </r>
  </si>
  <si>
    <r>
      <rPr>
        <sz val="6.5"/>
        <rFont val="Arial MT"/>
        <family val="2"/>
      </rPr>
      <t>100-PZIT-W202B</t>
    </r>
  </si>
  <si>
    <r>
      <rPr>
        <sz val="6.5"/>
        <rFont val="Arial MT"/>
        <family val="2"/>
      </rPr>
      <t>100-SSV-W902B  HYDRAULIC CONTROL PRESSURE</t>
    </r>
  </si>
  <si>
    <r>
      <rPr>
        <sz val="6.5"/>
        <rFont val="Arial MT"/>
        <family val="2"/>
      </rPr>
      <t>100-P-W203B</t>
    </r>
  </si>
  <si>
    <r>
      <rPr>
        <sz val="6.5"/>
        <rFont val="Arial MT"/>
        <family val="2"/>
      </rPr>
      <t>100-PZIT-W203B</t>
    </r>
  </si>
  <si>
    <r>
      <rPr>
        <sz val="6.5"/>
        <rFont val="Arial MT"/>
        <family val="2"/>
      </rPr>
      <t>100-SDV-W903B HYDRAULIC CONTROL PRESSURE</t>
    </r>
  </si>
  <si>
    <r>
      <rPr>
        <sz val="6.5"/>
        <rFont val="Arial MT"/>
        <family val="2"/>
      </rPr>
      <t>100-P-W208B</t>
    </r>
  </si>
  <si>
    <r>
      <rPr>
        <sz val="6.5"/>
        <rFont val="Arial MT"/>
        <family val="2"/>
      </rPr>
      <t>100-PZIT-W208B</t>
    </r>
  </si>
  <si>
    <r>
      <rPr>
        <sz val="6.5"/>
        <rFont val="Arial MT"/>
        <family val="2"/>
      </rPr>
      <t>100-P-W207B</t>
    </r>
  </si>
  <si>
    <r>
      <rPr>
        <sz val="6.5"/>
        <rFont val="Arial MT"/>
        <family val="2"/>
      </rPr>
      <t>100-PZIT-W207B</t>
    </r>
  </si>
  <si>
    <r>
      <rPr>
        <sz val="6.5"/>
        <rFont val="Arial MT"/>
        <family val="2"/>
      </rPr>
      <t>100-SY-W901C</t>
    </r>
  </si>
  <si>
    <r>
      <rPr>
        <sz val="6.5"/>
        <rFont val="Arial MT"/>
        <family val="2"/>
      </rPr>
      <t>100-SSSV-W901C SUB SURFACE SAFETY VALVE</t>
    </r>
  </si>
  <si>
    <r>
      <rPr>
        <sz val="6.5"/>
        <rFont val="Arial MT"/>
        <family val="2"/>
      </rPr>
      <t>100-S-W902C</t>
    </r>
  </si>
  <si>
    <r>
      <rPr>
        <sz val="6.5"/>
        <rFont val="Arial MT"/>
        <family val="2"/>
      </rPr>
      <t>100-SY-W902C</t>
    </r>
  </si>
  <si>
    <r>
      <rPr>
        <sz val="6.5"/>
        <rFont val="Arial MT"/>
        <family val="2"/>
      </rPr>
      <t>100-SSV-W902C SURFACE SAFETY VALVE</t>
    </r>
  </si>
  <si>
    <r>
      <rPr>
        <sz val="6.5"/>
        <rFont val="Arial MT"/>
        <family val="2"/>
      </rPr>
      <t>100-S-W903C</t>
    </r>
  </si>
  <si>
    <r>
      <rPr>
        <sz val="6.5"/>
        <rFont val="Arial MT"/>
        <family val="2"/>
      </rPr>
      <t>100-SY-W903C</t>
    </r>
  </si>
  <si>
    <r>
      <rPr>
        <sz val="6.5"/>
        <rFont val="Arial MT"/>
        <family val="2"/>
      </rPr>
      <t>100-SDV-W903C WING VALVE</t>
    </r>
  </si>
  <si>
    <r>
      <rPr>
        <sz val="6.5"/>
        <rFont val="Arial MT"/>
        <family val="2"/>
      </rPr>
      <t>100-P-W201C</t>
    </r>
  </si>
  <si>
    <r>
      <rPr>
        <sz val="6.5"/>
        <rFont val="Arial MT"/>
        <family val="2"/>
      </rPr>
      <t>100-PZIT-W201C</t>
    </r>
  </si>
  <si>
    <r>
      <rPr>
        <sz val="6.5"/>
        <rFont val="Arial MT"/>
        <family val="2"/>
      </rPr>
      <t>100-SSSV-W901C HYDRAULIC CONTROL PRESSURE</t>
    </r>
  </si>
  <si>
    <r>
      <rPr>
        <sz val="6.5"/>
        <rFont val="Arial MT"/>
        <family val="2"/>
      </rPr>
      <t>100-P-W202C</t>
    </r>
  </si>
  <si>
    <r>
      <rPr>
        <sz val="6.5"/>
        <rFont val="Arial MT"/>
        <family val="2"/>
      </rPr>
      <t>100-PZIT-W202C</t>
    </r>
  </si>
  <si>
    <r>
      <rPr>
        <sz val="6.5"/>
        <rFont val="Arial MT"/>
        <family val="2"/>
      </rPr>
      <t>100-SSV-W902C  HYDRAULIC CONTROL PRESSURE</t>
    </r>
  </si>
  <si>
    <r>
      <rPr>
        <sz val="6.5"/>
        <rFont val="Arial MT"/>
        <family val="2"/>
      </rPr>
      <t>100-P-W203C</t>
    </r>
  </si>
  <si>
    <r>
      <rPr>
        <sz val="6.5"/>
        <rFont val="Arial MT"/>
        <family val="2"/>
      </rPr>
      <t>100-PZIT-W203C</t>
    </r>
  </si>
  <si>
    <r>
      <rPr>
        <sz val="6.5"/>
        <rFont val="Arial MT"/>
        <family val="2"/>
      </rPr>
      <t>100-SDV-W903C HYDRAULIC CONTROL PRESSURE</t>
    </r>
  </si>
  <si>
    <r>
      <rPr>
        <sz val="6.5"/>
        <rFont val="Arial MT"/>
        <family val="2"/>
      </rPr>
      <t>100-P-W208C</t>
    </r>
  </si>
  <si>
    <r>
      <rPr>
        <sz val="6.5"/>
        <rFont val="Arial MT"/>
        <family val="2"/>
      </rPr>
      <t>100-PZIT-W208C</t>
    </r>
  </si>
  <si>
    <r>
      <rPr>
        <sz val="6.5"/>
        <rFont val="Arial MT"/>
        <family val="2"/>
      </rPr>
      <t>100-P-W207C</t>
    </r>
  </si>
  <si>
    <r>
      <rPr>
        <sz val="6.5"/>
        <rFont val="Arial MT"/>
        <family val="2"/>
      </rPr>
      <t>100-PZIT-W207C</t>
    </r>
  </si>
  <si>
    <r>
      <rPr>
        <sz val="6.5"/>
        <rFont val="Arial MT"/>
        <family val="2"/>
      </rPr>
      <t>100-SY-W901D</t>
    </r>
  </si>
  <si>
    <r>
      <rPr>
        <sz val="6.5"/>
        <rFont val="Arial MT"/>
        <family val="2"/>
      </rPr>
      <t>100-SSSV-W901D SUB SURFACE SAFETY VALVE</t>
    </r>
  </si>
  <si>
    <r>
      <rPr>
        <sz val="6.5"/>
        <rFont val="Arial MT"/>
        <family val="2"/>
      </rPr>
      <t>100-S-W902D</t>
    </r>
  </si>
  <si>
    <r>
      <rPr>
        <sz val="6.5"/>
        <rFont val="Arial MT"/>
        <family val="2"/>
      </rPr>
      <t>100-SY-W902D</t>
    </r>
  </si>
  <si>
    <r>
      <rPr>
        <sz val="6.5"/>
        <rFont val="Arial MT"/>
        <family val="2"/>
      </rPr>
      <t>100-SSV-W902D SUB SURFACE SAFETY VALVE</t>
    </r>
  </si>
  <si>
    <r>
      <rPr>
        <sz val="6.5"/>
        <rFont val="Arial MT"/>
        <family val="2"/>
      </rPr>
      <t>100-S-W903D</t>
    </r>
  </si>
  <si>
    <r>
      <rPr>
        <sz val="6.5"/>
        <rFont val="Arial MT"/>
        <family val="2"/>
      </rPr>
      <t>100-SY-W903D</t>
    </r>
  </si>
  <si>
    <r>
      <rPr>
        <sz val="6.5"/>
        <rFont val="Arial MT"/>
        <family val="2"/>
      </rPr>
      <t>100-SDV-W903D WING VALVE</t>
    </r>
  </si>
  <si>
    <r>
      <rPr>
        <sz val="6.5"/>
        <rFont val="Arial MT"/>
        <family val="2"/>
      </rPr>
      <t>100-P-W201D</t>
    </r>
  </si>
  <si>
    <r>
      <rPr>
        <sz val="6.5"/>
        <rFont val="Arial MT"/>
        <family val="2"/>
      </rPr>
      <t>100-PZIT-W201D</t>
    </r>
  </si>
  <si>
    <r>
      <rPr>
        <sz val="6.5"/>
        <rFont val="Arial MT"/>
        <family val="2"/>
      </rPr>
      <t>100-SSSV-W901D HYDRAULIC CONTROL PRESSURE</t>
    </r>
  </si>
  <si>
    <r>
      <rPr>
        <sz val="6.5"/>
        <rFont val="Arial MT"/>
        <family val="2"/>
      </rPr>
      <t>100-P-W202D</t>
    </r>
  </si>
  <si>
    <r>
      <rPr>
        <sz val="6.5"/>
        <rFont val="Arial MT"/>
        <family val="2"/>
      </rPr>
      <t>100-PZIT-W202D</t>
    </r>
  </si>
  <si>
    <r>
      <rPr>
        <sz val="6.5"/>
        <rFont val="Arial MT"/>
        <family val="2"/>
      </rPr>
      <t>100-SSV-W902D  HYDRAULIC CONTROL PRESSURE</t>
    </r>
  </si>
  <si>
    <r>
      <rPr>
        <sz val="6.5"/>
        <rFont val="Arial MT"/>
        <family val="2"/>
      </rPr>
      <t>100-P-W203D</t>
    </r>
  </si>
  <si>
    <r>
      <rPr>
        <sz val="6.5"/>
        <rFont val="Arial MT"/>
        <family val="2"/>
      </rPr>
      <t>100-PZIT-W203D</t>
    </r>
  </si>
  <si>
    <r>
      <rPr>
        <sz val="6.5"/>
        <rFont val="Arial MT"/>
        <family val="2"/>
      </rPr>
      <t>100-SDV-W903D HYDRAULIC CONTROL PRESSURE</t>
    </r>
  </si>
  <si>
    <r>
      <rPr>
        <sz val="6.5"/>
        <rFont val="Arial MT"/>
        <family val="2"/>
      </rPr>
      <t>100-P-W208D</t>
    </r>
  </si>
  <si>
    <r>
      <rPr>
        <sz val="6.5"/>
        <rFont val="Arial MT"/>
        <family val="2"/>
      </rPr>
      <t>100-PZIT-W208D</t>
    </r>
  </si>
  <si>
    <r>
      <rPr>
        <sz val="6.5"/>
        <rFont val="Arial MT"/>
        <family val="2"/>
      </rPr>
      <t>100-P-W207D</t>
    </r>
  </si>
  <si>
    <r>
      <rPr>
        <sz val="6.5"/>
        <rFont val="Arial MT"/>
        <family val="2"/>
      </rPr>
      <t>100-PZIT-W207D</t>
    </r>
  </si>
  <si>
    <r>
      <rPr>
        <sz val="6.5"/>
        <rFont val="Arial MT"/>
        <family val="2"/>
      </rPr>
      <t>100-Z-908</t>
    </r>
  </si>
  <si>
    <r>
      <rPr>
        <sz val="6.5"/>
        <rFont val="Arial MT"/>
        <family val="2"/>
      </rPr>
      <t>100-ZZT-908</t>
    </r>
  </si>
  <si>
    <r>
      <rPr>
        <sz val="6.5"/>
        <rFont val="Arial MT"/>
        <family val="2"/>
      </rPr>
      <t>POSITION SAFETY TRANSMITTER</t>
    </r>
  </si>
  <si>
    <r>
      <rPr>
        <sz val="6.5"/>
        <rFont val="Arial MT"/>
        <family val="2"/>
      </rPr>
      <t>100-BDV-908- BLOW DOWN VALVE</t>
    </r>
  </si>
  <si>
    <r>
      <rPr>
        <sz val="6.5"/>
        <rFont val="Arial MT"/>
        <family val="2"/>
      </rPr>
      <t>100-SY-908</t>
    </r>
  </si>
  <si>
    <r>
      <rPr>
        <sz val="6.5"/>
        <rFont val="Arial MT"/>
        <family val="2"/>
      </rPr>
      <t>100-S-906</t>
    </r>
  </si>
  <si>
    <r>
      <rPr>
        <sz val="6.5"/>
        <rFont val="Arial MT"/>
        <family val="2"/>
      </rPr>
      <t>100-ZZT-906</t>
    </r>
  </si>
  <si>
    <r>
      <rPr>
        <sz val="6.5"/>
        <rFont val="Arial MT"/>
        <family val="2"/>
      </rPr>
      <t>100-SDV-906 POSITION TRANSMITTER</t>
    </r>
  </si>
  <si>
    <r>
      <rPr>
        <sz val="6.5"/>
        <rFont val="Arial MT"/>
        <family val="2"/>
      </rPr>
      <t>100-SY-906A</t>
    </r>
  </si>
  <si>
    <r>
      <rPr>
        <sz val="6.5"/>
        <rFont val="Arial MT"/>
        <family val="2"/>
      </rPr>
      <t>100-SDV-906- SHUT DOWN VALVE</t>
    </r>
  </si>
  <si>
    <r>
      <rPr>
        <sz val="6.5"/>
        <rFont val="Arial MT"/>
        <family val="2"/>
      </rPr>
      <t>100-SY-906B</t>
    </r>
  </si>
  <si>
    <r>
      <rPr>
        <sz val="6.5"/>
        <rFont val="Arial MT"/>
        <family val="2"/>
      </rPr>
      <t>100-P-219</t>
    </r>
  </si>
  <si>
    <r>
      <rPr>
        <sz val="6.5"/>
        <rFont val="Arial MT"/>
        <family val="2"/>
      </rPr>
      <t>100-PZIT-219-1</t>
    </r>
  </si>
  <si>
    <r>
      <rPr>
        <sz val="6.5"/>
        <rFont val="Arial MT"/>
        <family val="2"/>
      </rPr>
      <t>TO WEB PIPELINE PIG RECEIVER AT ONSHORE</t>
    </r>
  </si>
  <si>
    <r>
      <rPr>
        <sz val="6.5"/>
        <rFont val="Arial MT"/>
        <family val="2"/>
      </rPr>
      <t>100-PZIT-219-2</t>
    </r>
  </si>
  <si>
    <r>
      <rPr>
        <sz val="6.5"/>
        <rFont val="Arial MT"/>
        <family val="2"/>
      </rPr>
      <t>100-LZIT-602</t>
    </r>
  </si>
  <si>
    <r>
      <rPr>
        <sz val="6.5"/>
        <rFont val="Arial MT"/>
        <family val="2"/>
      </rPr>
      <t xml:space="preserve">LEVEL SAFETY TRANSMITTER-DP
</t>
    </r>
    <r>
      <rPr>
        <sz val="6.5"/>
        <rFont val="Arial MT"/>
        <family val="2"/>
      </rPr>
      <t>TYPE DIAPHRAM SEAL</t>
    </r>
  </si>
  <si>
    <r>
      <rPr>
        <sz val="6.5"/>
        <rFont val="Arial MT"/>
        <family val="2"/>
      </rPr>
      <t>100-XS-005A</t>
    </r>
  </si>
  <si>
    <r>
      <rPr>
        <sz val="6.5"/>
        <rFont val="Arial MT"/>
        <family val="2"/>
      </rPr>
      <t>100-P-005A DIESEL PUMPS</t>
    </r>
  </si>
  <si>
    <r>
      <rPr>
        <sz val="6.5"/>
        <rFont val="Arial MT"/>
        <family val="2"/>
      </rPr>
      <t>100-XS-005B</t>
    </r>
  </si>
  <si>
    <r>
      <rPr>
        <sz val="6.5"/>
        <rFont val="Arial MT"/>
        <family val="2"/>
      </rPr>
      <t>100-P-005B DIESEL PUMPS</t>
    </r>
  </si>
  <si>
    <r>
      <rPr>
        <sz val="6.5"/>
        <rFont val="Arial MT"/>
        <family val="2"/>
      </rPr>
      <t>100-F-103</t>
    </r>
  </si>
  <si>
    <r>
      <rPr>
        <sz val="6.5"/>
        <rFont val="Arial MT"/>
        <family val="2"/>
      </rPr>
      <t>100-FZIT-103</t>
    </r>
  </si>
  <si>
    <r>
      <rPr>
        <sz val="6.5"/>
        <rFont val="Arial MT"/>
        <family val="2"/>
      </rPr>
      <t>FLOW SAFETY TRANSIMITTER</t>
    </r>
  </si>
  <si>
    <r>
      <rPr>
        <sz val="6.5"/>
        <rFont val="Arial MT"/>
        <family val="2"/>
      </rPr>
      <t>TO 100-FL-001 DIESEL FILTER SKID</t>
    </r>
  </si>
  <si>
    <r>
      <rPr>
        <sz val="6.5"/>
        <rFont val="Arial MT"/>
        <family val="2"/>
      </rPr>
      <t>100-XS-PK-003A</t>
    </r>
  </si>
  <si>
    <r>
      <rPr>
        <sz val="6.5"/>
        <rFont val="Arial MT"/>
        <family val="2"/>
      </rPr>
      <t>100-XS-PK-003B</t>
    </r>
  </si>
  <si>
    <r>
      <rPr>
        <sz val="6.5"/>
        <rFont val="Arial MT"/>
        <family val="2"/>
      </rPr>
      <t>100-L-605A</t>
    </r>
  </si>
  <si>
    <r>
      <rPr>
        <sz val="6.5"/>
        <rFont val="Arial MT"/>
        <family val="2"/>
      </rPr>
      <t>100-LZIT-605A</t>
    </r>
  </si>
  <si>
    <r>
      <rPr>
        <sz val="6.5"/>
        <rFont val="Arial MT"/>
        <family val="2"/>
      </rPr>
      <t xml:space="preserve">LEVEL SAFETY TRANSMITTER-
</t>
    </r>
    <r>
      <rPr>
        <sz val="6.5"/>
        <rFont val="Arial MT"/>
        <family val="2"/>
      </rPr>
      <t>GUIDED WAVE RADAR</t>
    </r>
  </si>
  <si>
    <r>
      <rPr>
        <sz val="6.5"/>
        <rFont val="Arial MT"/>
        <family val="2"/>
      </rPr>
      <t>100-LZIT-605B</t>
    </r>
  </si>
  <si>
    <r>
      <rPr>
        <sz val="6.5"/>
        <rFont val="Arial MT"/>
        <family val="2"/>
      </rPr>
      <t>100-LZIT-605C</t>
    </r>
  </si>
  <si>
    <r>
      <rPr>
        <sz val="6.5"/>
        <rFont val="Arial MT"/>
        <family val="2"/>
      </rPr>
      <t>100-XS-MX-001</t>
    </r>
  </si>
  <si>
    <r>
      <rPr>
        <sz val="6.5"/>
        <rFont val="Arial MT"/>
        <family val="2"/>
      </rPr>
      <t>100-MX-001 CORROSION INHIBITOR TANK MIXER</t>
    </r>
  </si>
  <si>
    <r>
      <rPr>
        <sz val="6.5"/>
        <rFont val="Arial MT"/>
        <family val="2"/>
      </rPr>
      <t xml:space="preserve">CORROSION INHIBITOR
</t>
    </r>
    <r>
      <rPr>
        <sz val="6.5"/>
        <rFont val="Arial MT"/>
        <family val="2"/>
      </rPr>
      <t>SKID</t>
    </r>
  </si>
  <si>
    <r>
      <rPr>
        <sz val="6.5"/>
        <rFont val="Arial MT"/>
        <family val="2"/>
      </rPr>
      <t>100-L-625</t>
    </r>
  </si>
  <si>
    <r>
      <rPr>
        <sz val="6.5"/>
        <rFont val="Arial MT"/>
        <family val="2"/>
      </rPr>
      <t>100-LZIT-625</t>
    </r>
  </si>
  <si>
    <r>
      <rPr>
        <sz val="6.5"/>
        <rFont val="Arial MT"/>
        <family val="2"/>
      </rPr>
      <t>100-P-226A</t>
    </r>
  </si>
  <si>
    <r>
      <rPr>
        <sz val="6.5"/>
        <rFont val="Arial MT"/>
        <family val="2"/>
      </rPr>
      <t>100-PZIT-226A</t>
    </r>
  </si>
  <si>
    <r>
      <rPr>
        <sz val="6.5"/>
        <rFont val="Arial MT"/>
        <family val="2"/>
      </rPr>
      <t>100-P-226B</t>
    </r>
  </si>
  <si>
    <r>
      <rPr>
        <sz val="6.5"/>
        <rFont val="Arial MT"/>
        <family val="2"/>
      </rPr>
      <t>100-PZIT-226B</t>
    </r>
  </si>
  <si>
    <r>
      <rPr>
        <sz val="6.5"/>
        <rFont val="Arial MT"/>
        <family val="2"/>
      </rPr>
      <t>100-XS-001A</t>
    </r>
  </si>
  <si>
    <r>
      <rPr>
        <sz val="6.5"/>
        <rFont val="Arial MT"/>
        <family val="2"/>
      </rPr>
      <t>100-XS-001B</t>
    </r>
  </si>
  <si>
    <r>
      <rPr>
        <sz val="6.5"/>
        <rFont val="Arial MT"/>
        <family val="2"/>
      </rPr>
      <t>100-S-910</t>
    </r>
  </si>
  <si>
    <r>
      <rPr>
        <sz val="6.5"/>
        <rFont val="Arial MT"/>
        <family val="2"/>
      </rPr>
      <t>100-SV-910A</t>
    </r>
  </si>
  <si>
    <r>
      <rPr>
        <sz val="6.5"/>
        <rFont val="Arial MT"/>
        <family val="2"/>
      </rPr>
      <t xml:space="preserve">CORROSION INHIBITOR INJECTION TO WEB NE
</t>
    </r>
    <r>
      <rPr>
        <sz val="6.5"/>
        <rFont val="Arial MT"/>
        <family val="2"/>
      </rPr>
      <t>FLOWLINE</t>
    </r>
  </si>
  <si>
    <r>
      <rPr>
        <sz val="6.5"/>
        <rFont val="Arial MT"/>
        <family val="2"/>
      </rPr>
      <t>100-SV-910B</t>
    </r>
  </si>
  <si>
    <r>
      <rPr>
        <sz val="6.5"/>
        <rFont val="Arial MT"/>
        <family val="2"/>
      </rPr>
      <t xml:space="preserve">CORROSION INHIBITOR INJECTION TO WEB NW
</t>
    </r>
    <r>
      <rPr>
        <sz val="6.5"/>
        <rFont val="Arial MT"/>
        <family val="2"/>
      </rPr>
      <t>FLOWLINE</t>
    </r>
  </si>
  <si>
    <r>
      <rPr>
        <sz val="6.5"/>
        <rFont val="Arial MT"/>
        <family val="2"/>
      </rPr>
      <t>100-SV-910C</t>
    </r>
  </si>
  <si>
    <r>
      <rPr>
        <sz val="6.5"/>
        <rFont val="Arial MT"/>
        <family val="2"/>
      </rPr>
      <t xml:space="preserve">CORROSION INHIBITOR INJECTION TO WEB SE
</t>
    </r>
    <r>
      <rPr>
        <sz val="6.5"/>
        <rFont val="Arial MT"/>
        <family val="2"/>
      </rPr>
      <t>FLOWLINE</t>
    </r>
  </si>
  <si>
    <r>
      <rPr>
        <sz val="6.5"/>
        <rFont val="Arial MT"/>
        <family val="2"/>
      </rPr>
      <t>100-SV-910D</t>
    </r>
  </si>
  <si>
    <r>
      <rPr>
        <sz val="6.5"/>
        <rFont val="Arial MT"/>
        <family val="2"/>
      </rPr>
      <t xml:space="preserve">CORROSION INHIBITOR INJECTION TO WEB SW
</t>
    </r>
    <r>
      <rPr>
        <sz val="6.5"/>
        <rFont val="Arial MT"/>
        <family val="2"/>
      </rPr>
      <t>FLOWLINE</t>
    </r>
  </si>
  <si>
    <r>
      <rPr>
        <sz val="6.5"/>
        <rFont val="Arial MT"/>
        <family val="2"/>
      </rPr>
      <t>100-XS-MX-002</t>
    </r>
  </si>
  <si>
    <r>
      <rPr>
        <sz val="6.5"/>
        <rFont val="Arial MT"/>
        <family val="2"/>
      </rPr>
      <t>100-L-627</t>
    </r>
  </si>
  <si>
    <r>
      <rPr>
        <sz val="6.5"/>
        <rFont val="Arial MT"/>
        <family val="2"/>
      </rPr>
      <t>100-LZIT-627</t>
    </r>
  </si>
  <si>
    <r>
      <rPr>
        <sz val="6.5"/>
        <rFont val="Arial MT"/>
        <family val="2"/>
      </rPr>
      <t>100-P-227A</t>
    </r>
  </si>
  <si>
    <r>
      <rPr>
        <sz val="6.5"/>
        <rFont val="Arial MT"/>
        <family val="2"/>
      </rPr>
      <t>100-PZIT-227A</t>
    </r>
  </si>
  <si>
    <r>
      <rPr>
        <sz val="6.5"/>
        <rFont val="Arial MT"/>
        <family val="2"/>
      </rPr>
      <t>100-P-227B</t>
    </r>
  </si>
  <si>
    <r>
      <rPr>
        <sz val="6.5"/>
        <rFont val="Arial MT"/>
        <family val="2"/>
      </rPr>
      <t>100-PZIT-227B</t>
    </r>
  </si>
  <si>
    <r>
      <rPr>
        <sz val="6.5"/>
        <rFont val="Arial MT"/>
        <family val="2"/>
      </rPr>
      <t>100-XS-002A</t>
    </r>
  </si>
  <si>
    <r>
      <rPr>
        <sz val="6.5"/>
        <rFont val="Arial MT"/>
        <family val="2"/>
      </rPr>
      <t>100-XS-002B</t>
    </r>
  </si>
  <si>
    <r>
      <rPr>
        <sz val="6.5"/>
        <rFont val="Arial MT"/>
        <family val="2"/>
      </rPr>
      <t>100-S-911</t>
    </r>
  </si>
  <si>
    <r>
      <rPr>
        <sz val="6.5"/>
        <rFont val="Arial MT"/>
        <family val="2"/>
      </rPr>
      <t>100-SV-911A</t>
    </r>
  </si>
  <si>
    <r>
      <rPr>
        <sz val="6.5"/>
        <rFont val="Arial MT"/>
        <family val="2"/>
      </rPr>
      <t>KHI INJECTION TO WEB NE FLOWLINE</t>
    </r>
  </si>
  <si>
    <r>
      <rPr>
        <sz val="6.5"/>
        <rFont val="Arial MT"/>
        <family val="2"/>
      </rPr>
      <t>100-SV-911B</t>
    </r>
  </si>
  <si>
    <r>
      <rPr>
        <sz val="6.5"/>
        <rFont val="Arial MT"/>
        <family val="2"/>
      </rPr>
      <t>KHI INJECTION TO WEB NW FLOWLINE</t>
    </r>
  </si>
  <si>
    <r>
      <rPr>
        <sz val="6.5"/>
        <rFont val="Arial MT"/>
        <family val="2"/>
      </rPr>
      <t>100-SV-911C</t>
    </r>
  </si>
  <si>
    <r>
      <rPr>
        <sz val="6.5"/>
        <rFont val="Arial MT"/>
        <family val="2"/>
      </rPr>
      <t>KHI INJECTION TO WEB SE FLOWLINE</t>
    </r>
  </si>
  <si>
    <r>
      <rPr>
        <sz val="6.5"/>
        <rFont val="Arial MT"/>
        <family val="2"/>
      </rPr>
      <t>100-SV-911D</t>
    </r>
  </si>
  <si>
    <r>
      <rPr>
        <sz val="6.5"/>
        <rFont val="Arial MT"/>
        <family val="2"/>
      </rPr>
      <t>KHI INJECTION TO WEB SW FLOWLINE</t>
    </r>
  </si>
  <si>
    <r>
      <rPr>
        <sz val="6.5"/>
        <rFont val="Arial MT"/>
        <family val="2"/>
      </rPr>
      <t>100-L-629</t>
    </r>
  </si>
  <si>
    <r>
      <rPr>
        <sz val="6.5"/>
        <rFont val="Arial MT"/>
        <family val="2"/>
      </rPr>
      <t>100-LZIT-629</t>
    </r>
  </si>
  <si>
    <r>
      <rPr>
        <sz val="6.5"/>
        <rFont val="Arial MT"/>
        <family val="2"/>
      </rPr>
      <t>100-P-228A</t>
    </r>
  </si>
  <si>
    <r>
      <rPr>
        <sz val="6.5"/>
        <rFont val="Arial MT"/>
        <family val="2"/>
      </rPr>
      <t>100-PZIT-228A</t>
    </r>
  </si>
  <si>
    <r>
      <rPr>
        <sz val="6.5"/>
        <rFont val="Arial MT"/>
        <family val="2"/>
      </rPr>
      <t>100-P-228B</t>
    </r>
  </si>
  <si>
    <r>
      <rPr>
        <sz val="6.5"/>
        <rFont val="Arial MT"/>
        <family val="2"/>
      </rPr>
      <t>100-PZIT-228B</t>
    </r>
  </si>
  <si>
    <r>
      <rPr>
        <sz val="6.5"/>
        <rFont val="Arial MT"/>
        <family val="2"/>
      </rPr>
      <t>100-XS-003A</t>
    </r>
  </si>
  <si>
    <r>
      <rPr>
        <sz val="6.5"/>
        <rFont val="Arial MT"/>
        <family val="2"/>
      </rPr>
      <t>METHANOL PUMPS SKID</t>
    </r>
  </si>
  <si>
    <r>
      <rPr>
        <sz val="6.5"/>
        <rFont val="Arial MT"/>
        <family val="2"/>
      </rPr>
      <t>100-XS-003B</t>
    </r>
  </si>
  <si>
    <r>
      <rPr>
        <sz val="6.5"/>
        <rFont val="Arial MT"/>
        <family val="2"/>
      </rPr>
      <t>100-S-909</t>
    </r>
  </si>
  <si>
    <r>
      <rPr>
        <sz val="6.5"/>
        <rFont val="Arial MT"/>
        <family val="2"/>
      </rPr>
      <t>100-SV-909A</t>
    </r>
  </si>
  <si>
    <r>
      <rPr>
        <sz val="6.5"/>
        <rFont val="Arial MT"/>
        <family val="2"/>
      </rPr>
      <t>METHANOL INJECTION TO WEB NE FLOWLINE</t>
    </r>
  </si>
  <si>
    <r>
      <rPr>
        <sz val="6.5"/>
        <rFont val="Arial MT"/>
        <family val="2"/>
      </rPr>
      <t>100-SV-909B</t>
    </r>
  </si>
  <si>
    <r>
      <rPr>
        <sz val="6.5"/>
        <rFont val="Arial MT"/>
        <family val="2"/>
      </rPr>
      <t>METHANOL INJECTION TO WEB NW FLOWLINE</t>
    </r>
  </si>
  <si>
    <r>
      <rPr>
        <sz val="6.5"/>
        <rFont val="Arial MT"/>
        <family val="2"/>
      </rPr>
      <t>100-SV-909C</t>
    </r>
  </si>
  <si>
    <r>
      <rPr>
        <sz val="6.5"/>
        <rFont val="Arial MT"/>
        <family val="2"/>
      </rPr>
      <t>METHANOL INJECTION TO WEB SE FLOWLINE</t>
    </r>
  </si>
  <si>
    <r>
      <rPr>
        <sz val="6.5"/>
        <rFont val="Arial MT"/>
        <family val="2"/>
      </rPr>
      <t>100-SV-909D</t>
    </r>
  </si>
  <si>
    <r>
      <rPr>
        <sz val="6.5"/>
        <rFont val="Arial MT"/>
        <family val="2"/>
      </rPr>
      <t>METHANOL INJECTION TO WEB SW FLOWLINE</t>
    </r>
  </si>
  <si>
    <r>
      <rPr>
        <sz val="6.5"/>
        <rFont val="Arial MT"/>
        <family val="2"/>
      </rPr>
      <t>100-XS-MX-008</t>
    </r>
  </si>
  <si>
    <r>
      <rPr>
        <sz val="6.5"/>
        <rFont val="Arial MT"/>
        <family val="2"/>
      </rPr>
      <t>100-L-632</t>
    </r>
  </si>
  <si>
    <r>
      <rPr>
        <sz val="6.5"/>
        <rFont val="Arial MT"/>
        <family val="2"/>
      </rPr>
      <t>100-LZIT-632</t>
    </r>
  </si>
  <si>
    <r>
      <rPr>
        <sz val="6.5"/>
        <rFont val="Arial MT"/>
        <family val="2"/>
      </rPr>
      <t>100-P-229A</t>
    </r>
  </si>
  <si>
    <r>
      <rPr>
        <sz val="6.5"/>
        <rFont val="Arial MT"/>
        <family val="2"/>
      </rPr>
      <t>100-PZIT-229A</t>
    </r>
  </si>
  <si>
    <r>
      <rPr>
        <sz val="6.5"/>
        <rFont val="Arial MT"/>
        <family val="2"/>
      </rPr>
      <t>DISCHARGE OF 100-P-008A SCALE INHIBITOR PUMPS</t>
    </r>
  </si>
  <si>
    <r>
      <rPr>
        <sz val="6.5"/>
        <rFont val="Arial MT"/>
        <family val="2"/>
      </rPr>
      <t>100-P-229B</t>
    </r>
  </si>
  <si>
    <r>
      <rPr>
        <sz val="6.5"/>
        <rFont val="Arial MT"/>
        <family val="2"/>
      </rPr>
      <t>100-PZIT-229B</t>
    </r>
  </si>
  <si>
    <r>
      <rPr>
        <sz val="6.5"/>
        <rFont val="Arial MT"/>
        <family val="2"/>
      </rPr>
      <t>DISCHARGE OF 100-P-008B SCALE INHIBITOR PUMPS</t>
    </r>
  </si>
  <si>
    <r>
      <rPr>
        <sz val="6.5"/>
        <rFont val="Arial MT"/>
        <family val="2"/>
      </rPr>
      <t>100-XS-008A</t>
    </r>
  </si>
  <si>
    <r>
      <rPr>
        <sz val="6.5"/>
        <rFont val="Arial MT"/>
        <family val="2"/>
      </rPr>
      <t>100-XS-008B</t>
    </r>
  </si>
  <si>
    <r>
      <rPr>
        <sz val="6.5"/>
        <rFont val="Arial MT"/>
        <family val="2"/>
      </rPr>
      <t>100-S-912</t>
    </r>
  </si>
  <si>
    <r>
      <rPr>
        <sz val="6.5"/>
        <rFont val="Arial MT"/>
        <family val="2"/>
      </rPr>
      <t>100-SV-912</t>
    </r>
  </si>
  <si>
    <r>
      <rPr>
        <sz val="6.5"/>
        <rFont val="Arial MT"/>
        <family val="2"/>
      </rPr>
      <t>SCALE INHIBITOR TO WEB PIPELINE PIG LAUNCHER</t>
    </r>
  </si>
  <si>
    <r>
      <rPr>
        <sz val="6.5"/>
        <rFont val="Arial MT"/>
        <family val="2"/>
      </rPr>
      <t>100-L-607</t>
    </r>
  </si>
  <si>
    <r>
      <rPr>
        <sz val="6.5"/>
        <rFont val="Arial MT"/>
        <family val="2"/>
      </rPr>
      <t>100-LZIT-607</t>
    </r>
  </si>
  <si>
    <r>
      <rPr>
        <sz val="6.5"/>
        <rFont val="Arial MT"/>
        <family val="2"/>
      </rPr>
      <t>ON 100-TK-005 FRESH WATER TANK</t>
    </r>
  </si>
  <si>
    <r>
      <rPr>
        <sz val="6.5"/>
        <rFont val="Arial MT"/>
        <family val="2"/>
      </rPr>
      <t>100-XS-004A</t>
    </r>
  </si>
  <si>
    <r>
      <rPr>
        <sz val="6.5"/>
        <rFont val="Arial MT"/>
        <family val="2"/>
      </rPr>
      <t>100-XS-004B</t>
    </r>
  </si>
  <si>
    <r>
      <rPr>
        <sz val="6.5"/>
        <rFont val="Arial MT"/>
        <family val="2"/>
      </rPr>
      <t>100-F-104</t>
    </r>
  </si>
  <si>
    <r>
      <rPr>
        <sz val="6.5"/>
        <rFont val="Arial MT"/>
        <family val="2"/>
      </rPr>
      <t>100-FZIT-104</t>
    </r>
  </si>
  <si>
    <r>
      <rPr>
        <sz val="6.5"/>
        <rFont val="Arial MT"/>
        <family val="2"/>
      </rPr>
      <t>TO ACCOMODATION MODULE 100-PK-002</t>
    </r>
  </si>
  <si>
    <r>
      <rPr>
        <sz val="6.5"/>
        <rFont val="Arial MT"/>
        <family val="2"/>
      </rPr>
      <t>100-P-230</t>
    </r>
  </si>
  <si>
    <r>
      <rPr>
        <sz val="6.5"/>
        <rFont val="Arial MT"/>
        <family val="2"/>
      </rPr>
      <t>100-PZIT-230-1</t>
    </r>
  </si>
  <si>
    <r>
      <rPr>
        <sz val="6.5"/>
        <rFont val="Arial MT"/>
        <family val="2"/>
      </rPr>
      <t>FROM PAPYRUS PIPELINE PIG LAUNCHER</t>
    </r>
  </si>
  <si>
    <r>
      <rPr>
        <sz val="6.5"/>
        <rFont val="Arial MT"/>
        <family val="2"/>
      </rPr>
      <t>100-PZIT-230-2</t>
    </r>
  </si>
  <si>
    <r>
      <rPr>
        <sz val="6.5"/>
        <rFont val="Arial MT"/>
        <family val="2"/>
      </rPr>
      <t>100-S-907</t>
    </r>
  </si>
  <si>
    <r>
      <rPr>
        <sz val="6.5"/>
        <rFont val="Arial MT"/>
        <family val="2"/>
      </rPr>
      <t>100-ZZT-907</t>
    </r>
  </si>
  <si>
    <r>
      <rPr>
        <sz val="6.5"/>
        <rFont val="Arial MT"/>
        <family val="2"/>
      </rPr>
      <t>100-SDV-907 POSITION TRANSMITTER</t>
    </r>
  </si>
  <si>
    <r>
      <rPr>
        <sz val="6.5"/>
        <rFont val="Arial MT"/>
        <family val="2"/>
      </rPr>
      <t>100-SY-907A</t>
    </r>
  </si>
  <si>
    <r>
      <rPr>
        <sz val="6.5"/>
        <rFont val="Arial MT"/>
        <family val="2"/>
      </rPr>
      <t>100-SY-907B</t>
    </r>
  </si>
  <si>
    <r>
      <rPr>
        <sz val="6.5"/>
        <rFont val="Arial MT"/>
        <family val="2"/>
      </rPr>
      <t>100-CF-002</t>
    </r>
  </si>
  <si>
    <r>
      <rPr>
        <sz val="6.5"/>
        <rFont val="Arial MT"/>
        <family val="2"/>
      </rPr>
      <t>CONFIRMED FIRE ALARM</t>
    </r>
  </si>
  <si>
    <r>
      <rPr>
        <sz val="6.5"/>
        <rFont val="Arial MT"/>
        <family val="2"/>
      </rPr>
      <t>CONFIRMED FIRE - PAGA</t>
    </r>
  </si>
  <si>
    <r>
      <rPr>
        <sz val="6.5"/>
        <rFont val="Arial MT"/>
        <family val="2"/>
      </rPr>
      <t>FGS</t>
    </r>
  </si>
  <si>
    <t>Alarm</t>
  </si>
  <si>
    <r>
      <rPr>
        <sz val="6.5"/>
        <rFont val="Arial MT"/>
        <family val="2"/>
      </rPr>
      <t>100-CG-002</t>
    </r>
  </si>
  <si>
    <r>
      <rPr>
        <sz val="6.5"/>
        <rFont val="Arial MT"/>
        <family val="2"/>
      </rPr>
      <t>CONFIRMED GAS ALARM</t>
    </r>
  </si>
  <si>
    <r>
      <rPr>
        <sz val="6.5"/>
        <rFont val="Arial MT"/>
        <family val="2"/>
      </rPr>
      <t>CONFIRMED GAS - PAGA</t>
    </r>
  </si>
  <si>
    <r>
      <rPr>
        <sz val="6.5"/>
        <rFont val="Arial MT"/>
        <family val="2"/>
      </rPr>
      <t>100-CR-003</t>
    </r>
  </si>
  <si>
    <r>
      <rPr>
        <sz val="6.5"/>
        <rFont val="Arial MT"/>
        <family val="2"/>
      </rPr>
      <t>CONFIRMED FIRE/GAS ALARM</t>
    </r>
  </si>
  <si>
    <r>
      <rPr>
        <sz val="6.5"/>
        <rFont val="Arial MT"/>
        <family val="2"/>
      </rPr>
      <t>CONFIRMED FIRE/GAS - NAV AID</t>
    </r>
  </si>
  <si>
    <r>
      <rPr>
        <sz val="6.5"/>
        <rFont val="Arial MT"/>
        <family val="2"/>
      </rPr>
      <t>100-XS-200</t>
    </r>
  </si>
  <si>
    <r>
      <rPr>
        <sz val="6.5"/>
        <rFont val="Arial MT"/>
        <family val="2"/>
      </rPr>
      <t>RELEASE SIGNAL</t>
    </r>
  </si>
  <si>
    <r>
      <rPr>
        <sz val="6.5"/>
        <rFont val="Arial MT"/>
        <family val="2"/>
      </rPr>
      <t>CLEAN AGENT RELEASE</t>
    </r>
  </si>
  <si>
    <r>
      <rPr>
        <sz val="6.5"/>
        <rFont val="Arial MT"/>
        <family val="2"/>
      </rPr>
      <t>100-PS-XX1</t>
    </r>
  </si>
  <si>
    <r>
      <rPr>
        <sz val="6.5"/>
        <rFont val="Arial MT"/>
        <family val="2"/>
      </rPr>
      <t>FUSIBLE PLUG</t>
    </r>
  </si>
  <si>
    <r>
      <rPr>
        <sz val="6.5"/>
        <rFont val="Arial MT"/>
        <family val="2"/>
      </rPr>
      <t>CO2 SNUFFING PACKAGE</t>
    </r>
  </si>
  <si>
    <r>
      <rPr>
        <sz val="6.5"/>
        <rFont val="Arial MT"/>
        <family val="2"/>
      </rPr>
      <t>100-XS-010</t>
    </r>
  </si>
  <si>
    <r>
      <rPr>
        <sz val="6.5"/>
        <rFont val="Arial MT"/>
        <family val="2"/>
      </rPr>
      <t>ESD SIGNAL</t>
    </r>
  </si>
  <si>
    <r>
      <rPr>
        <sz val="6.5"/>
        <rFont val="Arial MT"/>
        <family val="2"/>
      </rPr>
      <t>SIGNAL TO ISOLATE BATTERY CHARGER</t>
    </r>
  </si>
  <si>
    <r>
      <rPr>
        <sz val="6.5"/>
        <rFont val="Arial MT"/>
        <family val="2"/>
      </rPr>
      <t>BATTERY CHARGER</t>
    </r>
  </si>
  <si>
    <r>
      <rPr>
        <sz val="6.5"/>
        <rFont val="Arial MT"/>
        <family val="2"/>
      </rPr>
      <t>100-XS-011</t>
    </r>
  </si>
  <si>
    <r>
      <rPr>
        <sz val="6.5"/>
        <rFont val="Arial MT"/>
        <family val="2"/>
      </rPr>
      <t>SIGNAL TO TRIP HVAC</t>
    </r>
  </si>
  <si>
    <r>
      <rPr>
        <sz val="6.5"/>
        <rFont val="Arial MT"/>
        <family val="2"/>
      </rPr>
      <t>HVAC</t>
    </r>
  </si>
  <si>
    <r>
      <rPr>
        <sz val="6.5"/>
        <rFont val="Arial MT"/>
        <family val="2"/>
      </rPr>
      <t>100-MR-001</t>
    </r>
  </si>
  <si>
    <r>
      <rPr>
        <sz val="6.5"/>
        <rFont val="Arial MT"/>
        <family val="2"/>
      </rPr>
      <t>MANUAL RELEASE</t>
    </r>
  </si>
  <si>
    <r>
      <rPr>
        <sz val="6.5"/>
        <rFont val="Arial MT"/>
        <family val="2"/>
      </rPr>
      <t>MANUAL RELASE FOR FOAM SYSTEM HELIDECK</t>
    </r>
  </si>
  <si>
    <r>
      <rPr>
        <sz val="6.5"/>
        <rFont val="Arial MT"/>
        <family val="2"/>
      </rPr>
      <t>80289-FGS-LYT-1001 (1 of 5)</t>
    </r>
  </si>
  <si>
    <r>
      <rPr>
        <sz val="6.5"/>
        <rFont val="Arial MT"/>
        <family val="2"/>
      </rPr>
      <t>100-MR-002</t>
    </r>
  </si>
  <si>
    <r>
      <rPr>
        <sz val="6.5"/>
        <rFont val="Arial MT"/>
        <family val="2"/>
      </rPr>
      <t>100-MCP-001</t>
    </r>
  </si>
  <si>
    <r>
      <rPr>
        <sz val="6.5"/>
        <rFont val="Arial MT"/>
        <family val="2"/>
      </rPr>
      <t>MANUAL CALL POINT</t>
    </r>
  </si>
  <si>
    <r>
      <rPr>
        <sz val="6.5"/>
        <rFont val="Arial MT"/>
        <family val="2"/>
      </rPr>
      <t>ON HELIDECK</t>
    </r>
  </si>
  <si>
    <r>
      <rPr>
        <sz val="6.5"/>
        <rFont val="Arial MT"/>
        <family val="2"/>
      </rPr>
      <t>100-MCP-002</t>
    </r>
  </si>
  <si>
    <r>
      <rPr>
        <sz val="6.5"/>
        <rFont val="Arial MT"/>
        <family val="2"/>
      </rPr>
      <t>100-H2-001</t>
    </r>
  </si>
  <si>
    <r>
      <rPr>
        <sz val="6.5"/>
        <rFont val="Arial MT"/>
        <family val="2"/>
      </rPr>
      <t>H2 DETECTOR</t>
    </r>
  </si>
  <si>
    <r>
      <rPr>
        <sz val="6.5"/>
        <rFont val="Arial MT"/>
        <family val="2"/>
      </rPr>
      <t>MAIN DECK</t>
    </r>
  </si>
  <si>
    <r>
      <rPr>
        <sz val="6.5"/>
        <rFont val="Arial MT"/>
        <family val="2"/>
      </rPr>
      <t>80289-FGS-LYT-1001 (2 of 5)</t>
    </r>
  </si>
  <si>
    <r>
      <rPr>
        <sz val="6.5"/>
        <rFont val="Arial MT"/>
        <family val="2"/>
      </rPr>
      <t>100-H2-002</t>
    </r>
  </si>
  <si>
    <r>
      <rPr>
        <sz val="6.5"/>
        <rFont val="Arial MT"/>
        <family val="2"/>
      </rPr>
      <t>100-GD-001</t>
    </r>
  </si>
  <si>
    <r>
      <rPr>
        <sz val="6.5"/>
        <rFont val="Arial MT"/>
        <family val="2"/>
      </rPr>
      <t>GAS DETECTOR-HC</t>
    </r>
  </si>
  <si>
    <r>
      <rPr>
        <sz val="6.5"/>
        <rFont val="Arial MT"/>
        <family val="2"/>
      </rPr>
      <t xml:space="preserve">ELECTRICAL AND INSTRUMENT ROOM (HVAC AIR
</t>
    </r>
    <r>
      <rPr>
        <sz val="6.5"/>
        <rFont val="Arial MT"/>
        <family val="2"/>
      </rPr>
      <t>INTAKE)</t>
    </r>
  </si>
  <si>
    <r>
      <rPr>
        <sz val="6.5"/>
        <rFont val="Arial MT"/>
        <family val="2"/>
      </rPr>
      <t>100-GD-002</t>
    </r>
  </si>
  <si>
    <r>
      <rPr>
        <sz val="6.5"/>
        <rFont val="Arial MT"/>
        <family val="2"/>
      </rPr>
      <t>100-GD-003</t>
    </r>
  </si>
  <si>
    <r>
      <rPr>
        <sz val="6.5"/>
        <rFont val="Arial MT"/>
        <family val="2"/>
      </rPr>
      <t>ELECTRICAL AND INSTRUMENT ROOM</t>
    </r>
  </si>
  <si>
    <r>
      <rPr>
        <sz val="6.5"/>
        <rFont val="Arial MT"/>
        <family val="2"/>
      </rPr>
      <t>100-FD-010</t>
    </r>
  </si>
  <si>
    <r>
      <rPr>
        <sz val="6.5"/>
        <rFont val="Arial MT"/>
        <family val="2"/>
      </rPr>
      <t>FLAME DETECTOR</t>
    </r>
  </si>
  <si>
    <r>
      <rPr>
        <sz val="6.5"/>
        <rFont val="Arial MT"/>
        <family val="2"/>
      </rPr>
      <t>100-FD-009</t>
    </r>
  </si>
  <si>
    <r>
      <rPr>
        <sz val="6.5"/>
        <rFont val="Arial MT"/>
        <family val="2"/>
      </rPr>
      <t>100-MCP-003</t>
    </r>
  </si>
  <si>
    <r>
      <rPr>
        <sz val="6.5"/>
        <rFont val="Arial MT"/>
        <family val="2"/>
      </rPr>
      <t>100-MCP-004</t>
    </r>
  </si>
  <si>
    <r>
      <rPr>
        <sz val="6.5"/>
        <rFont val="Arial MT"/>
        <family val="2"/>
      </rPr>
      <t>100-SD-001</t>
    </r>
  </si>
  <si>
    <r>
      <rPr>
        <sz val="6.5"/>
        <rFont val="Arial MT"/>
        <family val="2"/>
      </rPr>
      <t>SMOKE DETECTOR</t>
    </r>
  </si>
  <si>
    <r>
      <rPr>
        <sz val="6.5"/>
        <rFont val="Arial MT"/>
        <family val="2"/>
      </rPr>
      <t>ON ELECTRICAL &amp; INSTRUMENT ROOM</t>
    </r>
  </si>
  <si>
    <r>
      <rPr>
        <sz val="6.5"/>
        <rFont val="Arial MT"/>
        <family val="2"/>
      </rPr>
      <t>100-SD-002</t>
    </r>
  </si>
  <si>
    <r>
      <rPr>
        <sz val="6.5"/>
        <rFont val="Arial MT"/>
        <family val="2"/>
      </rPr>
      <t>100-SD-003</t>
    </r>
  </si>
  <si>
    <r>
      <rPr>
        <sz val="6.5"/>
        <rFont val="Arial MT"/>
        <family val="2"/>
      </rPr>
      <t xml:space="preserve">ON ELECTRICAL &amp; INSTRUMENT ROOM (BELOW
</t>
    </r>
    <r>
      <rPr>
        <sz val="6.5"/>
        <rFont val="Arial MT"/>
        <family val="2"/>
      </rPr>
      <t>RAISED FLOOR)</t>
    </r>
  </si>
  <si>
    <r>
      <rPr>
        <sz val="6.5"/>
        <rFont val="Arial MT"/>
        <family val="2"/>
      </rPr>
      <t>100-SD-004</t>
    </r>
  </si>
  <si>
    <r>
      <rPr>
        <sz val="6.5"/>
        <rFont val="Arial MT"/>
        <family val="2"/>
      </rPr>
      <t>100-SD-005</t>
    </r>
  </si>
  <si>
    <r>
      <rPr>
        <sz val="6.5"/>
        <rFont val="Arial MT"/>
        <family val="2"/>
      </rPr>
      <t>ON ACCOMODATION MODULE (1st FLOOR)</t>
    </r>
  </si>
  <si>
    <r>
      <rPr>
        <sz val="6.5"/>
        <rFont val="Arial MT"/>
        <family val="2"/>
      </rPr>
      <t>100-SD-006</t>
    </r>
  </si>
  <si>
    <r>
      <rPr>
        <sz val="6.5"/>
        <rFont val="Arial MT"/>
        <family val="2"/>
      </rPr>
      <t>100-SD-007</t>
    </r>
  </si>
  <si>
    <r>
      <rPr>
        <sz val="6.5"/>
        <rFont val="Arial MT"/>
        <family val="2"/>
      </rPr>
      <t xml:space="preserve">ELECTRICAL AND INSTRUMENT
</t>
    </r>
    <r>
      <rPr>
        <sz val="6.5"/>
        <rFont val="Arial MT"/>
        <family val="2"/>
      </rPr>
      <t>ROOM (HVAC AIR INTAKE)</t>
    </r>
  </si>
  <si>
    <r>
      <rPr>
        <sz val="6.5"/>
        <rFont val="Arial MT"/>
        <family val="2"/>
      </rPr>
      <t>HVAC VENDOR SCOPE</t>
    </r>
  </si>
  <si>
    <r>
      <rPr>
        <sz val="6.5"/>
        <rFont val="Arial MT"/>
        <family val="2"/>
      </rPr>
      <t>100-GD-004</t>
    </r>
  </si>
  <si>
    <r>
      <rPr>
        <sz val="6.5"/>
        <rFont val="Arial MT"/>
        <family val="2"/>
      </rPr>
      <t>MEZZANINE DECK</t>
    </r>
  </si>
  <si>
    <r>
      <rPr>
        <sz val="6.5"/>
        <rFont val="Arial MT"/>
        <family val="2"/>
      </rPr>
      <t>80289-FGS-LYT-1001 (3 of 5)</t>
    </r>
  </si>
  <si>
    <r>
      <rPr>
        <sz val="6.5"/>
        <rFont val="Arial MT"/>
        <family val="2"/>
      </rPr>
      <t>100-GD-005</t>
    </r>
  </si>
  <si>
    <r>
      <rPr>
        <sz val="6.5"/>
        <rFont val="Arial MT"/>
        <family val="2"/>
      </rPr>
      <t>100-GD-006</t>
    </r>
  </si>
  <si>
    <r>
      <rPr>
        <sz val="6.5"/>
        <rFont val="Arial MT"/>
        <family val="2"/>
      </rPr>
      <t>100-GD-007</t>
    </r>
  </si>
  <si>
    <r>
      <rPr>
        <sz val="6.5"/>
        <rFont val="Arial MT"/>
        <family val="2"/>
      </rPr>
      <t>100-GD-008</t>
    </r>
  </si>
  <si>
    <r>
      <rPr>
        <sz val="6.5"/>
        <rFont val="Arial MT"/>
        <family val="2"/>
      </rPr>
      <t>CELLAR DECK</t>
    </r>
  </si>
  <si>
    <r>
      <rPr>
        <sz val="6.5"/>
        <rFont val="Arial MT"/>
        <family val="2"/>
      </rPr>
      <t>100-FD-001</t>
    </r>
  </si>
  <si>
    <r>
      <rPr>
        <sz val="6.5"/>
        <rFont val="Arial MT"/>
        <family val="2"/>
      </rPr>
      <t>100-FD-002</t>
    </r>
  </si>
  <si>
    <r>
      <rPr>
        <sz val="6.5"/>
        <rFont val="Arial MT"/>
        <family val="2"/>
      </rPr>
      <t>100-MCP-007</t>
    </r>
  </si>
  <si>
    <r>
      <rPr>
        <sz val="6.5"/>
        <rFont val="Arial MT"/>
        <family val="2"/>
      </rPr>
      <t>100-MCP-008</t>
    </r>
  </si>
  <si>
    <r>
      <rPr>
        <sz val="6.5"/>
        <rFont val="Arial MT"/>
        <family val="2"/>
      </rPr>
      <t>100-FD-004</t>
    </r>
  </si>
  <si>
    <r>
      <rPr>
        <sz val="6.5"/>
        <rFont val="Arial MT"/>
        <family val="2"/>
      </rPr>
      <t>80289-FGS-LYT-1001 (4 of 5)</t>
    </r>
  </si>
  <si>
    <r>
      <rPr>
        <sz val="6.5"/>
        <rFont val="Arial MT"/>
        <family val="2"/>
      </rPr>
      <t>100-FD-005</t>
    </r>
  </si>
  <si>
    <r>
      <rPr>
        <sz val="6.5"/>
        <rFont val="Arial MT"/>
        <family val="2"/>
      </rPr>
      <t>100-GD-009</t>
    </r>
  </si>
  <si>
    <r>
      <rPr>
        <sz val="6.5"/>
        <rFont val="Arial MT"/>
        <family val="2"/>
      </rPr>
      <t>100-GD-010</t>
    </r>
  </si>
  <si>
    <r>
      <rPr>
        <sz val="6.5"/>
        <rFont val="Arial MT"/>
        <family val="2"/>
      </rPr>
      <t>100-GD-011</t>
    </r>
  </si>
  <si>
    <r>
      <rPr>
        <sz val="6.5"/>
        <rFont val="Arial MT"/>
        <family val="2"/>
      </rPr>
      <t>100-GD-012</t>
    </r>
  </si>
  <si>
    <r>
      <rPr>
        <sz val="6.5"/>
        <rFont val="Arial MT"/>
        <family val="2"/>
      </rPr>
      <t>100-GD-013</t>
    </r>
  </si>
  <si>
    <r>
      <rPr>
        <sz val="6.5"/>
        <rFont val="Arial MT"/>
        <family val="2"/>
      </rPr>
      <t>100-GD-014</t>
    </r>
  </si>
  <si>
    <r>
      <rPr>
        <sz val="6.5"/>
        <rFont val="Arial MT"/>
        <family val="2"/>
      </rPr>
      <t>100-GD-015</t>
    </r>
  </si>
  <si>
    <r>
      <rPr>
        <sz val="6.5"/>
        <rFont val="Arial MT"/>
        <family val="2"/>
      </rPr>
      <t>100-FD-003</t>
    </r>
  </si>
  <si>
    <r>
      <rPr>
        <sz val="6.5"/>
        <rFont val="Arial MT"/>
        <family val="2"/>
      </rPr>
      <t>100-FD-006</t>
    </r>
  </si>
  <si>
    <r>
      <rPr>
        <sz val="6.5"/>
        <rFont val="Arial MT"/>
        <family val="2"/>
      </rPr>
      <t>100-MCP-005</t>
    </r>
  </si>
  <si>
    <r>
      <rPr>
        <sz val="6.5"/>
        <rFont val="Arial MT"/>
        <family val="2"/>
      </rPr>
      <t>ON CELLAR DECK</t>
    </r>
  </si>
  <si>
    <r>
      <rPr>
        <sz val="6.5"/>
        <rFont val="Arial MT"/>
        <family val="2"/>
      </rPr>
      <t>100-GD-016</t>
    </r>
  </si>
  <si>
    <r>
      <rPr>
        <sz val="6.5"/>
        <rFont val="Arial MT"/>
        <family val="2"/>
      </rPr>
      <t>SUB-CELLAR DECK</t>
    </r>
  </si>
  <si>
    <r>
      <rPr>
        <sz val="6.5"/>
        <rFont val="Arial MT"/>
        <family val="2"/>
      </rPr>
      <t>80289-FGS-LYT-1001 (5 of 5)</t>
    </r>
  </si>
  <si>
    <r>
      <rPr>
        <sz val="6.5"/>
        <rFont val="Arial MT"/>
        <family val="2"/>
      </rPr>
      <t>100-GD-017</t>
    </r>
  </si>
  <si>
    <r>
      <rPr>
        <sz val="6.5"/>
        <rFont val="Arial MT"/>
        <family val="2"/>
      </rPr>
      <t>100-FD-007</t>
    </r>
  </si>
  <si>
    <r>
      <rPr>
        <sz val="6.5"/>
        <rFont val="Arial MT"/>
        <family val="2"/>
      </rPr>
      <t>SUB CELLAR DECK</t>
    </r>
  </si>
  <si>
    <r>
      <rPr>
        <sz val="6.5"/>
        <rFont val="Arial MT"/>
        <family val="2"/>
      </rPr>
      <t>100-FD-008</t>
    </r>
  </si>
  <si>
    <r>
      <rPr>
        <sz val="6.5"/>
        <rFont val="Arial MT"/>
        <family val="2"/>
      </rPr>
      <t>100-MCP-006</t>
    </r>
  </si>
  <si>
    <r>
      <rPr>
        <sz val="6.5"/>
        <rFont val="Arial MT"/>
        <family val="2"/>
      </rPr>
      <t>ON SUB CELLAR DECK</t>
    </r>
  </si>
  <si>
    <r>
      <rPr>
        <sz val="6.5"/>
        <rFont val="Arial MT"/>
        <family val="2"/>
      </rPr>
      <t>100-CF-003A</t>
    </r>
  </si>
  <si>
    <r>
      <rPr>
        <sz val="6.5"/>
        <rFont val="Arial MT"/>
        <family val="2"/>
      </rPr>
      <t>CONFIRMED FIRE</t>
    </r>
  </si>
  <si>
    <r>
      <rPr>
        <sz val="6.5"/>
        <rFont val="Arial MT"/>
        <family val="2"/>
      </rPr>
      <t xml:space="preserve">100-PK-003A DIESEL GENERATOR PACKAGE
</t>
    </r>
    <r>
      <rPr>
        <sz val="6.5"/>
        <rFont val="Arial MT"/>
        <family val="2"/>
      </rPr>
      <t>CONFIRMED FIRE</t>
    </r>
  </si>
  <si>
    <r>
      <rPr>
        <sz val="6.5"/>
        <rFont val="Arial MT"/>
        <family val="2"/>
      </rPr>
      <t>100-CF-003B</t>
    </r>
  </si>
  <si>
    <r>
      <rPr>
        <sz val="6.5"/>
        <rFont val="Arial MT"/>
        <family val="2"/>
      </rPr>
      <t xml:space="preserve">100-PK-003B DIESEL GENERATOR PACKAGE
</t>
    </r>
    <r>
      <rPr>
        <sz val="6.5"/>
        <rFont val="Arial MT"/>
        <family val="2"/>
      </rPr>
      <t>CONFIRMED FIRE</t>
    </r>
  </si>
  <si>
    <r>
      <rPr>
        <sz val="6.5"/>
        <rFont val="Arial MT"/>
        <family val="2"/>
      </rPr>
      <t>100-SOV-XXX</t>
    </r>
  </si>
  <si>
    <r>
      <rPr>
        <sz val="6.5"/>
        <rFont val="Arial MT"/>
        <family val="2"/>
      </rPr>
      <t>ACTIVATE CO2 SNUFFING SYSTEM</t>
    </r>
  </si>
  <si>
    <r>
      <rPr>
        <sz val="6.5"/>
        <rFont val="Arial MT"/>
        <family val="2"/>
      </rPr>
      <t>100-T-409A</t>
    </r>
  </si>
  <si>
    <r>
      <rPr>
        <sz val="6.5"/>
        <rFont val="Arial MT"/>
        <family val="2"/>
      </rPr>
      <t>100-TZIT-409A</t>
    </r>
  </si>
  <si>
    <r>
      <rPr>
        <sz val="6.5"/>
        <rFont val="Arial MT"/>
        <family val="2"/>
      </rPr>
      <t>TEMPERATURE CO2 SNUFFING SYSTEM</t>
    </r>
  </si>
  <si>
    <r>
      <rPr>
        <sz val="6.5"/>
        <rFont val="Arial MT"/>
        <family val="2"/>
      </rPr>
      <t>BY PACKAGE VENDOR</t>
    </r>
  </si>
  <si>
    <r>
      <rPr>
        <sz val="6.5"/>
        <rFont val="Arial MT"/>
        <family val="2"/>
      </rPr>
      <t>TAG NO. IS RENAMED</t>
    </r>
  </si>
  <si>
    <r>
      <rPr>
        <sz val="6.5"/>
        <rFont val="Arial MT"/>
        <family val="2"/>
      </rPr>
      <t>100-T-409B</t>
    </r>
  </si>
  <si>
    <r>
      <rPr>
        <sz val="6.5"/>
        <rFont val="Arial MT"/>
        <family val="2"/>
      </rPr>
      <t>100-TZIT-409B</t>
    </r>
  </si>
  <si>
    <t>P&amp;ID</t>
  </si>
  <si>
    <t>C&amp;E</t>
  </si>
  <si>
    <t>COMMON FAULT-NAV AID</t>
  </si>
  <si>
    <t>ON 100-V-005A PRESSURIZATION BOTTLE</t>
  </si>
  <si>
    <t>100-ZSL-XXX</t>
  </si>
  <si>
    <t>OUTLET FROM WEB NE WELLHEAD</t>
  </si>
  <si>
    <t>NO</t>
  </si>
  <si>
    <t>Wire Schd</t>
  </si>
  <si>
    <t>yes</t>
  </si>
  <si>
    <t>YES</t>
  </si>
  <si>
    <t>100-TIT-W401A</t>
  </si>
  <si>
    <r>
      <rPr>
        <b/>
        <sz val="6"/>
        <rFont val="Arial"/>
        <family val="2"/>
      </rPr>
      <t>EFFECT</t>
    </r>
  </si>
  <si>
    <r>
      <rPr>
        <b/>
        <sz val="5"/>
        <rFont val="Arial"/>
        <family val="2"/>
      </rPr>
      <t>DECRIPTION</t>
    </r>
  </si>
  <si>
    <r>
      <rPr>
        <sz val="4.5"/>
        <rFont val="Arial MT"/>
        <family val="2"/>
      </rPr>
      <t>START-UP OVERRIDE (NOTE-2)</t>
    </r>
  </si>
  <si>
    <r>
      <rPr>
        <sz val="4.5"/>
        <rFont val="Arial MT"/>
        <family val="2"/>
      </rPr>
      <t>ANNUCIATE AT WEB PLTF &amp; WDDM CONTROL ROOM</t>
    </r>
  </si>
  <si>
    <r>
      <rPr>
        <sz val="4.5"/>
        <rFont val="Arial MT"/>
        <family val="2"/>
      </rPr>
      <t>WEB NE SUBSURFACE VALVE 100-SSSV-W901A</t>
    </r>
  </si>
  <si>
    <r>
      <rPr>
        <sz val="4.5"/>
        <rFont val="Arial MT"/>
        <family val="2"/>
      </rPr>
      <t>WEB NE SURFACE VALVE 100-SSV-W902A</t>
    </r>
  </si>
  <si>
    <r>
      <rPr>
        <sz val="4.5"/>
        <rFont val="Arial MT"/>
        <family val="2"/>
      </rPr>
      <t>WEB NE WING VALVE 100-SDV-W903A</t>
    </r>
  </si>
  <si>
    <r>
      <rPr>
        <sz val="4.5"/>
        <rFont val="Arial MT"/>
        <family val="2"/>
      </rPr>
      <t>WEB NW SUBSURFACE VALVE 100-SSSV-W901B</t>
    </r>
  </si>
  <si>
    <r>
      <rPr>
        <sz val="4.5"/>
        <rFont val="Arial MT"/>
        <family val="2"/>
      </rPr>
      <t>WEB NW SURFACE VALVE 100-SSV-W902B</t>
    </r>
  </si>
  <si>
    <r>
      <rPr>
        <sz val="4.5"/>
        <rFont val="Arial MT"/>
        <family val="2"/>
      </rPr>
      <t>WEB NW WING VALVE 100-SDV-W903B</t>
    </r>
  </si>
  <si>
    <r>
      <rPr>
        <sz val="4.5"/>
        <rFont val="Arial MT"/>
        <family val="2"/>
      </rPr>
      <t>WEB SE SUBSURFACE VALVE 100-SSSV-W901C</t>
    </r>
  </si>
  <si>
    <r>
      <rPr>
        <sz val="4.5"/>
        <rFont val="Arial MT"/>
        <family val="2"/>
      </rPr>
      <t>WEB SE SURFACE VALVE 100-SSV-W902C</t>
    </r>
  </si>
  <si>
    <r>
      <rPr>
        <sz val="4.5"/>
        <rFont val="Arial MT"/>
        <family val="2"/>
      </rPr>
      <t>WEB SE WING VALVE 100-SDV-W903C</t>
    </r>
  </si>
  <si>
    <r>
      <rPr>
        <sz val="4.5"/>
        <rFont val="Arial MT"/>
        <family val="2"/>
      </rPr>
      <t>WEB SW SUBSURFACE VALVE 100-SSSV-W901D</t>
    </r>
  </si>
  <si>
    <r>
      <rPr>
        <sz val="4.5"/>
        <rFont val="Arial MT"/>
        <family val="2"/>
      </rPr>
      <t>WEB SW SURFACE VALVE 100-SSV-W902D</t>
    </r>
  </si>
  <si>
    <r>
      <rPr>
        <sz val="4.5"/>
        <rFont val="Arial MT"/>
        <family val="2"/>
      </rPr>
      <t>WEB SW WING VALVE 100-SDV-W903D</t>
    </r>
  </si>
  <si>
    <r>
      <rPr>
        <sz val="4.5"/>
        <rFont val="Arial MT"/>
        <family val="2"/>
      </rPr>
      <t>WEB PIPELINE TOP SIDE SHUTDOWN VALVE 100-SDV-906</t>
    </r>
  </si>
  <si>
    <r>
      <rPr>
        <sz val="4.5"/>
        <rFont val="Arial MT"/>
        <family val="2"/>
      </rPr>
      <t>PAPYRUS PIPELINE SHUTDOWN VALVE 100-SDV-907</t>
    </r>
  </si>
  <si>
    <r>
      <rPr>
        <sz val="4.5"/>
        <rFont val="Arial MT"/>
        <family val="2"/>
      </rPr>
      <t>100-BDV-908-BLOW DOWN VALVE</t>
    </r>
  </si>
  <si>
    <r>
      <rPr>
        <sz val="4.5"/>
        <rFont val="Arial MT"/>
        <family val="2"/>
      </rPr>
      <t>DIESEL PUMP 100-P-005A</t>
    </r>
  </si>
  <si>
    <r>
      <rPr>
        <sz val="4.5"/>
        <rFont val="Arial MT"/>
        <family val="2"/>
      </rPr>
      <t>DIESEL PUMP 100-P-005B</t>
    </r>
  </si>
  <si>
    <r>
      <rPr>
        <sz val="4.5"/>
        <rFont val="Arial MT"/>
        <family val="2"/>
      </rPr>
      <t>DIESEL GENERATION PACKAGE 100-PK-003A TRIP</t>
    </r>
  </si>
  <si>
    <r>
      <rPr>
        <sz val="4.5"/>
        <rFont val="Arial MT"/>
        <family val="2"/>
      </rPr>
      <t>DIESEL GENERATION PACKAGE 100-PK-003B TRIP</t>
    </r>
  </si>
  <si>
    <r>
      <rPr>
        <sz val="4.5"/>
        <rFont val="Arial MT"/>
        <family val="2"/>
      </rPr>
      <t>CORROSION INHIBITOR PUMP 100-P-001A</t>
    </r>
  </si>
  <si>
    <r>
      <rPr>
        <sz val="4.5"/>
        <rFont val="Arial MT"/>
        <family val="2"/>
      </rPr>
      <t>CORROSION INHIBITOR PUMP 100-P-001B</t>
    </r>
  </si>
  <si>
    <r>
      <rPr>
        <sz val="4.5"/>
        <rFont val="Arial MT"/>
        <family val="2"/>
      </rPr>
      <t>CORROSION INHIBITOR TANK MIXER 100-MX-001</t>
    </r>
  </si>
  <si>
    <r>
      <rPr>
        <sz val="4.5"/>
        <rFont val="Arial MT"/>
        <family val="2"/>
      </rPr>
      <t>KHI PUMP 100-P-002A</t>
    </r>
  </si>
  <si>
    <r>
      <rPr>
        <sz val="4.5"/>
        <rFont val="Arial MT"/>
        <family val="2"/>
      </rPr>
      <t>KHI PUMP 100-P-002B</t>
    </r>
  </si>
  <si>
    <r>
      <rPr>
        <sz val="4.5"/>
        <rFont val="Arial MT"/>
        <family val="2"/>
      </rPr>
      <t>KHI TANK MIXER 100-MX-002</t>
    </r>
  </si>
  <si>
    <r>
      <rPr>
        <sz val="4.5"/>
        <rFont val="Arial MT"/>
        <family val="2"/>
      </rPr>
      <t>METHENOL PUMP 100-P-003A</t>
    </r>
  </si>
  <si>
    <r>
      <rPr>
        <sz val="4.5"/>
        <rFont val="Arial MT"/>
        <family val="2"/>
      </rPr>
      <t>METHENOL PUMP 100-P-003B</t>
    </r>
  </si>
  <si>
    <r>
      <rPr>
        <sz val="4.5"/>
        <rFont val="Arial MT"/>
        <family val="2"/>
      </rPr>
      <t>SCALE INHIBITOR PUMP 100-P-008A</t>
    </r>
  </si>
  <si>
    <r>
      <rPr>
        <sz val="4.5"/>
        <rFont val="Arial MT"/>
        <family val="2"/>
      </rPr>
      <t>SCALE INHIBITOR PUMP 100-P-008B</t>
    </r>
  </si>
  <si>
    <r>
      <rPr>
        <sz val="4.5"/>
        <rFont val="Arial MT"/>
        <family val="2"/>
      </rPr>
      <t>SCALE INHIBITOR TANK MIXER 100-MX-008</t>
    </r>
  </si>
  <si>
    <r>
      <rPr>
        <sz val="4.5"/>
        <rFont val="Arial MT"/>
        <family val="2"/>
      </rPr>
      <t>CORROSION INHIBITOR 100-SY-910A WEB NE FLOWLINE</t>
    </r>
  </si>
  <si>
    <r>
      <rPr>
        <sz val="4.5"/>
        <rFont val="Arial MT"/>
        <family val="2"/>
      </rPr>
      <t>CORROSION INHIBITOR 100-SY-910B WEB NW FLOWLINE</t>
    </r>
  </si>
  <si>
    <r>
      <rPr>
        <sz val="4.5"/>
        <rFont val="Arial MT"/>
        <family val="2"/>
      </rPr>
      <t>CORROSION INHIBITOR 100-SY-910C WEB SE FLOWLINE</t>
    </r>
  </si>
  <si>
    <r>
      <rPr>
        <sz val="4.5"/>
        <rFont val="Arial MT"/>
        <family val="2"/>
      </rPr>
      <t>CORROSION INHIBITOR 100-SY-910D WEB SW FLOWLINE</t>
    </r>
  </si>
  <si>
    <r>
      <rPr>
        <sz val="4.5"/>
        <rFont val="Arial MT"/>
        <family val="2"/>
      </rPr>
      <t>KHI INJECTION 100-SY-911A WEB NE FLOWLINE</t>
    </r>
  </si>
  <si>
    <r>
      <rPr>
        <sz val="4.5"/>
        <rFont val="Arial MT"/>
        <family val="2"/>
      </rPr>
      <t>KHI INJECTION 100-SY-911B WEB NW FLOWLINE</t>
    </r>
  </si>
  <si>
    <r>
      <rPr>
        <sz val="4.5"/>
        <rFont val="Arial MT"/>
        <family val="2"/>
      </rPr>
      <t>KHI INJECTION 100-SY-911C WEB SE FLOWLINE</t>
    </r>
  </si>
  <si>
    <r>
      <rPr>
        <sz val="4.5"/>
        <rFont val="Arial MT"/>
        <family val="2"/>
      </rPr>
      <t>KHI INJECTION 100-SY-911D WEB SW FLOWLINE</t>
    </r>
  </si>
  <si>
    <r>
      <rPr>
        <sz val="4.5"/>
        <rFont val="Arial MT"/>
        <family val="2"/>
      </rPr>
      <t>METHANOL INJECTION 100-SY-909A WEB NE FLOWLINE</t>
    </r>
  </si>
  <si>
    <r>
      <rPr>
        <sz val="4.5"/>
        <rFont val="Arial MT"/>
        <family val="2"/>
      </rPr>
      <t>METHANOL INJECTION 100-SY-909B WEB NW FLOWLINE</t>
    </r>
  </si>
  <si>
    <r>
      <rPr>
        <sz val="4.5"/>
        <rFont val="Arial MT"/>
        <family val="2"/>
      </rPr>
      <t>METHANOL INJECTION 100-SY-909C WEB SE FLOWLINE</t>
    </r>
  </si>
  <si>
    <r>
      <rPr>
        <sz val="4.5"/>
        <rFont val="Arial MT"/>
        <family val="2"/>
      </rPr>
      <t>METHANOL INJECTION 100-SY-909D WEB SW FLOWLINE</t>
    </r>
  </si>
  <si>
    <r>
      <rPr>
        <sz val="4.5"/>
        <rFont val="Arial MT"/>
        <family val="2"/>
      </rPr>
      <t>SCALE INHIBITOR 100-SY-912 WEB PIPELINE</t>
    </r>
  </si>
  <si>
    <r>
      <rPr>
        <sz val="4.5"/>
        <rFont val="Arial MT"/>
        <family val="2"/>
      </rPr>
      <t>HYDRAULIC MOTOR PM-006A</t>
    </r>
  </si>
  <si>
    <r>
      <rPr>
        <sz val="4.5"/>
        <rFont val="Arial MT"/>
        <family val="2"/>
      </rPr>
      <t>HYDRAULIC MOTOR PM-006B</t>
    </r>
  </si>
  <si>
    <r>
      <rPr>
        <sz val="4.5"/>
        <rFont val="Arial MT"/>
        <family val="2"/>
      </rPr>
      <t>HYDRAULIC MOTOR PM-007A</t>
    </r>
  </si>
  <si>
    <r>
      <rPr>
        <sz val="4.5"/>
        <rFont val="Arial MT"/>
        <family val="2"/>
      </rPr>
      <t>HYDRAULIC MOTOR PM-007B</t>
    </r>
  </si>
  <si>
    <r>
      <rPr>
        <sz val="4.5"/>
        <rFont val="Arial MT"/>
        <family val="2"/>
      </rPr>
      <t>MANUAL ESD PUSHBUTTON    SIGNAL TO PAGA</t>
    </r>
  </si>
  <si>
    <r>
      <rPr>
        <sz val="4.5"/>
        <rFont val="Arial MT"/>
        <family val="2"/>
      </rPr>
      <t>ESD STATUS ON ICSS PANEL</t>
    </r>
  </si>
  <si>
    <r>
      <rPr>
        <sz val="4.5"/>
        <rFont val="Arial MT"/>
        <family val="2"/>
      </rPr>
      <t>PSD STATUS ON ICSS PANEL</t>
    </r>
  </si>
  <si>
    <r>
      <rPr>
        <sz val="4.5"/>
        <rFont val="Arial MT"/>
        <family val="2"/>
      </rPr>
      <t>PSD STATUS TO PAGA</t>
    </r>
  </si>
  <si>
    <r>
      <rPr>
        <b/>
        <sz val="5"/>
        <rFont val="Arial"/>
        <family val="2"/>
      </rPr>
      <t>TAG NUMBER</t>
    </r>
  </si>
  <si>
    <r>
      <rPr>
        <sz val="4.5"/>
        <rFont val="Arial MT"/>
        <family val="2"/>
      </rPr>
      <t>100-SY-W901A</t>
    </r>
  </si>
  <si>
    <r>
      <rPr>
        <sz val="4.5"/>
        <rFont val="Arial MT"/>
        <family val="2"/>
      </rPr>
      <t>100-SY-W902A</t>
    </r>
  </si>
  <si>
    <r>
      <rPr>
        <sz val="4.5"/>
        <rFont val="Arial MT"/>
        <family val="2"/>
      </rPr>
      <t>100-SY-W903A</t>
    </r>
  </si>
  <si>
    <r>
      <rPr>
        <sz val="4.5"/>
        <rFont val="Arial MT"/>
        <family val="2"/>
      </rPr>
      <t>100-SY-W901B</t>
    </r>
  </si>
  <si>
    <r>
      <rPr>
        <sz val="4.5"/>
        <rFont val="Arial MT"/>
        <family val="2"/>
      </rPr>
      <t>100-SY-W902B</t>
    </r>
  </si>
  <si>
    <r>
      <rPr>
        <sz val="4.5"/>
        <rFont val="Arial MT"/>
        <family val="2"/>
      </rPr>
      <t>100-SY-W903B</t>
    </r>
  </si>
  <si>
    <r>
      <rPr>
        <sz val="4.5"/>
        <rFont val="Arial MT"/>
        <family val="2"/>
      </rPr>
      <t>100-SY-W901C</t>
    </r>
  </si>
  <si>
    <r>
      <rPr>
        <sz val="4.5"/>
        <rFont val="Arial MT"/>
        <family val="2"/>
      </rPr>
      <t>100-SY-W902C</t>
    </r>
  </si>
  <si>
    <r>
      <rPr>
        <sz val="4.5"/>
        <rFont val="Arial MT"/>
        <family val="2"/>
      </rPr>
      <t>100-SY-W903C</t>
    </r>
  </si>
  <si>
    <r>
      <rPr>
        <sz val="4.5"/>
        <rFont val="Arial MT"/>
        <family val="2"/>
      </rPr>
      <t>100-SY-W902D</t>
    </r>
  </si>
  <si>
    <r>
      <rPr>
        <sz val="4.5"/>
        <rFont val="Arial MT"/>
        <family val="2"/>
      </rPr>
      <t>100-SY-W903D</t>
    </r>
  </si>
  <si>
    <r>
      <rPr>
        <sz val="4.5"/>
        <rFont val="Arial MT"/>
        <family val="2"/>
      </rPr>
      <t>100-SY-906A</t>
    </r>
  </si>
  <si>
    <r>
      <rPr>
        <sz val="4.5"/>
        <rFont val="Arial MT"/>
        <family val="2"/>
      </rPr>
      <t>100-SY-906B</t>
    </r>
  </si>
  <si>
    <r>
      <rPr>
        <sz val="4.5"/>
        <rFont val="Arial MT"/>
        <family val="2"/>
      </rPr>
      <t>100-SY-907A</t>
    </r>
  </si>
  <si>
    <r>
      <rPr>
        <sz val="4.5"/>
        <rFont val="Arial MT"/>
        <family val="2"/>
      </rPr>
      <t>100-SY-907B</t>
    </r>
  </si>
  <si>
    <r>
      <rPr>
        <sz val="4.5"/>
        <rFont val="Arial MT"/>
        <family val="2"/>
      </rPr>
      <t>100-SY-908</t>
    </r>
  </si>
  <si>
    <r>
      <rPr>
        <sz val="4.5"/>
        <rFont val="Arial MT"/>
        <family val="2"/>
      </rPr>
      <t>100-XS-005B</t>
    </r>
  </si>
  <si>
    <r>
      <rPr>
        <sz val="4.5"/>
        <rFont val="Arial MT"/>
        <family val="2"/>
      </rPr>
      <t>100-XS-PK-003A</t>
    </r>
  </si>
  <si>
    <r>
      <rPr>
        <sz val="4.5"/>
        <rFont val="Arial MT"/>
        <family val="2"/>
      </rPr>
      <t>100-XS-PK-003B</t>
    </r>
  </si>
  <si>
    <r>
      <rPr>
        <sz val="4.5"/>
        <rFont val="Arial MT"/>
        <family val="2"/>
      </rPr>
      <t>100-XS-001A</t>
    </r>
  </si>
  <si>
    <r>
      <rPr>
        <sz val="4.5"/>
        <rFont val="Arial MT"/>
        <family val="2"/>
      </rPr>
      <t>100-XS-001B</t>
    </r>
  </si>
  <si>
    <r>
      <rPr>
        <sz val="4.5"/>
        <rFont val="Arial MT"/>
        <family val="2"/>
      </rPr>
      <t>100-XS-MX-001</t>
    </r>
  </si>
  <si>
    <r>
      <rPr>
        <sz val="4.5"/>
        <rFont val="Arial MT"/>
        <family val="2"/>
      </rPr>
      <t>100-XS-002A</t>
    </r>
  </si>
  <si>
    <r>
      <rPr>
        <sz val="4.5"/>
        <rFont val="Arial MT"/>
        <family val="2"/>
      </rPr>
      <t>100-XS-002B</t>
    </r>
  </si>
  <si>
    <r>
      <rPr>
        <sz val="4.5"/>
        <rFont val="Arial MT"/>
        <family val="2"/>
      </rPr>
      <t>100-XS-MX-002</t>
    </r>
  </si>
  <si>
    <r>
      <rPr>
        <sz val="4.5"/>
        <rFont val="Arial MT"/>
        <family val="2"/>
      </rPr>
      <t>100-XS-003A</t>
    </r>
  </si>
  <si>
    <r>
      <rPr>
        <sz val="4.5"/>
        <rFont val="Arial MT"/>
        <family val="2"/>
      </rPr>
      <t>100-XS-003B</t>
    </r>
  </si>
  <si>
    <r>
      <rPr>
        <sz val="4.5"/>
        <rFont val="Arial MT"/>
        <family val="2"/>
      </rPr>
      <t>100-XS-008A</t>
    </r>
  </si>
  <si>
    <r>
      <rPr>
        <sz val="4.5"/>
        <rFont val="Arial MT"/>
        <family val="2"/>
      </rPr>
      <t>100-XS-008B</t>
    </r>
  </si>
  <si>
    <r>
      <rPr>
        <sz val="4.5"/>
        <rFont val="Arial MT"/>
        <family val="2"/>
      </rPr>
      <t>100-SV-910A</t>
    </r>
  </si>
  <si>
    <r>
      <rPr>
        <sz val="4.5"/>
        <rFont val="Arial MT"/>
        <family val="2"/>
      </rPr>
      <t>100-SV-910B</t>
    </r>
  </si>
  <si>
    <r>
      <rPr>
        <sz val="4.5"/>
        <rFont val="Arial MT"/>
        <family val="2"/>
      </rPr>
      <t>100-SV-910C</t>
    </r>
  </si>
  <si>
    <r>
      <rPr>
        <sz val="4.5"/>
        <rFont val="Arial MT"/>
        <family val="2"/>
      </rPr>
      <t>100-SV-910D</t>
    </r>
  </si>
  <si>
    <r>
      <rPr>
        <sz val="4.5"/>
        <rFont val="Arial MT"/>
        <family val="2"/>
      </rPr>
      <t>100-SV-911B</t>
    </r>
  </si>
  <si>
    <r>
      <rPr>
        <sz val="4.5"/>
        <rFont val="Arial MT"/>
        <family val="2"/>
      </rPr>
      <t>100-SV-911C</t>
    </r>
  </si>
  <si>
    <r>
      <rPr>
        <sz val="4.5"/>
        <rFont val="Arial MT"/>
        <family val="2"/>
      </rPr>
      <t>100-SV-911D</t>
    </r>
  </si>
  <si>
    <r>
      <rPr>
        <sz val="4.5"/>
        <rFont val="Arial MT"/>
        <family val="2"/>
      </rPr>
      <t>100-SV-909A</t>
    </r>
  </si>
  <si>
    <r>
      <rPr>
        <sz val="4.5"/>
        <rFont val="Arial MT"/>
        <family val="2"/>
      </rPr>
      <t>100-SV-909B</t>
    </r>
  </si>
  <si>
    <r>
      <rPr>
        <sz val="4.5"/>
        <rFont val="Arial MT"/>
        <family val="2"/>
      </rPr>
      <t>100-SV-909C</t>
    </r>
  </si>
  <si>
    <r>
      <rPr>
        <sz val="4.5"/>
        <rFont val="Arial MT"/>
        <family val="2"/>
      </rPr>
      <t>100-SV-909D</t>
    </r>
  </si>
  <si>
    <r>
      <rPr>
        <sz val="4.5"/>
        <rFont val="Arial MT"/>
        <family val="2"/>
      </rPr>
      <t>100-SV-912</t>
    </r>
  </si>
  <si>
    <r>
      <rPr>
        <sz val="4.5"/>
        <rFont val="Arial MT"/>
        <family val="2"/>
      </rPr>
      <t>100-XS-006A</t>
    </r>
  </si>
  <si>
    <r>
      <rPr>
        <sz val="4.5"/>
        <rFont val="Arial MT"/>
        <family val="2"/>
      </rPr>
      <t>100-XS-006B</t>
    </r>
  </si>
  <si>
    <r>
      <rPr>
        <sz val="4.5"/>
        <rFont val="Arial MT"/>
        <family val="2"/>
      </rPr>
      <t>100-XS-007A</t>
    </r>
  </si>
  <si>
    <r>
      <rPr>
        <sz val="4.5"/>
        <rFont val="Arial MT"/>
        <family val="2"/>
      </rPr>
      <t>100-XS-007B</t>
    </r>
  </si>
  <si>
    <r>
      <rPr>
        <sz val="4.5"/>
        <rFont val="Arial MT"/>
        <family val="2"/>
      </rPr>
      <t>100-XS-009</t>
    </r>
  </si>
  <si>
    <r>
      <rPr>
        <sz val="4.5"/>
        <rFont val="Arial MT"/>
        <family val="2"/>
      </rPr>
      <t>100-XL-004</t>
    </r>
  </si>
  <si>
    <r>
      <rPr>
        <sz val="4.5"/>
        <rFont val="Arial MT"/>
        <family val="2"/>
      </rPr>
      <t>100-XL-005</t>
    </r>
  </si>
  <si>
    <r>
      <rPr>
        <sz val="4.5"/>
        <rFont val="Arial MT"/>
        <family val="2"/>
      </rPr>
      <t>100-XS-014</t>
    </r>
  </si>
  <si>
    <r>
      <rPr>
        <b/>
        <sz val="5"/>
        <rFont val="Arial"/>
        <family val="2"/>
      </rPr>
      <t>ACTION</t>
    </r>
  </si>
  <si>
    <r>
      <rPr>
        <sz val="4.5"/>
        <rFont val="Arial MT"/>
        <family val="2"/>
      </rPr>
      <t>CLOSE</t>
    </r>
  </si>
  <si>
    <r>
      <rPr>
        <sz val="4.5"/>
        <rFont val="Arial MT"/>
        <family val="2"/>
      </rPr>
      <t>OPEN</t>
    </r>
  </si>
  <si>
    <r>
      <rPr>
        <sz val="4.5"/>
        <rFont val="Arial MT"/>
        <family val="2"/>
      </rPr>
      <t>TRIP</t>
    </r>
  </si>
  <si>
    <r>
      <rPr>
        <sz val="4.5"/>
        <rFont val="Arial MT"/>
        <family val="2"/>
      </rPr>
      <t>ACTIVATE</t>
    </r>
  </si>
  <si>
    <r>
      <rPr>
        <sz val="4.5"/>
        <rFont val="Arial MT"/>
        <family val="2"/>
      </rPr>
      <t>LAMP ON</t>
    </r>
  </si>
  <si>
    <r>
      <rPr>
        <b/>
        <sz val="6"/>
        <rFont val="Arial"/>
        <family val="2"/>
      </rPr>
      <t>CAUSE/DEVICES</t>
    </r>
  </si>
  <si>
    <r>
      <rPr>
        <b/>
        <sz val="5"/>
        <rFont val="Arial"/>
        <family val="2"/>
      </rPr>
      <t>COL</t>
    </r>
  </si>
  <si>
    <r>
      <rPr>
        <b/>
        <sz val="5"/>
        <rFont val="Arial"/>
        <family val="2"/>
      </rPr>
      <t>REV</t>
    </r>
  </si>
  <si>
    <r>
      <rPr>
        <b/>
        <sz val="5"/>
        <rFont val="Arial"/>
        <family val="2"/>
      </rPr>
      <t>P&amp;ID</t>
    </r>
  </si>
  <si>
    <r>
      <rPr>
        <b/>
        <sz val="5"/>
        <rFont val="Arial"/>
        <family val="2"/>
      </rPr>
      <t>DESCRIPTION</t>
    </r>
  </si>
  <si>
    <r>
      <rPr>
        <b/>
        <sz val="5"/>
        <rFont val="Arial"/>
        <family val="2"/>
      </rPr>
      <t>INSTRUMENT TAG</t>
    </r>
  </si>
  <si>
    <r>
      <rPr>
        <b/>
        <sz val="5"/>
        <rFont val="Arial"/>
        <family val="2"/>
      </rPr>
      <t>NOTES</t>
    </r>
  </si>
  <si>
    <r>
      <rPr>
        <b/>
        <sz val="5"/>
        <rFont val="Arial"/>
        <family val="2"/>
      </rPr>
      <t>ROW</t>
    </r>
  </si>
  <si>
    <r>
      <rPr>
        <b/>
        <sz val="4.5"/>
        <rFont val="Arial"/>
        <family val="2"/>
      </rPr>
      <t>WDDM INTERFACE</t>
    </r>
  </si>
  <si>
    <r>
      <rPr>
        <sz val="4.5"/>
        <rFont val="Arial MT"/>
        <family val="2"/>
      </rPr>
      <t>80289-PRO-PID-1001</t>
    </r>
  </si>
  <si>
    <r>
      <rPr>
        <sz val="4.5"/>
        <rFont val="Arial MT"/>
        <family val="2"/>
      </rPr>
      <t>REMOTE ESD PUSH BUTTON</t>
    </r>
  </si>
  <si>
    <t>100-ESD-W010</t>
  </si>
  <si>
    <t>NOTE-4</t>
  </si>
  <si>
    <r>
      <rPr>
        <b/>
        <sz val="4.5"/>
        <rFont val="Arial"/>
        <family val="2"/>
      </rPr>
      <t>X</t>
    </r>
  </si>
  <si>
    <r>
      <rPr>
        <sz val="4.5"/>
        <rFont val="Arial MT"/>
        <family val="2"/>
      </rPr>
      <t>REMOTE PSD PUSH BUTTON</t>
    </r>
  </si>
  <si>
    <r>
      <rPr>
        <sz val="4.5"/>
        <rFont val="Arial MT"/>
        <family val="2"/>
      </rPr>
      <t>100-PSD-W010</t>
    </r>
  </si>
  <si>
    <r>
      <rPr>
        <sz val="4.5"/>
        <rFont val="Arial MT"/>
        <family val="2"/>
      </rPr>
      <t>NOTE-4,5</t>
    </r>
  </si>
  <si>
    <r>
      <rPr>
        <b/>
        <sz val="4.5"/>
        <rFont val="Arial"/>
        <family val="2"/>
      </rPr>
      <t>EMERGENCY SHUTDOWN (ESD)</t>
    </r>
  </si>
  <si>
    <t>80829-INC-LYT-1001</t>
  </si>
  <si>
    <r>
      <rPr>
        <sz val="4.5"/>
        <rFont val="Arial MT"/>
        <family val="2"/>
      </rPr>
      <t>ESD PUSHBUTTON AT HELIDECK DECK</t>
    </r>
  </si>
  <si>
    <r>
      <rPr>
        <sz val="4.5"/>
        <rFont val="Arial MT"/>
        <family val="2"/>
      </rPr>
      <t>100-HS-ESD-001</t>
    </r>
  </si>
  <si>
    <r>
      <rPr>
        <sz val="4.5"/>
        <rFont val="Arial MT"/>
        <family val="2"/>
      </rPr>
      <t>NOTE-4</t>
    </r>
  </si>
  <si>
    <r>
      <rPr>
        <sz val="4.5"/>
        <rFont val="Arial MT"/>
        <family val="2"/>
      </rPr>
      <t>80829-INC-LYT-1001</t>
    </r>
  </si>
  <si>
    <r>
      <rPr>
        <sz val="4.5"/>
        <rFont val="Arial MT"/>
        <family val="2"/>
      </rPr>
      <t>100-HS-ESD-002</t>
    </r>
  </si>
  <si>
    <r>
      <rPr>
        <sz val="4.5"/>
        <rFont val="Arial MT"/>
        <family val="2"/>
      </rPr>
      <t>ESD PUSHBUTTON AT MAIN DECK</t>
    </r>
  </si>
  <si>
    <r>
      <rPr>
        <sz val="4.5"/>
        <rFont val="Arial MT"/>
        <family val="2"/>
      </rPr>
      <t>100-HS-ESD-003</t>
    </r>
  </si>
  <si>
    <r>
      <rPr>
        <sz val="4.5"/>
        <rFont val="Arial MT"/>
        <family val="2"/>
      </rPr>
      <t>100-HS-ESD-004</t>
    </r>
  </si>
  <si>
    <r>
      <rPr>
        <sz val="4.5"/>
        <rFont val="Arial MT"/>
        <family val="2"/>
      </rPr>
      <t>ESD PUSHBUTTON AT CELLAR DECK</t>
    </r>
  </si>
  <si>
    <r>
      <rPr>
        <sz val="4.5"/>
        <rFont val="Arial MT"/>
        <family val="2"/>
      </rPr>
      <t>100-HS-ESD-005</t>
    </r>
  </si>
  <si>
    <r>
      <rPr>
        <sz val="4.5"/>
        <rFont val="Arial MT"/>
        <family val="2"/>
      </rPr>
      <t>ESD PUSHBUTTON AT SUB CELLAR DECK</t>
    </r>
  </si>
  <si>
    <r>
      <rPr>
        <sz val="4.5"/>
        <rFont val="Arial MT"/>
        <family val="2"/>
      </rPr>
      <t>100-HS-ESD-006</t>
    </r>
  </si>
  <si>
    <r>
      <rPr>
        <sz val="4.5"/>
        <rFont val="Arial MT"/>
        <family val="2"/>
      </rPr>
      <t>ESD PUSHBUTTON AT MEZZANINE DECK</t>
    </r>
  </si>
  <si>
    <r>
      <rPr>
        <sz val="4.5"/>
        <rFont val="Arial MT"/>
        <family val="2"/>
      </rPr>
      <t>100-HS-ESD-007</t>
    </r>
  </si>
  <si>
    <r>
      <rPr>
        <sz val="4.5"/>
        <rFont val="Arial MT"/>
        <family val="2"/>
      </rPr>
      <t>100-HS-ESD-008</t>
    </r>
  </si>
  <si>
    <r>
      <rPr>
        <sz val="4.5"/>
        <rFont val="Arial MT"/>
        <family val="2"/>
      </rPr>
      <t>-</t>
    </r>
  </si>
  <si>
    <r>
      <rPr>
        <sz val="4.5"/>
        <rFont val="Arial MT"/>
        <family val="2"/>
      </rPr>
      <t>ESD PUSHBUTTON AT ICSS</t>
    </r>
  </si>
  <si>
    <r>
      <rPr>
        <sz val="4.5"/>
        <rFont val="Arial MT"/>
        <family val="2"/>
      </rPr>
      <t>100-PB-003</t>
    </r>
  </si>
  <si>
    <r>
      <rPr>
        <sz val="4.5"/>
        <rFont val="Arial MT"/>
        <family val="2"/>
      </rPr>
      <t>CONFIRMED FIRE</t>
    </r>
  </si>
  <si>
    <r>
      <rPr>
        <sz val="4.5"/>
        <rFont val="Arial MT"/>
        <family val="2"/>
      </rPr>
      <t>100-CF-001(SOFT)</t>
    </r>
  </si>
  <si>
    <r>
      <rPr>
        <sz val="4.5"/>
        <rFont val="Arial MT"/>
        <family val="2"/>
      </rPr>
      <t>CONFIRMED GAS</t>
    </r>
  </si>
  <si>
    <r>
      <rPr>
        <sz val="4.5"/>
        <rFont val="Arial MT"/>
        <family val="2"/>
      </rPr>
      <t>100-CG-001(SOFT)</t>
    </r>
  </si>
  <si>
    <r>
      <rPr>
        <b/>
        <sz val="4.5"/>
        <rFont val="Arial"/>
        <family val="2"/>
      </rPr>
      <t>PROCESS SHUTDOWN (PSD)</t>
    </r>
  </si>
  <si>
    <r>
      <rPr>
        <sz val="4.5"/>
        <rFont val="Arial MT"/>
        <family val="2"/>
      </rPr>
      <t>100-PSDA-W010</t>
    </r>
  </si>
  <si>
    <r>
      <rPr>
        <sz val="4.5"/>
        <rFont val="Arial MT"/>
        <family val="2"/>
      </rPr>
      <t>80289-PRO-PID-1010</t>
    </r>
  </si>
  <si>
    <r>
      <rPr>
        <sz val="4.5"/>
        <rFont val="Arial MT"/>
        <family val="2"/>
      </rPr>
      <t>VENT/CLOSED DRAIN KO DRUM LEVEL HIGH HIGH</t>
    </r>
  </si>
  <si>
    <r>
      <rPr>
        <sz val="4.5"/>
        <rFont val="Arial MT"/>
        <family val="2"/>
      </rPr>
      <t>100-LZIT-605A/B/C</t>
    </r>
  </si>
  <si>
    <r>
      <rPr>
        <sz val="4.5"/>
        <rFont val="Arial MT"/>
        <family val="2"/>
      </rPr>
      <t>2OO3 NOTE-4,5</t>
    </r>
  </si>
  <si>
    <r>
      <rPr>
        <sz val="4.5"/>
        <rFont val="Arial MT"/>
        <family val="2"/>
      </rPr>
      <t>PSD PUSHBUTTON AT ICSS</t>
    </r>
  </si>
  <si>
    <r>
      <rPr>
        <sz val="4.5"/>
        <rFont val="Arial MT"/>
        <family val="2"/>
      </rPr>
      <t>100-PB-004</t>
    </r>
  </si>
  <si>
    <r>
      <rPr>
        <sz val="4.5"/>
        <rFont val="Arial MT"/>
        <family val="2"/>
      </rPr>
      <t>80289-PRO-PID-1008</t>
    </r>
  </si>
  <si>
    <r>
      <rPr>
        <sz val="4.5"/>
        <rFont val="Arial MT"/>
        <family val="2"/>
      </rPr>
      <t>WEB PIPELINE PRESSURE LOW LOW</t>
    </r>
  </si>
  <si>
    <r>
      <rPr>
        <sz val="4.5"/>
        <rFont val="Arial MT"/>
        <family val="2"/>
      </rPr>
      <t>100-PZIT-219-1/2</t>
    </r>
  </si>
  <si>
    <r>
      <rPr>
        <sz val="4.5"/>
        <rFont val="Arial MT"/>
        <family val="2"/>
      </rPr>
      <t>1OO2 NOTE-4,5</t>
    </r>
  </si>
  <si>
    <r>
      <rPr>
        <sz val="4.5"/>
        <rFont val="Arial MT"/>
        <family val="2"/>
      </rPr>
      <t>TOTAL POWER LOSS AT WEB PLATFORM</t>
    </r>
  </si>
  <si>
    <r>
      <rPr>
        <sz val="4.5"/>
        <rFont val="Arial MT"/>
        <family val="2"/>
      </rPr>
      <t>100-XS-012</t>
    </r>
  </si>
  <si>
    <r>
      <rPr>
        <sz val="4.5"/>
        <rFont val="Arial MT"/>
        <family val="2"/>
      </rPr>
      <t xml:space="preserve">COMMUNICATION LOSS WITH WDDM (TIME
</t>
    </r>
    <r>
      <rPr>
        <sz val="4.5"/>
        <rFont val="Arial MT"/>
        <family val="2"/>
      </rPr>
      <t>DELAY OF 16 HOURS)</t>
    </r>
  </si>
  <si>
    <r>
      <rPr>
        <sz val="4.5"/>
        <rFont val="Arial MT"/>
        <family val="2"/>
      </rPr>
      <t>100-XS-013</t>
    </r>
  </si>
  <si>
    <r>
      <rPr>
        <sz val="4.5"/>
        <rFont val="Arial MT"/>
        <family val="2"/>
      </rPr>
      <t xml:space="preserve">BOTH KHI PUMPS (100-P-002A &amp; B) TRIP (with
</t>
    </r>
    <r>
      <rPr>
        <sz val="4.5"/>
        <rFont val="Arial MT"/>
        <family val="2"/>
      </rPr>
      <t>time delay)</t>
    </r>
  </si>
  <si>
    <r>
      <rPr>
        <sz val="4.5"/>
        <rFont val="Arial MT"/>
        <family val="2"/>
      </rPr>
      <t>100-XS-002A/ 002B</t>
    </r>
  </si>
  <si>
    <r>
      <rPr>
        <sz val="1.5"/>
        <rFont val="Arial MT"/>
        <family val="2"/>
      </rPr>
      <t xml:space="preserve">Kay Thong Ng 2024.07.11 11:26:05
</t>
    </r>
    <r>
      <rPr>
        <sz val="1.5"/>
        <rFont val="Arial MT"/>
        <family val="2"/>
      </rPr>
      <t>+08'00'</t>
    </r>
  </si>
  <si>
    <r>
      <rPr>
        <sz val="1.5"/>
        <rFont val="Arial MT"/>
        <family val="2"/>
      </rPr>
      <t xml:space="preserve">Arun Kumar 2024.07.11 10:55:00
</t>
    </r>
    <r>
      <rPr>
        <sz val="1.5"/>
        <rFont val="Arial MT"/>
        <family val="2"/>
      </rPr>
      <t>+08'00'</t>
    </r>
  </si>
  <si>
    <r>
      <rPr>
        <sz val="2"/>
        <rFont val="Arial MT"/>
        <family val="2"/>
      </rPr>
      <t xml:space="preserve">Viren Vartak
</t>
    </r>
    <r>
      <rPr>
        <sz val="2"/>
        <rFont val="Arial MT"/>
        <family val="2"/>
      </rPr>
      <t>2024.07.11 11:11:42 +08'00'</t>
    </r>
  </si>
  <si>
    <r>
      <rPr>
        <sz val="4.5"/>
        <rFont val="Arial MT"/>
        <family val="2"/>
      </rPr>
      <t>Re-Issued as Final</t>
    </r>
  </si>
  <si>
    <r>
      <rPr>
        <sz val="4.5"/>
        <rFont val="Arial MT"/>
        <family val="2"/>
      </rPr>
      <t>P. Khode</t>
    </r>
  </si>
  <si>
    <r>
      <rPr>
        <sz val="4.5"/>
        <rFont val="Arial MT"/>
        <family val="2"/>
      </rPr>
      <t>P Ghaware</t>
    </r>
  </si>
  <si>
    <r>
      <rPr>
        <sz val="4.5"/>
        <rFont val="Arial MT"/>
        <family val="2"/>
      </rPr>
      <t>A Kumar</t>
    </r>
  </si>
  <si>
    <r>
      <rPr>
        <sz val="4.5"/>
        <rFont val="Arial MT"/>
        <family val="2"/>
      </rPr>
      <t>V Vartak</t>
    </r>
  </si>
  <si>
    <r>
      <rPr>
        <sz val="4.5"/>
        <rFont val="Arial MT"/>
        <family val="2"/>
      </rPr>
      <t>Notes:</t>
    </r>
  </si>
  <si>
    <r>
      <rPr>
        <sz val="4.5"/>
        <rFont val="Arial MT"/>
        <family val="2"/>
      </rPr>
      <t>Issued as Final</t>
    </r>
  </si>
  <si>
    <r>
      <rPr>
        <sz val="4.5"/>
        <rFont val="Arial MT"/>
        <family val="2"/>
      </rPr>
      <t>ESD/PSD RESET SHALL BE PROVIDED ON WHCP/ ICSS.</t>
    </r>
  </si>
  <si>
    <r>
      <rPr>
        <sz val="4.5"/>
        <rFont val="Arial MT"/>
        <family val="2"/>
      </rPr>
      <t>Issued for Approval</t>
    </r>
  </si>
  <si>
    <r>
      <rPr>
        <sz val="4.5"/>
        <rFont val="Arial MT"/>
        <family val="2"/>
      </rPr>
      <t>START UP OVERRIDE SHALL BE CONFIGURED IN LOGIC TO BYPASS INITIAL LOW LOW PROCESS CONDITION. BYPASS SHALL REMAIN ACTIVE TILL SPECIFIED TIME.</t>
    </r>
  </si>
  <si>
    <r>
      <rPr>
        <sz val="4.5"/>
        <rFont val="Arial MT"/>
        <family val="2"/>
      </rPr>
      <t>Issued for Review</t>
    </r>
  </si>
  <si>
    <r>
      <rPr>
        <sz val="4.5"/>
        <rFont val="Arial MT"/>
        <family val="2"/>
      </rPr>
      <t>STARTUP OVERRIDE SWITCH SHALL BE PROVIDED ON ICSS PANEL</t>
    </r>
  </si>
  <si>
    <r>
      <rPr>
        <sz val="4.5"/>
        <rFont val="Arial MT"/>
        <family val="2"/>
      </rPr>
      <t>REV</t>
    </r>
  </si>
  <si>
    <r>
      <rPr>
        <sz val="4.5"/>
        <rFont val="Arial MT"/>
        <family val="2"/>
      </rPr>
      <t>DATE</t>
    </r>
  </si>
  <si>
    <r>
      <rPr>
        <sz val="4.5"/>
        <rFont val="Arial MT"/>
        <family val="2"/>
      </rPr>
      <t>DESCRIPTION</t>
    </r>
  </si>
  <si>
    <r>
      <rPr>
        <sz val="4.5"/>
        <rFont val="Arial MT"/>
        <family val="2"/>
      </rPr>
      <t>DRAWN</t>
    </r>
  </si>
  <si>
    <r>
      <rPr>
        <sz val="4.5"/>
        <rFont val="Arial MT"/>
        <family val="2"/>
      </rPr>
      <t>ENGINEER</t>
    </r>
  </si>
  <si>
    <r>
      <rPr>
        <sz val="4.5"/>
        <rFont val="Arial MT"/>
        <family val="2"/>
      </rPr>
      <t>CHECKED</t>
    </r>
  </si>
  <si>
    <r>
      <rPr>
        <sz val="4.5"/>
        <rFont val="Arial MT"/>
        <family val="2"/>
      </rPr>
      <t>APPROVED</t>
    </r>
  </si>
  <si>
    <r>
      <rPr>
        <sz val="4.5"/>
        <rFont val="Arial MT"/>
        <family val="2"/>
      </rPr>
      <t>CLIENT</t>
    </r>
  </si>
  <si>
    <r>
      <rPr>
        <sz val="4.5"/>
        <rFont val="Arial MT"/>
        <family val="2"/>
      </rPr>
      <t>DCN</t>
    </r>
  </si>
  <si>
    <r>
      <rPr>
        <sz val="4.5"/>
        <rFont val="Arial MT"/>
        <family val="2"/>
      </rPr>
      <t>SEPARATE RESET IS PROVIDED AT WEB PLATFORM</t>
    </r>
  </si>
  <si>
    <r>
      <rPr>
        <sz val="4.5"/>
        <rFont val="Arial MT"/>
        <family val="2"/>
      </rPr>
      <t>PROJECT</t>
    </r>
  </si>
  <si>
    <r>
      <rPr>
        <sz val="4.5"/>
        <rFont val="Arial MT"/>
        <family val="2"/>
      </rPr>
      <t>SEPARATE RESET IS PROVIDED AT WDDM</t>
    </r>
  </si>
  <si>
    <r>
      <rPr>
        <sz val="4.5"/>
        <rFont val="Arial MT"/>
        <family val="2"/>
      </rPr>
      <t>WEB OFFSHORE FIELD DEVELOPMENT PROJECT</t>
    </r>
  </si>
  <si>
    <r>
      <rPr>
        <sz val="4.5"/>
        <rFont val="Arial MT"/>
        <family val="2"/>
      </rPr>
      <t>ESD ON THE PLATFROM SHALL ALSO CAUSE PSD AND LSD.</t>
    </r>
  </si>
  <si>
    <r>
      <rPr>
        <sz val="4.5"/>
        <rFont val="Arial MT"/>
        <family val="2"/>
      </rPr>
      <t>PSD ON THE PLATFROM SHALL ALSO CAUSE  LSD.</t>
    </r>
  </si>
  <si>
    <r>
      <rPr>
        <sz val="4.5"/>
        <rFont val="Arial MT"/>
        <family val="2"/>
      </rPr>
      <t>TITLE</t>
    </r>
  </si>
  <si>
    <r>
      <rPr>
        <sz val="4.5"/>
        <rFont val="Arial MT"/>
        <family val="2"/>
      </rPr>
      <t>OPENING CAN BE PERFORMED ONLY IF ALL THE SHUTDOWN CONDITIONS ARE SATISFIED.</t>
    </r>
  </si>
  <si>
    <r>
      <rPr>
        <sz val="4.5"/>
        <rFont val="Arial MT"/>
        <family val="2"/>
      </rPr>
      <t>TEL: +60 3 2726 0500</t>
    </r>
  </si>
  <si>
    <r>
      <rPr>
        <sz val="4.5"/>
        <rFont val="Arial MT"/>
        <family val="2"/>
      </rPr>
      <t>WEB CAUSE &amp; EFFECT DIAGRAM</t>
    </r>
  </si>
  <si>
    <r>
      <rPr>
        <sz val="4.5"/>
        <rFont val="Arial MT"/>
        <family val="2"/>
      </rPr>
      <t>THIS DRAWING SHALL BE UPDATED BASED ON APPROVED VENDOR DATA  DURING VENDOR DATA INCORPORATION.</t>
    </r>
  </si>
  <si>
    <r>
      <rPr>
        <u/>
        <sz val="4.5"/>
        <color rgb="FF0462C1"/>
        <rFont val="Arial MT"/>
        <family val="2"/>
      </rPr>
      <t>www.2hoffshore.com</t>
    </r>
  </si>
  <si>
    <r>
      <rPr>
        <sz val="4.5"/>
        <rFont val="Arial MT"/>
        <family val="2"/>
      </rPr>
      <t>2oo2 VOTING.</t>
    </r>
  </si>
  <si>
    <r>
      <rPr>
        <sz val="4.5"/>
        <rFont val="Arial MT"/>
        <family val="2"/>
      </rPr>
      <t>FOR WHCP C&amp; E REFER TO GIS VENDOR DRAWING (230276-M03-001)</t>
    </r>
  </si>
  <si>
    <r>
      <rPr>
        <sz val="4.5"/>
        <rFont val="Arial MT"/>
        <family val="2"/>
      </rPr>
      <t>DIMENSIONS ARE IN mm UNLESS OTHERWISE STATED</t>
    </r>
  </si>
  <si>
    <r>
      <rPr>
        <sz val="4.5"/>
        <rFont val="Arial MT"/>
        <family val="2"/>
      </rPr>
      <t>THIS DESIGN AND PRINT IS COPYRIGHT AND IS THE PROPERTY OF 2H OFFSHORE. IT MUST NOT BE COPIED OR PERMITTED TO BE COPIED NOR MUST ITS CONTENTS BE DIVULGED TO ANY THIRD PARTY WITHOUT PRIOR WRITTEN PERMISSION. ITS ACCEPTANCE FOR THE PURPOSES OF INFORMATION AND/OR QUOTATION SHALL IMPLY AN AGREEMENT ON THE PART OF THE RECIPIENT NOT TO USE IT FOR ANY OTHER PURPOSE AND TO OBSERVE THE FORGOING CONDITIONS. THIS PRINT MUST BE RETURNED WHEN NO LONGER REQUIRED FOR THE PURPOSE FOR WHICH IT WAS SUPPLIED. HARD COPIES ARE NOT CONTROLLED.</t>
    </r>
  </si>
  <si>
    <r>
      <rPr>
        <sz val="4.5"/>
        <rFont val="Arial MT"/>
        <family val="2"/>
      </rPr>
      <t>SCALE</t>
    </r>
  </si>
  <si>
    <r>
      <rPr>
        <sz val="4.5"/>
        <rFont val="Arial MT"/>
        <family val="2"/>
      </rPr>
      <t>AS SHOWN</t>
    </r>
  </si>
  <si>
    <r>
      <rPr>
        <sz val="4.5"/>
        <rFont val="Arial MT"/>
        <family val="2"/>
      </rPr>
      <t>SHT</t>
    </r>
  </si>
  <si>
    <r>
      <rPr>
        <sz val="4.5"/>
        <rFont val="Arial MT"/>
        <family val="2"/>
      </rPr>
      <t>DRG NO</t>
    </r>
  </si>
  <si>
    <r>
      <rPr>
        <sz val="4.5"/>
        <rFont val="Arial MT"/>
        <family val="2"/>
      </rPr>
      <t>80289-PRO-CEM-1001</t>
    </r>
  </si>
  <si>
    <r>
      <rPr>
        <sz val="4.5"/>
        <rFont val="Arial MT"/>
        <family val="2"/>
      </rPr>
      <t>OF</t>
    </r>
  </si>
  <si>
    <r>
      <rPr>
        <b/>
        <sz val="5"/>
        <rFont val="Arial"/>
        <family val="2"/>
      </rPr>
      <t>LOCAL SHUTDOWN (LSD)</t>
    </r>
  </si>
  <si>
    <r>
      <rPr>
        <sz val="5"/>
        <rFont val="Arial MT"/>
        <family val="2"/>
      </rPr>
      <t>-</t>
    </r>
  </si>
  <si>
    <r>
      <rPr>
        <sz val="5"/>
        <rFont val="Arial MT"/>
        <family val="2"/>
      </rPr>
      <t>80289-PRO-PID-1001</t>
    </r>
  </si>
  <si>
    <r>
      <rPr>
        <sz val="5"/>
        <rFont val="Arial MT"/>
        <family val="2"/>
      </rPr>
      <t>WEB NE WELLHEAD PRESSURE HIGH HIGH</t>
    </r>
  </si>
  <si>
    <r>
      <rPr>
        <sz val="5"/>
        <rFont val="Arial MT"/>
        <family val="2"/>
      </rPr>
      <t>100-PZIT-W208A</t>
    </r>
  </si>
  <si>
    <r>
      <rPr>
        <sz val="5"/>
        <rFont val="Arial MT"/>
        <family val="2"/>
      </rPr>
      <t>NOTE-4,5</t>
    </r>
  </si>
  <si>
    <r>
      <rPr>
        <b/>
        <sz val="5"/>
        <rFont val="Arial"/>
        <family val="2"/>
      </rPr>
      <t>X</t>
    </r>
  </si>
  <si>
    <r>
      <rPr>
        <sz val="5"/>
        <rFont val="Arial MT"/>
        <family val="2"/>
      </rPr>
      <t>WEB NE WELLHEAD PRESSURE LOW LOW</t>
    </r>
  </si>
  <si>
    <r>
      <rPr>
        <sz val="5"/>
        <rFont val="Arial MT"/>
        <family val="2"/>
      </rPr>
      <t>100-PZIT-W207A</t>
    </r>
  </si>
  <si>
    <r>
      <rPr>
        <sz val="5"/>
        <rFont val="Arial MT"/>
        <family val="2"/>
      </rPr>
      <t>80289-PRO-PID-1002</t>
    </r>
  </si>
  <si>
    <r>
      <rPr>
        <sz val="5"/>
        <rFont val="Arial MT"/>
        <family val="2"/>
      </rPr>
      <t>WEB NW WELLHEAD PRESSURE HIGH HIGH</t>
    </r>
  </si>
  <si>
    <r>
      <rPr>
        <sz val="5"/>
        <rFont val="Arial MT"/>
        <family val="2"/>
      </rPr>
      <t>100-PZIT-W208B</t>
    </r>
  </si>
  <si>
    <r>
      <rPr>
        <sz val="5"/>
        <rFont val="Arial MT"/>
        <family val="2"/>
      </rPr>
      <t>WEB NW WELLHEAD PRESSURE LOW LOW</t>
    </r>
  </si>
  <si>
    <r>
      <rPr>
        <sz val="5"/>
        <rFont val="Arial MT"/>
        <family val="2"/>
      </rPr>
      <t>100-PZIT-W207B</t>
    </r>
  </si>
  <si>
    <r>
      <rPr>
        <sz val="5"/>
        <rFont val="Arial MT"/>
        <family val="2"/>
      </rPr>
      <t>80289-PRO-PID-1003</t>
    </r>
  </si>
  <si>
    <r>
      <rPr>
        <sz val="5"/>
        <rFont val="Arial MT"/>
        <family val="2"/>
      </rPr>
      <t>WEB SE WELLHEAD PRESSURE HIGH HIGH</t>
    </r>
  </si>
  <si>
    <r>
      <rPr>
        <sz val="5"/>
        <rFont val="Arial MT"/>
        <family val="2"/>
      </rPr>
      <t>100-PZIT-W208C</t>
    </r>
  </si>
  <si>
    <r>
      <rPr>
        <sz val="5"/>
        <rFont val="Arial MT"/>
        <family val="2"/>
      </rPr>
      <t>WEB SE WELLHEAD PRESSURE LOW LOW</t>
    </r>
  </si>
  <si>
    <r>
      <rPr>
        <sz val="5"/>
        <rFont val="Arial MT"/>
        <family val="2"/>
      </rPr>
      <t>100-PZIT-W207C</t>
    </r>
  </si>
  <si>
    <r>
      <rPr>
        <sz val="5"/>
        <rFont val="Arial MT"/>
        <family val="2"/>
      </rPr>
      <t>80289-PRO-PID-1004</t>
    </r>
  </si>
  <si>
    <r>
      <rPr>
        <sz val="5"/>
        <rFont val="Arial MT"/>
        <family val="2"/>
      </rPr>
      <t>WEB SW WELLHEAD PRESSURE HIGH HIGH</t>
    </r>
  </si>
  <si>
    <r>
      <rPr>
        <sz val="5"/>
        <rFont val="Arial MT"/>
        <family val="2"/>
      </rPr>
      <t>100-PZIT-W208D</t>
    </r>
  </si>
  <si>
    <r>
      <rPr>
        <sz val="5"/>
        <rFont val="Arial MT"/>
        <family val="2"/>
      </rPr>
      <t>WEB SW WELLHEAD PRESSURE LOW LOW</t>
    </r>
  </si>
  <si>
    <r>
      <rPr>
        <sz val="5"/>
        <rFont val="Arial MT"/>
        <family val="2"/>
      </rPr>
      <t>100-PZIT-W207D</t>
    </r>
  </si>
  <si>
    <r>
      <rPr>
        <sz val="5"/>
        <rFont val="Arial MT"/>
        <family val="2"/>
      </rPr>
      <t>WEB NE FLOWLINE PRESSURE HH</t>
    </r>
  </si>
  <si>
    <r>
      <rPr>
        <sz val="5"/>
        <rFont val="Arial MT"/>
        <family val="2"/>
      </rPr>
      <t>100-PSHH-W904A</t>
    </r>
  </si>
  <si>
    <r>
      <rPr>
        <sz val="5"/>
        <rFont val="Arial MT"/>
        <family val="2"/>
      </rPr>
      <t>100-PSHH-W905A</t>
    </r>
  </si>
  <si>
    <r>
      <rPr>
        <sz val="5"/>
        <rFont val="Arial MT"/>
        <family val="2"/>
      </rPr>
      <t>100-PSHH-W906A</t>
    </r>
  </si>
  <si>
    <r>
      <rPr>
        <sz val="5"/>
        <rFont val="Arial MT"/>
        <family val="2"/>
      </rPr>
      <t>100-PSHH-W907A</t>
    </r>
  </si>
  <si>
    <r>
      <rPr>
        <sz val="5"/>
        <rFont val="Arial MT"/>
        <family val="2"/>
      </rPr>
      <t>WEB NW  FLOWLINE PRESSURE HH</t>
    </r>
  </si>
  <si>
    <r>
      <rPr>
        <sz val="5"/>
        <rFont val="Arial MT"/>
        <family val="2"/>
      </rPr>
      <t>100-PSHH-W904B</t>
    </r>
  </si>
  <si>
    <r>
      <rPr>
        <sz val="5"/>
        <rFont val="Arial MT"/>
        <family val="2"/>
      </rPr>
      <t>100-PSHH-W905B</t>
    </r>
  </si>
  <si>
    <r>
      <rPr>
        <sz val="5"/>
        <rFont val="Arial MT"/>
        <family val="2"/>
      </rPr>
      <t>100-PSHH-W906B</t>
    </r>
  </si>
  <si>
    <r>
      <rPr>
        <sz val="5"/>
        <rFont val="Arial MT"/>
        <family val="2"/>
      </rPr>
      <t>100-PSHH-W907B</t>
    </r>
  </si>
  <si>
    <r>
      <rPr>
        <sz val="5"/>
        <rFont val="Arial MT"/>
        <family val="2"/>
      </rPr>
      <t>WEB SE FLOWLINE PRESSURE HH</t>
    </r>
  </si>
  <si>
    <r>
      <rPr>
        <sz val="5"/>
        <rFont val="Arial MT"/>
        <family val="2"/>
      </rPr>
      <t>100-PSHH-W904C</t>
    </r>
  </si>
  <si>
    <r>
      <rPr>
        <sz val="5"/>
        <rFont val="Arial MT"/>
        <family val="2"/>
      </rPr>
      <t>100-PSHH-W905C</t>
    </r>
  </si>
  <si>
    <r>
      <rPr>
        <sz val="5"/>
        <rFont val="Arial MT"/>
        <family val="2"/>
      </rPr>
      <t>100-PSHH-W906C</t>
    </r>
  </si>
  <si>
    <r>
      <rPr>
        <sz val="5"/>
        <rFont val="Arial MT"/>
        <family val="2"/>
      </rPr>
      <t>100-PSHH-W907C</t>
    </r>
  </si>
  <si>
    <r>
      <rPr>
        <sz val="5"/>
        <rFont val="Arial MT"/>
        <family val="2"/>
      </rPr>
      <t>WEB SW FLOWLINE PRESSURE HH</t>
    </r>
  </si>
  <si>
    <r>
      <rPr>
        <sz val="5"/>
        <rFont val="Arial MT"/>
        <family val="2"/>
      </rPr>
      <t>100-PSHH-W904D</t>
    </r>
  </si>
  <si>
    <r>
      <rPr>
        <sz val="5"/>
        <rFont val="Arial MT"/>
        <family val="2"/>
      </rPr>
      <t>100-PSHH-W905D</t>
    </r>
  </si>
  <si>
    <r>
      <rPr>
        <sz val="5"/>
        <rFont val="Arial MT"/>
        <family val="2"/>
      </rPr>
      <t>100-PSHH-W906D</t>
    </r>
  </si>
  <si>
    <r>
      <rPr>
        <sz val="5"/>
        <rFont val="Arial MT"/>
        <family val="2"/>
      </rPr>
      <t>100-PSHH-W907D</t>
    </r>
  </si>
  <si>
    <r>
      <rPr>
        <sz val="5"/>
        <rFont val="Arial MT"/>
        <family val="2"/>
      </rPr>
      <t>80289-PRO-PID-1017</t>
    </r>
  </si>
  <si>
    <r>
      <rPr>
        <sz val="5"/>
        <rFont val="Arial MT"/>
        <family val="2"/>
      </rPr>
      <t>PAPYRUS PIPELINE PRESSURE LOW LOW</t>
    </r>
  </si>
  <si>
    <r>
      <rPr>
        <sz val="5"/>
        <rFont val="Arial MT"/>
        <family val="2"/>
      </rPr>
      <t>100-PZIT-230-1</t>
    </r>
  </si>
  <si>
    <r>
      <rPr>
        <sz val="5"/>
        <rFont val="Arial MT"/>
        <family val="2"/>
      </rPr>
      <t>1OO2 NOTE-4,5</t>
    </r>
  </si>
  <si>
    <r>
      <rPr>
        <sz val="5"/>
        <rFont val="Arial MT"/>
        <family val="2"/>
      </rPr>
      <t>100-PZIT-230-2</t>
    </r>
  </si>
  <si>
    <r>
      <rPr>
        <b/>
        <sz val="6.5"/>
        <rFont val="Arial"/>
        <family val="2"/>
      </rPr>
      <t>EFFECT</t>
    </r>
  </si>
  <si>
    <r>
      <rPr>
        <b/>
        <sz val="5.5"/>
        <rFont val="Arial"/>
        <family val="2"/>
      </rPr>
      <t>DECRIPTION</t>
    </r>
  </si>
  <si>
    <r>
      <rPr>
        <sz val="5"/>
        <rFont val="Arial MT"/>
        <family val="2"/>
      </rPr>
      <t>START-UP OVERRIDE (NOTE-2)</t>
    </r>
  </si>
  <si>
    <r>
      <rPr>
        <sz val="5"/>
        <rFont val="Arial MT"/>
        <family val="2"/>
      </rPr>
      <t>ANNUCIATE AT WEB PLTF &amp; WDDM CONTROL ROOM</t>
    </r>
  </si>
  <si>
    <r>
      <rPr>
        <sz val="5"/>
        <rFont val="Arial MT"/>
        <family val="2"/>
      </rPr>
      <t>WEB NE SUBSURFACE VALVE 100-SSSV-W901A</t>
    </r>
  </si>
  <si>
    <r>
      <rPr>
        <sz val="5"/>
        <rFont val="Arial MT"/>
        <family val="2"/>
      </rPr>
      <t>WEB NE SURFACE VALVE 100-SSV-W902A</t>
    </r>
  </si>
  <si>
    <r>
      <rPr>
        <sz val="5"/>
        <rFont val="Arial MT"/>
        <family val="2"/>
      </rPr>
      <t>WEB NE WING VALVE 100-SDV-W903A</t>
    </r>
  </si>
  <si>
    <r>
      <rPr>
        <sz val="5"/>
        <rFont val="Arial MT"/>
        <family val="2"/>
      </rPr>
      <t>WEB NW SUBSURFACE VALVE 100-SSSV-W901B</t>
    </r>
  </si>
  <si>
    <r>
      <rPr>
        <sz val="5"/>
        <rFont val="Arial MT"/>
        <family val="2"/>
      </rPr>
      <t>WEB NW SURFACE VALVE 100-SSV-W902B</t>
    </r>
  </si>
  <si>
    <r>
      <rPr>
        <sz val="5"/>
        <rFont val="Arial MT"/>
        <family val="2"/>
      </rPr>
      <t>WEB NW WING VALVE 100-SDV-W903B</t>
    </r>
  </si>
  <si>
    <r>
      <rPr>
        <sz val="5"/>
        <rFont val="Arial MT"/>
        <family val="2"/>
      </rPr>
      <t>WEB SE SUBSURFACE VALVE 100-SSSV-W901C</t>
    </r>
  </si>
  <si>
    <r>
      <rPr>
        <sz val="5"/>
        <rFont val="Arial MT"/>
        <family val="2"/>
      </rPr>
      <t>WEB SE SURFACE VALVE 100-SSV-W902C</t>
    </r>
  </si>
  <si>
    <r>
      <rPr>
        <sz val="5"/>
        <rFont val="Arial MT"/>
        <family val="2"/>
      </rPr>
      <t>WEB SE WING VALVE 100-SDV-W903C</t>
    </r>
  </si>
  <si>
    <r>
      <rPr>
        <sz val="5"/>
        <rFont val="Arial MT"/>
        <family val="2"/>
      </rPr>
      <t>WEB SW SUBSURFACE VALVE 100-SSSV-W901D</t>
    </r>
  </si>
  <si>
    <r>
      <rPr>
        <sz val="5"/>
        <rFont val="Arial MT"/>
        <family val="2"/>
      </rPr>
      <t>WEB SW SURFACE VALVE 100-SSV-W902D</t>
    </r>
  </si>
  <si>
    <r>
      <rPr>
        <sz val="5"/>
        <rFont val="Arial MT"/>
        <family val="2"/>
      </rPr>
      <t>WEB SW WING VALVE 100-SDV-W903D</t>
    </r>
  </si>
  <si>
    <r>
      <rPr>
        <sz val="5"/>
        <rFont val="Arial MT"/>
        <family val="2"/>
      </rPr>
      <t>PAPYRUS PIPELINE SHUTDOWN VALVE 100-SDV-907</t>
    </r>
  </si>
  <si>
    <r>
      <rPr>
        <sz val="5"/>
        <rFont val="Arial MT"/>
        <family val="2"/>
      </rPr>
      <t>CORROSION INHIBITOR 100-100-SY- 910A  WEB NE FLOWLINE</t>
    </r>
  </si>
  <si>
    <r>
      <rPr>
        <sz val="5"/>
        <rFont val="Arial MT"/>
        <family val="2"/>
      </rPr>
      <t>CORROSION INHIBITOR 100-SY- 910B WEB NW FLOWLINE</t>
    </r>
  </si>
  <si>
    <r>
      <rPr>
        <sz val="5"/>
        <rFont val="Arial MT"/>
        <family val="2"/>
      </rPr>
      <t>CORROSION INHIBITOR 100-SY- 910C WEB SE FLOWLINE</t>
    </r>
  </si>
  <si>
    <r>
      <rPr>
        <sz val="5"/>
        <rFont val="Arial MT"/>
        <family val="2"/>
      </rPr>
      <t>CORROSION INHIBITOR 100-SY- 910D WEB SW FLOWLINE</t>
    </r>
  </si>
  <si>
    <r>
      <rPr>
        <sz val="5"/>
        <rFont val="Arial MT"/>
        <family val="2"/>
      </rPr>
      <t>KHI INJECTION 100-SY-911A WEB NE FLOWLINE</t>
    </r>
  </si>
  <si>
    <r>
      <rPr>
        <sz val="5"/>
        <rFont val="Arial MT"/>
        <family val="2"/>
      </rPr>
      <t>KHI INJECTION 100-SY-911B WEB NW FLOWLINE</t>
    </r>
  </si>
  <si>
    <r>
      <rPr>
        <sz val="5"/>
        <rFont val="Arial MT"/>
        <family val="2"/>
      </rPr>
      <t>KHI INJECTION 100-SY-911C WEB SE FLOWLINE</t>
    </r>
  </si>
  <si>
    <r>
      <rPr>
        <sz val="5"/>
        <rFont val="Arial MT"/>
        <family val="2"/>
      </rPr>
      <t>KHI INJECTION 100-SY-911D WEB SW FLOWLINE</t>
    </r>
  </si>
  <si>
    <r>
      <rPr>
        <sz val="5"/>
        <rFont val="Arial MT"/>
        <family val="2"/>
      </rPr>
      <t>METHANOL INJECTION 100-SY- 909A WEB NE FLOWLINE</t>
    </r>
  </si>
  <si>
    <r>
      <rPr>
        <sz val="5"/>
        <rFont val="Arial MT"/>
        <family val="2"/>
      </rPr>
      <t>METHANOL INJECTION 100-SY- 909B WEB NW FLOWLINE</t>
    </r>
  </si>
  <si>
    <r>
      <rPr>
        <sz val="5"/>
        <rFont val="Arial MT"/>
        <family val="2"/>
      </rPr>
      <t>METHANOL INJECTION 100-SY- 909C WEB SE FLOWLINE</t>
    </r>
  </si>
  <si>
    <r>
      <rPr>
        <sz val="5"/>
        <rFont val="Arial MT"/>
        <family val="2"/>
      </rPr>
      <t>METHANOL INJECTION 100-SY- 909D WEB SW FLOWLINE</t>
    </r>
  </si>
  <si>
    <r>
      <rPr>
        <sz val="5"/>
        <rFont val="Arial MT"/>
        <family val="2"/>
      </rPr>
      <t>SCALE INHIBITOR 100-SY-912 WEB PIPELINE</t>
    </r>
  </si>
  <si>
    <r>
      <rPr>
        <sz val="5"/>
        <rFont val="Arial MT"/>
        <family val="2"/>
      </rPr>
      <t>WEB NW HIPPS VALVE 100-SDV-W904B</t>
    </r>
  </si>
  <si>
    <r>
      <rPr>
        <sz val="5"/>
        <rFont val="Arial MT"/>
        <family val="2"/>
      </rPr>
      <t>WEB NW HIPPS VALVE 100-SDV-W905B</t>
    </r>
  </si>
  <si>
    <r>
      <rPr>
        <sz val="5"/>
        <rFont val="Arial MT"/>
        <family val="2"/>
      </rPr>
      <t>WEB SE HIPPS VALVE 100-SDV-W904C</t>
    </r>
  </si>
  <si>
    <r>
      <rPr>
        <sz val="5"/>
        <rFont val="Arial MT"/>
        <family val="2"/>
      </rPr>
      <t>WEB SE HIPPS VALVE 100-SDV-W905C</t>
    </r>
  </si>
  <si>
    <r>
      <rPr>
        <sz val="5"/>
        <rFont val="Arial MT"/>
        <family val="2"/>
      </rPr>
      <t>WEB SW HIPPS VALVE 100-SDV-W904D</t>
    </r>
  </si>
  <si>
    <r>
      <rPr>
        <sz val="5"/>
        <rFont val="Arial MT"/>
        <family val="2"/>
      </rPr>
      <t>WEB SW HIPPS VALVE 100-SDV-W905D</t>
    </r>
  </si>
  <si>
    <r>
      <rPr>
        <b/>
        <sz val="5.5"/>
        <rFont val="Arial"/>
        <family val="2"/>
      </rPr>
      <t>TAG NUMBER</t>
    </r>
  </si>
  <si>
    <r>
      <rPr>
        <sz val="5"/>
        <rFont val="Arial MT"/>
        <family val="2"/>
      </rPr>
      <t>100-SY-W901A</t>
    </r>
  </si>
  <si>
    <r>
      <rPr>
        <sz val="5"/>
        <rFont val="Arial MT"/>
        <family val="2"/>
      </rPr>
      <t>100-SY-W902A</t>
    </r>
  </si>
  <si>
    <r>
      <rPr>
        <sz val="5"/>
        <rFont val="Arial MT"/>
        <family val="2"/>
      </rPr>
      <t>100-SY-W903A</t>
    </r>
  </si>
  <si>
    <r>
      <rPr>
        <sz val="5"/>
        <rFont val="Arial MT"/>
        <family val="2"/>
      </rPr>
      <t>100-SY-W901B</t>
    </r>
  </si>
  <si>
    <r>
      <rPr>
        <sz val="5"/>
        <rFont val="Arial MT"/>
        <family val="2"/>
      </rPr>
      <t>100-SY-W902B</t>
    </r>
  </si>
  <si>
    <r>
      <rPr>
        <sz val="5"/>
        <rFont val="Arial MT"/>
        <family val="2"/>
      </rPr>
      <t>100-SY-W903B</t>
    </r>
  </si>
  <si>
    <r>
      <rPr>
        <sz val="5"/>
        <rFont val="Arial MT"/>
        <family val="2"/>
      </rPr>
      <t>100-SY-W901C</t>
    </r>
  </si>
  <si>
    <r>
      <rPr>
        <sz val="5"/>
        <rFont val="Arial MT"/>
        <family val="2"/>
      </rPr>
      <t>100-SY-W902C</t>
    </r>
  </si>
  <si>
    <r>
      <rPr>
        <sz val="5"/>
        <rFont val="Arial MT"/>
        <family val="2"/>
      </rPr>
      <t>100-SY-W903-1C</t>
    </r>
  </si>
  <si>
    <r>
      <rPr>
        <sz val="5"/>
        <rFont val="Arial MT"/>
        <family val="2"/>
      </rPr>
      <t>100-SY-W901D</t>
    </r>
  </si>
  <si>
    <r>
      <rPr>
        <sz val="5"/>
        <rFont val="Arial MT"/>
        <family val="2"/>
      </rPr>
      <t>100-SY-W902D</t>
    </r>
  </si>
  <si>
    <r>
      <rPr>
        <sz val="5"/>
        <rFont val="Arial MT"/>
        <family val="2"/>
      </rPr>
      <t>100-SY-W903D</t>
    </r>
  </si>
  <si>
    <r>
      <rPr>
        <sz val="5"/>
        <rFont val="Arial MT"/>
        <family val="2"/>
      </rPr>
      <t>100-SY-907A</t>
    </r>
  </si>
  <si>
    <r>
      <rPr>
        <sz val="5"/>
        <rFont val="Arial MT"/>
        <family val="2"/>
      </rPr>
      <t>100-SY-907B</t>
    </r>
  </si>
  <si>
    <r>
      <rPr>
        <sz val="5"/>
        <rFont val="Arial MT"/>
        <family val="2"/>
      </rPr>
      <t>100-SY-910A</t>
    </r>
  </si>
  <si>
    <r>
      <rPr>
        <sz val="5"/>
        <rFont val="Arial MT"/>
        <family val="2"/>
      </rPr>
      <t>100-SY-910B</t>
    </r>
  </si>
  <si>
    <r>
      <rPr>
        <sz val="5"/>
        <rFont val="Arial MT"/>
        <family val="2"/>
      </rPr>
      <t>100-SY-910C</t>
    </r>
  </si>
  <si>
    <r>
      <rPr>
        <sz val="5"/>
        <rFont val="Arial MT"/>
        <family val="2"/>
      </rPr>
      <t>100-SY-910D</t>
    </r>
  </si>
  <si>
    <r>
      <rPr>
        <sz val="5"/>
        <rFont val="Arial MT"/>
        <family val="2"/>
      </rPr>
      <t>100-SY-911A</t>
    </r>
  </si>
  <si>
    <r>
      <rPr>
        <sz val="5"/>
        <rFont val="Arial MT"/>
        <family val="2"/>
      </rPr>
      <t>100-SY-911B</t>
    </r>
  </si>
  <si>
    <r>
      <rPr>
        <sz val="5"/>
        <rFont val="Arial MT"/>
        <family val="2"/>
      </rPr>
      <t>100-SY-911C</t>
    </r>
  </si>
  <si>
    <r>
      <rPr>
        <sz val="5"/>
        <rFont val="Arial MT"/>
        <family val="2"/>
      </rPr>
      <t>100-SY-911D</t>
    </r>
  </si>
  <si>
    <r>
      <rPr>
        <sz val="5"/>
        <rFont val="Arial MT"/>
        <family val="2"/>
      </rPr>
      <t>100-SY-909A</t>
    </r>
  </si>
  <si>
    <r>
      <rPr>
        <sz val="5"/>
        <rFont val="Arial MT"/>
        <family val="2"/>
      </rPr>
      <t>100-SY-909B</t>
    </r>
  </si>
  <si>
    <r>
      <rPr>
        <sz val="5"/>
        <rFont val="Arial MT"/>
        <family val="2"/>
      </rPr>
      <t>100-SY-909C</t>
    </r>
  </si>
  <si>
    <r>
      <rPr>
        <sz val="5"/>
        <rFont val="Arial MT"/>
        <family val="2"/>
      </rPr>
      <t>100-SY-909D</t>
    </r>
  </si>
  <si>
    <r>
      <rPr>
        <sz val="5"/>
        <rFont val="Arial MT"/>
        <family val="2"/>
      </rPr>
      <t>100-SY-912</t>
    </r>
  </si>
  <si>
    <r>
      <rPr>
        <b/>
        <sz val="5.5"/>
        <rFont val="Arial"/>
        <family val="2"/>
      </rPr>
      <t>ACTION</t>
    </r>
  </si>
  <si>
    <r>
      <rPr>
        <sz val="5"/>
        <rFont val="Arial MT"/>
        <family val="2"/>
      </rPr>
      <t>CLOSE</t>
    </r>
  </si>
  <si>
    <r>
      <rPr>
        <sz val="5"/>
        <rFont val="Arial MT"/>
        <family val="2"/>
      </rPr>
      <t>TRIP</t>
    </r>
  </si>
  <si>
    <r>
      <rPr>
        <b/>
        <sz val="6.5"/>
        <rFont val="Arial"/>
        <family val="2"/>
      </rPr>
      <t>CAUSE/DEVICES</t>
    </r>
  </si>
  <si>
    <r>
      <rPr>
        <b/>
        <sz val="5.5"/>
        <rFont val="Arial"/>
        <family val="2"/>
      </rPr>
      <t>COL</t>
    </r>
  </si>
  <si>
    <r>
      <rPr>
        <b/>
        <sz val="5.5"/>
        <rFont val="Arial"/>
        <family val="2"/>
      </rPr>
      <t>REV</t>
    </r>
  </si>
  <si>
    <r>
      <rPr>
        <b/>
        <sz val="5.5"/>
        <rFont val="Arial"/>
        <family val="2"/>
      </rPr>
      <t>P&amp;ID</t>
    </r>
  </si>
  <si>
    <r>
      <rPr>
        <b/>
        <sz val="5.5"/>
        <rFont val="Arial"/>
        <family val="2"/>
      </rPr>
      <t>DESCRIPTION</t>
    </r>
  </si>
  <si>
    <r>
      <rPr>
        <b/>
        <sz val="5.5"/>
        <rFont val="Arial"/>
        <family val="2"/>
      </rPr>
      <t>INSTRUMENT TAG</t>
    </r>
  </si>
  <si>
    <r>
      <rPr>
        <b/>
        <sz val="5.5"/>
        <rFont val="Arial"/>
        <family val="2"/>
      </rPr>
      <t>NOTES</t>
    </r>
  </si>
  <si>
    <r>
      <rPr>
        <b/>
        <sz val="5.5"/>
        <rFont val="Arial"/>
        <family val="2"/>
      </rPr>
      <t>ROW</t>
    </r>
  </si>
  <si>
    <r>
      <rPr>
        <sz val="5"/>
        <rFont val="Arial MT"/>
        <family val="2"/>
      </rPr>
      <t xml:space="preserve">Notes:
</t>
    </r>
    <r>
      <rPr>
        <sz val="5"/>
        <rFont val="Arial MT"/>
        <family val="2"/>
      </rPr>
      <t>FOR NOTES REFER TO SHEET NO 2 OF 5.</t>
    </r>
  </si>
  <si>
    <r>
      <rPr>
        <sz val="2"/>
        <rFont val="Arial MT"/>
        <family val="2"/>
      </rPr>
      <t xml:space="preserve">Kay Thong Ng 2024.07.11
</t>
    </r>
    <r>
      <rPr>
        <sz val="2"/>
        <rFont val="Arial MT"/>
        <family val="2"/>
      </rPr>
      <t>11:26:39 +08'00'</t>
    </r>
  </si>
  <si>
    <r>
      <rPr>
        <sz val="1.5"/>
        <rFont val="Arial MT"/>
        <family val="2"/>
      </rPr>
      <t xml:space="preserve">Arun Kumar 2024.07.11
</t>
    </r>
    <r>
      <rPr>
        <sz val="1.5"/>
        <rFont val="Arial MT"/>
        <family val="2"/>
      </rPr>
      <t>10:54:41 +08'00'</t>
    </r>
  </si>
  <si>
    <r>
      <rPr>
        <sz val="1.5"/>
        <rFont val="Arial MT"/>
        <family val="2"/>
      </rPr>
      <t xml:space="preserve">Viren Vartak 2024.07.11 11:12:05
</t>
    </r>
    <r>
      <rPr>
        <sz val="1.5"/>
        <rFont val="Arial MT"/>
        <family val="2"/>
      </rPr>
      <t>+08'00'</t>
    </r>
  </si>
  <si>
    <r>
      <rPr>
        <sz val="5"/>
        <rFont val="Arial MT"/>
        <family val="2"/>
      </rPr>
      <t>Re-Issued as Final</t>
    </r>
  </si>
  <si>
    <r>
      <rPr>
        <sz val="5"/>
        <rFont val="Arial MT"/>
        <family val="2"/>
      </rPr>
      <t>P.Khode</t>
    </r>
  </si>
  <si>
    <r>
      <rPr>
        <sz val="5"/>
        <rFont val="Arial MT"/>
        <family val="2"/>
      </rPr>
      <t>P Ghaware</t>
    </r>
  </si>
  <si>
    <r>
      <rPr>
        <sz val="5"/>
        <rFont val="Arial MT"/>
        <family val="2"/>
      </rPr>
      <t>A Kumar</t>
    </r>
  </si>
  <si>
    <r>
      <rPr>
        <sz val="5"/>
        <rFont val="Arial MT"/>
        <family val="2"/>
      </rPr>
      <t>V Vartak</t>
    </r>
  </si>
  <si>
    <r>
      <rPr>
        <sz val="5"/>
        <rFont val="Arial MT"/>
        <family val="2"/>
      </rPr>
      <t>Issued as Final</t>
    </r>
  </si>
  <si>
    <r>
      <rPr>
        <sz val="5"/>
        <rFont val="Arial MT"/>
        <family val="2"/>
      </rPr>
      <t>Issued for Approval</t>
    </r>
  </si>
  <si>
    <r>
      <rPr>
        <sz val="5"/>
        <rFont val="Arial MT"/>
        <family val="2"/>
      </rPr>
      <t>Issued for Review</t>
    </r>
  </si>
  <si>
    <r>
      <rPr>
        <sz val="5"/>
        <rFont val="Arial MT"/>
        <family val="2"/>
      </rPr>
      <t>REV</t>
    </r>
  </si>
  <si>
    <r>
      <rPr>
        <sz val="5"/>
        <rFont val="Arial MT"/>
        <family val="2"/>
      </rPr>
      <t>DATE</t>
    </r>
  </si>
  <si>
    <r>
      <rPr>
        <sz val="5"/>
        <rFont val="Arial MT"/>
        <family val="2"/>
      </rPr>
      <t>DESCRIPTION</t>
    </r>
  </si>
  <si>
    <r>
      <rPr>
        <sz val="5"/>
        <rFont val="Arial MT"/>
        <family val="2"/>
      </rPr>
      <t>DRAWN</t>
    </r>
  </si>
  <si>
    <r>
      <rPr>
        <sz val="5"/>
        <rFont val="Arial MT"/>
        <family val="2"/>
      </rPr>
      <t>ENGINEER</t>
    </r>
  </si>
  <si>
    <r>
      <rPr>
        <sz val="5"/>
        <rFont val="Arial MT"/>
        <family val="2"/>
      </rPr>
      <t>CHECKED</t>
    </r>
  </si>
  <si>
    <r>
      <rPr>
        <sz val="5"/>
        <rFont val="Arial MT"/>
        <family val="2"/>
      </rPr>
      <t>APPROVED</t>
    </r>
  </si>
  <si>
    <r>
      <rPr>
        <sz val="5"/>
        <rFont val="Arial MT"/>
        <family val="2"/>
      </rPr>
      <t>CLIENT</t>
    </r>
  </si>
  <si>
    <r>
      <rPr>
        <sz val="5"/>
        <rFont val="Arial MT"/>
        <family val="2"/>
      </rPr>
      <t>DCN</t>
    </r>
  </si>
  <si>
    <r>
      <rPr>
        <sz val="5"/>
        <rFont val="Arial MT"/>
        <family val="2"/>
      </rPr>
      <t>PROJECT</t>
    </r>
  </si>
  <si>
    <r>
      <rPr>
        <sz val="5"/>
        <rFont val="Arial MT"/>
        <family val="2"/>
      </rPr>
      <t>WEB OFFSHORE FIELD DEVELOPMENT PROJECT</t>
    </r>
  </si>
  <si>
    <r>
      <rPr>
        <sz val="5"/>
        <rFont val="Arial MT"/>
        <family val="2"/>
      </rPr>
      <t>TITLE</t>
    </r>
  </si>
  <si>
    <r>
      <rPr>
        <sz val="5"/>
        <rFont val="Arial MT"/>
        <family val="2"/>
      </rPr>
      <t>TEL: +60 3 2726 0500</t>
    </r>
  </si>
  <si>
    <r>
      <rPr>
        <u/>
        <sz val="5"/>
        <color rgb="FF0462C1"/>
        <rFont val="Arial MT"/>
        <family val="2"/>
      </rPr>
      <t>www.2hoffshore.com</t>
    </r>
  </si>
  <si>
    <r>
      <rPr>
        <sz val="5"/>
        <rFont val="Arial MT"/>
        <family val="2"/>
      </rPr>
      <t>WEB CAUSE &amp; EFFECT DIAGRAM</t>
    </r>
  </si>
  <si>
    <r>
      <rPr>
        <sz val="5"/>
        <rFont val="Arial MT"/>
        <family val="2"/>
      </rPr>
      <t>DIMENSIONS ARE IN mm UNLESS OTHERWISE STATED</t>
    </r>
  </si>
  <si>
    <r>
      <rPr>
        <sz val="5"/>
        <rFont val="Arial MT"/>
        <family val="2"/>
      </rPr>
      <t>THIS DESIGN AND PRINT IS COPYRIGHT AND IS THE PROPERTY OF 2H OFFSHORE. IT MUST NOT BE COPIED OR PERMITTED TO BE COPIED NOR MUST ITS CONTENTS BE DIVULGED TO ANY THIRD PARTY WITHOUT PRIOR WRITTEN PERMISSION. ITS ACCEPTANCE FOR THE PURPOSES OF INFORMATION AND/OR QUOTATION SHALL IMPLY AN AGREEMENT ON THE PART OF THE RECIPIENT  NOT TO USE IT FOR ANY OTHER PURPOSE AND TO OBSERVE THE FORGOING CONDITIONS. THIS PRINT MUST BE RETURNED WHEN NO LONGER REQUIRED FOR THE PURPOSE FOR WHICH IT WAS SUPPLIED. HARD COPIES ARE NOT CONTROLLED.</t>
    </r>
  </si>
  <si>
    <r>
      <rPr>
        <sz val="5"/>
        <rFont val="Arial MT"/>
        <family val="2"/>
      </rPr>
      <t>SCALE</t>
    </r>
  </si>
  <si>
    <r>
      <rPr>
        <sz val="5"/>
        <rFont val="Arial MT"/>
        <family val="2"/>
      </rPr>
      <t>AS SHOWN</t>
    </r>
  </si>
  <si>
    <r>
      <rPr>
        <sz val="5"/>
        <rFont val="Arial MT"/>
        <family val="2"/>
      </rPr>
      <t>SHT</t>
    </r>
  </si>
  <si>
    <r>
      <rPr>
        <sz val="5"/>
        <rFont val="Arial MT"/>
        <family val="2"/>
      </rPr>
      <t>DRG NO</t>
    </r>
  </si>
  <si>
    <r>
      <rPr>
        <sz val="5"/>
        <rFont val="Arial MT"/>
        <family val="2"/>
      </rPr>
      <t>80289-PRO-CEM-1001</t>
    </r>
  </si>
  <si>
    <r>
      <rPr>
        <sz val="5"/>
        <rFont val="Arial MT"/>
        <family val="2"/>
      </rPr>
      <t>OF</t>
    </r>
  </si>
  <si>
    <r>
      <rPr>
        <b/>
        <sz val="7.5"/>
        <rFont val="Arial"/>
        <family val="2"/>
      </rPr>
      <t>CABLE TAG NO.</t>
    </r>
  </si>
  <si>
    <r>
      <rPr>
        <b/>
        <sz val="7.5"/>
        <rFont val="Arial"/>
        <family val="2"/>
      </rPr>
      <t>CABLE FROM</t>
    </r>
  </si>
  <si>
    <r>
      <rPr>
        <b/>
        <sz val="7.5"/>
        <rFont val="Arial"/>
        <family val="2"/>
      </rPr>
      <t>CABLE GLAND</t>
    </r>
  </si>
  <si>
    <r>
      <rPr>
        <b/>
        <sz val="7.5"/>
        <rFont val="Arial"/>
        <family val="2"/>
      </rPr>
      <t>CABLE DESTINATION</t>
    </r>
  </si>
  <si>
    <r>
      <rPr>
        <b/>
        <sz val="7.5"/>
        <rFont val="Arial"/>
        <family val="2"/>
      </rPr>
      <t>CABLE TYPE</t>
    </r>
  </si>
  <si>
    <r>
      <rPr>
        <b/>
        <sz val="7.5"/>
        <rFont val="Arial"/>
        <family val="2"/>
      </rPr>
      <t>CABLE SIZE</t>
    </r>
  </si>
  <si>
    <r>
      <rPr>
        <b/>
        <sz val="7.5"/>
        <rFont val="Arial"/>
        <family val="2"/>
      </rPr>
      <t xml:space="preserve">CABLE O.D
</t>
    </r>
    <r>
      <rPr>
        <b/>
        <sz val="7.5"/>
        <rFont val="Arial"/>
        <family val="2"/>
      </rPr>
      <t>(mm)</t>
    </r>
  </si>
  <si>
    <r>
      <rPr>
        <b/>
        <sz val="7.5"/>
        <rFont val="Arial"/>
        <family val="2"/>
      </rPr>
      <t>ESTIMATED CABLE LENGTH (M)</t>
    </r>
  </si>
  <si>
    <r>
      <rPr>
        <b/>
        <sz val="7.5"/>
        <rFont val="Arial"/>
        <family val="2"/>
      </rPr>
      <t>REMARKS</t>
    </r>
  </si>
  <si>
    <r>
      <rPr>
        <b/>
        <sz val="7.5"/>
        <rFont val="Arial"/>
        <family val="2"/>
      </rPr>
      <t>IC-100AJBB001</t>
    </r>
  </si>
  <si>
    <r>
      <rPr>
        <b/>
        <sz val="7.5"/>
        <rFont val="Arial"/>
        <family val="2"/>
      </rPr>
      <t>100-AJBB-001</t>
    </r>
  </si>
  <si>
    <r>
      <rPr>
        <b/>
        <sz val="7.5"/>
        <rFont val="Arial"/>
        <family val="2"/>
      </rPr>
      <t>M32</t>
    </r>
  </si>
  <si>
    <r>
      <rPr>
        <b/>
        <sz val="7.5"/>
        <rFont val="Arial"/>
        <family val="2"/>
      </rPr>
      <t>PCS SYSTEM/MARSHALLING CABINET 100-PCS-001</t>
    </r>
  </si>
  <si>
    <r>
      <rPr>
        <b/>
        <sz val="7.5"/>
        <rFont val="Arial"/>
        <family val="2"/>
      </rPr>
      <t>TYPE I1 (NON I.S) - 12PR</t>
    </r>
  </si>
  <si>
    <r>
      <rPr>
        <b/>
        <sz val="7.5"/>
        <rFont val="Arial"/>
        <family val="2"/>
      </rPr>
      <t>0.75mm</t>
    </r>
    <r>
      <rPr>
        <b/>
        <vertAlign val="superscript"/>
        <sz val="7.5"/>
        <rFont val="Arial"/>
        <family val="2"/>
      </rPr>
      <t>2</t>
    </r>
  </si>
  <si>
    <r>
      <rPr>
        <b/>
        <sz val="7.5"/>
        <rFont val="Arial"/>
        <family val="2"/>
      </rPr>
      <t>28.75 mm</t>
    </r>
  </si>
  <si>
    <r>
      <rPr>
        <b/>
        <sz val="7.5"/>
        <rFont val="Arial"/>
        <family val="2"/>
      </rPr>
      <t>IC-100LI603A</t>
    </r>
  </si>
  <si>
    <r>
      <rPr>
        <b/>
        <sz val="7.5"/>
        <rFont val="Arial"/>
        <family val="2"/>
      </rPr>
      <t>M20</t>
    </r>
  </si>
  <si>
    <r>
      <rPr>
        <b/>
        <sz val="7.5"/>
        <rFont val="Arial"/>
        <family val="2"/>
      </rPr>
      <t>TYPE I1 (NON I.S) -1PR</t>
    </r>
  </si>
  <si>
    <r>
      <rPr>
        <b/>
        <sz val="7.5"/>
        <rFont val="Arial"/>
        <family val="2"/>
      </rPr>
      <t>1.5mm</t>
    </r>
    <r>
      <rPr>
        <b/>
        <vertAlign val="superscript"/>
        <sz val="7.5"/>
        <rFont val="Arial"/>
        <family val="2"/>
      </rPr>
      <t>2</t>
    </r>
  </si>
  <si>
    <r>
      <rPr>
        <b/>
        <sz val="7.5"/>
        <rFont val="Arial"/>
        <family val="2"/>
      </rPr>
      <t>13.90 mm</t>
    </r>
  </si>
  <si>
    <r>
      <rPr>
        <sz val="7.5"/>
        <rFont val="Arial MT"/>
        <family val="2"/>
      </rPr>
      <t>DIESEL GENERATOR PACKAGE</t>
    </r>
  </si>
  <si>
    <r>
      <rPr>
        <b/>
        <sz val="7.5"/>
        <rFont val="Arial"/>
        <family val="2"/>
      </rPr>
      <t>IC-100LI603B</t>
    </r>
  </si>
  <si>
    <r>
      <rPr>
        <b/>
        <sz val="7.5"/>
        <rFont val="Arial"/>
        <family val="2"/>
      </rPr>
      <t>100-LI-603B</t>
    </r>
  </si>
  <si>
    <r>
      <rPr>
        <b/>
        <sz val="7.5"/>
        <rFont val="Arial"/>
        <family val="2"/>
      </rPr>
      <t>IC-100PK003A11</t>
    </r>
  </si>
  <si>
    <r>
      <rPr>
        <b/>
        <sz val="7.5"/>
        <rFont val="Arial"/>
        <family val="2"/>
      </rPr>
      <t>PANEL-100-PK-003A</t>
    </r>
  </si>
  <si>
    <r>
      <rPr>
        <b/>
        <sz val="7.5"/>
        <rFont val="Arial"/>
        <family val="2"/>
      </rPr>
      <t>TYPE I3 (NON I.S) - 6PR</t>
    </r>
  </si>
  <si>
    <r>
      <rPr>
        <b/>
        <sz val="7.5"/>
        <rFont val="Arial"/>
        <family val="2"/>
      </rPr>
      <t>2.5mm</t>
    </r>
    <r>
      <rPr>
        <b/>
        <vertAlign val="superscript"/>
        <sz val="7.5"/>
        <rFont val="Arial"/>
        <family val="2"/>
      </rPr>
      <t>2</t>
    </r>
  </si>
  <si>
    <r>
      <rPr>
        <b/>
        <sz val="7.5"/>
        <rFont val="Arial"/>
        <family val="2"/>
      </rPr>
      <t>30.7 mm</t>
    </r>
  </si>
  <si>
    <r>
      <rPr>
        <b/>
        <sz val="7.5"/>
        <rFont val="Arial"/>
        <family val="2"/>
      </rPr>
      <t>IC-100PK003A12</t>
    </r>
  </si>
  <si>
    <r>
      <rPr>
        <b/>
        <sz val="7.5"/>
        <rFont val="Arial"/>
        <family val="2"/>
      </rPr>
      <t>TYPE I3 (NON I.S) -1PR</t>
    </r>
  </si>
  <si>
    <r>
      <rPr>
        <b/>
        <sz val="7.5"/>
        <rFont val="Arial"/>
        <family val="2"/>
      </rPr>
      <t>1.5mm2</t>
    </r>
  </si>
  <si>
    <r>
      <rPr>
        <b/>
        <sz val="7.5"/>
        <rFont val="Arial"/>
        <family val="2"/>
      </rPr>
      <t>IC-100PK003B11</t>
    </r>
  </si>
  <si>
    <r>
      <rPr>
        <b/>
        <sz val="7.5"/>
        <rFont val="Arial"/>
        <family val="2"/>
      </rPr>
      <t>PANEL-100-PK-003B</t>
    </r>
  </si>
  <si>
    <r>
      <rPr>
        <b/>
        <sz val="7.5"/>
        <rFont val="Arial"/>
        <family val="2"/>
      </rPr>
      <t>IC-100PK003B12</t>
    </r>
  </si>
  <si>
    <r>
      <rPr>
        <b/>
        <sz val="7.5"/>
        <rFont val="Arial"/>
        <family val="2"/>
      </rPr>
      <t>IC-100AJBB002</t>
    </r>
  </si>
  <si>
    <r>
      <rPr>
        <b/>
        <sz val="7.5"/>
        <rFont val="Arial"/>
        <family val="2"/>
      </rPr>
      <t>100-AJBB-002</t>
    </r>
  </si>
  <si>
    <t>IO List</t>
  </si>
  <si>
    <t>CEM</t>
  </si>
  <si>
    <t>PID</t>
  </si>
  <si>
    <r>
      <rPr>
        <b/>
        <sz val="7.5"/>
        <rFont val="Arial"/>
        <family val="2"/>
      </rPr>
      <t>IC-100SJBB001</t>
    </r>
  </si>
  <si>
    <r>
      <rPr>
        <b/>
        <sz val="7.5"/>
        <rFont val="Arial"/>
        <family val="2"/>
      </rPr>
      <t>100-SJBB-001</t>
    </r>
  </si>
  <si>
    <r>
      <rPr>
        <b/>
        <sz val="7.5"/>
        <rFont val="Arial"/>
        <family val="2"/>
      </rPr>
      <t>M40</t>
    </r>
  </si>
  <si>
    <r>
      <rPr>
        <b/>
        <sz val="7.5"/>
        <rFont val="Arial"/>
        <family val="2"/>
      </rPr>
      <t>TYPE I3 (NON I.S) - 12PR</t>
    </r>
  </si>
  <si>
    <r>
      <rPr>
        <b/>
        <sz val="7.5"/>
        <rFont val="Arial"/>
        <family val="2"/>
      </rPr>
      <t>33.95 mm</t>
    </r>
  </si>
  <si>
    <r>
      <rPr>
        <b/>
        <sz val="7.5"/>
        <rFont val="Arial"/>
        <family val="2"/>
      </rPr>
      <t>IC-100DJBB001</t>
    </r>
  </si>
  <si>
    <r>
      <rPr>
        <b/>
        <sz val="7.5"/>
        <rFont val="Arial"/>
        <family val="2"/>
      </rPr>
      <t>100-DJBB-001</t>
    </r>
  </si>
  <si>
    <r>
      <rPr>
        <b/>
        <sz val="7.5"/>
        <rFont val="Arial"/>
        <family val="2"/>
      </rPr>
      <t>TYPE I3 (NON I.S) -12 PR</t>
    </r>
  </si>
  <si>
    <r>
      <rPr>
        <b/>
        <sz val="7.5"/>
        <rFont val="Arial"/>
        <family val="2"/>
      </rPr>
      <t>30.60 mm</t>
    </r>
  </si>
  <si>
    <r>
      <rPr>
        <b/>
        <sz val="7.5"/>
        <rFont val="Arial"/>
        <family val="2"/>
      </rPr>
      <t>IC-100AJBB003</t>
    </r>
  </si>
  <si>
    <r>
      <rPr>
        <b/>
        <sz val="7.5"/>
        <rFont val="Arial"/>
        <family val="2"/>
      </rPr>
      <t>100-AJBB-003</t>
    </r>
  </si>
  <si>
    <r>
      <rPr>
        <b/>
        <sz val="7.5"/>
        <rFont val="Arial"/>
        <family val="2"/>
      </rPr>
      <t>IC-100AJBB004</t>
    </r>
  </si>
  <si>
    <r>
      <rPr>
        <b/>
        <sz val="7.5"/>
        <rFont val="Arial"/>
        <family val="2"/>
      </rPr>
      <t>100-AJBB-004</t>
    </r>
  </si>
  <si>
    <r>
      <rPr>
        <b/>
        <sz val="7.5"/>
        <rFont val="Arial"/>
        <family val="2"/>
      </rPr>
      <t>TYPE I1 (NON I.S) - 6PR</t>
    </r>
  </si>
  <si>
    <r>
      <rPr>
        <b/>
        <sz val="7.5"/>
        <rFont val="Arial"/>
        <family val="2"/>
      </rPr>
      <t>25.10 mm</t>
    </r>
  </si>
  <si>
    <r>
      <rPr>
        <b/>
        <sz val="7.5"/>
        <rFont val="Arial"/>
        <family val="2"/>
      </rPr>
      <t>IC-100AJBB005</t>
    </r>
  </si>
  <si>
    <r>
      <rPr>
        <b/>
        <sz val="7.5"/>
        <rFont val="Arial"/>
        <family val="2"/>
      </rPr>
      <t>100-AJBB-005</t>
    </r>
  </si>
  <si>
    <r>
      <rPr>
        <b/>
        <sz val="7.5"/>
        <rFont val="Arial"/>
        <family val="2"/>
      </rPr>
      <t>IC-100AJBB006</t>
    </r>
  </si>
  <si>
    <r>
      <rPr>
        <b/>
        <sz val="7.5"/>
        <rFont val="Arial"/>
        <family val="2"/>
      </rPr>
      <t>100-AJBB-006</t>
    </r>
  </si>
  <si>
    <r>
      <rPr>
        <b/>
        <sz val="7.5"/>
        <rFont val="Arial"/>
        <family val="2"/>
      </rPr>
      <t>IC-100DJBB002</t>
    </r>
  </si>
  <si>
    <r>
      <rPr>
        <b/>
        <sz val="7.5"/>
        <rFont val="Arial"/>
        <family val="2"/>
      </rPr>
      <t>100-DJBB-002</t>
    </r>
  </si>
  <si>
    <r>
      <rPr>
        <b/>
        <sz val="7.5"/>
        <rFont val="Arial"/>
        <family val="2"/>
      </rPr>
      <t>TYPE I3 (NON I.S) - 12 PR</t>
    </r>
  </si>
  <si>
    <r>
      <rPr>
        <b/>
        <sz val="7.5"/>
        <rFont val="Arial"/>
        <family val="2"/>
      </rPr>
      <t>IC-100AJBB007</t>
    </r>
  </si>
  <si>
    <r>
      <rPr>
        <b/>
        <sz val="7.5"/>
        <rFont val="Arial"/>
        <family val="2"/>
      </rPr>
      <t>100-AJBB-007</t>
    </r>
  </si>
  <si>
    <r>
      <rPr>
        <b/>
        <sz val="7.5"/>
        <rFont val="Arial"/>
        <family val="2"/>
      </rPr>
      <t>IC-100SITW901AP</t>
    </r>
  </si>
  <si>
    <r>
      <rPr>
        <b/>
        <sz val="7.5"/>
        <rFont val="Arial"/>
        <family val="2"/>
      </rPr>
      <t>100-SIT-W901A-P</t>
    </r>
  </si>
  <si>
    <r>
      <rPr>
        <b/>
        <sz val="7.5"/>
        <rFont val="Arial"/>
        <family val="2"/>
      </rPr>
      <t>TYPE I3 (NON I.S) - 1PR</t>
    </r>
  </si>
  <si>
    <r>
      <rPr>
        <b/>
        <sz val="7.5"/>
        <rFont val="Arial"/>
        <family val="2"/>
      </rPr>
      <t>15.20 mm</t>
    </r>
  </si>
  <si>
    <r>
      <rPr>
        <sz val="7.5"/>
        <rFont val="Arial MT"/>
        <family val="2"/>
      </rPr>
      <t>EXTERNAL POWER CABLE TO 100-SIT-W901A</t>
    </r>
  </si>
  <si>
    <r>
      <rPr>
        <b/>
        <sz val="7.5"/>
        <rFont val="Arial"/>
        <family val="2"/>
      </rPr>
      <t>IC-100SITW901BP</t>
    </r>
  </si>
  <si>
    <r>
      <rPr>
        <b/>
        <sz val="7.5"/>
        <rFont val="Arial"/>
        <family val="2"/>
      </rPr>
      <t>100-SIT-W901B-P</t>
    </r>
  </si>
  <si>
    <r>
      <rPr>
        <sz val="7.5"/>
        <rFont val="Arial MT"/>
        <family val="2"/>
      </rPr>
      <t>EXTERNAL POWER CABLE TO 100-SIT-W901B</t>
    </r>
  </si>
  <si>
    <r>
      <rPr>
        <b/>
        <sz val="7.5"/>
        <rFont val="Arial"/>
        <family val="2"/>
      </rPr>
      <t>IC-100SITW901CP</t>
    </r>
  </si>
  <si>
    <r>
      <rPr>
        <b/>
        <sz val="7.5"/>
        <rFont val="Arial"/>
        <family val="2"/>
      </rPr>
      <t>100-SIT-W901C-P</t>
    </r>
  </si>
  <si>
    <r>
      <rPr>
        <sz val="7.5"/>
        <rFont val="Arial MT"/>
        <family val="2"/>
      </rPr>
      <t>EXTERNAL POWER CABLE TO 100-SIT-W901C</t>
    </r>
  </si>
  <si>
    <r>
      <rPr>
        <b/>
        <sz val="7.5"/>
        <rFont val="Arial"/>
        <family val="2"/>
      </rPr>
      <t>IC-100SITW901DP</t>
    </r>
  </si>
  <si>
    <r>
      <rPr>
        <b/>
        <sz val="7.5"/>
        <rFont val="Arial"/>
        <family val="2"/>
      </rPr>
      <t>100-SIT-W901D-P</t>
    </r>
  </si>
  <si>
    <r>
      <rPr>
        <sz val="7.5"/>
        <rFont val="Arial MT"/>
        <family val="2"/>
      </rPr>
      <t>EXTERNAL POWER CABLE TO 100-SIT-W901D</t>
    </r>
  </si>
  <si>
    <r>
      <rPr>
        <b/>
        <sz val="7.5"/>
        <rFont val="Arial"/>
        <family val="2"/>
      </rPr>
      <t>100-AJBB-106</t>
    </r>
  </si>
  <si>
    <r>
      <rPr>
        <b/>
        <sz val="7.5"/>
        <rFont val="Arial"/>
        <family val="2"/>
      </rPr>
      <t>IC-100AJBB102</t>
    </r>
  </si>
  <si>
    <r>
      <rPr>
        <b/>
        <sz val="7.5"/>
        <rFont val="Arial"/>
        <family val="2"/>
      </rPr>
      <t>100-AJBB-102</t>
    </r>
  </si>
  <si>
    <r>
      <rPr>
        <b/>
        <sz val="7.5"/>
        <rFont val="Arial"/>
        <family val="2"/>
      </rPr>
      <t>IC-100AJBB103</t>
    </r>
  </si>
  <si>
    <r>
      <rPr>
        <b/>
        <sz val="7.5"/>
        <rFont val="Arial"/>
        <family val="2"/>
      </rPr>
      <t>100-AJBB-103</t>
    </r>
  </si>
  <si>
    <r>
      <rPr>
        <b/>
        <sz val="7.5"/>
        <rFont val="Arial"/>
        <family val="2"/>
      </rPr>
      <t>IC-100AJBB104</t>
    </r>
  </si>
  <si>
    <r>
      <rPr>
        <b/>
        <sz val="7.5"/>
        <rFont val="Arial"/>
        <family val="2"/>
      </rPr>
      <t>100-AJBB-104</t>
    </r>
  </si>
  <si>
    <r>
      <rPr>
        <b/>
        <sz val="7.5"/>
        <rFont val="Arial"/>
        <family val="2"/>
      </rPr>
      <t>IC-100AJBB105</t>
    </r>
  </si>
  <si>
    <r>
      <rPr>
        <b/>
        <sz val="7.5"/>
        <rFont val="Arial"/>
        <family val="2"/>
      </rPr>
      <t>100-AJBB-105</t>
    </r>
  </si>
  <si>
    <r>
      <rPr>
        <b/>
        <sz val="7.5"/>
        <rFont val="Arial"/>
        <family val="2"/>
      </rPr>
      <t>IC-100FIT110P</t>
    </r>
  </si>
  <si>
    <r>
      <rPr>
        <b/>
        <sz val="7.5"/>
        <rFont val="Arial"/>
        <family val="2"/>
      </rPr>
      <t>100-FIT-110-P</t>
    </r>
  </si>
  <si>
    <r>
      <rPr>
        <b/>
        <sz val="7.5"/>
        <rFont val="Arial"/>
        <family val="2"/>
      </rPr>
      <t>PCS SYSTEM/MARSHLLING CABINET 100-PCS-001</t>
    </r>
  </si>
  <si>
    <r>
      <rPr>
        <sz val="7.5"/>
        <rFont val="Arial MT"/>
        <family val="2"/>
      </rPr>
      <t>EXTERNAL POWER CABLE TO 100-FIT-110</t>
    </r>
  </si>
  <si>
    <r>
      <rPr>
        <b/>
        <sz val="7.5"/>
        <rFont val="Arial"/>
        <family val="2"/>
      </rPr>
      <t>IC-100AJBB008</t>
    </r>
  </si>
  <si>
    <r>
      <rPr>
        <b/>
        <sz val="7.5"/>
        <rFont val="Arial"/>
        <family val="2"/>
      </rPr>
      <t>100-AJBB-008</t>
    </r>
  </si>
  <si>
    <r>
      <rPr>
        <b/>
        <sz val="7.5"/>
        <rFont val="Arial"/>
        <family val="2"/>
      </rPr>
      <t>IC-100HRN003</t>
    </r>
  </si>
  <si>
    <r>
      <rPr>
        <b/>
        <sz val="7.5"/>
        <rFont val="Arial"/>
        <family val="2"/>
      </rPr>
      <t>100-HRN-003</t>
    </r>
  </si>
  <si>
    <r>
      <rPr>
        <b/>
        <sz val="7.5"/>
        <rFont val="Arial"/>
        <family val="2"/>
      </rPr>
      <t>IC-100AJBZ001</t>
    </r>
  </si>
  <si>
    <r>
      <rPr>
        <b/>
        <sz val="7.5"/>
        <rFont val="Arial"/>
        <family val="2"/>
      </rPr>
      <t>100-AJBZ-001</t>
    </r>
  </si>
  <si>
    <r>
      <rPr>
        <b/>
        <sz val="7.5"/>
        <rFont val="Arial"/>
        <family val="2"/>
      </rPr>
      <t>SIS MARSHALLING CABINET 100-SIS-001B</t>
    </r>
  </si>
  <si>
    <r>
      <rPr>
        <b/>
        <sz val="7.5"/>
        <rFont val="Arial"/>
        <family val="2"/>
      </rPr>
      <t>TYPE I2 (NON I.S) - 6PR</t>
    </r>
  </si>
  <si>
    <r>
      <rPr>
        <b/>
        <sz val="7.5"/>
        <rFont val="Arial"/>
        <family val="2"/>
      </rPr>
      <t>29.50 mm</t>
    </r>
  </si>
  <si>
    <r>
      <rPr>
        <b/>
        <sz val="7.5"/>
        <rFont val="Arial"/>
        <family val="2"/>
      </rPr>
      <t>IC-100DJBZ001</t>
    </r>
  </si>
  <si>
    <r>
      <rPr>
        <b/>
        <sz val="7.5"/>
        <rFont val="Arial"/>
        <family val="2"/>
      </rPr>
      <t>100-DJBZ-001</t>
    </r>
  </si>
  <si>
    <r>
      <rPr>
        <b/>
        <sz val="7.5"/>
        <rFont val="Arial"/>
        <family val="2"/>
      </rPr>
      <t>TYPE I4 (NON I.S) - 12PR</t>
    </r>
  </si>
  <si>
    <r>
      <rPr>
        <b/>
        <sz val="7.5"/>
        <rFont val="Arial"/>
        <family val="2"/>
      </rPr>
      <t>36.50 mm</t>
    </r>
  </si>
  <si>
    <r>
      <rPr>
        <b/>
        <sz val="7.5"/>
        <rFont val="Arial"/>
        <family val="2"/>
      </rPr>
      <t>IC-100PK003A2</t>
    </r>
  </si>
  <si>
    <r>
      <rPr>
        <b/>
        <sz val="7.5"/>
        <rFont val="Arial"/>
        <family val="2"/>
      </rPr>
      <t>TYPE I4 (NON I.S) - 1PR</t>
    </r>
  </si>
  <si>
    <r>
      <rPr>
        <b/>
        <sz val="7.5"/>
        <rFont val="Arial"/>
        <family val="2"/>
      </rPr>
      <t>2.5mm2</t>
    </r>
  </si>
  <si>
    <r>
      <rPr>
        <b/>
        <sz val="7.5"/>
        <rFont val="Arial"/>
        <family val="2"/>
      </rPr>
      <t>16.50 mm</t>
    </r>
  </si>
  <si>
    <r>
      <rPr>
        <b/>
        <sz val="7.5"/>
        <rFont val="Arial"/>
        <family val="2"/>
      </rPr>
      <t>IC-100PK003B2</t>
    </r>
  </si>
  <si>
    <r>
      <rPr>
        <b/>
        <sz val="7.5"/>
        <rFont val="Arial"/>
        <family val="2"/>
      </rPr>
      <t>IC-100AJBZ002</t>
    </r>
  </si>
  <si>
    <r>
      <rPr>
        <b/>
        <sz val="7.5"/>
        <rFont val="Arial"/>
        <family val="2"/>
      </rPr>
      <t>100-AJBZ-002</t>
    </r>
  </si>
  <si>
    <r>
      <rPr>
        <b/>
        <sz val="7.5"/>
        <rFont val="Arial"/>
        <family val="2"/>
      </rPr>
      <t>TYPE I2 (NON I.S) - 12PR</t>
    </r>
  </si>
  <si>
    <r>
      <rPr>
        <b/>
        <sz val="7.5"/>
        <rFont val="Arial"/>
        <family val="2"/>
      </rPr>
      <t>33.50 mm</t>
    </r>
  </si>
  <si>
    <r>
      <rPr>
        <b/>
        <sz val="7.5"/>
        <rFont val="Arial"/>
        <family val="2"/>
      </rPr>
      <t>IC-100SJBZ001</t>
    </r>
  </si>
  <si>
    <r>
      <rPr>
        <b/>
        <sz val="7.5"/>
        <rFont val="Arial"/>
        <family val="2"/>
      </rPr>
      <t>100-SJBZ-001</t>
    </r>
  </si>
  <si>
    <r>
      <rPr>
        <b/>
        <sz val="7.5"/>
        <rFont val="Arial"/>
        <family val="2"/>
      </rPr>
      <t>TYPE I4 (NON I.S) - 6PR</t>
    </r>
  </si>
  <si>
    <r>
      <rPr>
        <b/>
        <sz val="7.5"/>
        <rFont val="Arial"/>
        <family val="2"/>
      </rPr>
      <t>32.20 mm</t>
    </r>
  </si>
  <si>
    <r>
      <rPr>
        <b/>
        <sz val="7.5"/>
        <rFont val="Arial"/>
        <family val="2"/>
      </rPr>
      <t>IC-100DJBZ002</t>
    </r>
  </si>
  <si>
    <r>
      <rPr>
        <b/>
        <sz val="7.5"/>
        <rFont val="Arial"/>
        <family val="2"/>
      </rPr>
      <t>100-DJBZ-002</t>
    </r>
  </si>
  <si>
    <r>
      <rPr>
        <b/>
        <sz val="7.5"/>
        <rFont val="Arial"/>
        <family val="2"/>
      </rPr>
      <t>IC-100SJBZ103</t>
    </r>
  </si>
  <si>
    <r>
      <rPr>
        <b/>
        <sz val="7.5"/>
        <rFont val="Arial"/>
        <family val="2"/>
      </rPr>
      <t>100-SJBZ-103</t>
    </r>
  </si>
  <si>
    <r>
      <rPr>
        <b/>
        <sz val="7.5"/>
        <rFont val="Arial"/>
        <family val="2"/>
      </rPr>
      <t>IC-100SJBZ104</t>
    </r>
  </si>
  <si>
    <r>
      <rPr>
        <b/>
        <sz val="7.5"/>
        <rFont val="Arial"/>
        <family val="2"/>
      </rPr>
      <t>100-SJBZ-104</t>
    </r>
  </si>
  <si>
    <r>
      <rPr>
        <b/>
        <sz val="7.5"/>
        <rFont val="Arial"/>
        <family val="2"/>
      </rPr>
      <t>IC-100SJBZ105</t>
    </r>
  </si>
  <si>
    <r>
      <rPr>
        <b/>
        <sz val="7.5"/>
        <rFont val="Arial"/>
        <family val="2"/>
      </rPr>
      <t>100-SJBZ-105</t>
    </r>
  </si>
  <si>
    <r>
      <rPr>
        <b/>
        <sz val="7.5"/>
        <rFont val="Arial"/>
        <family val="2"/>
      </rPr>
      <t>IC-100SV912</t>
    </r>
  </si>
  <si>
    <r>
      <rPr>
        <b/>
        <sz val="7.5"/>
        <rFont val="Arial"/>
        <family val="2"/>
      </rPr>
      <t>100-SV-912</t>
    </r>
  </si>
  <si>
    <r>
      <rPr>
        <b/>
        <sz val="7.5"/>
        <rFont val="Arial"/>
        <family val="2"/>
      </rPr>
      <t>IC-100AJBZ104</t>
    </r>
  </si>
  <si>
    <r>
      <rPr>
        <b/>
        <sz val="7.5"/>
        <rFont val="Arial"/>
        <family val="2"/>
      </rPr>
      <t>100-AJBZ-104</t>
    </r>
  </si>
  <si>
    <r>
      <rPr>
        <b/>
        <sz val="7.5"/>
        <rFont val="Arial"/>
        <family val="2"/>
      </rPr>
      <t>IC-100AJBZ105</t>
    </r>
  </si>
  <si>
    <r>
      <rPr>
        <b/>
        <sz val="7.5"/>
        <rFont val="Arial"/>
        <family val="2"/>
      </rPr>
      <t>100-AJBZ-105</t>
    </r>
  </si>
  <si>
    <r>
      <rPr>
        <b/>
        <sz val="7.5"/>
        <rFont val="Arial"/>
        <family val="2"/>
      </rPr>
      <t>IC-100AJBZ106</t>
    </r>
  </si>
  <si>
    <r>
      <rPr>
        <b/>
        <sz val="7.5"/>
        <rFont val="Arial"/>
        <family val="2"/>
      </rPr>
      <t>100-AJBZ-106</t>
    </r>
  </si>
  <si>
    <r>
      <rPr>
        <b/>
        <sz val="7.5"/>
        <rFont val="Arial"/>
        <family val="2"/>
      </rPr>
      <t>IC-100AJBZ103</t>
    </r>
  </si>
  <si>
    <r>
      <rPr>
        <b/>
        <sz val="7.5"/>
        <rFont val="Arial"/>
        <family val="2"/>
      </rPr>
      <t>100-AJBZ-103</t>
    </r>
  </si>
  <si>
    <r>
      <rPr>
        <b/>
        <sz val="7.5"/>
        <rFont val="Arial"/>
        <family val="2"/>
      </rPr>
      <t>IC-100AJBZ003</t>
    </r>
  </si>
  <si>
    <r>
      <rPr>
        <b/>
        <sz val="7.5"/>
        <rFont val="Arial"/>
        <family val="2"/>
      </rPr>
      <t>100-AJBZ-003</t>
    </r>
  </si>
  <si>
    <r>
      <rPr>
        <b/>
        <sz val="7.5"/>
        <rFont val="Arial"/>
        <family val="2"/>
      </rPr>
      <t>IC-100AJBZ004</t>
    </r>
  </si>
  <si>
    <r>
      <rPr>
        <b/>
        <sz val="7.5"/>
        <rFont val="Arial"/>
        <family val="2"/>
      </rPr>
      <t>100-AJBZ-004</t>
    </r>
  </si>
  <si>
    <t>IC-100AJBZ101</t>
  </si>
  <si>
    <t>100-AJBZ-101</t>
  </si>
  <si>
    <t>M40</t>
  </si>
  <si>
    <t>SIS MARSHALLING CABINET 100-SIS-001B</t>
  </si>
  <si>
    <t>TYPE I2 (NON I.S) - 12PR</t>
  </si>
  <si>
    <t>0.75mm2</t>
  </si>
  <si>
    <t>33.50 mm</t>
  </si>
  <si>
    <t>IC-100AJBZ102</t>
  </si>
  <si>
    <t>100-AJBZ-102</t>
  </si>
  <si>
    <t>IC-100SJBZ101</t>
  </si>
  <si>
    <t>100-SJBZ-101</t>
  </si>
  <si>
    <t>M50</t>
  </si>
  <si>
    <t>TYPE I4 (NON I.S) - 12PR</t>
  </si>
  <si>
    <t>2.5mm2</t>
  </si>
  <si>
    <t>42.2 mm</t>
  </si>
  <si>
    <t>IC-100SJBZ102</t>
  </si>
  <si>
    <t>100-SJBZ-102</t>
  </si>
  <si>
    <t>TYPE I4 (NON I.S) - 6PR</t>
  </si>
  <si>
    <t>32.2 mm</t>
  </si>
  <si>
    <t>IC-100AJBB101</t>
  </si>
  <si>
    <t>100-AJBB-101</t>
  </si>
  <si>
    <t>M32</t>
  </si>
  <si>
    <t>PCS SYSTEM/MARSHALLING CABINET 100-PCS-
001</t>
  </si>
  <si>
    <t>TYPE I1 (NON I.S) - 12PR</t>
  </si>
  <si>
    <t>28.75 mm</t>
  </si>
  <si>
    <t>IC-1001011</t>
  </si>
  <si>
    <t>PUMP PANEL 101</t>
  </si>
  <si>
    <t>TYPE I3 (NON I.S) - 12PR</t>
  </si>
  <si>
    <t>33.95 mm</t>
  </si>
  <si>
    <t>IC-1001012</t>
  </si>
  <si>
    <t>1.5mm2</t>
  </si>
  <si>
    <t>30.6 mm</t>
  </si>
  <si>
    <t>IC-1001013</t>
  </si>
  <si>
    <t>IC-100SWGR00111</t>
  </si>
  <si>
    <t>100-SWGR-001</t>
  </si>
  <si>
    <t>PCS SYSTEM/MARSHALLING CABINET 100-PCS-001</t>
  </si>
  <si>
    <t>IC-100SWGR00112</t>
  </si>
  <si>
    <t>IC-100SWGR00113</t>
  </si>
  <si>
    <t>IC-100NAV0011</t>
  </si>
  <si>
    <t>100-NAV-001</t>
  </si>
  <si>
    <t>M20</t>
  </si>
  <si>
    <t>TYPE I3 (NON I.S) - 1PR</t>
  </si>
  <si>
    <t>13.90 mm</t>
  </si>
  <si>
    <t>IC-100PAGA0011</t>
  </si>
  <si>
    <t>100-PAGA-001</t>
  </si>
  <si>
    <t>TYPE I3 (NON I.S) - 6PR</t>
  </si>
  <si>
    <t>27.35 mm</t>
  </si>
  <si>
    <t>IC-100LTG001</t>
  </si>
  <si>
    <t>100-LTG-001</t>
  </si>
  <si>
    <t>15.20 mm</t>
  </si>
  <si>
    <t>IC-100SWGR001</t>
  </si>
  <si>
    <t>Ethernet TCP/IP-4PR</t>
  </si>
  <si>
    <t>24 AWG</t>
  </si>
  <si>
    <t>14.50 mm</t>
  </si>
  <si>
    <t>IC-100UPS001</t>
  </si>
  <si>
    <t>100-UPS-001</t>
  </si>
  <si>
    <t>IC-100SIS001A</t>
  </si>
  <si>
    <t>100-SIS-001A</t>
  </si>
  <si>
    <t>IC-100HVAC001</t>
  </si>
  <si>
    <t>100-HVAC-001</t>
  </si>
  <si>
    <t>IC-100NAV001</t>
  </si>
  <si>
    <t>IC-100TEL001</t>
  </si>
  <si>
    <t>100-TEL-001</t>
  </si>
  <si>
    <t>IC-100PK003A</t>
  </si>
  <si>
    <t>PANEL 100-PK-003A</t>
  </si>
  <si>
    <t>IC-100PK003B</t>
  </si>
  <si>
    <t>PANEL 100-PK-003B</t>
  </si>
  <si>
    <t>IC-100PAGA0012</t>
  </si>
  <si>
    <t>2.5 mm2</t>
  </si>
  <si>
    <t>IC-100SWGR00121</t>
  </si>
  <si>
    <t>IC-100SWGR00122</t>
  </si>
  <si>
    <t>IC-100SWGR00123</t>
  </si>
  <si>
    <t>TYPE I4 (NON I.S) - 1PR</t>
  </si>
  <si>
    <t>1.5 mm2</t>
  </si>
  <si>
    <t>15.00 mm</t>
  </si>
  <si>
    <t>TOTAL POWER LOSS STATUS</t>
  </si>
  <si>
    <t>IC-100TEL0012</t>
  </si>
  <si>
    <t>COMMUNICATION LOSS IN WDDM STATUS</t>
  </si>
  <si>
    <t>PID Page</t>
  </si>
  <si>
    <t>100-PIT-214A</t>
  </si>
  <si>
    <r>
      <rPr>
        <sz val="5"/>
        <rFont val="Arial MT"/>
        <family val="2"/>
      </rPr>
      <t>DIESEL PUMP 100-P-005B</t>
    </r>
  </si>
  <si>
    <r>
      <rPr>
        <sz val="5"/>
        <rFont val="Arial MT"/>
        <family val="2"/>
      </rPr>
      <t>DIESEL GENERATION PACKAGE 100-PK-003A TRIP</t>
    </r>
  </si>
  <si>
    <r>
      <rPr>
        <sz val="5"/>
        <rFont val="Arial MT"/>
        <family val="2"/>
      </rPr>
      <t>DIESEL GENERATION PACKAGE 100-PK-003B TRIP</t>
    </r>
  </si>
  <si>
    <r>
      <rPr>
        <sz val="5"/>
        <rFont val="Arial MT"/>
        <family val="2"/>
      </rPr>
      <t>CORROSION INHIBITOR PUMP 100-P-001A</t>
    </r>
  </si>
  <si>
    <r>
      <rPr>
        <sz val="5"/>
        <rFont val="Arial MT"/>
        <family val="2"/>
      </rPr>
      <t>CORROSION INHIBITOR PUMP 100-P-001B</t>
    </r>
  </si>
  <si>
    <r>
      <rPr>
        <sz val="5"/>
        <rFont val="Arial MT"/>
        <family val="2"/>
      </rPr>
      <t>CORROSION INHIBITOR TANK MIXER 100-MX-001</t>
    </r>
  </si>
  <si>
    <r>
      <rPr>
        <sz val="5"/>
        <rFont val="Arial MT"/>
        <family val="2"/>
      </rPr>
      <t>KHI PUMP 100-P-002A</t>
    </r>
  </si>
  <si>
    <r>
      <rPr>
        <sz val="5"/>
        <rFont val="Arial MT"/>
        <family val="2"/>
      </rPr>
      <t>KHI PUMP 100-P-002B</t>
    </r>
  </si>
  <si>
    <r>
      <rPr>
        <sz val="5"/>
        <rFont val="Arial MT"/>
        <family val="2"/>
      </rPr>
      <t>KHI TANK MIXER 100-MX-002</t>
    </r>
  </si>
  <si>
    <r>
      <rPr>
        <sz val="5"/>
        <rFont val="Arial MT"/>
        <family val="2"/>
      </rPr>
      <t>METHANOL PUMP 100-P-003A</t>
    </r>
  </si>
  <si>
    <r>
      <rPr>
        <sz val="5"/>
        <rFont val="Arial MT"/>
        <family val="2"/>
      </rPr>
      <t>METHANOL PUMP 100-P-003B</t>
    </r>
  </si>
  <si>
    <r>
      <rPr>
        <sz val="5"/>
        <rFont val="Arial MT"/>
        <family val="2"/>
      </rPr>
      <t>SCALE INHIBITOR PUMP 100-P-008A</t>
    </r>
  </si>
  <si>
    <r>
      <rPr>
        <sz val="5"/>
        <rFont val="Arial MT"/>
        <family val="2"/>
      </rPr>
      <t>SCALE INHIBITOR PUMP 100-P-008B</t>
    </r>
  </si>
  <si>
    <r>
      <rPr>
        <sz val="5"/>
        <rFont val="Arial MT"/>
        <family val="2"/>
      </rPr>
      <t>SCALE INHIBITOR TANK MIXER 100-MX-008</t>
    </r>
  </si>
  <si>
    <r>
      <rPr>
        <sz val="5"/>
        <rFont val="Arial MT"/>
        <family val="2"/>
      </rPr>
      <t>HYDRAULIC MOTOR PM-006A</t>
    </r>
  </si>
  <si>
    <r>
      <rPr>
        <sz val="5"/>
        <rFont val="Arial MT"/>
        <family val="2"/>
      </rPr>
      <t>HYDRAULIC MOTOR PM-006B</t>
    </r>
  </si>
  <si>
    <r>
      <rPr>
        <sz val="5"/>
        <rFont val="Arial MT"/>
        <family val="2"/>
      </rPr>
      <t>HYDRAULIC MOTOR PM-007A</t>
    </r>
  </si>
  <si>
    <r>
      <rPr>
        <sz val="5"/>
        <rFont val="Arial MT"/>
        <family val="2"/>
      </rPr>
      <t>HYDRAULIC MOTOR PM-007B</t>
    </r>
  </si>
  <si>
    <r>
      <rPr>
        <sz val="5"/>
        <rFont val="Arial MT"/>
        <family val="2"/>
      </rPr>
      <t>ACTIVATE CO2 SNUFFING SYSTEM</t>
    </r>
  </si>
  <si>
    <r>
      <rPr>
        <sz val="5"/>
        <rFont val="Arial MT"/>
        <family val="2"/>
      </rPr>
      <t>FRESH WATER PUMP 100-P-004B TRIP</t>
    </r>
  </si>
  <si>
    <r>
      <rPr>
        <sz val="5"/>
        <rFont val="Arial MT"/>
        <family val="2"/>
      </rPr>
      <t>100-XS-005A</t>
    </r>
  </si>
  <si>
    <r>
      <rPr>
        <sz val="5"/>
        <rFont val="Arial MT"/>
        <family val="2"/>
      </rPr>
      <t>100-XS-005B</t>
    </r>
  </si>
  <si>
    <r>
      <rPr>
        <sz val="5"/>
        <rFont val="Arial MT"/>
        <family val="2"/>
      </rPr>
      <t>100-XS-PK-003A</t>
    </r>
  </si>
  <si>
    <r>
      <rPr>
        <sz val="5"/>
        <rFont val="Arial MT"/>
        <family val="2"/>
      </rPr>
      <t>100-XS-PK-003B</t>
    </r>
  </si>
  <si>
    <r>
      <rPr>
        <sz val="5"/>
        <rFont val="Arial MT"/>
        <family val="2"/>
      </rPr>
      <t>100-XS-001A</t>
    </r>
  </si>
  <si>
    <r>
      <rPr>
        <sz val="5"/>
        <rFont val="Arial MT"/>
        <family val="2"/>
      </rPr>
      <t>100-XS-001B</t>
    </r>
  </si>
  <si>
    <r>
      <rPr>
        <sz val="5"/>
        <rFont val="Arial MT"/>
        <family val="2"/>
      </rPr>
      <t>100-XS-MX-001</t>
    </r>
  </si>
  <si>
    <r>
      <rPr>
        <sz val="5"/>
        <rFont val="Arial MT"/>
        <family val="2"/>
      </rPr>
      <t>100-XS-002A</t>
    </r>
  </si>
  <si>
    <r>
      <rPr>
        <sz val="5"/>
        <rFont val="Arial MT"/>
        <family val="2"/>
      </rPr>
      <t>100-XS-002B</t>
    </r>
  </si>
  <si>
    <r>
      <rPr>
        <sz val="5"/>
        <rFont val="Arial MT"/>
        <family val="2"/>
      </rPr>
      <t>100-XS-MX-002</t>
    </r>
  </si>
  <si>
    <r>
      <rPr>
        <sz val="5"/>
        <rFont val="Arial MT"/>
        <family val="2"/>
      </rPr>
      <t>100-XS-003A</t>
    </r>
  </si>
  <si>
    <r>
      <rPr>
        <sz val="5"/>
        <rFont val="Arial MT"/>
        <family val="2"/>
      </rPr>
      <t>100-XS-003B</t>
    </r>
  </si>
  <si>
    <r>
      <rPr>
        <sz val="5"/>
        <rFont val="Arial MT"/>
        <family val="2"/>
      </rPr>
      <t>100-XS-008A</t>
    </r>
  </si>
  <si>
    <r>
      <rPr>
        <sz val="5"/>
        <rFont val="Arial MT"/>
        <family val="2"/>
      </rPr>
      <t>100-XS-008B</t>
    </r>
  </si>
  <si>
    <r>
      <rPr>
        <sz val="5"/>
        <rFont val="Arial MT"/>
        <family val="2"/>
      </rPr>
      <t>100-XS-MX-008B</t>
    </r>
  </si>
  <si>
    <r>
      <rPr>
        <sz val="5"/>
        <rFont val="Arial MT"/>
        <family val="2"/>
      </rPr>
      <t>100-XS-006A</t>
    </r>
  </si>
  <si>
    <r>
      <rPr>
        <sz val="5"/>
        <rFont val="Arial MT"/>
        <family val="2"/>
      </rPr>
      <t>100-XS-006B</t>
    </r>
  </si>
  <si>
    <r>
      <rPr>
        <sz val="5"/>
        <rFont val="Arial MT"/>
        <family val="2"/>
      </rPr>
      <t>100-XS-007A</t>
    </r>
  </si>
  <si>
    <r>
      <rPr>
        <sz val="5"/>
        <rFont val="Arial MT"/>
        <family val="2"/>
      </rPr>
      <t>100-XS-007B</t>
    </r>
  </si>
  <si>
    <r>
      <rPr>
        <sz val="5"/>
        <rFont val="Arial MT"/>
        <family val="2"/>
      </rPr>
      <t>100-XS-004A</t>
    </r>
  </si>
  <si>
    <r>
      <rPr>
        <sz val="5"/>
        <rFont val="Arial MT"/>
        <family val="2"/>
      </rPr>
      <t>100-XS-004B</t>
    </r>
  </si>
  <si>
    <r>
      <rPr>
        <sz val="5"/>
        <rFont val="Arial MT"/>
        <family val="2"/>
      </rPr>
      <t>ACTIVATE</t>
    </r>
  </si>
  <si>
    <r>
      <rPr>
        <sz val="5"/>
        <rFont val="Arial MT"/>
        <family val="2"/>
      </rPr>
      <t>80289-PRO-PID-1009</t>
    </r>
  </si>
  <si>
    <r>
      <rPr>
        <sz val="5"/>
        <rFont val="Arial MT"/>
        <family val="2"/>
      </rPr>
      <t>DIESEL STORAGE TANK LEVEL LOW LOW</t>
    </r>
  </si>
  <si>
    <r>
      <rPr>
        <sz val="5"/>
        <rFont val="Arial MT"/>
        <family val="2"/>
      </rPr>
      <t>100-LZIT-602</t>
    </r>
  </si>
  <si>
    <r>
      <rPr>
        <sz val="5"/>
        <rFont val="Arial MT"/>
        <family val="2"/>
      </rPr>
      <t>DIESEL PUMP LOW LOW FLOW</t>
    </r>
  </si>
  <si>
    <r>
      <rPr>
        <sz val="5"/>
        <rFont val="Arial MT"/>
        <family val="2"/>
      </rPr>
      <t>100-FZIT-103</t>
    </r>
  </si>
  <si>
    <r>
      <rPr>
        <sz val="5"/>
        <rFont val="Arial MT"/>
        <family val="2"/>
      </rPr>
      <t>80289-PRO-PID-1016</t>
    </r>
  </si>
  <si>
    <r>
      <rPr>
        <sz val="5"/>
        <rFont val="Arial MT"/>
        <family val="2"/>
      </rPr>
      <t>FRESH WATER TANK LEVEL LOW LOW</t>
    </r>
  </si>
  <si>
    <r>
      <rPr>
        <sz val="5"/>
        <rFont val="Arial MT"/>
        <family val="2"/>
      </rPr>
      <t>100-LZIT-607</t>
    </r>
  </si>
  <si>
    <r>
      <rPr>
        <sz val="5"/>
        <rFont val="Arial MT"/>
        <family val="2"/>
      </rPr>
      <t>FRESH WATER PUMP LOW LOW FLOW</t>
    </r>
  </si>
  <si>
    <r>
      <rPr>
        <sz val="5"/>
        <rFont val="Arial MT"/>
        <family val="2"/>
      </rPr>
      <t>100-FZIT-104</t>
    </r>
  </si>
  <si>
    <r>
      <rPr>
        <sz val="5"/>
        <rFont val="Arial MT"/>
        <family val="2"/>
      </rPr>
      <t>80289-PRO-PID-1011</t>
    </r>
  </si>
  <si>
    <r>
      <rPr>
        <sz val="5"/>
        <rFont val="Arial MT"/>
        <family val="2"/>
      </rPr>
      <t>CORROSION INHIBITOR TANK LEVEL LOW LOW</t>
    </r>
  </si>
  <si>
    <r>
      <rPr>
        <sz val="5"/>
        <rFont val="Arial MT"/>
        <family val="2"/>
      </rPr>
      <t>100-LZIT-625</t>
    </r>
  </si>
  <si>
    <r>
      <rPr>
        <sz val="5"/>
        <rFont val="Arial MT"/>
        <family val="2"/>
      </rPr>
      <t xml:space="preserve">CORROSION INHIBITOR TANK PUMP 100-P-001A
</t>
    </r>
    <r>
      <rPr>
        <sz val="5"/>
        <rFont val="Arial MT"/>
        <family val="2"/>
      </rPr>
      <t>DISCHARGE PRESSURE HIGH HIGH</t>
    </r>
  </si>
  <si>
    <r>
      <rPr>
        <sz val="5"/>
        <rFont val="Arial MT"/>
        <family val="2"/>
      </rPr>
      <t>100-PZIT-226A</t>
    </r>
  </si>
  <si>
    <r>
      <rPr>
        <sz val="5"/>
        <rFont val="Arial MT"/>
        <family val="2"/>
      </rPr>
      <t>CORROSION INHIBITOR TANK PUMP 100-P-001B DISCHARGE  PRESSURE HIGH HIGH</t>
    </r>
  </si>
  <si>
    <r>
      <rPr>
        <sz val="5"/>
        <rFont val="Arial MT"/>
        <family val="2"/>
      </rPr>
      <t>100-PZIT-226B</t>
    </r>
  </si>
  <si>
    <r>
      <rPr>
        <sz val="5"/>
        <rFont val="Arial MT"/>
        <family val="2"/>
      </rPr>
      <t>80289-PRO-PID-1012</t>
    </r>
  </si>
  <si>
    <r>
      <rPr>
        <sz val="5"/>
        <rFont val="Arial MT"/>
        <family val="2"/>
      </rPr>
      <t>KHI STORAGE TANK LEVEL LOW LOW</t>
    </r>
  </si>
  <si>
    <r>
      <rPr>
        <sz val="5"/>
        <rFont val="Arial MT"/>
        <family val="2"/>
      </rPr>
      <t>100-LZIT-627</t>
    </r>
  </si>
  <si>
    <r>
      <rPr>
        <sz val="5"/>
        <rFont val="Arial MT"/>
        <family val="2"/>
      </rPr>
      <t>KHI STORAGE TANK PUMP 100-P-002A DISCHARGE PRESSURE HIGH HIGH</t>
    </r>
  </si>
  <si>
    <r>
      <rPr>
        <sz val="5"/>
        <rFont val="Arial MT"/>
        <family val="2"/>
      </rPr>
      <t>100-PZIT-227A</t>
    </r>
  </si>
  <si>
    <r>
      <rPr>
        <b/>
        <strike/>
        <sz val="5"/>
        <rFont val="Arial"/>
        <family val="2"/>
      </rPr>
      <t>X</t>
    </r>
  </si>
  <si>
    <r>
      <rPr>
        <sz val="5"/>
        <rFont val="Arial MT"/>
        <family val="2"/>
      </rPr>
      <t xml:space="preserve">KHI STORAGE TANK PUMP 100-P-002B DISCHARGE
</t>
    </r>
    <r>
      <rPr>
        <sz val="5"/>
        <rFont val="Arial MT"/>
        <family val="2"/>
      </rPr>
      <t>PRESSURE HIGH HIGH</t>
    </r>
  </si>
  <si>
    <r>
      <rPr>
        <sz val="5"/>
        <rFont val="Arial MT"/>
        <family val="2"/>
      </rPr>
      <t>100-PZIT-227B</t>
    </r>
  </si>
  <si>
    <r>
      <rPr>
        <sz val="5"/>
        <rFont val="Arial MT"/>
        <family val="2"/>
      </rPr>
      <t>80289-PRO-PID-1013</t>
    </r>
  </si>
  <si>
    <r>
      <rPr>
        <sz val="5"/>
        <rFont val="Arial MT"/>
        <family val="2"/>
      </rPr>
      <t>METHENOL STORAGE TANK LEVEL LOW LOW</t>
    </r>
  </si>
  <si>
    <r>
      <rPr>
        <sz val="5"/>
        <rFont val="Arial MT"/>
        <family val="2"/>
      </rPr>
      <t>100-LZIT-629</t>
    </r>
  </si>
  <si>
    <r>
      <rPr>
        <sz val="5"/>
        <rFont val="Arial MT"/>
        <family val="2"/>
      </rPr>
      <t>METHANOL STORAGE TANK PUMP 100-P-003A DISCHARGE PRESSURE HIGH HIGH</t>
    </r>
  </si>
  <si>
    <r>
      <rPr>
        <sz val="5"/>
        <rFont val="Arial MT"/>
        <family val="2"/>
      </rPr>
      <t>100-PZIT-228A</t>
    </r>
  </si>
  <si>
    <r>
      <rPr>
        <sz val="5"/>
        <rFont val="Arial MT"/>
        <family val="2"/>
      </rPr>
      <t xml:space="preserve">METHANOL STORAGE TANK PUMP 100-P-003B
</t>
    </r>
    <r>
      <rPr>
        <sz val="5"/>
        <rFont val="Arial MT"/>
        <family val="2"/>
      </rPr>
      <t>DISCHARGE PRESSURE HIGH HIGH</t>
    </r>
  </si>
  <si>
    <r>
      <rPr>
        <sz val="5"/>
        <rFont val="Arial MT"/>
        <family val="2"/>
      </rPr>
      <t>100-PZIT-228B</t>
    </r>
  </si>
  <si>
    <r>
      <rPr>
        <sz val="5"/>
        <rFont val="Arial MT"/>
        <family val="2"/>
      </rPr>
      <t>80289-PRO-PID-1015</t>
    </r>
  </si>
  <si>
    <r>
      <rPr>
        <sz val="5"/>
        <rFont val="Arial MT"/>
        <family val="2"/>
      </rPr>
      <t>SCALE INHIBITOR STORAGE TANK LEVEL LOW LOW</t>
    </r>
  </si>
  <si>
    <r>
      <rPr>
        <sz val="5"/>
        <rFont val="Arial MT"/>
        <family val="2"/>
      </rPr>
      <t>100-LZIT-632</t>
    </r>
  </si>
  <si>
    <r>
      <rPr>
        <sz val="5"/>
        <rFont val="Arial MT"/>
        <family val="2"/>
      </rPr>
      <t>SCALE INHIBITOR STORAGE TANK PUMP 100-P-008A DISCHARGE PRESSURE HIGH HIGH</t>
    </r>
  </si>
  <si>
    <r>
      <rPr>
        <sz val="5"/>
        <rFont val="Arial MT"/>
        <family val="2"/>
      </rPr>
      <t>100-PZIT-229A</t>
    </r>
  </si>
  <si>
    <r>
      <rPr>
        <sz val="5"/>
        <rFont val="Arial MT"/>
        <family val="2"/>
      </rPr>
      <t>SCALE INHIBITOR STORAGE TANK PUMP 100-P-008B DISCHARGE PRESSURE HIGH HIGH</t>
    </r>
  </si>
  <si>
    <r>
      <rPr>
        <sz val="5"/>
        <rFont val="Arial MT"/>
        <family val="2"/>
      </rPr>
      <t>100-PZIT-229B</t>
    </r>
  </si>
  <si>
    <r>
      <rPr>
        <sz val="5"/>
        <rFont val="Arial MT"/>
        <family val="2"/>
      </rPr>
      <t>HYDRAULIC RESERVOIR T-001 LEVEL LOW LOW</t>
    </r>
  </si>
  <si>
    <r>
      <rPr>
        <sz val="5"/>
        <rFont val="Arial MT"/>
        <family val="2"/>
      </rPr>
      <t>100-LZIT-603</t>
    </r>
  </si>
  <si>
    <r>
      <rPr>
        <sz val="5"/>
        <rFont val="Arial MT"/>
        <family val="2"/>
      </rPr>
      <t>HYDRAULIC RESERVOIR T-002 LEVEL LOW LOW</t>
    </r>
  </si>
  <si>
    <r>
      <rPr>
        <sz val="5"/>
        <rFont val="Arial MT"/>
        <family val="2"/>
      </rPr>
      <t>100-LZIT-604</t>
    </r>
  </si>
  <si>
    <r>
      <rPr>
        <sz val="5"/>
        <rFont val="Arial MT"/>
        <family val="2"/>
      </rPr>
      <t>HP HEADER HYDRAULIC OIL PRESSURE LOW LOW</t>
    </r>
  </si>
  <si>
    <r>
      <rPr>
        <sz val="5"/>
        <rFont val="Arial MT"/>
        <family val="2"/>
      </rPr>
      <t>100-PZIT-606</t>
    </r>
  </si>
  <si>
    <r>
      <rPr>
        <sz val="5"/>
        <rFont val="Arial MT"/>
        <family val="2"/>
      </rPr>
      <t>NOTE-4,5,10</t>
    </r>
  </si>
  <si>
    <r>
      <rPr>
        <sz val="5"/>
        <rFont val="Arial MT"/>
        <family val="2"/>
      </rPr>
      <t>100-PZIT-613</t>
    </r>
  </si>
  <si>
    <r>
      <rPr>
        <sz val="5"/>
        <rFont val="Arial MT"/>
        <family val="2"/>
      </rPr>
      <t>LP HEADER HYDRAULIC OIL PRESSURE LOW LOW</t>
    </r>
  </si>
  <si>
    <r>
      <rPr>
        <sz val="5"/>
        <rFont val="Arial MT"/>
        <family val="2"/>
      </rPr>
      <t>100-PZIT-608</t>
    </r>
  </si>
  <si>
    <r>
      <rPr>
        <sz val="5"/>
        <rFont val="Arial MT"/>
        <family val="2"/>
      </rPr>
      <t>100-PZIT-614</t>
    </r>
  </si>
  <si>
    <r>
      <rPr>
        <sz val="5"/>
        <rFont val="Arial MT"/>
        <family val="2"/>
      </rPr>
      <t xml:space="preserve">NOTES:
</t>
    </r>
    <r>
      <rPr>
        <sz val="5"/>
        <rFont val="Arial MT"/>
        <family val="2"/>
      </rPr>
      <t>FOR NOTES REFER TO SHEET NO 2 OF 5.</t>
    </r>
  </si>
  <si>
    <r>
      <rPr>
        <sz val="2"/>
        <rFont val="Arial MT"/>
        <family val="2"/>
      </rPr>
      <t xml:space="preserve">Kay Thong Ng 2024.07.11
</t>
    </r>
    <r>
      <rPr>
        <sz val="2"/>
        <rFont val="Arial MT"/>
        <family val="2"/>
      </rPr>
      <t>11:26:58 +08'00'</t>
    </r>
  </si>
  <si>
    <r>
      <rPr>
        <sz val="1.5"/>
        <rFont val="Arial MT"/>
        <family val="2"/>
      </rPr>
      <t xml:space="preserve">Arun Kumar 2024.07.11
</t>
    </r>
    <r>
      <rPr>
        <sz val="1.5"/>
        <rFont val="Arial MT"/>
        <family val="2"/>
      </rPr>
      <t>10:54:23 +08'00'</t>
    </r>
  </si>
  <si>
    <r>
      <rPr>
        <sz val="1.5"/>
        <rFont val="Arial MT"/>
        <family val="2"/>
      </rPr>
      <t xml:space="preserve">Viren Vartak 2024.07.11 11:12:29
</t>
    </r>
    <r>
      <rPr>
        <sz val="1.5"/>
        <rFont val="Arial MT"/>
        <family val="2"/>
      </rPr>
      <t>+08'00'</t>
    </r>
  </si>
  <si>
    <r>
      <rPr>
        <b/>
        <strike/>
        <sz val="5"/>
        <rFont val="Arial"/>
        <family val="2"/>
      </rPr>
      <t>######</t>
    </r>
  </si>
  <si>
    <r>
      <rPr>
        <sz val="5"/>
        <rFont val="Arial MT"/>
        <family val="2"/>
      </rPr>
      <t>THIS DESIGN AND PRINT IS COPYRIGHT AND IS THE PROPERTY OF 2H OFFSHORE. IT MUST NOT BE COPIED OR PERMITTED TO BE COPIED NOR MUST ITS CONTENTS BE DIVULGED TO ANY THIRD PARTY WITHOUT PRIOR WRITTEN PERMISSION. ITS ACCEPTANCE FOR THE PURPOSES OF INFORMATION AND/OR QUOTATION SHALL IMPLY AN AGREEMENT ON THE PART OF THE RECIPIENT NOT TO USE IT FOR ANY OTHER PURPOSE AND TO OBSERVE THE FORGOING CONDITIONS. THIS PRINT MUST BE RETURNED WHEN NO LONGER REQUIRED FOR THE PURPOSE FOR WHICH IT WAS SUPPLIED. HARD COPIES ARE NOT CONTROLLED.</t>
    </r>
  </si>
  <si>
    <r>
      <rPr>
        <sz val="5"/>
        <rFont val="Arial MT"/>
        <family val="2"/>
      </rPr>
      <t>WEB PIPELINE TOP SIDE SHUTDOWN VALVE 100-SDV-906</t>
    </r>
  </si>
  <si>
    <r>
      <rPr>
        <sz val="5"/>
        <rFont val="Arial MT"/>
        <family val="2"/>
      </rPr>
      <t>100-BDV-908-BLOW DOWN VALVE</t>
    </r>
  </si>
  <si>
    <r>
      <rPr>
        <sz val="5"/>
        <rFont val="Arial MT"/>
        <family val="2"/>
      </rPr>
      <t>100-SY-W901-2A</t>
    </r>
  </si>
  <si>
    <r>
      <rPr>
        <sz val="5"/>
        <rFont val="Arial MT"/>
        <family val="2"/>
      </rPr>
      <t>100-SY-W903-1A</t>
    </r>
  </si>
  <si>
    <r>
      <rPr>
        <sz val="5"/>
        <rFont val="Arial MT"/>
        <family val="2"/>
      </rPr>
      <t>100-SY-W901-1B</t>
    </r>
  </si>
  <si>
    <r>
      <rPr>
        <sz val="5"/>
        <rFont val="Arial MT"/>
        <family val="2"/>
      </rPr>
      <t>100-SY-W901-2B</t>
    </r>
  </si>
  <si>
    <r>
      <rPr>
        <sz val="5"/>
        <rFont val="Arial MT"/>
        <family val="2"/>
      </rPr>
      <t>100-SY-W902-1B</t>
    </r>
  </si>
  <si>
    <r>
      <rPr>
        <sz val="5"/>
        <rFont val="Arial MT"/>
        <family val="2"/>
      </rPr>
      <t>100-SY-W903-1B</t>
    </r>
  </si>
  <si>
    <r>
      <rPr>
        <sz val="5"/>
        <rFont val="Arial MT"/>
        <family val="2"/>
      </rPr>
      <t>100-SY-W901-1C</t>
    </r>
  </si>
  <si>
    <r>
      <rPr>
        <sz val="5"/>
        <rFont val="Arial MT"/>
        <family val="2"/>
      </rPr>
      <t>100-SY-W901-2C</t>
    </r>
  </si>
  <si>
    <r>
      <rPr>
        <sz val="5"/>
        <rFont val="Arial MT"/>
        <family val="2"/>
      </rPr>
      <t>100-SY-W902-1C</t>
    </r>
  </si>
  <si>
    <r>
      <rPr>
        <sz val="5"/>
        <rFont val="Arial MT"/>
        <family val="2"/>
      </rPr>
      <t>100-SY-W901-1D</t>
    </r>
  </si>
  <si>
    <r>
      <rPr>
        <sz val="5"/>
        <rFont val="Arial MT"/>
        <family val="2"/>
      </rPr>
      <t>100-SY-W901-2D</t>
    </r>
  </si>
  <si>
    <r>
      <rPr>
        <sz val="5"/>
        <rFont val="Arial MT"/>
        <family val="2"/>
      </rPr>
      <t>100-SY-W902-1D</t>
    </r>
  </si>
  <si>
    <r>
      <rPr>
        <sz val="5"/>
        <rFont val="Arial MT"/>
        <family val="2"/>
      </rPr>
      <t>100-SY-W903-1D</t>
    </r>
  </si>
  <si>
    <r>
      <rPr>
        <sz val="5"/>
        <rFont val="Arial MT"/>
        <family val="2"/>
      </rPr>
      <t>100-SY-906A</t>
    </r>
  </si>
  <si>
    <r>
      <rPr>
        <sz val="5"/>
        <rFont val="Arial MT"/>
        <family val="2"/>
      </rPr>
      <t>100-SY-906B</t>
    </r>
  </si>
  <si>
    <r>
      <rPr>
        <sz val="5"/>
        <rFont val="Arial MT"/>
        <family val="2"/>
      </rPr>
      <t>100-SY-908</t>
    </r>
  </si>
  <si>
    <r>
      <rPr>
        <sz val="5"/>
        <rFont val="Arial MT"/>
        <family val="2"/>
      </rPr>
      <t>OPEN/CLOSE</t>
    </r>
  </si>
  <si>
    <r>
      <rPr>
        <sz val="5"/>
        <rFont val="Arial MT"/>
        <family val="2"/>
      </rPr>
      <t>REMOTE HAND SWITCH FOR WEB NE - SSV (WELL SHUTDOWN)</t>
    </r>
  </si>
  <si>
    <r>
      <rPr>
        <sz val="5"/>
        <rFont val="Arial MT"/>
        <family val="2"/>
      </rPr>
      <t>NOTE-8</t>
    </r>
  </si>
  <si>
    <r>
      <rPr>
        <sz val="5"/>
        <rFont val="Arial MT"/>
        <family val="2"/>
      </rPr>
      <t>REMOTE HAND SWITCH FOR WEB NE - WING VALVE</t>
    </r>
  </si>
  <si>
    <r>
      <rPr>
        <sz val="5"/>
        <rFont val="Arial MT"/>
        <family val="2"/>
      </rPr>
      <t>HS-W903A</t>
    </r>
  </si>
  <si>
    <r>
      <rPr>
        <sz val="5"/>
        <rFont val="Arial MT"/>
        <family val="2"/>
      </rPr>
      <t>REMOTE HAND SWITCH FOR WEB NW - SSV (WELL SHUTDOWN)</t>
    </r>
  </si>
  <si>
    <r>
      <rPr>
        <sz val="5"/>
        <rFont val="Arial MT"/>
        <family val="2"/>
      </rPr>
      <t>HS-W902B</t>
    </r>
  </si>
  <si>
    <r>
      <rPr>
        <sz val="5"/>
        <rFont val="Arial MT"/>
        <family val="2"/>
      </rPr>
      <t>REMOTE HAND SWITCH FOR WEB NW - WING VALVE</t>
    </r>
  </si>
  <si>
    <r>
      <rPr>
        <sz val="5"/>
        <rFont val="Arial MT"/>
        <family val="2"/>
      </rPr>
      <t>HS-W903B</t>
    </r>
  </si>
  <si>
    <r>
      <rPr>
        <sz val="5"/>
        <rFont val="Arial MT"/>
        <family val="2"/>
      </rPr>
      <t>REMOTE HAND SWITCH FOR WEB SE - SSV (WELL SHUTDOWN)</t>
    </r>
  </si>
  <si>
    <r>
      <rPr>
        <sz val="5"/>
        <rFont val="Arial MT"/>
        <family val="2"/>
      </rPr>
      <t>HS-W902C</t>
    </r>
  </si>
  <si>
    <r>
      <rPr>
        <sz val="5"/>
        <rFont val="Arial MT"/>
        <family val="2"/>
      </rPr>
      <t>REMOTE HAND SWITCH FOR WEB SE - WING VALVE</t>
    </r>
  </si>
  <si>
    <r>
      <rPr>
        <sz val="5"/>
        <rFont val="Arial MT"/>
        <family val="2"/>
      </rPr>
      <t>HS-W903C</t>
    </r>
  </si>
  <si>
    <r>
      <rPr>
        <sz val="5"/>
        <rFont val="Arial MT"/>
        <family val="2"/>
      </rPr>
      <t>REMOTE HAND SWITCH FOR WEB SW - SSV (WELL SHUTDOWN)</t>
    </r>
  </si>
  <si>
    <r>
      <rPr>
        <sz val="5"/>
        <rFont val="Arial MT"/>
        <family val="2"/>
      </rPr>
      <t>HS-W902D</t>
    </r>
  </si>
  <si>
    <r>
      <rPr>
        <sz val="5"/>
        <rFont val="Arial MT"/>
        <family val="2"/>
      </rPr>
      <t>REMOTE HAND SWITCH FOR WEB SW - WING VALVE</t>
    </r>
  </si>
  <si>
    <r>
      <rPr>
        <sz val="5"/>
        <rFont val="Arial MT"/>
        <family val="2"/>
      </rPr>
      <t>HS-W903D</t>
    </r>
  </si>
  <si>
    <r>
      <rPr>
        <sz val="5"/>
        <rFont val="Arial MT"/>
        <family val="2"/>
      </rPr>
      <t>80289-PRO-PID-1007</t>
    </r>
  </si>
  <si>
    <r>
      <rPr>
        <sz val="5"/>
        <rFont val="Arial MT"/>
        <family val="2"/>
      </rPr>
      <t>REMOTE HAND SWITCH FOR BDV-908</t>
    </r>
  </si>
  <si>
    <r>
      <rPr>
        <sz val="5"/>
        <rFont val="Arial MT"/>
        <family val="2"/>
      </rPr>
      <t>HS-908</t>
    </r>
  </si>
  <si>
    <r>
      <rPr>
        <sz val="5"/>
        <rFont val="Arial MT"/>
        <family val="2"/>
      </rPr>
      <t>80289-PRO-PID-1008</t>
    </r>
  </si>
  <si>
    <r>
      <rPr>
        <sz val="5"/>
        <rFont val="Arial MT"/>
        <family val="2"/>
      </rPr>
      <t>REMOTE HAND SWITCH FOR SDV-906</t>
    </r>
  </si>
  <si>
    <r>
      <rPr>
        <sz val="5"/>
        <rFont val="Arial MT"/>
        <family val="2"/>
      </rPr>
      <t>HS-906</t>
    </r>
  </si>
  <si>
    <r>
      <rPr>
        <sz val="5"/>
        <rFont val="Arial MT"/>
        <family val="2"/>
      </rPr>
      <t>REMOTE HAND SWITCH FOR SDV-907</t>
    </r>
  </si>
  <si>
    <r>
      <rPr>
        <sz val="5"/>
        <rFont val="Arial MT"/>
        <family val="2"/>
      </rPr>
      <t>HS-907</t>
    </r>
  </si>
  <si>
    <r>
      <rPr>
        <sz val="1.5"/>
        <rFont val="Arial MT"/>
        <family val="2"/>
      </rPr>
      <t xml:space="preserve">Kay Thong Ng 2024.07.11
</t>
    </r>
    <r>
      <rPr>
        <sz val="1.5"/>
        <rFont val="Arial MT"/>
        <family val="2"/>
      </rPr>
      <t>11:27:18 +08'00'</t>
    </r>
  </si>
  <si>
    <r>
      <rPr>
        <sz val="1.5"/>
        <rFont val="Arial MT"/>
        <family val="2"/>
      </rPr>
      <t xml:space="preserve">Arun Kumar 2024.07.11 10:53:59
</t>
    </r>
    <r>
      <rPr>
        <sz val="1.5"/>
        <rFont val="Arial MT"/>
        <family val="2"/>
      </rPr>
      <t>+08'00'</t>
    </r>
  </si>
  <si>
    <r>
      <rPr>
        <sz val="1.5"/>
        <rFont val="Arial MT"/>
        <family val="2"/>
      </rPr>
      <t xml:space="preserve">Viren Vartak
</t>
    </r>
    <r>
      <rPr>
        <sz val="1.5"/>
        <rFont val="Arial MT"/>
        <family val="2"/>
      </rPr>
      <t>2024.07.11 11:12:52 +08'00'</t>
    </r>
  </si>
  <si>
    <t>only in 2</t>
  </si>
  <si>
    <r>
      <rPr>
        <u/>
        <sz val="5"/>
        <rFont val="Arial MT"/>
        <family val="2"/>
      </rPr>
      <t xml:space="preserve">NOTES
</t>
    </r>
    <r>
      <rPr>
        <sz val="5"/>
        <rFont val="Arial MT"/>
        <family val="2"/>
      </rPr>
      <t xml:space="preserve">(1) THIS C&amp;E SHALL BE READ IN CONJUNCTION WITH FIRE &amp; GAS DETECTION SYSTEM LAYOUT(DOCUMENT NO. 80289-FGS-LYT-1001)
</t>
    </r>
    <r>
      <rPr>
        <sz val="5"/>
        <rFont val="Arial MT"/>
        <family val="2"/>
      </rPr>
      <t xml:space="preserve">(2) DEVICES FAULT SHALL INITIATE AN ANNUNICIATION COMMON FAULT ALARM ON HMI.
</t>
    </r>
    <r>
      <rPr>
        <sz val="5"/>
        <rFont val="Arial MT"/>
        <family val="2"/>
      </rPr>
      <t xml:space="preserve">(3) 100N = ANY SINGLE ALARM INPUT SHALL CAUSE LOGICAL INPUT.
</t>
    </r>
    <r>
      <rPr>
        <sz val="5"/>
        <rFont val="Arial MT"/>
        <family val="2"/>
      </rPr>
      <t xml:space="preserve">200N = AT LEAST TWO ALARM INPUTS ARE REQUIRED TO CAUSE A LOGICAL INPUT, WHERE "N" IS THE NUMBER OF RELEVANT INPUTS PRESENT.
</t>
    </r>
    <r>
      <rPr>
        <sz val="5"/>
        <rFont val="Arial MT"/>
        <family val="2"/>
      </rPr>
      <t xml:space="preserve">(4) DETECTORS FAILURE SHALL BE CONSIDERED AS ACTIVATED DETECTOR IN THE VOTING LOGIC:
</t>
    </r>
    <r>
      <rPr>
        <sz val="5"/>
        <rFont val="Arial MT"/>
        <family val="2"/>
      </rPr>
      <t xml:space="preserve">(5) ALL SIGNALS SHALL BE LINE MONITORED AND ANY FAULT  SHALL BE INDICATED ON THE HMI
</t>
    </r>
    <r>
      <rPr>
        <sz val="5"/>
        <rFont val="Arial MT"/>
        <family val="2"/>
      </rPr>
      <t xml:space="preserve">(6) FOR EFFECTS OF CONFIRMED FIRE SIGNAL AND CONFIRMED GAS SIGNAL, PLEASE REFER TO PROCESS C&amp;E (DOCUMENT   80289-PRO-CEM-1001)
</t>
    </r>
    <r>
      <rPr>
        <sz val="5"/>
        <rFont val="Arial MT"/>
        <family val="2"/>
      </rPr>
      <t xml:space="preserve">(7) AUDIO-VISUAL ALARMS FOR PRE-DISCHARGE, DICHARGE SHALL BE GENERATED FROM CLEAN AGENT SYSTEM PANEL.
</t>
    </r>
    <r>
      <rPr>
        <sz val="5"/>
        <rFont val="Arial MT"/>
        <family val="2"/>
      </rPr>
      <t xml:space="preserve">(8) RESET WILL BE REQUIRED FOR SMOKE DETECTORS FROM FGS SYSTEM.
</t>
    </r>
    <r>
      <rPr>
        <sz val="5"/>
        <rFont val="Arial MT"/>
        <family val="2"/>
      </rPr>
      <t xml:space="preserve">(9) UPON DETECTION OF SMOKE BY100-SD-003, 100-LED-003 SHALL BE ACTIVATED. UPON DETECTION OF SMOKE BY 100-SD-004, 100-LED-004 SHALL BE ACTIVATED.
</t>
    </r>
    <r>
      <rPr>
        <u/>
        <sz val="5"/>
        <rFont val="Arial MT"/>
        <family val="2"/>
      </rPr>
      <t xml:space="preserve">LEGEND:
</t>
    </r>
    <r>
      <rPr>
        <sz val="5"/>
        <rFont val="Arial MT"/>
        <family val="2"/>
      </rPr>
      <t>X: OCCURANCE OF EFFECT AS A RESULT OF CAUSE</t>
    </r>
  </si>
  <si>
    <r>
      <rPr>
        <b/>
        <sz val="5"/>
        <rFont val="Arial"/>
        <family val="2"/>
      </rPr>
      <t>OPERATING EFFECT WEB</t>
    </r>
  </si>
  <si>
    <r>
      <rPr>
        <sz val="5"/>
        <rFont val="Arial MT"/>
        <family val="2"/>
      </rPr>
      <t>HMI</t>
    </r>
  </si>
  <si>
    <r>
      <rPr>
        <sz val="5"/>
        <rFont val="Arial MT"/>
        <family val="2"/>
      </rPr>
      <t>FOAM SYSTEM</t>
    </r>
  </si>
  <si>
    <r>
      <rPr>
        <sz val="5"/>
        <rFont val="Arial MT"/>
        <family val="2"/>
      </rPr>
      <t>CONFIRMED SIGNALS</t>
    </r>
  </si>
  <si>
    <r>
      <rPr>
        <b/>
        <sz val="5"/>
        <rFont val="Arial"/>
        <family val="2"/>
      </rPr>
      <t>ALARM ON PLATFORM HMI GRAPHICS</t>
    </r>
  </si>
  <si>
    <r>
      <rPr>
        <b/>
        <sz val="5"/>
        <rFont val="Arial"/>
        <family val="2"/>
      </rPr>
      <t>ALARM ON WDDM HMI GRAPHICS</t>
    </r>
  </si>
  <si>
    <r>
      <rPr>
        <b/>
        <sz val="5"/>
        <rFont val="Arial"/>
        <family val="2"/>
      </rPr>
      <t>ACTIVATE SOUNDER VIA PAGA</t>
    </r>
  </si>
  <si>
    <r>
      <rPr>
        <b/>
        <sz val="5"/>
        <rFont val="Arial"/>
        <family val="2"/>
      </rPr>
      <t>ACTIVATE SOUNDER  VIA PAGA</t>
    </r>
  </si>
  <si>
    <r>
      <rPr>
        <b/>
        <sz val="5"/>
        <rFont val="Arial"/>
        <family val="2"/>
      </rPr>
      <t>ACTIVATE 100-LED-003 (NOTE-9)</t>
    </r>
  </si>
  <si>
    <r>
      <rPr>
        <b/>
        <sz val="5"/>
        <rFont val="Arial"/>
        <family val="2"/>
      </rPr>
      <t>ACTIVATE 100-LED-004 (NOTE-9)</t>
    </r>
  </si>
  <si>
    <r>
      <rPr>
        <b/>
        <sz val="5"/>
        <rFont val="Arial"/>
        <family val="2"/>
      </rPr>
      <t>CONFIRMED FIRE / GAS SIGNAL TO NAV AID</t>
    </r>
  </si>
  <si>
    <r>
      <rPr>
        <b/>
        <sz val="5"/>
        <rFont val="Arial"/>
        <family val="2"/>
      </rPr>
      <t>CONFIRMED FIRE SIGNAL TO CLEAN AGENT SYSTEM PANEL (E &amp; I ROOM) FOR RELEASE OF CLEAN AGENT (NOTE-7)</t>
    </r>
  </si>
  <si>
    <r>
      <rPr>
        <b/>
        <sz val="5"/>
        <rFont val="Arial"/>
        <family val="2"/>
      </rPr>
      <t>ACTIVATE PILOT SOLENIOD VALVE OF THE FOAM SKID</t>
    </r>
  </si>
  <si>
    <r>
      <rPr>
        <b/>
        <sz val="5"/>
        <rFont val="Arial"/>
        <family val="2"/>
      </rPr>
      <t>CONFIRMED FIRE FOR SIS LOGIC (NOTE-6)</t>
    </r>
  </si>
  <si>
    <r>
      <rPr>
        <b/>
        <sz val="5"/>
        <rFont val="Arial"/>
        <family val="2"/>
      </rPr>
      <t>CONFIRMED GAS FOR SIS LOGIC (NOTE-6)</t>
    </r>
  </si>
  <si>
    <r>
      <rPr>
        <b/>
        <sz val="5"/>
        <rFont val="Arial"/>
        <family val="2"/>
      </rPr>
      <t>ISOLATE BATTERY CHARGER</t>
    </r>
  </si>
  <si>
    <r>
      <rPr>
        <b/>
        <sz val="5"/>
        <rFont val="Arial"/>
        <family val="2"/>
      </rPr>
      <t>TRIP HVAC SYSTEM</t>
    </r>
  </si>
  <si>
    <r>
      <rPr>
        <b/>
        <sz val="5"/>
        <rFont val="Arial"/>
        <family val="2"/>
      </rPr>
      <t>ACTIVATE CO2 SNUFFING SYSTEM</t>
    </r>
  </si>
  <si>
    <r>
      <rPr>
        <b/>
        <sz val="5"/>
        <rFont val="Arial"/>
        <family val="2"/>
      </rPr>
      <t>100-CF-002</t>
    </r>
  </si>
  <si>
    <r>
      <rPr>
        <b/>
        <sz val="5"/>
        <rFont val="Arial"/>
        <family val="2"/>
      </rPr>
      <t>100-CG-002</t>
    </r>
  </si>
  <si>
    <r>
      <rPr>
        <b/>
        <sz val="5"/>
        <rFont val="Arial"/>
        <family val="2"/>
      </rPr>
      <t>100-CR-003</t>
    </r>
  </si>
  <si>
    <r>
      <rPr>
        <b/>
        <sz val="5"/>
        <rFont val="Arial"/>
        <family val="2"/>
      </rPr>
      <t>100-XS-200</t>
    </r>
  </si>
  <si>
    <r>
      <rPr>
        <b/>
        <sz val="5"/>
        <rFont val="Arial"/>
        <family val="2"/>
      </rPr>
      <t>100-SV-001</t>
    </r>
  </si>
  <si>
    <r>
      <rPr>
        <b/>
        <sz val="5"/>
        <rFont val="Arial"/>
        <family val="2"/>
      </rPr>
      <t>100-CF-001 (SOFT)</t>
    </r>
  </si>
  <si>
    <r>
      <rPr>
        <b/>
        <sz val="5"/>
        <rFont val="Arial"/>
        <family val="2"/>
      </rPr>
      <t>100-CG-001 (SOFT)</t>
    </r>
  </si>
  <si>
    <r>
      <rPr>
        <b/>
        <sz val="5"/>
        <rFont val="Arial"/>
        <family val="2"/>
      </rPr>
      <t>100-XS-010</t>
    </r>
  </si>
  <si>
    <r>
      <rPr>
        <b/>
        <sz val="5"/>
        <rFont val="Arial"/>
        <family val="2"/>
      </rPr>
      <t>100-XS-011</t>
    </r>
  </si>
  <si>
    <r>
      <rPr>
        <b/>
        <sz val="5"/>
        <rFont val="Arial"/>
        <family val="2"/>
      </rPr>
      <t>100-SY-910</t>
    </r>
  </si>
  <si>
    <r>
      <rPr>
        <b/>
        <sz val="5"/>
        <rFont val="Arial"/>
        <family val="2"/>
      </rPr>
      <t>OPERATING CAUSES</t>
    </r>
  </si>
  <si>
    <r>
      <rPr>
        <b/>
        <sz val="5"/>
        <rFont val="Arial"/>
        <family val="2"/>
      </rPr>
      <t>LOCATION</t>
    </r>
  </si>
  <si>
    <r>
      <rPr>
        <b/>
        <sz val="5"/>
        <rFont val="Arial"/>
        <family val="2"/>
      </rPr>
      <t>CAUSE DEVICE INDENTIFICATION</t>
    </r>
  </si>
  <si>
    <r>
      <rPr>
        <b/>
        <sz val="5"/>
        <rFont val="Arial"/>
        <family val="2"/>
      </rPr>
      <t>VOTING</t>
    </r>
  </si>
  <si>
    <r>
      <rPr>
        <sz val="5"/>
        <rFont val="Arial MT"/>
        <family val="2"/>
      </rPr>
      <t>HELIDECK</t>
    </r>
  </si>
  <si>
    <r>
      <rPr>
        <sz val="5"/>
        <rFont val="Arial MT"/>
        <family val="2"/>
      </rPr>
      <t>100-MR-001 / 002</t>
    </r>
  </si>
  <si>
    <r>
      <rPr>
        <sz val="5"/>
        <rFont val="Arial MT"/>
        <family val="2"/>
      </rPr>
      <t>MANUAL RELEASE PULL STATION</t>
    </r>
  </si>
  <si>
    <r>
      <rPr>
        <sz val="5"/>
        <rFont val="Arial MT"/>
        <family val="2"/>
      </rPr>
      <t>100-MCP-001 / 002</t>
    </r>
  </si>
  <si>
    <r>
      <rPr>
        <sz val="5"/>
        <rFont val="Arial MT"/>
        <family val="2"/>
      </rPr>
      <t>MANUAL CALL POINT</t>
    </r>
  </si>
  <si>
    <r>
      <rPr>
        <sz val="5"/>
        <rFont val="Arial MT"/>
        <family val="2"/>
      </rPr>
      <t>100-MCP-003 / 004</t>
    </r>
  </si>
  <si>
    <r>
      <rPr>
        <sz val="5"/>
        <rFont val="Arial MT"/>
        <family val="2"/>
      </rPr>
      <t>100-SD-001 / 002</t>
    </r>
  </si>
  <si>
    <r>
      <rPr>
        <sz val="5"/>
        <rFont val="Arial MT"/>
        <family val="2"/>
      </rPr>
      <t>SMOKE DETECTOR</t>
    </r>
  </si>
  <si>
    <r>
      <rPr>
        <sz val="5"/>
        <rFont val="Arial MT"/>
        <family val="2"/>
      </rPr>
      <t>ELECTRICAL AND</t>
    </r>
  </si>
  <si>
    <r>
      <rPr>
        <sz val="5"/>
        <rFont val="Arial MT"/>
        <family val="2"/>
      </rPr>
      <t>INSTRUMENT ROOM</t>
    </r>
  </si>
  <si>
    <r>
      <rPr>
        <sz val="5"/>
        <rFont val="Arial MT"/>
        <family val="2"/>
      </rPr>
      <t>100-SD-003/004 (BELOW RAISED FLOOR)</t>
    </r>
  </si>
  <si>
    <r>
      <rPr>
        <sz val="5"/>
        <rFont val="Arial MT"/>
        <family val="2"/>
      </rPr>
      <t>100-SD-005 / 006</t>
    </r>
  </si>
  <si>
    <r>
      <rPr>
        <sz val="5"/>
        <rFont val="Arial MT"/>
        <family val="2"/>
      </rPr>
      <t>ACCOMODATION ROOM</t>
    </r>
  </si>
  <si>
    <r>
      <rPr>
        <sz val="5"/>
        <rFont val="Arial MT"/>
        <family val="2"/>
      </rPr>
      <t>100-GD-001 / 002 / 003</t>
    </r>
  </si>
  <si>
    <r>
      <rPr>
        <sz val="5"/>
        <rFont val="Arial MT"/>
        <family val="2"/>
      </rPr>
      <t>GAS DETECTION 20% LEL</t>
    </r>
  </si>
  <si>
    <r>
      <rPr>
        <sz val="5"/>
        <rFont val="Arial MT"/>
        <family val="2"/>
      </rPr>
      <t>CONFIRMED GAS DETECTION 20% LEL</t>
    </r>
  </si>
  <si>
    <r>
      <rPr>
        <sz val="5"/>
        <rFont val="Arial MT"/>
        <family val="2"/>
      </rPr>
      <t>GAS DETECTION 50% LEL</t>
    </r>
  </si>
  <si>
    <r>
      <rPr>
        <sz val="5"/>
        <rFont val="Arial MT"/>
        <family val="2"/>
      </rPr>
      <t>CONFIRMED GAS DETECTION 50% LEL</t>
    </r>
  </si>
  <si>
    <r>
      <rPr>
        <sz val="5"/>
        <rFont val="Arial MT"/>
        <family val="2"/>
      </rPr>
      <t>INSTRUMENT</t>
    </r>
  </si>
  <si>
    <r>
      <rPr>
        <sz val="5"/>
        <rFont val="Arial MT"/>
        <family val="2"/>
      </rPr>
      <t>ROOM</t>
    </r>
  </si>
  <si>
    <r>
      <rPr>
        <sz val="5"/>
        <rFont val="Arial MT"/>
        <family val="2"/>
      </rPr>
      <t>FAULT</t>
    </r>
  </si>
  <si>
    <r>
      <rPr>
        <sz val="5"/>
        <rFont val="Arial MT"/>
        <family val="2"/>
      </rPr>
      <t>(HVAC AIR INTAKE)</t>
    </r>
  </si>
  <si>
    <r>
      <rPr>
        <sz val="5"/>
        <rFont val="Arial MT"/>
        <family val="2"/>
      </rPr>
      <t>100-SD-007</t>
    </r>
  </si>
  <si>
    <r>
      <rPr>
        <sz val="5"/>
        <rFont val="Arial MT"/>
        <family val="2"/>
      </rPr>
      <t>MAIN DECK</t>
    </r>
  </si>
  <si>
    <r>
      <rPr>
        <sz val="5"/>
        <rFont val="Arial MT"/>
        <family val="2"/>
      </rPr>
      <t>100-H2-001 / 002</t>
    </r>
  </si>
  <si>
    <r>
      <rPr>
        <sz val="5"/>
        <rFont val="Arial MT"/>
        <family val="2"/>
      </rPr>
      <t>H2 GAS DETECTION 20% LEL</t>
    </r>
  </si>
  <si>
    <r>
      <rPr>
        <sz val="5"/>
        <rFont val="Arial MT"/>
        <family val="2"/>
      </rPr>
      <t>CONFIRMED H2 GAS DETECTION 20% LEL</t>
    </r>
  </si>
  <si>
    <r>
      <rPr>
        <sz val="5"/>
        <rFont val="Arial MT"/>
        <family val="2"/>
      </rPr>
      <t>BATTERY ROOM</t>
    </r>
  </si>
  <si>
    <r>
      <rPr>
        <sz val="5"/>
        <rFont val="Arial MT"/>
        <family val="2"/>
      </rPr>
      <t>H2 GAS DETECTION 60% LEL</t>
    </r>
  </si>
  <si>
    <r>
      <rPr>
        <sz val="5"/>
        <rFont val="Arial MT"/>
        <family val="2"/>
      </rPr>
      <t>CONFIRMED H2 GAS DETECTION 60% LEL</t>
    </r>
  </si>
  <si>
    <r>
      <rPr>
        <sz val="5"/>
        <rFont val="Arial MT"/>
        <family val="2"/>
      </rPr>
      <t>100-FD-009 / 010</t>
    </r>
  </si>
  <si>
    <r>
      <rPr>
        <sz val="5"/>
        <rFont val="Arial MT"/>
        <family val="2"/>
      </rPr>
      <t>FLAME DETECTOR</t>
    </r>
  </si>
  <si>
    <r>
      <rPr>
        <sz val="5"/>
        <rFont val="Arial MT"/>
        <family val="2"/>
      </rPr>
      <t>CRANE AREA</t>
    </r>
  </si>
  <si>
    <r>
      <rPr>
        <sz val="5"/>
        <rFont val="Arial MT"/>
        <family val="2"/>
      </rPr>
      <t>COLD VENT</t>
    </r>
  </si>
  <si>
    <r>
      <rPr>
        <sz val="5"/>
        <rFont val="Arial MT"/>
        <family val="2"/>
      </rPr>
      <t>TEMPERATURE HIGH-HIGH CO2 SNUFFING SYSTEM</t>
    </r>
  </si>
  <si>
    <r>
      <rPr>
        <sz val="5"/>
        <rFont val="Arial MT"/>
        <family val="2"/>
      </rPr>
      <t>100-TZIT-409A</t>
    </r>
  </si>
  <si>
    <r>
      <rPr>
        <sz val="5"/>
        <rFont val="Arial MT"/>
        <family val="2"/>
      </rPr>
      <t>100-TZIT-409B</t>
    </r>
  </si>
  <si>
    <r>
      <rPr>
        <sz val="5"/>
        <rFont val="Arial MT"/>
        <family val="2"/>
      </rPr>
      <t>100-PK-003A</t>
    </r>
  </si>
  <si>
    <r>
      <rPr>
        <sz val="5"/>
        <rFont val="Arial MT"/>
        <family val="2"/>
      </rPr>
      <t>100-CF-PK-003A</t>
    </r>
  </si>
  <si>
    <r>
      <rPr>
        <sz val="5"/>
        <rFont val="Arial MT"/>
        <family val="2"/>
      </rPr>
      <t>CONFIRMED FIRE ALARM</t>
    </r>
  </si>
  <si>
    <r>
      <rPr>
        <sz val="5"/>
        <rFont val="Arial MT"/>
        <family val="2"/>
      </rPr>
      <t>DIESEL GENERATOR</t>
    </r>
  </si>
  <si>
    <r>
      <rPr>
        <sz val="5"/>
        <rFont val="Arial MT"/>
        <family val="2"/>
      </rPr>
      <t>PACAKGE</t>
    </r>
  </si>
  <si>
    <r>
      <rPr>
        <sz val="5"/>
        <rFont val="Arial MT"/>
        <family val="2"/>
      </rPr>
      <t>100-PK-003B</t>
    </r>
  </si>
  <si>
    <r>
      <rPr>
        <sz val="5"/>
        <rFont val="Arial MT"/>
        <family val="2"/>
      </rPr>
      <t>100-CF-PK-003B</t>
    </r>
  </si>
  <si>
    <r>
      <rPr>
        <sz val="1.5"/>
        <rFont val="Arial MT"/>
        <family val="2"/>
      </rPr>
      <t>Arun Kumar 2024.06.13</t>
    </r>
  </si>
  <si>
    <r>
      <rPr>
        <sz val="1.5"/>
        <rFont val="Arial MT"/>
        <family val="2"/>
      </rPr>
      <t>+08'00'</t>
    </r>
  </si>
  <si>
    <r>
      <rPr>
        <sz val="2"/>
        <rFont val="Arial MT"/>
        <family val="2"/>
      </rPr>
      <t>08:55:54 +08'00'</t>
    </r>
  </si>
  <si>
    <r>
      <rPr>
        <sz val="5"/>
        <rFont val="Arial MT"/>
        <family val="2"/>
      </rPr>
      <t>ABBREVIATIONS:</t>
    </r>
  </si>
  <si>
    <r>
      <rPr>
        <sz val="5"/>
        <rFont val="Calibri"/>
        <family val="1"/>
      </rPr>
      <t>Issued as Final</t>
    </r>
  </si>
  <si>
    <r>
      <rPr>
        <sz val="5"/>
        <rFont val="Calibri"/>
        <family val="1"/>
      </rPr>
      <t>P.Khode</t>
    </r>
  </si>
  <si>
    <r>
      <rPr>
        <sz val="5"/>
        <rFont val="Calibri"/>
        <family val="1"/>
      </rPr>
      <t>P Ghaware</t>
    </r>
  </si>
  <si>
    <r>
      <rPr>
        <sz val="5"/>
        <rFont val="Calibri"/>
        <family val="1"/>
      </rPr>
      <t>A Kumar</t>
    </r>
  </si>
  <si>
    <r>
      <rPr>
        <sz val="5"/>
        <rFont val="Calibri"/>
        <family val="1"/>
      </rPr>
      <t>V Vartak</t>
    </r>
  </si>
  <si>
    <r>
      <rPr>
        <sz val="5"/>
        <rFont val="Arial MT"/>
        <family val="2"/>
      </rPr>
      <t>XS - ACTIVATING SIGNAL</t>
    </r>
  </si>
  <si>
    <r>
      <rPr>
        <sz val="5"/>
        <rFont val="Calibri"/>
        <family val="1"/>
      </rPr>
      <t>Issued for Approval</t>
    </r>
  </si>
  <si>
    <r>
      <rPr>
        <sz val="5"/>
        <rFont val="Arial MT"/>
        <family val="2"/>
      </rPr>
      <t>CF - CONFIRMED FIRE</t>
    </r>
  </si>
  <si>
    <r>
      <rPr>
        <sz val="5"/>
        <rFont val="Calibri"/>
        <family val="1"/>
      </rPr>
      <t>Issued for Review</t>
    </r>
  </si>
  <si>
    <r>
      <rPr>
        <sz val="5"/>
        <rFont val="Arial MT"/>
        <family val="2"/>
      </rPr>
      <t>CG - CONFIRMED GAS</t>
    </r>
  </si>
  <si>
    <r>
      <rPr>
        <sz val="5"/>
        <rFont val="Calibri"/>
        <family val="1"/>
      </rPr>
      <t>REV</t>
    </r>
  </si>
  <si>
    <r>
      <rPr>
        <sz val="5"/>
        <rFont val="Calibri"/>
        <family val="1"/>
      </rPr>
      <t>DATE</t>
    </r>
  </si>
  <si>
    <r>
      <rPr>
        <sz val="5"/>
        <rFont val="Calibri"/>
        <family val="1"/>
      </rPr>
      <t>DESCRIPTION</t>
    </r>
  </si>
  <si>
    <r>
      <rPr>
        <sz val="5"/>
        <rFont val="Calibri"/>
        <family val="1"/>
      </rPr>
      <t>DRAWN</t>
    </r>
  </si>
  <si>
    <r>
      <rPr>
        <sz val="5"/>
        <rFont val="Calibri"/>
        <family val="1"/>
      </rPr>
      <t>ENGINEER</t>
    </r>
  </si>
  <si>
    <r>
      <rPr>
        <sz val="5"/>
        <rFont val="Calibri"/>
        <family val="1"/>
      </rPr>
      <t>CHECKED</t>
    </r>
  </si>
  <si>
    <r>
      <rPr>
        <sz val="5"/>
        <rFont val="Calibri"/>
        <family val="1"/>
      </rPr>
      <t>APPROVED</t>
    </r>
  </si>
  <si>
    <r>
      <rPr>
        <sz val="5"/>
        <rFont val="Calibri"/>
        <family val="1"/>
      </rPr>
      <t>CLIENT</t>
    </r>
  </si>
  <si>
    <r>
      <rPr>
        <sz val="5"/>
        <rFont val="Calibri"/>
        <family val="1"/>
      </rPr>
      <t>DCN</t>
    </r>
  </si>
  <si>
    <r>
      <rPr>
        <sz val="5"/>
        <rFont val="Arial MT"/>
        <family val="2"/>
      </rPr>
      <t>CR - CONFIRMED FIRE/ GAS</t>
    </r>
  </si>
  <si>
    <r>
      <rPr>
        <sz val="5"/>
        <rFont val="Calibri"/>
        <family val="1"/>
      </rPr>
      <t>PROJECT</t>
    </r>
  </si>
  <si>
    <r>
      <rPr>
        <sz val="6.5"/>
        <rFont val="Calibri"/>
        <family val="1"/>
      </rPr>
      <t>WEB OFFSHORE FIELD DEVELOPMENT PROJECT</t>
    </r>
  </si>
  <si>
    <r>
      <rPr>
        <sz val="5"/>
        <rFont val="Calibri"/>
        <family val="1"/>
      </rPr>
      <t>TITLE</t>
    </r>
  </si>
  <si>
    <r>
      <rPr>
        <sz val="5"/>
        <rFont val="Calibri"/>
        <family val="1"/>
      </rPr>
      <t>TEL: +60 3 2726 0500</t>
    </r>
  </si>
  <si>
    <r>
      <rPr>
        <u/>
        <sz val="5"/>
        <color rgb="FF0462C1"/>
        <rFont val="Calibri"/>
        <family val="1"/>
      </rPr>
      <t>www.2hoffshore.com</t>
    </r>
  </si>
  <si>
    <r>
      <rPr>
        <sz val="6.5"/>
        <rFont val="Calibri"/>
        <family val="1"/>
      </rPr>
      <t>WEB FIRE AND GAS CAUSE &amp; EFFECT DIAGRAM</t>
    </r>
  </si>
  <si>
    <r>
      <rPr>
        <sz val="5"/>
        <rFont val="Calibri"/>
        <family val="1"/>
      </rPr>
      <t>DIMENSIONS ARE IN mm UNLESS OTHERWISE STATED</t>
    </r>
  </si>
  <si>
    <r>
      <rPr>
        <sz val="5"/>
        <rFont val="Calibri"/>
        <family val="1"/>
      </rPr>
      <t>SCALE</t>
    </r>
  </si>
  <si>
    <r>
      <rPr>
        <sz val="5"/>
        <rFont val="Calibri"/>
        <family val="1"/>
      </rPr>
      <t>AS SHOWN</t>
    </r>
  </si>
  <si>
    <r>
      <rPr>
        <sz val="5"/>
        <rFont val="Calibri"/>
        <family val="1"/>
      </rPr>
      <t>SHT</t>
    </r>
  </si>
  <si>
    <r>
      <rPr>
        <sz val="5"/>
        <rFont val="Calibri"/>
        <family val="1"/>
      </rPr>
      <t>DRG NO</t>
    </r>
  </si>
  <si>
    <r>
      <rPr>
        <sz val="6.5"/>
        <rFont val="Calibri"/>
        <family val="1"/>
      </rPr>
      <t>80289-FGS-CEM-1001</t>
    </r>
  </si>
  <si>
    <r>
      <rPr>
        <sz val="5"/>
        <rFont val="Calibri"/>
        <family val="1"/>
      </rPr>
      <t>OF</t>
    </r>
  </si>
  <si>
    <r>
      <rPr>
        <u/>
        <sz val="5.5"/>
        <rFont val="Arial MT"/>
        <family val="2"/>
      </rPr>
      <t xml:space="preserve">NOTES
</t>
    </r>
    <r>
      <rPr>
        <sz val="5.5"/>
        <rFont val="Arial MT"/>
        <family val="2"/>
      </rPr>
      <t>REFER TO SHEET 2 FOR NOTES</t>
    </r>
  </si>
  <si>
    <r>
      <rPr>
        <sz val="5.5"/>
        <rFont val="Arial MT"/>
        <family val="2"/>
      </rPr>
      <t>HMI</t>
    </r>
  </si>
  <si>
    <r>
      <rPr>
        <sz val="5.5"/>
        <rFont val="Arial MT"/>
        <family val="2"/>
      </rPr>
      <t>FOAM SYSTEM</t>
    </r>
  </si>
  <si>
    <r>
      <rPr>
        <sz val="5.5"/>
        <rFont val="Arial MT"/>
        <family val="2"/>
      </rPr>
      <t>CONFIRMED SIGNALS</t>
    </r>
  </si>
  <si>
    <r>
      <rPr>
        <b/>
        <sz val="5"/>
        <rFont val="Arial"/>
        <family val="2"/>
      </rPr>
      <t>CONFIRMED FIRE FOR SIS LOGIC</t>
    </r>
  </si>
  <si>
    <r>
      <rPr>
        <b/>
        <sz val="5.5"/>
        <rFont val="Arial"/>
        <family val="2"/>
      </rPr>
      <t>CONFIRMED GAS FOR SIS LOGIC</t>
    </r>
  </si>
  <si>
    <r>
      <rPr>
        <b/>
        <sz val="5.5"/>
        <rFont val="Arial"/>
        <family val="2"/>
      </rPr>
      <t>ISOLATE BATTERY CHARGER</t>
    </r>
  </si>
  <si>
    <r>
      <rPr>
        <b/>
        <sz val="5.5"/>
        <rFont val="Arial"/>
        <family val="2"/>
      </rPr>
      <t>TRIP HVAC SYSTEM</t>
    </r>
  </si>
  <si>
    <r>
      <rPr>
        <b/>
        <sz val="5.5"/>
        <rFont val="Arial"/>
        <family val="2"/>
      </rPr>
      <t>100-CG-001 (SOFT)</t>
    </r>
  </si>
  <si>
    <r>
      <rPr>
        <b/>
        <sz val="5.5"/>
        <rFont val="Arial"/>
        <family val="2"/>
      </rPr>
      <t>100-XS-010</t>
    </r>
  </si>
  <si>
    <r>
      <rPr>
        <b/>
        <sz val="5.5"/>
        <rFont val="Arial"/>
        <family val="2"/>
      </rPr>
      <t>100-XS-011</t>
    </r>
  </si>
  <si>
    <r>
      <rPr>
        <b/>
        <sz val="5.5"/>
        <rFont val="Arial"/>
        <family val="2"/>
      </rPr>
      <t>OPERATING CAUSES</t>
    </r>
  </si>
  <si>
    <r>
      <rPr>
        <b/>
        <sz val="5.5"/>
        <rFont val="Arial"/>
        <family val="2"/>
      </rPr>
      <t>LOCATION</t>
    </r>
  </si>
  <si>
    <r>
      <rPr>
        <b/>
        <sz val="5.5"/>
        <rFont val="Arial"/>
        <family val="2"/>
      </rPr>
      <t>CAUSE DEVICE INDENTIFICATION</t>
    </r>
  </si>
  <si>
    <r>
      <rPr>
        <b/>
        <sz val="5.5"/>
        <rFont val="Arial"/>
        <family val="2"/>
      </rPr>
      <t>VOTING</t>
    </r>
  </si>
  <si>
    <r>
      <rPr>
        <sz val="5.5"/>
        <rFont val="Arial MT"/>
        <family val="2"/>
      </rPr>
      <t>MEZZANINE DECK</t>
    </r>
  </si>
  <si>
    <r>
      <rPr>
        <sz val="5.5"/>
        <rFont val="Arial MT"/>
        <family val="2"/>
      </rPr>
      <t>'WELLHEADS</t>
    </r>
  </si>
  <si>
    <r>
      <rPr>
        <sz val="5.5"/>
        <rFont val="Arial MT"/>
        <family val="2"/>
      </rPr>
      <t>100-GD-004 / 005 / 006 / 007</t>
    </r>
  </si>
  <si>
    <r>
      <rPr>
        <sz val="5.5"/>
        <rFont val="Arial MT"/>
        <family val="2"/>
      </rPr>
      <t>GAS DETECTION 20% LEL</t>
    </r>
  </si>
  <si>
    <r>
      <rPr>
        <b/>
        <sz val="5.5"/>
        <rFont val="Arial"/>
        <family val="2"/>
      </rPr>
      <t>X</t>
    </r>
  </si>
  <si>
    <r>
      <rPr>
        <sz val="5.5"/>
        <rFont val="Arial MT"/>
        <family val="2"/>
      </rPr>
      <t>CONFIRMED GAS DETECTION 20% LEL</t>
    </r>
  </si>
  <si>
    <r>
      <rPr>
        <sz val="5.5"/>
        <rFont val="Arial MT"/>
        <family val="2"/>
      </rPr>
      <t>GAS DETECTION 50% LEL</t>
    </r>
  </si>
  <si>
    <r>
      <rPr>
        <sz val="5.5"/>
        <rFont val="Arial MT"/>
        <family val="2"/>
      </rPr>
      <t>CONFIRMED GAS DETECTION 50% LEL</t>
    </r>
  </si>
  <si>
    <r>
      <rPr>
        <sz val="5.5"/>
        <rFont val="Arial MT"/>
        <family val="2"/>
      </rPr>
      <t>FAULT</t>
    </r>
  </si>
  <si>
    <r>
      <rPr>
        <sz val="5.5"/>
        <rFont val="Arial MT"/>
        <family val="2"/>
      </rPr>
      <t>100-FD-001 / 002</t>
    </r>
  </si>
  <si>
    <r>
      <rPr>
        <sz val="5.5"/>
        <rFont val="Arial MT"/>
        <family val="2"/>
      </rPr>
      <t>FLAME DETECTOR</t>
    </r>
  </si>
  <si>
    <r>
      <rPr>
        <sz val="5.5"/>
        <rFont val="Arial MT"/>
        <family val="2"/>
      </rPr>
      <t>100-PZIT-615A /B</t>
    </r>
  </si>
  <si>
    <r>
      <rPr>
        <sz val="5.5"/>
        <rFont val="Arial MT"/>
        <family val="2"/>
      </rPr>
      <t>FIRE DETECTION BY FUSIBLE LOOP</t>
    </r>
  </si>
  <si>
    <r>
      <rPr>
        <sz val="5.5"/>
        <rFont val="Arial MT"/>
        <family val="2"/>
      </rPr>
      <t>PRESSURE LOW LOW</t>
    </r>
  </si>
  <si>
    <r>
      <rPr>
        <sz val="5.5"/>
        <rFont val="Arial MT"/>
        <family val="2"/>
      </rPr>
      <t>100-MCP-007 / 008</t>
    </r>
  </si>
  <si>
    <r>
      <rPr>
        <sz val="5.5"/>
        <rFont val="Arial MT"/>
        <family val="2"/>
      </rPr>
      <t>MANUAL CALL POINT</t>
    </r>
  </si>
  <si>
    <r>
      <rPr>
        <sz val="5.5"/>
        <rFont val="Arial MT"/>
        <family val="2"/>
      </rPr>
      <t>CELLAR DECK</t>
    </r>
  </si>
  <si>
    <r>
      <rPr>
        <sz val="5.5"/>
        <rFont val="Arial MT"/>
        <family val="2"/>
      </rPr>
      <t>100-MCP-005</t>
    </r>
  </si>
  <si>
    <r>
      <rPr>
        <sz val="5.5"/>
        <rFont val="Arial MT"/>
        <family val="2"/>
      </rPr>
      <t xml:space="preserve">PRODUCTION MANIFOLD, 100-PL-001
</t>
    </r>
    <r>
      <rPr>
        <sz val="5.5"/>
        <rFont val="Arial MT"/>
        <family val="2"/>
      </rPr>
      <t xml:space="preserve">100-TK-004
</t>
    </r>
    <r>
      <rPr>
        <sz val="5.5"/>
        <rFont val="Arial MT"/>
        <family val="2"/>
      </rPr>
      <t xml:space="preserve">100-P-005A/B
</t>
    </r>
    <r>
      <rPr>
        <sz val="5.5"/>
        <rFont val="Arial MT"/>
        <family val="2"/>
      </rPr>
      <t xml:space="preserve">100-V-004
</t>
    </r>
    <r>
      <rPr>
        <sz val="5.5"/>
        <rFont val="Arial MT"/>
        <family val="2"/>
      </rPr>
      <t xml:space="preserve">100-XY-001/002/003
</t>
    </r>
    <r>
      <rPr>
        <sz val="5.5"/>
        <rFont val="Arial MT"/>
        <family val="2"/>
      </rPr>
      <t>100-P-003A/B</t>
    </r>
  </si>
  <si>
    <r>
      <rPr>
        <sz val="5.5"/>
        <rFont val="Arial MT"/>
        <family val="2"/>
      </rPr>
      <t>100-GD-008/009 / 010 / 011 / 012 /013/014/015</t>
    </r>
  </si>
  <si>
    <r>
      <rPr>
        <sz val="5.5"/>
        <rFont val="Arial MT"/>
        <family val="2"/>
      </rPr>
      <t>100-FD-003 / 004 / 005 / 006</t>
    </r>
  </si>
  <si>
    <r>
      <rPr>
        <sz val="5.5"/>
        <rFont val="Arial MT"/>
        <family val="2"/>
      </rPr>
      <t>SUB CELLAR DECK</t>
    </r>
  </si>
  <si>
    <r>
      <rPr>
        <sz val="5.5"/>
        <rFont val="Arial MT"/>
        <family val="2"/>
      </rPr>
      <t>100-MCP-006</t>
    </r>
  </si>
  <si>
    <r>
      <rPr>
        <sz val="5.5"/>
        <rFont val="Arial MT"/>
        <family val="2"/>
      </rPr>
      <t>100-V-001</t>
    </r>
  </si>
  <si>
    <r>
      <rPr>
        <sz val="5.5"/>
        <rFont val="Arial MT"/>
        <family val="2"/>
      </rPr>
      <t>100-PAH-230 (SOFT SIGNAL FROM PCS)</t>
    </r>
  </si>
  <si>
    <r>
      <rPr>
        <sz val="5.5"/>
        <rFont val="Arial MT"/>
        <family val="2"/>
      </rPr>
      <t>VENT/CLOSED DRAIN KNOCKOUT DRUM</t>
    </r>
  </si>
  <si>
    <r>
      <rPr>
        <sz val="5.5"/>
        <rFont val="Arial MT"/>
        <family val="2"/>
      </rPr>
      <t>100-GD-016 / 017</t>
    </r>
  </si>
  <si>
    <r>
      <rPr>
        <sz val="5.5"/>
        <rFont val="Arial MT"/>
        <family val="2"/>
      </rPr>
      <t>100-FD-007 / 008</t>
    </r>
  </si>
  <si>
    <r>
      <rPr>
        <sz val="5.5"/>
        <rFont val="Arial MT"/>
        <family val="2"/>
      </rPr>
      <t xml:space="preserve">ABBREVIATIONS:
</t>
    </r>
    <r>
      <rPr>
        <sz val="5.5"/>
        <rFont val="Arial MT"/>
        <family val="2"/>
      </rPr>
      <t xml:space="preserve">XS - ACTIVATING SIGNAL
</t>
    </r>
    <r>
      <rPr>
        <sz val="5.5"/>
        <rFont val="Arial MT"/>
        <family val="2"/>
      </rPr>
      <t xml:space="preserve">CF - CONFIRMED FIRE CG - CONFIRMED GAS
</t>
    </r>
    <r>
      <rPr>
        <sz val="5.5"/>
        <rFont val="Arial MT"/>
        <family val="2"/>
      </rPr>
      <t>CR - CONFIRMED FIRE/ GAS</t>
    </r>
  </si>
  <si>
    <r>
      <rPr>
        <sz val="2"/>
        <rFont val="Arial MT"/>
        <family val="2"/>
      </rPr>
      <t xml:space="preserve">Arun Kumar 2024.06.13 12:00:01
</t>
    </r>
    <r>
      <rPr>
        <sz val="2"/>
        <rFont val="Arial MT"/>
        <family val="2"/>
      </rPr>
      <t>+08'00'</t>
    </r>
  </si>
  <si>
    <r>
      <rPr>
        <sz val="2"/>
        <rFont val="Arial MT"/>
        <family val="2"/>
      </rPr>
      <t xml:space="preserve">2024.06.14
</t>
    </r>
    <r>
      <rPr>
        <sz val="2"/>
        <rFont val="Arial MT"/>
        <family val="2"/>
      </rPr>
      <t>08:55:32 +08'00'</t>
    </r>
  </si>
  <si>
    <r>
      <rPr>
        <sz val="5.5"/>
        <rFont val="Calibri"/>
        <family val="1"/>
      </rPr>
      <t>Issued as Final</t>
    </r>
  </si>
  <si>
    <r>
      <rPr>
        <sz val="5.5"/>
        <rFont val="Calibri"/>
        <family val="1"/>
      </rPr>
      <t>P.Khode</t>
    </r>
  </si>
  <si>
    <r>
      <rPr>
        <sz val="5.5"/>
        <rFont val="Calibri"/>
        <family val="1"/>
      </rPr>
      <t>P Ghaware</t>
    </r>
  </si>
  <si>
    <r>
      <rPr>
        <sz val="5.5"/>
        <rFont val="Calibri"/>
        <family val="1"/>
      </rPr>
      <t>A Kumar</t>
    </r>
  </si>
  <si>
    <r>
      <rPr>
        <sz val="5.5"/>
        <rFont val="Calibri"/>
        <family val="1"/>
      </rPr>
      <t>V Vartak</t>
    </r>
  </si>
  <si>
    <r>
      <rPr>
        <sz val="5.5"/>
        <rFont val="Calibri"/>
        <family val="1"/>
      </rPr>
      <t>Issue for Approval</t>
    </r>
  </si>
  <si>
    <r>
      <rPr>
        <sz val="5.5"/>
        <rFont val="Calibri"/>
        <family val="1"/>
      </rPr>
      <t>Issued for Review</t>
    </r>
  </si>
  <si>
    <r>
      <rPr>
        <sz val="5.5"/>
        <rFont val="Calibri"/>
        <family val="1"/>
      </rPr>
      <t>REV</t>
    </r>
  </si>
  <si>
    <r>
      <rPr>
        <sz val="5.5"/>
        <rFont val="Calibri"/>
        <family val="1"/>
      </rPr>
      <t>DATE</t>
    </r>
  </si>
  <si>
    <r>
      <rPr>
        <sz val="5.5"/>
        <rFont val="Calibri"/>
        <family val="1"/>
      </rPr>
      <t>DESCRIPTION</t>
    </r>
  </si>
  <si>
    <r>
      <rPr>
        <sz val="5.5"/>
        <rFont val="Calibri"/>
        <family val="1"/>
      </rPr>
      <t>DRAWN</t>
    </r>
  </si>
  <si>
    <r>
      <rPr>
        <sz val="5.5"/>
        <rFont val="Calibri"/>
        <family val="1"/>
      </rPr>
      <t>ENGINEER</t>
    </r>
  </si>
  <si>
    <r>
      <rPr>
        <sz val="5.5"/>
        <rFont val="Calibri"/>
        <family val="1"/>
      </rPr>
      <t>CHECKED</t>
    </r>
  </si>
  <si>
    <r>
      <rPr>
        <sz val="5.5"/>
        <rFont val="Calibri"/>
        <family val="1"/>
      </rPr>
      <t>APPROVED</t>
    </r>
  </si>
  <si>
    <r>
      <rPr>
        <sz val="5.5"/>
        <rFont val="Calibri"/>
        <family val="1"/>
      </rPr>
      <t>CLIENT</t>
    </r>
  </si>
  <si>
    <r>
      <rPr>
        <sz val="5.5"/>
        <rFont val="Calibri"/>
        <family val="1"/>
      </rPr>
      <t>DCN</t>
    </r>
  </si>
  <si>
    <r>
      <rPr>
        <sz val="5.5"/>
        <rFont val="Calibri"/>
        <family val="1"/>
      </rPr>
      <t>PROJECT</t>
    </r>
  </si>
  <si>
    <r>
      <rPr>
        <sz val="7"/>
        <rFont val="Calibri"/>
        <family val="1"/>
      </rPr>
      <t>WEB OFFSHORE FIELD DEVELOPMENT PROJECT</t>
    </r>
  </si>
  <si>
    <r>
      <rPr>
        <sz val="5.5"/>
        <rFont val="Calibri"/>
        <family val="1"/>
      </rPr>
      <t>TITLE</t>
    </r>
  </si>
  <si>
    <r>
      <rPr>
        <sz val="5.5"/>
        <rFont val="Calibri"/>
        <family val="1"/>
      </rPr>
      <t>TEL: +60 3 2726 0500</t>
    </r>
  </si>
  <si>
    <r>
      <rPr>
        <sz val="7"/>
        <rFont val="Calibri"/>
        <family val="1"/>
      </rPr>
      <t>WEB FIRE AND GAS CAUSE &amp; EFFECT DIAGRAM</t>
    </r>
  </si>
  <si>
    <r>
      <rPr>
        <u/>
        <sz val="5.5"/>
        <color rgb="FF0462C1"/>
        <rFont val="Calibri"/>
        <family val="1"/>
      </rPr>
      <t>www.2hoffshore.com</t>
    </r>
  </si>
  <si>
    <r>
      <rPr>
        <sz val="5.5"/>
        <rFont val="Calibri"/>
        <family val="1"/>
      </rPr>
      <t>DIMENSIONS ARE IN mm UNLESS OTHERWISE STATED</t>
    </r>
  </si>
  <si>
    <r>
      <rPr>
        <sz val="5.5"/>
        <rFont val="Arial MT"/>
        <family val="2"/>
      </rPr>
      <t>THIS DESIGN AND PRINT IS COPYRIGHT AND IS THE PROPERTY OF 2H OFFSHORE. IT MUST NOT BE COPIED OR PERMITTED TO BE COPIED NOR MUST ITS CONTENTS BE DIVULGED TO ANY THIRD PARTY WITHOUT PRIOR WRITTEN PERMISSION. ITS ACCEPTANCE FOR THE PURPOSES OF INFORMATION AND/OR QUOTATION SHALL IMPLY AN AGREEMENT ON THE PART OF THE RECIPIENT NOT TO USE IT FOR ANY OTHER PURPOSE AND TO OBSERVE THE FORGOING CONDITIONS. THIS PRINT MUST BE RETURNED WHEN NO LONGER REQUIRED FOR THE PURPOSE FOR WHICH IT WAS SUPPLIED. HARD COPIES ARE NOT CONTROLLED.</t>
    </r>
  </si>
  <si>
    <r>
      <rPr>
        <sz val="5.5"/>
        <rFont val="Calibri"/>
        <family val="1"/>
      </rPr>
      <t>SCALE</t>
    </r>
  </si>
  <si>
    <r>
      <rPr>
        <sz val="5.5"/>
        <rFont val="Calibri"/>
        <family val="1"/>
      </rPr>
      <t>AS SHOWN</t>
    </r>
  </si>
  <si>
    <r>
      <rPr>
        <sz val="5.5"/>
        <rFont val="Calibri"/>
        <family val="1"/>
      </rPr>
      <t>SHT</t>
    </r>
  </si>
  <si>
    <r>
      <rPr>
        <sz val="5.5"/>
        <rFont val="Calibri"/>
        <family val="1"/>
      </rPr>
      <t>DRG NO</t>
    </r>
  </si>
  <si>
    <r>
      <rPr>
        <sz val="7"/>
        <rFont val="Calibri"/>
        <family val="1"/>
      </rPr>
      <t>80289-FGS-CEM-1001</t>
    </r>
  </si>
  <si>
    <r>
      <rPr>
        <sz val="5.5"/>
        <rFont val="Calibri"/>
        <family val="1"/>
      </rPr>
      <t>OF</t>
    </r>
  </si>
  <si>
    <r>
      <rPr>
        <u/>
        <sz val="5.5"/>
        <rFont val="Arial MT"/>
        <family val="2"/>
      </rPr>
      <t xml:space="preserve">NOTES
</t>
    </r>
    <r>
      <rPr>
        <sz val="5.5"/>
        <rFont val="Arial MT"/>
        <family val="2"/>
      </rPr>
      <t xml:space="preserve">1.THIS CAUSE &amp; EFFECT SHEET IS FOR CLEAN AGENT SYSTEM AND SHALL BE UPDATED AFTER RECEIPT OF VENDOR DATA.
</t>
    </r>
    <r>
      <rPr>
        <sz val="5.5"/>
        <rFont val="Arial MT"/>
        <family val="2"/>
      </rPr>
      <t>2.TAG NOS. AND NO. OF SIGNAL WILL BE UPDATED AFTER RECEIPT OF VENDOR DATA.</t>
    </r>
  </si>
  <si>
    <r>
      <rPr>
        <b/>
        <sz val="5"/>
        <rFont val="Arial"/>
        <family val="2"/>
      </rPr>
      <t>ALARM / INDICATION ON PLATFORM HMI GRAPHICS</t>
    </r>
  </si>
  <si>
    <r>
      <rPr>
        <b/>
        <sz val="5"/>
        <rFont val="Arial"/>
        <family val="2"/>
      </rPr>
      <t>ALARM / INDICATION ON WDDM HMI GRAPHICS</t>
    </r>
  </si>
  <si>
    <r>
      <rPr>
        <b/>
        <sz val="5"/>
        <rFont val="Arial"/>
        <family val="2"/>
      </rPr>
      <t>PRE-DISCHARGE AUDIO / VISUAL ALRM OUTSIDE THE E &amp; I ROOM</t>
    </r>
  </si>
  <si>
    <r>
      <rPr>
        <b/>
        <sz val="5"/>
        <rFont val="Arial"/>
        <family val="2"/>
      </rPr>
      <t>PRE-DISCHARGE AUDIO / VISUAL ALRM INSIDE THE E &amp; I ROOM</t>
    </r>
  </si>
  <si>
    <r>
      <rPr>
        <b/>
        <sz val="5"/>
        <rFont val="Arial"/>
        <family val="2"/>
      </rPr>
      <t>RELEASE CLEAN AGENT</t>
    </r>
  </si>
  <si>
    <r>
      <rPr>
        <b/>
        <sz val="5"/>
        <rFont val="Arial"/>
        <family val="2"/>
      </rPr>
      <t>DISCHARGE AUDIO / VISUAL ALARM OUTSIDE THE E &amp; I ROOM</t>
    </r>
  </si>
  <si>
    <r>
      <rPr>
        <b/>
        <sz val="5"/>
        <rFont val="Arial"/>
        <family val="2"/>
      </rPr>
      <t>DISCHARGE AUDIO / VISUAL ALARM INSIDE THE E &amp; I ROOM</t>
    </r>
  </si>
  <si>
    <r>
      <rPr>
        <b/>
        <sz val="5"/>
        <rFont val="Arial"/>
        <family val="2"/>
      </rPr>
      <t>ABORT DISCHARGE</t>
    </r>
  </si>
  <si>
    <r>
      <rPr>
        <sz val="5.5"/>
        <rFont val="Arial MT"/>
        <family val="2"/>
      </rPr>
      <t>MAIN DECK</t>
    </r>
  </si>
  <si>
    <r>
      <rPr>
        <sz val="5.5"/>
        <rFont val="Arial MT"/>
        <family val="2"/>
      </rPr>
      <t>100-XS-200</t>
    </r>
  </si>
  <si>
    <r>
      <rPr>
        <sz val="5.5"/>
        <rFont val="Arial MT"/>
        <family val="2"/>
      </rPr>
      <t>CONFIRMED FIRE SIGNAL FROM FGS</t>
    </r>
  </si>
  <si>
    <r>
      <rPr>
        <sz val="5.5"/>
        <rFont val="Arial MT"/>
        <family val="2"/>
      </rPr>
      <t>CLEAN AGENT SYSTEM PANEL</t>
    </r>
  </si>
  <si>
    <r>
      <rPr>
        <sz val="5.5"/>
        <rFont val="Arial MT"/>
        <family val="2"/>
      </rPr>
      <t>100-PB-301</t>
    </r>
  </si>
  <si>
    <r>
      <rPr>
        <sz val="5.5"/>
        <rFont val="Arial MT"/>
        <family val="2"/>
      </rPr>
      <t>MANUAL RELEASE PUSH BUTTON</t>
    </r>
  </si>
  <si>
    <r>
      <rPr>
        <sz val="5.5"/>
        <rFont val="Arial MT"/>
        <family val="2"/>
      </rPr>
      <t>CLEAN AGENT SYSTEM</t>
    </r>
  </si>
  <si>
    <r>
      <rPr>
        <sz val="5.5"/>
        <rFont val="Arial MT"/>
        <family val="2"/>
      </rPr>
      <t>100-PIT-301</t>
    </r>
  </si>
  <si>
    <r>
      <rPr>
        <sz val="5.5"/>
        <rFont val="Arial MT"/>
        <family val="2"/>
      </rPr>
      <t>CLEAN AGENT CYLINDER BANK PRESSURE TRANSMITTER</t>
    </r>
  </si>
  <si>
    <r>
      <rPr>
        <sz val="5.5"/>
        <rFont val="Arial MT"/>
        <family val="2"/>
      </rPr>
      <t>100-PS-301</t>
    </r>
  </si>
  <si>
    <r>
      <rPr>
        <sz val="5.5"/>
        <rFont val="Arial MT"/>
        <family val="2"/>
      </rPr>
      <t>CLEAN AGENT CYLINDER BANK LOW PRESSURE ALARM</t>
    </r>
  </si>
  <si>
    <r>
      <rPr>
        <sz val="5.5"/>
        <rFont val="Arial MT"/>
        <family val="2"/>
      </rPr>
      <t>100-PB-302</t>
    </r>
  </si>
  <si>
    <r>
      <rPr>
        <sz val="5.5"/>
        <rFont val="Arial MT"/>
        <family val="2"/>
      </rPr>
      <t>AUTO OPERATION KEY SWITCH</t>
    </r>
  </si>
  <si>
    <r>
      <rPr>
        <sz val="5.5"/>
        <rFont val="Arial MT"/>
        <family val="2"/>
      </rPr>
      <t>100-PB-303</t>
    </r>
  </si>
  <si>
    <r>
      <rPr>
        <sz val="5.5"/>
        <rFont val="Arial MT"/>
        <family val="2"/>
      </rPr>
      <t>MANUAL OPERATION KEY SWITCH</t>
    </r>
  </si>
  <si>
    <r>
      <rPr>
        <sz val="5.5"/>
        <rFont val="Arial MT"/>
        <family val="2"/>
      </rPr>
      <t>100-PB-304</t>
    </r>
  </si>
  <si>
    <r>
      <rPr>
        <sz val="5.5"/>
        <rFont val="Arial MT"/>
        <family val="2"/>
      </rPr>
      <t>TEST KEY SWITCH</t>
    </r>
  </si>
  <si>
    <r>
      <rPr>
        <sz val="5.5"/>
        <rFont val="Arial MT"/>
        <family val="2"/>
      </rPr>
      <t>100-PB-305</t>
    </r>
  </si>
  <si>
    <r>
      <rPr>
        <sz val="5.5"/>
        <rFont val="Arial MT"/>
        <family val="2"/>
      </rPr>
      <t>INHIBIT KEY SWITCH</t>
    </r>
  </si>
  <si>
    <r>
      <rPr>
        <sz val="5.5"/>
        <rFont val="Arial MT"/>
        <family val="2"/>
      </rPr>
      <t>100-PB-306</t>
    </r>
  </si>
  <si>
    <r>
      <rPr>
        <sz val="5.5"/>
        <rFont val="Arial MT"/>
        <family val="2"/>
      </rPr>
      <t>ABORT PUSH BUTTON</t>
    </r>
  </si>
  <si>
    <r>
      <rPr>
        <sz val="1"/>
        <rFont val="Arial MT"/>
        <family val="2"/>
      </rPr>
      <t xml:space="preserve">Arun Kumar 2024.06.13 12:00:41
</t>
    </r>
    <r>
      <rPr>
        <sz val="1"/>
        <rFont val="Arial MT"/>
        <family val="2"/>
      </rPr>
      <t>+08'00'</t>
    </r>
  </si>
  <si>
    <r>
      <rPr>
        <sz val="2"/>
        <rFont val="Arial MT"/>
        <family val="2"/>
      </rPr>
      <t xml:space="preserve">2024.06.14
</t>
    </r>
    <r>
      <rPr>
        <sz val="2"/>
        <rFont val="Arial MT"/>
        <family val="2"/>
      </rPr>
      <t>08:55:10 +08'00'</t>
    </r>
  </si>
  <si>
    <r>
      <rPr>
        <sz val="5.5"/>
        <rFont val="Calibri"/>
        <family val="1"/>
      </rPr>
      <t>Issued as final</t>
    </r>
  </si>
  <si>
    <r>
      <rPr>
        <sz val="5.5"/>
        <rFont val="Calibri"/>
        <family val="1"/>
      </rPr>
      <t>Issued for Approval</t>
    </r>
  </si>
  <si>
    <t>DISCHARGE OF 100-P-004A</t>
  </si>
  <si>
    <t>No</t>
  </si>
  <si>
    <t>IC-100PIT214A</t>
  </si>
  <si>
    <t>100-AJBB-001</t>
  </si>
  <si>
    <t>TYPE I1 (NON I.S) -1PR</t>
  </si>
  <si>
    <t>80289-PRO-PID-1016</t>
  </si>
  <si>
    <t>Yes</t>
  </si>
  <si>
    <t>100-P-214A</t>
  </si>
  <si>
    <t>PRESSURE TRANSMITTER</t>
  </si>
  <si>
    <t>FIELD</t>
  </si>
  <si>
    <t>AI</t>
  </si>
  <si>
    <t>PCS</t>
  </si>
  <si>
    <t>NIS</t>
  </si>
  <si>
    <t>IC-100PIT214B</t>
  </si>
  <si>
    <t>100-PIT-214B</t>
  </si>
  <si>
    <t>IC-100PIT215</t>
  </si>
  <si>
    <t>100-PIT-215</t>
  </si>
  <si>
    <t>100-LIT-608</t>
  </si>
  <si>
    <t>IC-100LIT608</t>
  </si>
  <si>
    <t>IC-100PIT218</t>
  </si>
  <si>
    <t>100-PIT-218</t>
  </si>
  <si>
    <t>80289-PRO-PID-1014</t>
  </si>
  <si>
    <t>IC-100PITW204A</t>
  </si>
  <si>
    <t>80289-PRO-PID-1001</t>
  </si>
  <si>
    <t>IC-100PITW204B</t>
  </si>
  <si>
    <t>80289-PRO-PID-1002</t>
  </si>
  <si>
    <t>80289-PRO-PID-1003</t>
  </si>
  <si>
    <t>IC-100PITW204C</t>
  </si>
  <si>
    <t>IC-100PITW204D</t>
  </si>
  <si>
    <t>80289-PRO-PID-1004</t>
  </si>
  <si>
    <t>100-LI-603A</t>
  </si>
  <si>
    <t>IC-100TITW401A</t>
  </si>
  <si>
    <t>100-AJBB-002</t>
  </si>
  <si>
    <t>IC-100TITW401D</t>
  </si>
  <si>
    <t>100-TIT-W401D</t>
  </si>
  <si>
    <t>100-XZT-W904A</t>
  </si>
  <si>
    <t>IC-100XZTW904A</t>
  </si>
  <si>
    <t>IC-100TITW401B</t>
  </si>
  <si>
    <t>100-TIT-W401B</t>
  </si>
  <si>
    <t>IC-100XZTW904D</t>
  </si>
  <si>
    <t>100-XZT-W904D</t>
  </si>
  <si>
    <t>IC-100XZTW904B</t>
  </si>
  <si>
    <t>100-XZT-W904B</t>
  </si>
  <si>
    <t>100-TIT-W401C</t>
  </si>
  <si>
    <t>IC-100TITW401C</t>
  </si>
  <si>
    <t>IC-100XZTW904C</t>
  </si>
  <si>
    <t>100-XZT-W904C</t>
  </si>
  <si>
    <t>IC-100HYW9041A</t>
  </si>
  <si>
    <t>100-HY-W904-1A</t>
  </si>
  <si>
    <t>100-SJBB-001</t>
  </si>
  <si>
    <t>TYPE I3 (NON I.S) -1PR</t>
  </si>
  <si>
    <t>IC-100HYW9041B</t>
  </si>
  <si>
    <t>100-HY-W904-1B</t>
  </si>
  <si>
    <t>IC-100HYW9041C</t>
  </si>
  <si>
    <t>100-HY-W904-1C</t>
  </si>
  <si>
    <t>IC-100HYW9041D</t>
  </si>
  <si>
    <t>100-HY-W904-1D</t>
  </si>
  <si>
    <t>IC-100HYW9042A</t>
  </si>
  <si>
    <t>100-HY-W904-2A</t>
  </si>
  <si>
    <t>IC-100HYW9042B</t>
  </si>
  <si>
    <t>100-HY-W904-2B</t>
  </si>
  <si>
    <t>IC-100HYW9042C</t>
  </si>
  <si>
    <t>100-HY-W904-2C</t>
  </si>
  <si>
    <t>IC-100HYW9042D</t>
  </si>
  <si>
    <t>100-HY-W904-2D</t>
  </si>
  <si>
    <r>
      <rPr>
        <sz val="4.5"/>
        <rFont val="Arial MT"/>
        <family val="2"/>
      </rPr>
      <t xml:space="preserve">DOC. NO.    :  80289-INC-LST-1002 REV.              :  04
</t>
    </r>
    <r>
      <rPr>
        <sz val="4.5"/>
        <rFont val="Arial MT"/>
        <family val="2"/>
      </rPr>
      <t xml:space="preserve">STATUS       :  IAF
</t>
    </r>
    <r>
      <rPr>
        <sz val="4.5"/>
        <rFont val="Arial MT"/>
        <family val="2"/>
      </rPr>
      <t>REV. DATE  :   05-AUG-2024</t>
    </r>
  </si>
  <si>
    <t>in 
P&amp;ID</t>
  </si>
  <si>
    <t>in
Cable Schd</t>
  </si>
  <si>
    <t>in
IO List</t>
  </si>
  <si>
    <t>#</t>
  </si>
  <si>
    <t>IC-100ZSC/OW904A</t>
  </si>
  <si>
    <t>M25</t>
  </si>
  <si>
    <t>100-DJBB-001</t>
  </si>
  <si>
    <t>TYPE I3 (NON I.S) -2PR</t>
  </si>
  <si>
    <t>17.65 mm</t>
  </si>
  <si>
    <t>2 signals open &amp; Close</t>
  </si>
  <si>
    <t>IC-100ZSC/OW904D</t>
  </si>
  <si>
    <t>IC-100ZSC/OW905A</t>
  </si>
  <si>
    <t>IC-100ZSC/OW905D</t>
  </si>
  <si>
    <t>100-PIT-W217A</t>
  </si>
  <si>
    <t>IC-100PITW217A</t>
  </si>
  <si>
    <t>100-AJBB-003</t>
  </si>
  <si>
    <t>IC-100PITW206A</t>
  </si>
  <si>
    <t>100-PIT-W206A</t>
  </si>
  <si>
    <t>IC-100PITW209A</t>
  </si>
  <si>
    <t>100-PIT-W209A</t>
  </si>
  <si>
    <t>100-PIT-W217B</t>
  </si>
  <si>
    <t>IC-100PITW217B</t>
  </si>
  <si>
    <t>IC-100PITW206B</t>
  </si>
  <si>
    <t>100-PIT-W206B</t>
  </si>
  <si>
    <t>IC-100PITW209B</t>
  </si>
  <si>
    <t>100-PIT-W209B</t>
  </si>
  <si>
    <t>100-PIT-W217C</t>
  </si>
  <si>
    <t>IC-100PITW217C</t>
  </si>
  <si>
    <t>IC-100PITW206C</t>
  </si>
  <si>
    <t>100-PIT-W206C</t>
  </si>
  <si>
    <t>IC-100PITW209C</t>
  </si>
  <si>
    <t>100-PIT-W209C</t>
  </si>
  <si>
    <t>IC-100PITW217D</t>
  </si>
  <si>
    <t>100-PIT-W217D</t>
  </si>
  <si>
    <t>100-AJBB-004</t>
  </si>
  <si>
    <t>IC-100PITW206D</t>
  </si>
  <si>
    <t>100-PIT-W206D</t>
  </si>
  <si>
    <t>100-PIT-W209D</t>
  </si>
  <si>
    <t>IC-100PITW209D</t>
  </si>
  <si>
    <t>IC-100SITW901A</t>
  </si>
  <si>
    <t>100-SIT-W901A</t>
  </si>
  <si>
    <t>100-AJBB-005</t>
  </si>
  <si>
    <t>80289-PRO-PID-1007</t>
  </si>
  <si>
    <t>IC-100FITW101A</t>
  </si>
  <si>
    <t>100-FIT-W101A</t>
  </si>
  <si>
    <t>IC-100PITW205A</t>
  </si>
  <si>
    <t>100-PIT-W205A</t>
  </si>
  <si>
    <t>IC-100TITW402A</t>
  </si>
  <si>
    <t>100-TIT-W402A</t>
  </si>
  <si>
    <t>100-SIT-W901B</t>
  </si>
  <si>
    <t>IC-100SITW901B</t>
  </si>
  <si>
    <t>IC-100PITW205B</t>
  </si>
  <si>
    <t>100-PIT-W205B</t>
  </si>
  <si>
    <t>IC-100FITW101B</t>
  </si>
  <si>
    <t>100-FIT-W101B</t>
  </si>
  <si>
    <t>IC-100TITW402B</t>
  </si>
  <si>
    <t>100-TIT-W402B</t>
  </si>
  <si>
    <t>IC-100SITW901C</t>
  </si>
  <si>
    <t>100-SIT-W901C</t>
  </si>
  <si>
    <t>100-AJBB-006</t>
  </si>
  <si>
    <t>IC-100FITW101C</t>
  </si>
  <si>
    <t>100-FIT-W101C</t>
  </si>
  <si>
    <t>IC-100PITW205C</t>
  </si>
  <si>
    <t>100-PIT-W205C</t>
  </si>
  <si>
    <t>IC-100TITW402C</t>
  </si>
  <si>
    <t>100-TIT-W402C</t>
  </si>
  <si>
    <t>IC-100SITW901D</t>
  </si>
  <si>
    <t>100-SIT-W901D</t>
  </si>
  <si>
    <t>100-FIT-W101D</t>
  </si>
  <si>
    <t>IC-100FITW101D</t>
  </si>
  <si>
    <t>IC-100PITW205D</t>
  </si>
  <si>
    <t>100-PIT-W205D</t>
  </si>
  <si>
    <t>IC-100TITW402D</t>
  </si>
  <si>
    <t>100-TIT-W402D</t>
  </si>
  <si>
    <t>IC-100ZSC/OW904C</t>
  </si>
  <si>
    <t>100-DJBB-002</t>
  </si>
  <si>
    <t>IC-100ZSC/OW904B</t>
  </si>
  <si>
    <t>IC-100ZSC/OW905C</t>
  </si>
  <si>
    <t>IC-100ZSC/OW905B</t>
  </si>
  <si>
    <t>IC-100PIT210</t>
  </si>
  <si>
    <t>100-PIT-210</t>
  </si>
  <si>
    <t>100-AJBB-007</t>
  </si>
  <si>
    <t>80289-PRO-PID-1008</t>
  </si>
  <si>
    <t>IC-100TIT404</t>
  </si>
  <si>
    <t>100-TIT-404</t>
  </si>
  <si>
    <t>IC-100TIT407</t>
  </si>
  <si>
    <t>100-TIT-407</t>
  </si>
  <si>
    <t>80289-PRO-PID-1017</t>
  </si>
  <si>
    <t>IC-100PIT216</t>
  </si>
  <si>
    <t>100-PIT-216</t>
  </si>
  <si>
    <t>IC-100LIT604</t>
  </si>
  <si>
    <t>100-LIT-604</t>
  </si>
  <si>
    <t>80289-PRO-PID-1009</t>
  </si>
  <si>
    <t>IC-100LIT633</t>
  </si>
  <si>
    <t>100-LIT-633</t>
  </si>
  <si>
    <t>100-AJBB-008</t>
  </si>
  <si>
    <t>80289-PRO-PID-1010 SHEET 2 OF 2</t>
  </si>
  <si>
    <t>100-LG/LIT-703</t>
  </si>
  <si>
    <t>80289-PRO-PID-1010 SHEET 1 OF 2</t>
  </si>
  <si>
    <t>IC-100LG/LIT703</t>
  </si>
  <si>
    <t>IC-100TIT408</t>
  </si>
  <si>
    <t>100-TIT-408</t>
  </si>
  <si>
    <t>IC-100FIT110</t>
  </si>
  <si>
    <t>100-FIT-110</t>
  </si>
  <si>
    <t>IC-100PIT230</t>
  </si>
  <si>
    <t>100-PIT-230</t>
  </si>
  <si>
    <t>IC-100HRN001</t>
  </si>
  <si>
    <t>100-HRN-001</t>
  </si>
  <si>
    <t>100-HRN-002</t>
  </si>
  <si>
    <t>IC-100HRN002</t>
  </si>
  <si>
    <t>100-PIT- W204D</t>
  </si>
  <si>
    <t>100-PIT-W204A</t>
  </si>
  <si>
    <t>100-PIT-W204B</t>
  </si>
  <si>
    <t>100-PIT-W204C</t>
  </si>
  <si>
    <t>100-PIT-W204D</t>
  </si>
  <si>
    <t>Main Cable Only</t>
  </si>
  <si>
    <t>100-HSBR-005A</t>
  </si>
  <si>
    <t>sw</t>
  </si>
  <si>
    <t>100-PIT-228</t>
  </si>
  <si>
    <t>WEB IO LIST - PCS SIS &amp; FGS</t>
  </si>
  <si>
    <t>in
Loop Diagram</t>
  </si>
  <si>
    <t>in
C&amp;E 
OR
 Logic Diagram</t>
  </si>
  <si>
    <t>Not Received</t>
  </si>
  <si>
    <t>Rev.</t>
  </si>
  <si>
    <t>Tag No.</t>
  </si>
  <si>
    <t>Instrument Type Desc</t>
  </si>
  <si>
    <t>Tag Service</t>
  </si>
  <si>
    <t>P&amp;ID No.</t>
  </si>
  <si>
    <t>Location</t>
  </si>
  <si>
    <t>IO Type</t>
  </si>
  <si>
    <t>System</t>
  </si>
  <si>
    <t>Range</t>
  </si>
  <si>
    <t>Set Point H</t>
  </si>
  <si>
    <t>Set Point L</t>
  </si>
  <si>
    <t>Status</t>
  </si>
  <si>
    <t>IS/NIS</t>
  </si>
  <si>
    <t>JUNCTION BOX NO.</t>
  </si>
  <si>
    <t>I/O LIST REMARKS</t>
  </si>
  <si>
    <r>
      <rPr>
        <sz val="5"/>
        <rFont val="Arial MT"/>
        <family val="2"/>
      </rPr>
      <t>PRESSURE TRANSMITTER</t>
    </r>
  </si>
  <si>
    <r>
      <rPr>
        <sz val="5"/>
        <rFont val="Arial MT"/>
        <family val="2"/>
      </rPr>
      <t>OUTLET FROM WEB NE WELLHEAD</t>
    </r>
  </si>
  <si>
    <r>
      <rPr>
        <sz val="5"/>
        <rFont val="Arial MT"/>
        <family val="2"/>
      </rPr>
      <t>FIELD</t>
    </r>
  </si>
  <si>
    <r>
      <rPr>
        <sz val="5"/>
        <rFont val="Arial MT"/>
        <family val="2"/>
      </rPr>
      <t>AI</t>
    </r>
  </si>
  <si>
    <r>
      <rPr>
        <sz val="5"/>
        <rFont val="Arial MT"/>
        <family val="2"/>
      </rPr>
      <t>PCS</t>
    </r>
  </si>
  <si>
    <r>
      <rPr>
        <sz val="5"/>
        <rFont val="Arial MT"/>
        <family val="2"/>
      </rPr>
      <t>0 - 320 barg</t>
    </r>
  </si>
  <si>
    <r>
      <rPr>
        <sz val="5"/>
        <rFont val="Arial MT"/>
        <family val="2"/>
      </rPr>
      <t>NA</t>
    </r>
  </si>
  <si>
    <r>
      <rPr>
        <sz val="5"/>
        <rFont val="Arial MT"/>
        <family val="2"/>
      </rPr>
      <t>NIS</t>
    </r>
  </si>
  <si>
    <r>
      <rPr>
        <sz val="5"/>
        <rFont val="Arial MT"/>
        <family val="2"/>
      </rPr>
      <t>100-AJBB-003</t>
    </r>
  </si>
  <si>
    <r>
      <rPr>
        <sz val="5"/>
        <rFont val="Arial MT"/>
        <family val="2"/>
      </rPr>
      <t>100-PIT-W206A</t>
    </r>
  </si>
  <si>
    <r>
      <rPr>
        <sz val="5"/>
        <rFont val="Arial MT"/>
        <family val="2"/>
      </rPr>
      <t>100-PIT-W209A</t>
    </r>
  </si>
  <si>
    <r>
      <rPr>
        <sz val="5"/>
        <rFont val="Arial MT"/>
        <family val="2"/>
      </rPr>
      <t>100-TIT-W401A</t>
    </r>
  </si>
  <si>
    <r>
      <rPr>
        <sz val="5"/>
        <rFont val="Arial MT"/>
        <family val="2"/>
      </rPr>
      <t>TEMPERATURE TRANSMITTER</t>
    </r>
  </si>
  <si>
    <r>
      <rPr>
        <sz val="5"/>
        <rFont val="Arial MT"/>
        <family val="2"/>
      </rPr>
      <t>0 - 100 Deg. C</t>
    </r>
  </si>
  <si>
    <r>
      <rPr>
        <sz val="5"/>
        <rFont val="Arial MT"/>
        <family val="2"/>
      </rPr>
      <t>100-AJBB-002</t>
    </r>
  </si>
  <si>
    <r>
      <rPr>
        <sz val="5"/>
        <rFont val="Arial MT"/>
        <family val="2"/>
      </rPr>
      <t>100-PIT-W204A</t>
    </r>
  </si>
  <si>
    <r>
      <rPr>
        <sz val="5"/>
        <rFont val="Arial MT"/>
        <family val="2"/>
      </rPr>
      <t>100-AJBB-001</t>
    </r>
  </si>
  <si>
    <r>
      <rPr>
        <sz val="5"/>
        <rFont val="Arial MT"/>
        <family val="2"/>
      </rPr>
      <t>100-XZT-W904A</t>
    </r>
  </si>
  <si>
    <r>
      <rPr>
        <sz val="5"/>
        <rFont val="Arial MT"/>
        <family val="2"/>
      </rPr>
      <t>POSITION TRANSMITTER</t>
    </r>
  </si>
  <si>
    <r>
      <rPr>
        <sz val="5"/>
        <rFont val="Arial MT"/>
        <family val="2"/>
      </rPr>
      <t>100-HCV-W904A- CHOKE VALVE</t>
    </r>
  </si>
  <si>
    <r>
      <rPr>
        <sz val="5"/>
        <rFont val="Arial MT"/>
        <family val="2"/>
      </rPr>
      <t>BY COMPANY</t>
    </r>
  </si>
  <si>
    <r>
      <rPr>
        <sz val="5"/>
        <rFont val="Arial MT"/>
        <family val="2"/>
      </rPr>
      <t>100-HY-W904-1A</t>
    </r>
  </si>
  <si>
    <r>
      <rPr>
        <sz val="5"/>
        <rFont val="Arial MT"/>
        <family val="2"/>
      </rPr>
      <t>SOLENOID VALVE</t>
    </r>
  </si>
  <si>
    <r>
      <rPr>
        <sz val="5"/>
        <rFont val="Arial MT"/>
        <family val="2"/>
      </rPr>
      <t>DPM</t>
    </r>
  </si>
  <si>
    <r>
      <rPr>
        <sz val="5"/>
        <rFont val="Arial MT"/>
        <family val="2"/>
      </rPr>
      <t>100-SJBB-001</t>
    </r>
  </si>
  <si>
    <r>
      <rPr>
        <sz val="5"/>
        <rFont val="Arial MT"/>
        <family val="2"/>
      </rPr>
      <t>100-HY-W904-2A</t>
    </r>
  </si>
  <si>
    <r>
      <rPr>
        <sz val="5"/>
        <rFont val="Arial MT"/>
        <family val="2"/>
      </rPr>
      <t>100-ZSO-W904A</t>
    </r>
  </si>
  <si>
    <r>
      <rPr>
        <sz val="5"/>
        <rFont val="Arial MT"/>
        <family val="2"/>
      </rPr>
      <t>POSITION SWITCH OPEN</t>
    </r>
  </si>
  <si>
    <r>
      <rPr>
        <sz val="5"/>
        <rFont val="Arial MT"/>
        <family val="2"/>
      </rPr>
      <t>100-SDV-W904A VALVE SWITCH OPEN</t>
    </r>
  </si>
  <si>
    <r>
      <rPr>
        <sz val="5"/>
        <rFont val="Arial MT"/>
        <family val="2"/>
      </rPr>
      <t>DVFC</t>
    </r>
  </si>
  <si>
    <r>
      <rPr>
        <sz val="5"/>
        <rFont val="Arial MT"/>
        <family val="2"/>
      </rPr>
      <t>100-DJBB-001</t>
    </r>
  </si>
  <si>
    <r>
      <rPr>
        <sz val="5"/>
        <rFont val="Arial MT"/>
        <family val="2"/>
      </rPr>
      <t>100-ZSC-W904A</t>
    </r>
  </si>
  <si>
    <r>
      <rPr>
        <sz val="5"/>
        <rFont val="Arial MT"/>
        <family val="2"/>
      </rPr>
      <t>POSITION SWITCH CLOSE</t>
    </r>
  </si>
  <si>
    <r>
      <rPr>
        <sz val="5"/>
        <rFont val="Arial MT"/>
        <family val="2"/>
      </rPr>
      <t>100-SDV-W904A  VALVE SWITCH CLOSE</t>
    </r>
  </si>
  <si>
    <r>
      <rPr>
        <sz val="5"/>
        <rFont val="Arial MT"/>
        <family val="2"/>
      </rPr>
      <t>100-ZSO-W905A</t>
    </r>
  </si>
  <si>
    <r>
      <rPr>
        <sz val="5"/>
        <rFont val="Arial MT"/>
        <family val="2"/>
      </rPr>
      <t>100-SDV-W905A-VALVE SWITCH OPEN</t>
    </r>
  </si>
  <si>
    <r>
      <rPr>
        <sz val="5"/>
        <rFont val="Arial MT"/>
        <family val="2"/>
      </rPr>
      <t>100-ZSC-W905A</t>
    </r>
  </si>
  <si>
    <r>
      <rPr>
        <sz val="5"/>
        <rFont val="Arial MT"/>
        <family val="2"/>
      </rPr>
      <t>100-SDV-W905A- VALVE POSITION CLOSE</t>
    </r>
  </si>
  <si>
    <r>
      <rPr>
        <sz val="5"/>
        <rFont val="Arial MT"/>
        <family val="2"/>
      </rPr>
      <t>OUTLET FROM WEB NW WELLHEAD</t>
    </r>
  </si>
  <si>
    <r>
      <rPr>
        <sz val="5"/>
        <rFont val="Arial MT"/>
        <family val="2"/>
      </rPr>
      <t>100-PIT-W206B</t>
    </r>
  </si>
  <si>
    <r>
      <rPr>
        <sz val="5"/>
        <rFont val="Arial MT"/>
        <family val="2"/>
      </rPr>
      <t>100-PIT-W209B</t>
    </r>
  </si>
  <si>
    <r>
      <rPr>
        <sz val="5"/>
        <rFont val="Arial MT"/>
        <family val="2"/>
      </rPr>
      <t>100-TIT-W401B</t>
    </r>
  </si>
  <si>
    <r>
      <rPr>
        <sz val="5"/>
        <rFont val="Arial MT"/>
        <family val="2"/>
      </rPr>
      <t>100-PIT-W204B</t>
    </r>
  </si>
  <si>
    <r>
      <rPr>
        <sz val="5"/>
        <rFont val="Arial MT"/>
        <family val="2"/>
      </rPr>
      <t>100-XZT-W904B</t>
    </r>
  </si>
  <si>
    <r>
      <rPr>
        <sz val="5"/>
        <rFont val="Arial MT"/>
        <family val="2"/>
      </rPr>
      <t>100-HCV-W904B- CHOKE VALVE</t>
    </r>
  </si>
  <si>
    <r>
      <rPr>
        <sz val="5"/>
        <rFont val="Arial MT"/>
        <family val="2"/>
      </rPr>
      <t>100-HY-W904-1B</t>
    </r>
  </si>
  <si>
    <r>
      <rPr>
        <sz val="5"/>
        <rFont val="Arial MT"/>
        <family val="2"/>
      </rPr>
      <t>100-HY-W904-2B</t>
    </r>
  </si>
  <si>
    <r>
      <rPr>
        <sz val="5"/>
        <rFont val="Arial MT"/>
        <family val="2"/>
      </rPr>
      <t>100-ZSO-W904B</t>
    </r>
  </si>
  <si>
    <r>
      <rPr>
        <sz val="5"/>
        <rFont val="Arial MT"/>
        <family val="2"/>
      </rPr>
      <t>100-SDV-W904B VALVE SWITCH OPEN</t>
    </r>
  </si>
  <si>
    <r>
      <rPr>
        <sz val="5"/>
        <rFont val="Arial MT"/>
        <family val="2"/>
      </rPr>
      <t>100-DJBB-002</t>
    </r>
  </si>
  <si>
    <r>
      <rPr>
        <sz val="5"/>
        <rFont val="Arial MT"/>
        <family val="2"/>
      </rPr>
      <t>100-ZSC-W904B</t>
    </r>
  </si>
  <si>
    <r>
      <rPr>
        <sz val="5"/>
        <rFont val="Arial MT"/>
        <family val="2"/>
      </rPr>
      <t>100-SDV-W904B VALVE SWITCH CLOSE</t>
    </r>
  </si>
  <si>
    <r>
      <rPr>
        <sz val="5"/>
        <rFont val="Arial MT"/>
        <family val="2"/>
      </rPr>
      <t>100-ZSO-W905B</t>
    </r>
  </si>
  <si>
    <r>
      <rPr>
        <sz val="5"/>
        <rFont val="Arial MT"/>
        <family val="2"/>
      </rPr>
      <t>100-SDV-W905B-VALVE SWITCH OPEN</t>
    </r>
  </si>
  <si>
    <r>
      <rPr>
        <sz val="5"/>
        <rFont val="Arial MT"/>
        <family val="2"/>
      </rPr>
      <t>100-ZSC-W905B</t>
    </r>
  </si>
  <si>
    <r>
      <rPr>
        <sz val="5"/>
        <rFont val="Arial MT"/>
        <family val="2"/>
      </rPr>
      <t>100-SDV-W905B- VALVE POSITION CLOSE</t>
    </r>
  </si>
  <si>
    <r>
      <rPr>
        <sz val="5"/>
        <rFont val="Arial MT"/>
        <family val="2"/>
      </rPr>
      <t>OUTLET FROM WEB SE WELLHEAD</t>
    </r>
  </si>
  <si>
    <r>
      <rPr>
        <sz val="5"/>
        <rFont val="Arial MT"/>
        <family val="2"/>
      </rPr>
      <t>100-PIT-W206C</t>
    </r>
  </si>
  <si>
    <r>
      <rPr>
        <sz val="5"/>
        <rFont val="Arial MT"/>
        <family val="2"/>
      </rPr>
      <t>100-PIT-W209C</t>
    </r>
  </si>
  <si>
    <r>
      <rPr>
        <sz val="5"/>
        <rFont val="Arial MT"/>
        <family val="2"/>
      </rPr>
      <t>100-TIT-W401C</t>
    </r>
  </si>
  <si>
    <r>
      <rPr>
        <sz val="5"/>
        <rFont val="Arial MT"/>
        <family val="2"/>
      </rPr>
      <t>100-PIT-W204C</t>
    </r>
  </si>
  <si>
    <r>
      <rPr>
        <sz val="5"/>
        <rFont val="Arial MT"/>
        <family val="2"/>
      </rPr>
      <t>100-XZT-W904C</t>
    </r>
  </si>
  <si>
    <r>
      <rPr>
        <sz val="5"/>
        <rFont val="Arial MT"/>
        <family val="2"/>
      </rPr>
      <t>100-HCV-W904C- CHOKE VALVE</t>
    </r>
  </si>
  <si>
    <r>
      <rPr>
        <sz val="5"/>
        <rFont val="Arial MT"/>
        <family val="2"/>
      </rPr>
      <t>100-HY-W904-1C</t>
    </r>
  </si>
  <si>
    <r>
      <rPr>
        <sz val="5"/>
        <rFont val="Arial MT"/>
        <family val="2"/>
      </rPr>
      <t>100-HY-W904-2C</t>
    </r>
  </si>
  <si>
    <r>
      <rPr>
        <sz val="5"/>
        <rFont val="Arial MT"/>
        <family val="2"/>
      </rPr>
      <t>100-ZSO-W904C</t>
    </r>
  </si>
  <si>
    <r>
      <rPr>
        <sz val="5"/>
        <rFont val="Arial MT"/>
        <family val="2"/>
      </rPr>
      <t>100-SDV-W904C VALVE SWITCH OPEN</t>
    </r>
  </si>
  <si>
    <r>
      <rPr>
        <sz val="5"/>
        <rFont val="Arial MT"/>
        <family val="2"/>
      </rPr>
      <t>100-ZSC-W904C</t>
    </r>
  </si>
  <si>
    <r>
      <rPr>
        <sz val="5"/>
        <rFont val="Arial MT"/>
        <family val="2"/>
      </rPr>
      <t>100-SDV-W904C-VALVE SWITCH CLOSE</t>
    </r>
  </si>
  <si>
    <r>
      <rPr>
        <sz val="5"/>
        <rFont val="Arial MT"/>
        <family val="2"/>
      </rPr>
      <t>100-ZSO-W905C</t>
    </r>
  </si>
  <si>
    <r>
      <rPr>
        <sz val="5"/>
        <rFont val="Arial MT"/>
        <family val="2"/>
      </rPr>
      <t>100-SDV-W905C-VALVE SWITCH OPEN</t>
    </r>
  </si>
  <si>
    <r>
      <rPr>
        <sz val="5"/>
        <rFont val="Arial MT"/>
        <family val="2"/>
      </rPr>
      <t>100-ZSC-W905C</t>
    </r>
  </si>
  <si>
    <r>
      <rPr>
        <sz val="5"/>
        <rFont val="Arial MT"/>
        <family val="2"/>
      </rPr>
      <t>100-SDV-W905C- VALVE POSITION CLOSE</t>
    </r>
  </si>
  <si>
    <r>
      <rPr>
        <sz val="5"/>
        <rFont val="Arial MT"/>
        <family val="2"/>
      </rPr>
      <t>100-PIT-W217D</t>
    </r>
  </si>
  <si>
    <r>
      <rPr>
        <sz val="5"/>
        <rFont val="Arial MT"/>
        <family val="2"/>
      </rPr>
      <t>OUTLET FROM WEB SW WELLHEAD</t>
    </r>
  </si>
  <si>
    <r>
      <rPr>
        <sz val="5"/>
        <rFont val="Arial MT"/>
        <family val="2"/>
      </rPr>
      <t>100-AJBB-004</t>
    </r>
  </si>
  <si>
    <r>
      <rPr>
        <sz val="5"/>
        <rFont val="Arial MT"/>
        <family val="2"/>
      </rPr>
      <t>100-PIT-W206D</t>
    </r>
  </si>
  <si>
    <r>
      <rPr>
        <sz val="5"/>
        <rFont val="Arial MT"/>
        <family val="2"/>
      </rPr>
      <t>100-PIT-W209D</t>
    </r>
  </si>
  <si>
    <r>
      <rPr>
        <sz val="5"/>
        <rFont val="Arial MT"/>
        <family val="2"/>
      </rPr>
      <t>100-TIT-W401D</t>
    </r>
  </si>
  <si>
    <r>
      <rPr>
        <sz val="5"/>
        <rFont val="Arial MT"/>
        <family val="2"/>
      </rPr>
      <t>100-XZT-W904D</t>
    </r>
  </si>
  <si>
    <r>
      <rPr>
        <sz val="5"/>
        <rFont val="Arial MT"/>
        <family val="2"/>
      </rPr>
      <t>100-HCV-W904D - CHOKE VALVE</t>
    </r>
  </si>
  <si>
    <r>
      <rPr>
        <sz val="5"/>
        <rFont val="Arial MT"/>
        <family val="2"/>
      </rPr>
      <t>100-HY-W904-1D</t>
    </r>
  </si>
  <si>
    <r>
      <rPr>
        <sz val="5"/>
        <rFont val="Arial MT"/>
        <family val="2"/>
      </rPr>
      <t>100-HY-W904-2D</t>
    </r>
  </si>
  <si>
    <r>
      <rPr>
        <sz val="5"/>
        <rFont val="Arial MT"/>
        <family val="2"/>
      </rPr>
      <t>100-ZSO-W904D</t>
    </r>
  </si>
  <si>
    <r>
      <rPr>
        <sz val="5"/>
        <rFont val="Arial MT"/>
        <family val="2"/>
      </rPr>
      <t>100-SDV-W904D VALVE SWITCH OPEN</t>
    </r>
  </si>
  <si>
    <r>
      <rPr>
        <sz val="5"/>
        <rFont val="Arial MT"/>
        <family val="2"/>
      </rPr>
      <t>100-ZSC-W904D</t>
    </r>
  </si>
  <si>
    <r>
      <rPr>
        <sz val="5"/>
        <rFont val="Arial MT"/>
        <family val="2"/>
      </rPr>
      <t>100-SDV-W904D-VALVE SWITCH CLOSE</t>
    </r>
  </si>
  <si>
    <r>
      <rPr>
        <sz val="5"/>
        <rFont val="Arial MT"/>
        <family val="2"/>
      </rPr>
      <t>100-ZSO-W905D</t>
    </r>
  </si>
  <si>
    <r>
      <rPr>
        <sz val="5"/>
        <rFont val="Arial MT"/>
        <family val="2"/>
      </rPr>
      <t>100-SDV-W905D-VALVE SWITCH OPEN</t>
    </r>
  </si>
  <si>
    <r>
      <rPr>
        <sz val="5"/>
        <rFont val="Arial MT"/>
        <family val="2"/>
      </rPr>
      <t>100-ZSC-W905D</t>
    </r>
  </si>
  <si>
    <r>
      <rPr>
        <sz val="5"/>
        <rFont val="Arial MT"/>
        <family val="2"/>
      </rPr>
      <t>100-SDV-W905D- VALVE POSITION CLOSE</t>
    </r>
  </si>
  <si>
    <r>
      <rPr>
        <sz val="5"/>
        <rFont val="Arial MT"/>
        <family val="2"/>
      </rPr>
      <t>100-LIT-601</t>
    </r>
  </si>
  <si>
    <r>
      <rPr>
        <sz val="5"/>
        <rFont val="Arial MT"/>
        <family val="2"/>
      </rPr>
      <t>LEVEL TRANSMITTER</t>
    </r>
  </si>
  <si>
    <r>
      <rPr>
        <sz val="5"/>
        <rFont val="Arial MT"/>
        <family val="2"/>
      </rPr>
      <t>HP RESERVOIR HYDRAULIC OIL LEVEL</t>
    </r>
  </si>
  <si>
    <r>
      <rPr>
        <sz val="5"/>
        <rFont val="Arial MT"/>
        <family val="2"/>
      </rPr>
      <t>NOTE-1</t>
    </r>
  </si>
  <si>
    <r>
      <rPr>
        <sz val="5"/>
        <rFont val="Arial MT"/>
        <family val="2"/>
      </rPr>
      <t>WHCP</t>
    </r>
  </si>
  <si>
    <r>
      <rPr>
        <sz val="5"/>
        <rFont val="Arial MT"/>
        <family val="2"/>
      </rPr>
      <t>VTA</t>
    </r>
  </si>
  <si>
    <r>
      <rPr>
        <sz val="5"/>
        <rFont val="Arial MT"/>
        <family val="2"/>
      </rPr>
      <t>BY WHCP VENDOR</t>
    </r>
  </si>
  <si>
    <r>
      <rPr>
        <sz val="5"/>
        <rFont val="Arial MT"/>
        <family val="2"/>
      </rPr>
      <t>100-AJBB-101</t>
    </r>
  </si>
  <si>
    <r>
      <rPr>
        <sz val="5"/>
        <rFont val="Arial MT"/>
        <family val="2"/>
      </rPr>
      <t>100-LIT-602</t>
    </r>
  </si>
  <si>
    <r>
      <rPr>
        <sz val="5"/>
        <rFont val="Arial MT"/>
        <family val="2"/>
      </rPr>
      <t>LP RESERVOIR HYDRAULIC OIL LEVEL</t>
    </r>
  </si>
  <si>
    <r>
      <rPr>
        <sz val="5"/>
        <rFont val="Arial MT"/>
        <family val="2"/>
      </rPr>
      <t>100-PIT-605</t>
    </r>
  </si>
  <si>
    <r>
      <rPr>
        <sz val="5"/>
        <rFont val="Arial MT"/>
        <family val="2"/>
      </rPr>
      <t>HP HEADER HYDRAULIC OIL PRESSURE</t>
    </r>
  </si>
  <si>
    <r>
      <rPr>
        <sz val="5"/>
        <rFont val="Arial MT"/>
        <family val="2"/>
      </rPr>
      <t>100-PIT-607</t>
    </r>
  </si>
  <si>
    <r>
      <rPr>
        <sz val="5"/>
        <rFont val="Arial MT"/>
        <family val="2"/>
      </rPr>
      <t>LP HEADER HYDRAULIC OIL PRESSURE</t>
    </r>
  </si>
  <si>
    <r>
      <rPr>
        <sz val="5"/>
        <rFont val="Arial MT"/>
        <family val="2"/>
      </rPr>
      <t>100-PIT-611</t>
    </r>
  </si>
  <si>
    <r>
      <rPr>
        <sz val="5"/>
        <rFont val="Arial MT"/>
        <family val="2"/>
      </rPr>
      <t>LP HEADER ACCUMULATOR N2 PRECHARGE PRESSURE</t>
    </r>
  </si>
  <si>
    <r>
      <rPr>
        <sz val="5"/>
        <rFont val="Arial MT"/>
        <family val="2"/>
      </rPr>
      <t>100-PIT-612</t>
    </r>
  </si>
  <si>
    <r>
      <rPr>
        <sz val="5"/>
        <rFont val="Arial MT"/>
        <family val="2"/>
      </rPr>
      <t>HP HEADER ACCUMULATOR  N2 PRECHARGE PRESSURE</t>
    </r>
  </si>
  <si>
    <r>
      <rPr>
        <sz val="5"/>
        <rFont val="Arial MT"/>
        <family val="2"/>
      </rPr>
      <t>100-PIT-619</t>
    </r>
  </si>
  <si>
    <r>
      <rPr>
        <sz val="5"/>
        <rFont val="Arial MT"/>
        <family val="2"/>
      </rPr>
      <t>CHOKE/SD VALVE HEADER PRESSURE</t>
    </r>
  </si>
  <si>
    <r>
      <rPr>
        <sz val="5"/>
        <rFont val="Arial MT"/>
        <family val="2"/>
      </rPr>
      <t>100-HSBR-006A</t>
    </r>
  </si>
  <si>
    <r>
      <rPr>
        <sz val="5"/>
        <rFont val="Arial MT"/>
        <family val="2"/>
      </rPr>
      <t>REMOTE STOP</t>
    </r>
  </si>
  <si>
    <r>
      <rPr>
        <sz val="5"/>
        <rFont val="Arial MT"/>
        <family val="2"/>
      </rPr>
      <t>100-P-006A HP HYDRAULIC RESERVOIR PUMP</t>
    </r>
  </si>
  <si>
    <r>
      <rPr>
        <sz val="5"/>
        <rFont val="Arial MT"/>
        <family val="2"/>
      </rPr>
      <t>HP HYDRAULIC RESERVOIR PUMP</t>
    </r>
  </si>
  <si>
    <r>
      <rPr>
        <sz val="5"/>
        <rFont val="Arial MT"/>
        <family val="2"/>
      </rPr>
      <t>PUMP PANEL 101</t>
    </r>
  </si>
  <si>
    <r>
      <rPr>
        <sz val="5"/>
        <rFont val="Arial MT"/>
        <family val="2"/>
      </rPr>
      <t>100-HSAR-006A</t>
    </r>
  </si>
  <si>
    <r>
      <rPr>
        <sz val="5"/>
        <rFont val="Arial MT"/>
        <family val="2"/>
      </rPr>
      <t>REMOTE START</t>
    </r>
  </si>
  <si>
    <r>
      <rPr>
        <sz val="5"/>
        <rFont val="Arial MT"/>
        <family val="2"/>
      </rPr>
      <t>100-HSBR-006B</t>
    </r>
  </si>
  <si>
    <r>
      <rPr>
        <sz val="5"/>
        <rFont val="Arial MT"/>
        <family val="2"/>
      </rPr>
      <t>100-P-006B HP HYDRAULIC RESERVOIR PUMP</t>
    </r>
  </si>
  <si>
    <r>
      <rPr>
        <sz val="5"/>
        <rFont val="Arial MT"/>
        <family val="2"/>
      </rPr>
      <t>100-HSAR-006B</t>
    </r>
  </si>
  <si>
    <r>
      <rPr>
        <sz val="5"/>
        <rFont val="Arial MT"/>
        <family val="2"/>
      </rPr>
      <t>100-HSBR-007A</t>
    </r>
  </si>
  <si>
    <r>
      <rPr>
        <sz val="5"/>
        <rFont val="Arial MT"/>
        <family val="2"/>
      </rPr>
      <t>100-P-007A LP HYDRAULIC RESERVOIR PUMP</t>
    </r>
  </si>
  <si>
    <r>
      <rPr>
        <sz val="5"/>
        <rFont val="Arial MT"/>
        <family val="2"/>
      </rPr>
      <t>LP HYDRAULIC RESERVOIR PUMP</t>
    </r>
  </si>
  <si>
    <r>
      <rPr>
        <sz val="5"/>
        <rFont val="Arial MT"/>
        <family val="2"/>
      </rPr>
      <t>100-HSAR-007A</t>
    </r>
  </si>
  <si>
    <r>
      <rPr>
        <sz val="5"/>
        <rFont val="Arial MT"/>
        <family val="2"/>
      </rPr>
      <t>100-HSBR-007B</t>
    </r>
  </si>
  <si>
    <r>
      <rPr>
        <sz val="5"/>
        <rFont val="Arial MT"/>
        <family val="2"/>
      </rPr>
      <t>100-P-007B LP HYDRAULIC RESERVOIR PUMP</t>
    </r>
  </si>
  <si>
    <r>
      <rPr>
        <sz val="5"/>
        <rFont val="Arial MT"/>
        <family val="2"/>
      </rPr>
      <t>100-HSAR-007B</t>
    </r>
  </si>
  <si>
    <r>
      <rPr>
        <sz val="5"/>
        <rFont val="Arial MT"/>
        <family val="2"/>
      </rPr>
      <t>100-PIT-609</t>
    </r>
  </si>
  <si>
    <r>
      <rPr>
        <sz val="5"/>
        <rFont val="Arial MT"/>
        <family val="2"/>
      </rPr>
      <t>LOGIC HEADER HYDRAULIC OIL PRESSURE</t>
    </r>
  </si>
  <si>
    <r>
      <rPr>
        <sz val="5"/>
        <rFont val="Arial MT"/>
        <family val="2"/>
      </rPr>
      <t>100-XF-006A</t>
    </r>
  </si>
  <si>
    <r>
      <rPr>
        <sz val="5"/>
        <rFont val="Arial MT"/>
        <family val="2"/>
      </rPr>
      <t>FAULT/TRIPPED</t>
    </r>
  </si>
  <si>
    <r>
      <rPr>
        <sz val="5"/>
        <rFont val="Arial MT"/>
        <family val="2"/>
      </rPr>
      <t>100-XB-006A</t>
    </r>
  </si>
  <si>
    <r>
      <rPr>
        <sz val="5"/>
        <rFont val="Arial MT"/>
        <family val="2"/>
      </rPr>
      <t>RUN STATUS</t>
    </r>
  </si>
  <si>
    <r>
      <rPr>
        <sz val="5"/>
        <rFont val="Arial MT"/>
        <family val="2"/>
      </rPr>
      <t>100-XF-006B</t>
    </r>
  </si>
  <si>
    <r>
      <rPr>
        <sz val="5"/>
        <rFont val="Arial MT"/>
        <family val="2"/>
      </rPr>
      <t>100-XB-006B</t>
    </r>
  </si>
  <si>
    <r>
      <rPr>
        <sz val="5"/>
        <rFont val="Arial MT"/>
        <family val="2"/>
      </rPr>
      <t>100-XF-007A</t>
    </r>
  </si>
  <si>
    <r>
      <rPr>
        <sz val="5"/>
        <rFont val="Arial MT"/>
        <family val="2"/>
      </rPr>
      <t>100-XB-007A</t>
    </r>
  </si>
  <si>
    <r>
      <rPr>
        <sz val="5"/>
        <rFont val="Arial MT"/>
        <family val="2"/>
      </rPr>
      <t>100-XF-007B</t>
    </r>
  </si>
  <si>
    <r>
      <rPr>
        <sz val="5"/>
        <rFont val="Arial MT"/>
        <family val="2"/>
      </rPr>
      <t>100-XB-007B</t>
    </r>
  </si>
  <si>
    <r>
      <rPr>
        <sz val="5"/>
        <rFont val="Arial MT"/>
        <family val="2"/>
      </rPr>
      <t>100-SIT-W901A</t>
    </r>
  </si>
  <si>
    <r>
      <rPr>
        <sz val="5"/>
        <rFont val="Arial MT"/>
        <family val="2"/>
      </rPr>
      <t>SAND DETECTOR</t>
    </r>
  </si>
  <si>
    <r>
      <rPr>
        <sz val="5"/>
        <rFont val="Arial MT"/>
        <family val="2"/>
      </rPr>
      <t>FROM WEB NE WELLHEAD</t>
    </r>
  </si>
  <si>
    <r>
      <rPr>
        <sz val="5"/>
        <rFont val="Arial MT"/>
        <family val="2"/>
      </rPr>
      <t>100-AJBB-005</t>
    </r>
  </si>
  <si>
    <r>
      <rPr>
        <sz val="5"/>
        <rFont val="Arial MT"/>
        <family val="2"/>
      </rPr>
      <t>100-PIT-W205A</t>
    </r>
  </si>
  <si>
    <r>
      <rPr>
        <sz val="5"/>
        <rFont val="Arial MT"/>
        <family val="2"/>
      </rPr>
      <t>0 - 150 barg</t>
    </r>
  </si>
  <si>
    <r>
      <rPr>
        <sz val="5"/>
        <rFont val="Arial MT"/>
        <family val="2"/>
      </rPr>
      <t>100-FIT-W101A</t>
    </r>
  </si>
  <si>
    <r>
      <rPr>
        <sz val="5"/>
        <rFont val="Arial MT"/>
        <family val="2"/>
      </rPr>
      <t>FLOW TRANSMITTER</t>
    </r>
  </si>
  <si>
    <r>
      <rPr>
        <sz val="5"/>
        <rFont val="Arial MT"/>
        <family val="2"/>
      </rPr>
      <t>100-TIT-W402A</t>
    </r>
  </si>
  <si>
    <r>
      <rPr>
        <sz val="5"/>
        <rFont val="Arial MT"/>
        <family val="2"/>
      </rPr>
      <t>0 - 80 Deg. C</t>
    </r>
  </si>
  <si>
    <r>
      <rPr>
        <sz val="5"/>
        <rFont val="Arial MT"/>
        <family val="2"/>
      </rPr>
      <t>100-SIT-W901B</t>
    </r>
  </si>
  <si>
    <r>
      <rPr>
        <sz val="5"/>
        <rFont val="Arial MT"/>
        <family val="2"/>
      </rPr>
      <t>FROM WEB NW WELLHEAD</t>
    </r>
  </si>
  <si>
    <r>
      <rPr>
        <sz val="5"/>
        <rFont val="Arial MT"/>
        <family val="2"/>
      </rPr>
      <t>100-PIT-W205B</t>
    </r>
  </si>
  <si>
    <r>
      <rPr>
        <sz val="5"/>
        <rFont val="Arial MT"/>
        <family val="2"/>
      </rPr>
      <t>100-FIT-W101B</t>
    </r>
  </si>
  <si>
    <r>
      <rPr>
        <sz val="5"/>
        <rFont val="Arial MT"/>
        <family val="2"/>
      </rPr>
      <t>100-TIT-W402B</t>
    </r>
  </si>
  <si>
    <r>
      <rPr>
        <sz val="5"/>
        <rFont val="Arial MT"/>
        <family val="2"/>
      </rPr>
      <t>100-SIT-W901C</t>
    </r>
  </si>
  <si>
    <r>
      <rPr>
        <sz val="5"/>
        <rFont val="Arial MT"/>
        <family val="2"/>
      </rPr>
      <t>FROM WEB SE WELLHEAD</t>
    </r>
  </si>
  <si>
    <r>
      <rPr>
        <sz val="5"/>
        <rFont val="Arial MT"/>
        <family val="2"/>
      </rPr>
      <t>100-AJBB-006</t>
    </r>
  </si>
  <si>
    <r>
      <rPr>
        <sz val="5"/>
        <rFont val="Arial MT"/>
        <family val="2"/>
      </rPr>
      <t>100-PIT-W205C</t>
    </r>
  </si>
  <si>
    <r>
      <rPr>
        <sz val="5"/>
        <rFont val="Arial MT"/>
        <family val="2"/>
      </rPr>
      <t>100-FIT-W101C</t>
    </r>
  </si>
  <si>
    <r>
      <rPr>
        <sz val="5"/>
        <rFont val="Arial MT"/>
        <family val="2"/>
      </rPr>
      <t>100-TIT-W402C</t>
    </r>
  </si>
  <si>
    <r>
      <rPr>
        <sz val="5"/>
        <rFont val="Arial MT"/>
        <family val="2"/>
      </rPr>
      <t>100-SIT-W901D</t>
    </r>
  </si>
  <si>
    <r>
      <rPr>
        <sz val="5"/>
        <rFont val="Arial MT"/>
        <family val="2"/>
      </rPr>
      <t>FROM WEB SW WELLHEAD</t>
    </r>
  </si>
  <si>
    <r>
      <rPr>
        <sz val="5"/>
        <rFont val="Arial MT"/>
        <family val="2"/>
      </rPr>
      <t>100-PIT-W205D</t>
    </r>
  </si>
  <si>
    <r>
      <rPr>
        <sz val="5"/>
        <rFont val="Arial MT"/>
        <family val="2"/>
      </rPr>
      <t>100-FIT-W101D</t>
    </r>
  </si>
  <si>
    <r>
      <rPr>
        <sz val="5"/>
        <rFont val="Arial MT"/>
        <family val="2"/>
      </rPr>
      <t>100-TIT-W402D</t>
    </r>
  </si>
  <si>
    <r>
      <rPr>
        <sz val="5"/>
        <rFont val="Arial MT"/>
        <family val="2"/>
      </rPr>
      <t>100-TIT-404</t>
    </r>
  </si>
  <si>
    <r>
      <rPr>
        <sz val="5"/>
        <rFont val="Arial MT"/>
        <family val="2"/>
      </rPr>
      <t>FROM WEB PRODUCTION MANIFOLD</t>
    </r>
  </si>
  <si>
    <r>
      <rPr>
        <sz val="5"/>
        <rFont val="Arial MT"/>
        <family val="2"/>
      </rPr>
      <t>100-AJBB-007</t>
    </r>
  </si>
  <si>
    <r>
      <rPr>
        <sz val="5"/>
        <rFont val="Arial MT"/>
        <family val="2"/>
      </rPr>
      <t>100-PIT-210</t>
    </r>
  </si>
  <si>
    <r>
      <rPr>
        <sz val="5"/>
        <rFont val="Arial MT"/>
        <family val="2"/>
      </rPr>
      <t>100-LIT-604</t>
    </r>
  </si>
  <si>
    <r>
      <rPr>
        <sz val="5"/>
        <rFont val="Arial MT"/>
        <family val="2"/>
      </rPr>
      <t>LEVEL TRANSMITTER-DP TYPE DIAPHRAM SEAL</t>
    </r>
  </si>
  <si>
    <r>
      <rPr>
        <sz val="5"/>
        <rFont val="Arial MT"/>
        <family val="2"/>
      </rPr>
      <t>ON 100-TK-004 DIESEL STORAGE TANK</t>
    </r>
  </si>
  <si>
    <r>
      <rPr>
        <sz val="5"/>
        <rFont val="Arial MT"/>
        <family val="2"/>
      </rPr>
      <t>800 - 5100 mm (0 - 358
mbar)</t>
    </r>
  </si>
  <si>
    <r>
      <rPr>
        <sz val="5"/>
        <rFont val="Arial MT"/>
        <family val="2"/>
      </rPr>
      <t>100-HRN-002</t>
    </r>
  </si>
  <si>
    <r>
      <rPr>
        <sz val="5"/>
        <rFont val="Arial MT"/>
        <family val="2"/>
      </rPr>
      <t>HORN</t>
    </r>
  </si>
  <si>
    <r>
      <rPr>
        <sz val="5"/>
        <rFont val="Arial MT"/>
        <family val="2"/>
      </rPr>
      <t>100-TK-004 DIESEL STORAGE TANK HORN</t>
    </r>
  </si>
  <si>
    <r>
      <rPr>
        <sz val="5"/>
        <rFont val="Arial MT"/>
        <family val="2"/>
      </rPr>
      <t>DP (NDE)</t>
    </r>
  </si>
  <si>
    <r>
      <rPr>
        <sz val="5"/>
        <rFont val="Arial MT"/>
        <family val="2"/>
      </rPr>
      <t>DIRECT RUN CABLE</t>
    </r>
  </si>
  <si>
    <r>
      <rPr>
        <sz val="5"/>
        <rFont val="Arial MT"/>
        <family val="2"/>
      </rPr>
      <t>100-PIT-212A</t>
    </r>
  </si>
  <si>
    <r>
      <rPr>
        <sz val="5"/>
        <rFont val="Arial MT"/>
        <family val="2"/>
      </rPr>
      <t>DISCHARGE OF 100-P-005A</t>
    </r>
  </si>
  <si>
    <r>
      <rPr>
        <sz val="5"/>
        <rFont val="Arial MT"/>
        <family val="2"/>
      </rPr>
      <t>DIESELPUMP PACKAGE</t>
    </r>
  </si>
  <si>
    <r>
      <rPr>
        <sz val="5"/>
        <rFont val="Arial MT"/>
        <family val="2"/>
      </rPr>
      <t>100-AJBB-106</t>
    </r>
  </si>
  <si>
    <r>
      <rPr>
        <sz val="5"/>
        <rFont val="Arial MT"/>
        <family val="2"/>
      </rPr>
      <t>100-PIT-212B</t>
    </r>
  </si>
  <si>
    <r>
      <rPr>
        <sz val="5"/>
        <rFont val="Arial MT"/>
        <family val="2"/>
      </rPr>
      <t>DISCHARGE OF 100-P-005B</t>
    </r>
  </si>
  <si>
    <r>
      <rPr>
        <sz val="5"/>
        <rFont val="Arial MT"/>
        <family val="2"/>
      </rPr>
      <t>100-P-005A DIESEL PUMP</t>
    </r>
  </si>
  <si>
    <r>
      <rPr>
        <sz val="5"/>
        <rFont val="Arial MT"/>
        <family val="2"/>
      </rPr>
      <t>MCC</t>
    </r>
  </si>
  <si>
    <r>
      <rPr>
        <sz val="5"/>
        <rFont val="Arial MT"/>
        <family val="2"/>
      </rPr>
      <t>100-SWGR-001 PANEL</t>
    </r>
  </si>
  <si>
    <r>
      <rPr>
        <sz val="5"/>
        <rFont val="Arial MT"/>
        <family val="2"/>
      </rPr>
      <t>100-HSAR-005A</t>
    </r>
  </si>
  <si>
    <r>
      <rPr>
        <sz val="5"/>
        <rFont val="Arial MT"/>
        <family val="2"/>
      </rPr>
      <t>100-HSBR-005B</t>
    </r>
  </si>
  <si>
    <r>
      <rPr>
        <sz val="5"/>
        <rFont val="Arial MT"/>
        <family val="2"/>
      </rPr>
      <t>100-P-005B DIESEL PUMP</t>
    </r>
  </si>
  <si>
    <r>
      <rPr>
        <sz val="5"/>
        <rFont val="Arial MT"/>
        <family val="2"/>
      </rPr>
      <t>100-HSAR-005B</t>
    </r>
  </si>
  <si>
    <r>
      <rPr>
        <sz val="5"/>
        <rFont val="Arial MT"/>
        <family val="2"/>
      </rPr>
      <t>100-PDIT-213A</t>
    </r>
  </si>
  <si>
    <r>
      <rPr>
        <sz val="5"/>
        <rFont val="Arial MT"/>
        <family val="2"/>
      </rPr>
      <t>DIFFERENTIAL PRESSURE TRANSMITTER</t>
    </r>
  </si>
  <si>
    <r>
      <rPr>
        <sz val="5"/>
        <rFont val="Arial MT"/>
        <family val="2"/>
      </rPr>
      <t>ACROSS 100-FL-001B DIESEL FILTER SKID</t>
    </r>
  </si>
  <si>
    <r>
      <rPr>
        <sz val="5"/>
        <rFont val="Arial MT"/>
        <family val="2"/>
      </rPr>
      <t>100-PDIT-213B</t>
    </r>
  </si>
  <si>
    <r>
      <rPr>
        <sz val="5"/>
        <rFont val="Arial MT"/>
        <family val="2"/>
      </rPr>
      <t>ACROSS 100-FL-001A DIESEL FILTER SKID</t>
    </r>
  </si>
  <si>
    <r>
      <rPr>
        <sz val="5"/>
        <rFont val="Arial MT"/>
        <family val="2"/>
      </rPr>
      <t>100-XI-003A</t>
    </r>
  </si>
  <si>
    <r>
      <rPr>
        <sz val="5"/>
        <rFont val="Arial MT"/>
        <family val="2"/>
      </rPr>
      <t>RUNNING INDICATION</t>
    </r>
  </si>
  <si>
    <r>
      <rPr>
        <sz val="5"/>
        <rFont val="Arial MT"/>
        <family val="2"/>
      </rPr>
      <t>100-PK-003A DIESEL GENERATOR PACKAGE INDICATION</t>
    </r>
  </si>
  <si>
    <r>
      <rPr>
        <sz val="5"/>
        <rFont val="Arial MT"/>
        <family val="2"/>
      </rPr>
      <t>DIESEL GENERATOR PACKAGE</t>
    </r>
  </si>
  <si>
    <r>
      <rPr>
        <sz val="5"/>
        <rFont val="Arial MT"/>
        <family val="2"/>
      </rPr>
      <t>PANEL-100-PK-003A</t>
    </r>
  </si>
  <si>
    <r>
      <rPr>
        <sz val="5"/>
        <rFont val="Arial MT"/>
        <family val="2"/>
      </rPr>
      <t>100-LI-603A</t>
    </r>
  </si>
  <si>
    <r>
      <rPr>
        <sz val="5"/>
        <rFont val="Arial MT"/>
        <family val="2"/>
      </rPr>
      <t>LEVEL INDICATION</t>
    </r>
  </si>
  <si>
    <r>
      <rPr>
        <sz val="5"/>
        <rFont val="Arial MT"/>
        <family val="2"/>
      </rPr>
      <t>100-HSAR-910</t>
    </r>
  </si>
  <si>
    <r>
      <rPr>
        <sz val="5"/>
        <rFont val="Arial MT"/>
        <family val="2"/>
      </rPr>
      <t>START</t>
    </r>
  </si>
  <si>
    <r>
      <rPr>
        <sz val="5"/>
        <rFont val="Arial MT"/>
        <family val="2"/>
      </rPr>
      <t>100-PK-003A DIESEL GENERATOR PACKAGE</t>
    </r>
  </si>
  <si>
    <r>
      <rPr>
        <sz val="5"/>
        <rFont val="Arial MT"/>
        <family val="2"/>
      </rPr>
      <t>100-HSBR-910</t>
    </r>
  </si>
  <si>
    <r>
      <rPr>
        <sz val="5"/>
        <rFont val="Arial MT"/>
        <family val="2"/>
      </rPr>
      <t>STOP</t>
    </r>
  </si>
  <si>
    <r>
      <rPr>
        <sz val="5"/>
        <rFont val="Arial MT"/>
        <family val="2"/>
      </rPr>
      <t>100-XI-003B</t>
    </r>
  </si>
  <si>
    <r>
      <rPr>
        <sz val="5"/>
        <rFont val="Arial MT"/>
        <family val="2"/>
      </rPr>
      <t>100-PK-003B DIESEL GENERATOR PACKAGE INDICATION</t>
    </r>
  </si>
  <si>
    <r>
      <rPr>
        <sz val="5"/>
        <rFont val="Arial MT"/>
        <family val="2"/>
      </rPr>
      <t>PANEL-100-PK-003B</t>
    </r>
  </si>
  <si>
    <r>
      <rPr>
        <sz val="5"/>
        <rFont val="Arial MT"/>
        <family val="2"/>
      </rPr>
      <t>100-LI-603B</t>
    </r>
  </si>
  <si>
    <r>
      <rPr>
        <sz val="5"/>
        <rFont val="Arial MT"/>
        <family val="2"/>
      </rPr>
      <t>100-HSAR-911</t>
    </r>
  </si>
  <si>
    <r>
      <rPr>
        <sz val="5"/>
        <rFont val="Arial MT"/>
        <family val="2"/>
      </rPr>
      <t>100-PK-003B DIESEL GENERATOR PACKAGE</t>
    </r>
  </si>
  <si>
    <r>
      <rPr>
        <sz val="5"/>
        <rFont val="Arial MT"/>
        <family val="2"/>
      </rPr>
      <t>100-HSBR-911</t>
    </r>
  </si>
  <si>
    <r>
      <rPr>
        <sz val="5"/>
        <rFont val="Arial MT"/>
        <family val="2"/>
      </rPr>
      <t>100-PK-005 COLD VENT PACKAGE</t>
    </r>
  </si>
  <si>
    <r>
      <rPr>
        <sz val="5"/>
        <rFont val="Arial MT"/>
        <family val="2"/>
      </rPr>
      <t>80289-PRO-PID-1010 SHEET 1 OF 2</t>
    </r>
  </si>
  <si>
    <r>
      <rPr>
        <sz val="5"/>
        <rFont val="Arial MT"/>
        <family val="2"/>
      </rPr>
      <t>BY COLD VENT PACAKGE VENDOR</t>
    </r>
  </si>
  <si>
    <r>
      <rPr>
        <sz val="5"/>
        <rFont val="Arial MT"/>
        <family val="2"/>
      </rPr>
      <t>100-LG/LIT-703</t>
    </r>
  </si>
  <si>
    <r>
      <rPr>
        <sz val="5"/>
        <rFont val="Arial MT"/>
        <family val="2"/>
      </rPr>
      <t>MAGNETORESTRICTIVE LEVEL INDICATOR AND TRANSMITTER</t>
    </r>
  </si>
  <si>
    <r>
      <rPr>
        <sz val="5"/>
        <rFont val="Arial MT"/>
        <family val="2"/>
      </rPr>
      <t>ON 100-V-001 VENT/CLOSED DRAIN KNOCKOUT DRUM</t>
    </r>
  </si>
  <si>
    <r>
      <rPr>
        <sz val="5"/>
        <rFont val="Arial MT"/>
        <family val="2"/>
      </rPr>
      <t>150 - 1150 mm</t>
    </r>
  </si>
  <si>
    <r>
      <rPr>
        <sz val="5"/>
        <rFont val="Arial MT"/>
        <family val="2"/>
      </rPr>
      <t>100-AJBB-008</t>
    </r>
  </si>
  <si>
    <r>
      <rPr>
        <sz val="5"/>
        <rFont val="Arial MT"/>
        <family val="2"/>
      </rPr>
      <t>100-HRN-001</t>
    </r>
  </si>
  <si>
    <r>
      <rPr>
        <sz val="5"/>
        <rFont val="Arial MT"/>
        <family val="2"/>
      </rPr>
      <t>100-V-001 VENT/CLOSED DRAIN KNOCKOUT DRUM HORN</t>
    </r>
  </si>
  <si>
    <r>
      <rPr>
        <sz val="5"/>
        <rFont val="Arial MT"/>
        <family val="2"/>
      </rPr>
      <t>100-TIT-408</t>
    </r>
  </si>
  <si>
    <r>
      <rPr>
        <sz val="5"/>
        <rFont val="Arial MT"/>
        <family val="2"/>
      </rPr>
      <t>-50 - 100 Deg. C</t>
    </r>
  </si>
  <si>
    <r>
      <rPr>
        <sz val="5"/>
        <rFont val="Arial MT"/>
        <family val="2"/>
      </rPr>
      <t>100-PIT-230</t>
    </r>
  </si>
  <si>
    <r>
      <rPr>
        <sz val="5"/>
        <rFont val="Arial MT"/>
        <family val="2"/>
      </rPr>
      <t>ON VENT/ CLOSED DRAIN KNOCK OUT DRUM100-V-001</t>
    </r>
  </si>
  <si>
    <r>
      <rPr>
        <sz val="5"/>
        <rFont val="Arial MT"/>
        <family val="2"/>
      </rPr>
      <t>-1 - 1 barg</t>
    </r>
  </si>
  <si>
    <r>
      <rPr>
        <sz val="5"/>
        <rFont val="Arial MT"/>
        <family val="2"/>
      </rPr>
      <t>100-FIT-110</t>
    </r>
  </si>
  <si>
    <r>
      <rPr>
        <sz val="5"/>
        <rFont val="Arial MT"/>
        <family val="2"/>
      </rPr>
      <t>ULTRASONIC FLOW TRANSMITTER</t>
    </r>
  </si>
  <si>
    <r>
      <rPr>
        <sz val="5"/>
        <rFont val="Arial MT"/>
        <family val="2"/>
      </rPr>
      <t>FLOW LINE TO 100-V-001 VENT/CLOSED DRAIN KNOCKOUT DRUM</t>
    </r>
  </si>
  <si>
    <r>
      <rPr>
        <sz val="5"/>
        <rFont val="Arial MT"/>
        <family val="2"/>
      </rPr>
      <t>0 - 6800 kg/hr</t>
    </r>
  </si>
  <si>
    <r>
      <rPr>
        <sz val="5"/>
        <rFont val="Arial MT"/>
        <family val="2"/>
      </rPr>
      <t>100-LIT-633</t>
    </r>
  </si>
  <si>
    <r>
      <rPr>
        <sz val="5"/>
        <rFont val="Arial MT"/>
        <family val="2"/>
      </rPr>
      <t>LEVEL TRANSMITTER-DIAPHRAM SEAL</t>
    </r>
  </si>
  <si>
    <r>
      <rPr>
        <sz val="5"/>
        <rFont val="Arial MT"/>
        <family val="2"/>
      </rPr>
      <t>ON 100-Z-001 FIXED SUMP TANK</t>
    </r>
  </si>
  <si>
    <r>
      <rPr>
        <sz val="5"/>
        <rFont val="Arial MT"/>
        <family val="2"/>
      </rPr>
      <t>80289-PRO-PID-1010 SHEET 2 OF 2</t>
    </r>
  </si>
  <si>
    <r>
      <rPr>
        <sz val="5"/>
        <rFont val="Arial MT"/>
        <family val="2"/>
      </rPr>
      <t>150 - 1350 mm( 0 - 117
mbar)</t>
    </r>
  </si>
  <si>
    <r>
      <rPr>
        <sz val="5"/>
        <rFont val="Arial MT"/>
        <family val="2"/>
      </rPr>
      <t>100-LIT-626</t>
    </r>
  </si>
  <si>
    <r>
      <rPr>
        <sz val="5"/>
        <rFont val="Arial MT"/>
        <family val="2"/>
      </rPr>
      <t>ON 100-TK-001 CORROSION INHIBITOR TANK</t>
    </r>
  </si>
  <si>
    <r>
      <rPr>
        <sz val="5"/>
        <rFont val="Arial MT"/>
        <family val="2"/>
      </rPr>
      <t>BY CORROSION INHIBITOR INJECTION SKID VENDOR</t>
    </r>
  </si>
  <si>
    <r>
      <rPr>
        <sz val="5"/>
        <rFont val="Arial MT"/>
        <family val="2"/>
      </rPr>
      <t>100-AJBB-102</t>
    </r>
  </si>
  <si>
    <r>
      <rPr>
        <sz val="5"/>
        <rFont val="Arial MT"/>
        <family val="2"/>
      </rPr>
      <t>100-PIT-220A</t>
    </r>
  </si>
  <si>
    <r>
      <rPr>
        <sz val="5"/>
        <rFont val="Arial MT"/>
        <family val="2"/>
      </rPr>
      <t>OUTLET FROM CORROSION INHIBITOR PUMP (100-P-001A )</t>
    </r>
  </si>
  <si>
    <r>
      <rPr>
        <sz val="5"/>
        <rFont val="Arial MT"/>
        <family val="2"/>
      </rPr>
      <t>100-PIT-220B</t>
    </r>
  </si>
  <si>
    <r>
      <rPr>
        <sz val="5"/>
        <rFont val="Arial MT"/>
        <family val="2"/>
      </rPr>
      <t>OUTLET FROM CORROSION INHIBITOR PUMP (100-P-001B )</t>
    </r>
  </si>
  <si>
    <r>
      <rPr>
        <sz val="5"/>
        <rFont val="Arial MT"/>
        <family val="2"/>
      </rPr>
      <t>100-HSBR-MX-001</t>
    </r>
  </si>
  <si>
    <r>
      <rPr>
        <sz val="5"/>
        <rFont val="Arial MT"/>
        <family val="2"/>
      </rPr>
      <t>100-MX-001 CORRISION INHIBITOR TANK MIXER</t>
    </r>
  </si>
  <si>
    <r>
      <rPr>
        <sz val="5"/>
        <rFont val="Arial MT"/>
        <family val="2"/>
      </rPr>
      <t>100-HSAR-MX-001</t>
    </r>
  </si>
  <si>
    <r>
      <rPr>
        <sz val="5"/>
        <rFont val="Arial MT"/>
        <family val="2"/>
      </rPr>
      <t>100-HSBR-001A</t>
    </r>
  </si>
  <si>
    <r>
      <rPr>
        <sz val="5"/>
        <rFont val="Arial MT"/>
        <family val="2"/>
      </rPr>
      <t>100-P-001A CORRISION INHIBITOR PUMP</t>
    </r>
  </si>
  <si>
    <r>
      <rPr>
        <sz val="5"/>
        <rFont val="Arial MT"/>
        <family val="2"/>
      </rPr>
      <t>100-HSAR-001A</t>
    </r>
  </si>
  <si>
    <r>
      <rPr>
        <sz val="5"/>
        <rFont val="Arial MT"/>
        <family val="2"/>
      </rPr>
      <t>100-HSBR-001B</t>
    </r>
  </si>
  <si>
    <r>
      <rPr>
        <sz val="5"/>
        <rFont val="Arial MT"/>
        <family val="2"/>
      </rPr>
      <t>100-P-001B CORRISION INHIBITOR PUMP</t>
    </r>
  </si>
  <si>
    <r>
      <rPr>
        <sz val="5"/>
        <rFont val="Arial MT"/>
        <family val="2"/>
      </rPr>
      <t>100-HSAR-001B</t>
    </r>
  </si>
  <si>
    <r>
      <rPr>
        <sz val="5"/>
        <rFont val="Arial MT"/>
        <family val="2"/>
      </rPr>
      <t>100-LIT-628</t>
    </r>
  </si>
  <si>
    <r>
      <rPr>
        <sz val="5"/>
        <rFont val="Arial MT"/>
        <family val="2"/>
      </rPr>
      <t>ON 100-TK-002 KHI INJECTION STORAGE TANK</t>
    </r>
  </si>
  <si>
    <r>
      <rPr>
        <sz val="5"/>
        <rFont val="Arial MT"/>
        <family val="2"/>
      </rPr>
      <t>BY KHI INJECTION SKID VENDOR</t>
    </r>
  </si>
  <si>
    <r>
      <rPr>
        <sz val="5"/>
        <rFont val="Arial MT"/>
        <family val="2"/>
      </rPr>
      <t>100-AJBB-103</t>
    </r>
  </si>
  <si>
    <r>
      <rPr>
        <sz val="5"/>
        <rFont val="Arial MT"/>
        <family val="2"/>
      </rPr>
      <t>100-HSBR-MX-002</t>
    </r>
  </si>
  <si>
    <r>
      <rPr>
        <sz val="5"/>
        <rFont val="Arial MT"/>
        <family val="2"/>
      </rPr>
      <t>100-MX-002 KHI TANK MIXER</t>
    </r>
  </si>
  <si>
    <r>
      <rPr>
        <sz val="5"/>
        <rFont val="Arial MT"/>
        <family val="2"/>
      </rPr>
      <t>100-HSAR-MX-002</t>
    </r>
  </si>
  <si>
    <r>
      <rPr>
        <sz val="5"/>
        <rFont val="Arial MT"/>
        <family val="2"/>
      </rPr>
      <t>100-PIT-221A</t>
    </r>
  </si>
  <si>
    <r>
      <rPr>
        <sz val="5"/>
        <rFont val="Arial MT"/>
        <family val="2"/>
      </rPr>
      <t>OUTLET FROM CORROSION INHIBITOR PUMP (100-P-002A )</t>
    </r>
  </si>
  <si>
    <r>
      <rPr>
        <sz val="5"/>
        <rFont val="Arial MT"/>
        <family val="2"/>
      </rPr>
      <t>100-PIT-221B</t>
    </r>
  </si>
  <si>
    <r>
      <rPr>
        <sz val="5"/>
        <rFont val="Arial MT"/>
        <family val="2"/>
      </rPr>
      <t>OUTLET FROM CORROSION INHIBITOR PUMP (100-P-002B )</t>
    </r>
  </si>
  <si>
    <r>
      <rPr>
        <sz val="5"/>
        <rFont val="Arial MT"/>
        <family val="2"/>
      </rPr>
      <t>100-HSBR-002A</t>
    </r>
  </si>
  <si>
    <r>
      <rPr>
        <sz val="5"/>
        <rFont val="Arial MT"/>
        <family val="2"/>
      </rPr>
      <t>100-P-002A KHI PUMP</t>
    </r>
  </si>
  <si>
    <r>
      <rPr>
        <sz val="5"/>
        <rFont val="Arial MT"/>
        <family val="2"/>
      </rPr>
      <t>100-HSAR-002A</t>
    </r>
  </si>
  <si>
    <r>
      <rPr>
        <sz val="5"/>
        <rFont val="Arial MT"/>
        <family val="2"/>
      </rPr>
      <t>100-HSBR-002B</t>
    </r>
  </si>
  <si>
    <r>
      <rPr>
        <sz val="5"/>
        <rFont val="Arial MT"/>
        <family val="2"/>
      </rPr>
      <t>100-P-002B KHI PUMP</t>
    </r>
  </si>
  <si>
    <r>
      <rPr>
        <sz val="5"/>
        <rFont val="Arial MT"/>
        <family val="2"/>
      </rPr>
      <t>100-HSAR-002B</t>
    </r>
  </si>
  <si>
    <r>
      <rPr>
        <sz val="5"/>
        <rFont val="Arial MT"/>
        <family val="2"/>
      </rPr>
      <t>100-PIT-223</t>
    </r>
  </si>
  <si>
    <r>
      <rPr>
        <sz val="5"/>
        <rFont val="Arial MT"/>
        <family val="2"/>
      </rPr>
      <t>100-V-004 METHANOL STORAGE VESSEL</t>
    </r>
  </si>
  <si>
    <r>
      <rPr>
        <sz val="5"/>
        <rFont val="Arial MT"/>
        <family val="2"/>
      </rPr>
      <t>BY METHANOL INJECTION SKID VENDOR</t>
    </r>
  </si>
  <si>
    <r>
      <rPr>
        <sz val="5"/>
        <rFont val="Arial MT"/>
        <family val="2"/>
      </rPr>
      <t>100-AJBB-104</t>
    </r>
  </si>
  <si>
    <r>
      <rPr>
        <sz val="5"/>
        <rFont val="Arial MT"/>
        <family val="2"/>
      </rPr>
      <t>100-LIT-630</t>
    </r>
  </si>
  <si>
    <r>
      <rPr>
        <sz val="5"/>
        <rFont val="Arial MT"/>
        <family val="2"/>
      </rPr>
      <t>ON 100-V-004 METHANOL STORAGE VESSEL</t>
    </r>
  </si>
  <si>
    <r>
      <rPr>
        <sz val="5"/>
        <rFont val="Arial MT"/>
        <family val="2"/>
      </rPr>
      <t>OUTLET FROM METHANOL PUMP (100-P-003A )</t>
    </r>
  </si>
  <si>
    <r>
      <rPr>
        <sz val="5"/>
        <rFont val="Arial MT"/>
        <family val="2"/>
      </rPr>
      <t>100-PIT-222B</t>
    </r>
  </si>
  <si>
    <r>
      <rPr>
        <sz val="5"/>
        <rFont val="Arial MT"/>
        <family val="2"/>
      </rPr>
      <t>OUTLET FROM METHANOL PUMP (100-P-003B )</t>
    </r>
  </si>
  <si>
    <r>
      <rPr>
        <sz val="5"/>
        <rFont val="Arial MT"/>
        <family val="2"/>
      </rPr>
      <t>100-HSBR-003A</t>
    </r>
  </si>
  <si>
    <r>
      <rPr>
        <sz val="5"/>
        <rFont val="Arial MT"/>
        <family val="2"/>
      </rPr>
      <t>100-P-003A METHANOL PUMP</t>
    </r>
  </si>
  <si>
    <r>
      <rPr>
        <sz val="5"/>
        <rFont val="Arial MT"/>
        <family val="2"/>
      </rPr>
      <t>100-HSAR-003A</t>
    </r>
  </si>
  <si>
    <r>
      <rPr>
        <sz val="5"/>
        <rFont val="Arial MT"/>
        <family val="2"/>
      </rPr>
      <t>100-HSBR-003B</t>
    </r>
  </si>
  <si>
    <r>
      <rPr>
        <sz val="5"/>
        <rFont val="Arial MT"/>
        <family val="2"/>
      </rPr>
      <t>100-P-003B METHANOL PUMP</t>
    </r>
  </si>
  <si>
    <r>
      <rPr>
        <sz val="5"/>
        <rFont val="Arial MT"/>
        <family val="2"/>
      </rPr>
      <t>100-HSAR-003B</t>
    </r>
  </si>
  <si>
    <r>
      <rPr>
        <sz val="5"/>
        <rFont val="Arial MT"/>
        <family val="2"/>
      </rPr>
      <t>100-PIT-218</t>
    </r>
  </si>
  <si>
    <r>
      <rPr>
        <sz val="5"/>
        <rFont val="Arial MT"/>
        <family val="2"/>
      </rPr>
      <t>TO VENT CLOSED DRAIN KNOCKOUT DRUM</t>
    </r>
  </si>
  <si>
    <r>
      <rPr>
        <sz val="5"/>
        <rFont val="Arial MT"/>
        <family val="2"/>
      </rPr>
      <t>80289-PRO-PID-1014</t>
    </r>
  </si>
  <si>
    <r>
      <rPr>
        <sz val="5"/>
        <rFont val="Arial MT"/>
        <family val="2"/>
      </rPr>
      <t>0 - 10 barg</t>
    </r>
  </si>
  <si>
    <r>
      <rPr>
        <sz val="5"/>
        <rFont val="Arial MT"/>
        <family val="2"/>
      </rPr>
      <t>100-LIT-631</t>
    </r>
  </si>
  <si>
    <r>
      <rPr>
        <sz val="5"/>
        <rFont val="Arial MT"/>
        <family val="2"/>
      </rPr>
      <t>ON 100-TK-003 SCALE INHIBITOR STORAGE TANK</t>
    </r>
  </si>
  <si>
    <r>
      <rPr>
        <sz val="5"/>
        <rFont val="Arial MT"/>
        <family val="2"/>
      </rPr>
      <t>BY SCALE INHIBITOR SYSTEM VENDOR</t>
    </r>
  </si>
  <si>
    <r>
      <rPr>
        <sz val="5"/>
        <rFont val="Arial MT"/>
        <family val="2"/>
      </rPr>
      <t>100-AJBB-105</t>
    </r>
  </si>
  <si>
    <r>
      <rPr>
        <sz val="5"/>
        <rFont val="Arial MT"/>
        <family val="2"/>
      </rPr>
      <t>100-HSBR-MX-008</t>
    </r>
  </si>
  <si>
    <r>
      <rPr>
        <sz val="5"/>
        <rFont val="Arial MT"/>
        <family val="2"/>
      </rPr>
      <t>100-MX-008 SCALE INHIBITOR TANK MIXER</t>
    </r>
  </si>
  <si>
    <r>
      <rPr>
        <sz val="5"/>
        <rFont val="Arial MT"/>
        <family val="2"/>
      </rPr>
      <t>100-HSAR-MX-008</t>
    </r>
  </si>
  <si>
    <r>
      <rPr>
        <sz val="5"/>
        <rFont val="Arial MT"/>
        <family val="2"/>
      </rPr>
      <t>100-PIT-225A</t>
    </r>
  </si>
  <si>
    <r>
      <rPr>
        <sz val="5"/>
        <rFont val="Arial MT"/>
        <family val="2"/>
      </rPr>
      <t>DISCHARGE OF SCALE INHIBITOR PUMP (100-P-008A)</t>
    </r>
  </si>
  <si>
    <r>
      <rPr>
        <sz val="5"/>
        <rFont val="Arial MT"/>
        <family val="2"/>
      </rPr>
      <t>100-PIT-225B</t>
    </r>
  </si>
  <si>
    <r>
      <rPr>
        <sz val="5"/>
        <rFont val="Arial MT"/>
        <family val="2"/>
      </rPr>
      <t>DISCHARGE OF SCALE INHIBITOR PUMP (100-P-008B)</t>
    </r>
  </si>
  <si>
    <r>
      <rPr>
        <sz val="5"/>
        <rFont val="Arial MT"/>
        <family val="2"/>
      </rPr>
      <t>100-HSBR-008A</t>
    </r>
  </si>
  <si>
    <r>
      <rPr>
        <sz val="5"/>
        <rFont val="Arial MT"/>
        <family val="2"/>
      </rPr>
      <t>100-P-008A SCALE INHIBITOR PUMP</t>
    </r>
  </si>
  <si>
    <r>
      <rPr>
        <sz val="5"/>
        <rFont val="Arial MT"/>
        <family val="2"/>
      </rPr>
      <t>100-HSAR-008A</t>
    </r>
  </si>
  <si>
    <r>
      <rPr>
        <sz val="5"/>
        <rFont val="Arial MT"/>
        <family val="2"/>
      </rPr>
      <t>100-HSBR-008B</t>
    </r>
  </si>
  <si>
    <r>
      <rPr>
        <sz val="5"/>
        <rFont val="Arial MT"/>
        <family val="2"/>
      </rPr>
      <t>100-P-008B SCALE INHIBITOR PUMP</t>
    </r>
  </si>
  <si>
    <r>
      <rPr>
        <sz val="5"/>
        <rFont val="Arial MT"/>
        <family val="2"/>
      </rPr>
      <t>100-HSAR-008B</t>
    </r>
  </si>
  <si>
    <r>
      <rPr>
        <sz val="5"/>
        <rFont val="Arial MT"/>
        <family val="2"/>
      </rPr>
      <t>100-LIT-608</t>
    </r>
  </si>
  <si>
    <r>
      <rPr>
        <sz val="5"/>
        <rFont val="Arial MT"/>
        <family val="2"/>
      </rPr>
      <t>100-TK-005 FRESH WATER TANK</t>
    </r>
  </si>
  <si>
    <r>
      <rPr>
        <sz val="5"/>
        <rFont val="Arial MT"/>
        <family val="2"/>
      </rPr>
      <t>100 - 1750 mm (0 - 162
mbar)</t>
    </r>
  </si>
  <si>
    <r>
      <rPr>
        <sz val="5"/>
        <rFont val="Arial MT"/>
        <family val="2"/>
      </rPr>
      <t>100-HRN-003</t>
    </r>
  </si>
  <si>
    <r>
      <rPr>
        <sz val="5"/>
        <rFont val="Arial MT"/>
        <family val="2"/>
      </rPr>
      <t>100-TK-005 FRESH WATER TANK HORN</t>
    </r>
  </si>
  <si>
    <r>
      <rPr>
        <sz val="5"/>
        <rFont val="Arial MT"/>
        <family val="2"/>
      </rPr>
      <t>100-HSBR-004A</t>
    </r>
  </si>
  <si>
    <r>
      <rPr>
        <sz val="5"/>
        <rFont val="Arial MT"/>
        <family val="2"/>
      </rPr>
      <t>100-P-004A FRESH WATER PUMP</t>
    </r>
  </si>
  <si>
    <r>
      <rPr>
        <sz val="5"/>
        <rFont val="Arial MT"/>
        <family val="2"/>
      </rPr>
      <t>100-HSAR-004A</t>
    </r>
  </si>
  <si>
    <r>
      <rPr>
        <sz val="5"/>
        <rFont val="Arial MT"/>
        <family val="2"/>
      </rPr>
      <t>100-HSBR-004B</t>
    </r>
  </si>
  <si>
    <r>
      <rPr>
        <sz val="5"/>
        <rFont val="Arial MT"/>
        <family val="2"/>
      </rPr>
      <t>100-P-004B FRESH WATER PUMP</t>
    </r>
  </si>
  <si>
    <r>
      <rPr>
        <sz val="5"/>
        <rFont val="Arial MT"/>
        <family val="2"/>
      </rPr>
      <t>100-HSAR-004B</t>
    </r>
  </si>
  <si>
    <r>
      <rPr>
        <sz val="5"/>
        <rFont val="Arial MT"/>
        <family val="2"/>
      </rPr>
      <t>100-PIT-214A</t>
    </r>
  </si>
  <si>
    <r>
      <rPr>
        <sz val="5"/>
        <rFont val="Arial MT"/>
        <family val="2"/>
      </rPr>
      <t>DISCHARGE OF 100-P-004A</t>
    </r>
  </si>
  <si>
    <r>
      <rPr>
        <sz val="5"/>
        <rFont val="Arial MT"/>
        <family val="2"/>
      </rPr>
      <t>-1 - 2.5 barg</t>
    </r>
  </si>
  <si>
    <r>
      <rPr>
        <sz val="5"/>
        <rFont val="Arial MT"/>
        <family val="2"/>
      </rPr>
      <t>100-PIT-214B</t>
    </r>
  </si>
  <si>
    <r>
      <rPr>
        <sz val="5"/>
        <rFont val="Arial MT"/>
        <family val="2"/>
      </rPr>
      <t>DISCHARGE OF 100-P-004B</t>
    </r>
  </si>
  <si>
    <r>
      <rPr>
        <sz val="5"/>
        <rFont val="Arial MT"/>
        <family val="2"/>
      </rPr>
      <t>100-PIT-215</t>
    </r>
  </si>
  <si>
    <r>
      <rPr>
        <sz val="5"/>
        <rFont val="Arial MT"/>
        <family val="2"/>
      </rPr>
      <t>TO ACCOMMODATION MODULE</t>
    </r>
  </si>
  <si>
    <r>
      <rPr>
        <sz val="5"/>
        <rFont val="Arial MT"/>
        <family val="2"/>
      </rPr>
      <t>100-TIT-407</t>
    </r>
  </si>
  <si>
    <r>
      <rPr>
        <sz val="5"/>
        <rFont val="Arial MT"/>
        <family val="2"/>
      </rPr>
      <t>TO WEB PIPELINE PIG LAUNCHER</t>
    </r>
  </si>
  <si>
    <r>
      <rPr>
        <sz val="5"/>
        <rFont val="Arial MT"/>
        <family val="2"/>
      </rPr>
      <t>0 - 60 Deg. C</t>
    </r>
  </si>
  <si>
    <r>
      <rPr>
        <sz val="5"/>
        <rFont val="Arial MT"/>
        <family val="2"/>
      </rPr>
      <t>100-PIT-216</t>
    </r>
  </si>
  <si>
    <r>
      <rPr>
        <sz val="5"/>
        <rFont val="Arial MT"/>
        <family val="2"/>
      </rPr>
      <t>100-LSL-311</t>
    </r>
  </si>
  <si>
    <r>
      <rPr>
        <sz val="5"/>
        <rFont val="Arial MT"/>
        <family val="2"/>
      </rPr>
      <t>LEVEL SWITCH LOW</t>
    </r>
  </si>
  <si>
    <r>
      <rPr>
        <sz val="5"/>
        <rFont val="Arial MT"/>
        <family val="2"/>
      </rPr>
      <t>ON 100-V-002 FOAM TANK</t>
    </r>
  </si>
  <si>
    <r>
      <rPr>
        <sz val="5"/>
        <rFont val="Arial MT"/>
        <family val="2"/>
      </rPr>
      <t>80289-HSE-PID-1001</t>
    </r>
  </si>
  <si>
    <r>
      <rPr>
        <sz val="5"/>
        <rFont val="Arial MT"/>
        <family val="2"/>
      </rPr>
      <t>BY FOAM PACKAGE VENDOR (FIRE FIGHTING SYSTEM)</t>
    </r>
  </si>
  <si>
    <r>
      <rPr>
        <sz val="5"/>
        <rFont val="Arial MT"/>
        <family val="2"/>
      </rPr>
      <t>100-DJBBFG-101</t>
    </r>
  </si>
  <si>
    <r>
      <rPr>
        <sz val="5"/>
        <rFont val="Arial MT"/>
        <family val="2"/>
      </rPr>
      <t>100-PSL-318</t>
    </r>
  </si>
  <si>
    <r>
      <rPr>
        <sz val="5"/>
        <rFont val="Arial MT"/>
        <family val="2"/>
      </rPr>
      <t>PRESSURE SWITCH LOW</t>
    </r>
  </si>
  <si>
    <r>
      <rPr>
        <sz val="5"/>
        <rFont val="Arial MT"/>
        <family val="2"/>
      </rPr>
      <t>ON 100-V-005A PRESSURIZATION BOTTLE</t>
    </r>
  </si>
  <si>
    <r>
      <rPr>
        <sz val="5"/>
        <rFont val="Arial MT"/>
        <family val="2"/>
      </rPr>
      <t>100-PSL-319</t>
    </r>
  </si>
  <si>
    <r>
      <rPr>
        <sz val="5"/>
        <rFont val="Arial MT"/>
        <family val="2"/>
      </rPr>
      <t>ON 100-V-006A ACTUATION BOTTLE</t>
    </r>
  </si>
  <si>
    <r>
      <rPr>
        <sz val="5"/>
        <rFont val="Arial MT"/>
        <family val="2"/>
      </rPr>
      <t>100-PSL-325</t>
    </r>
  </si>
  <si>
    <r>
      <rPr>
        <sz val="5"/>
        <rFont val="Arial MT"/>
        <family val="2"/>
      </rPr>
      <t>ON 100-V-006B ACTUATION BOTTLE</t>
    </r>
  </si>
  <si>
    <r>
      <rPr>
        <sz val="5"/>
        <rFont val="Arial MT"/>
        <family val="2"/>
      </rPr>
      <t>100-PT-332</t>
    </r>
  </si>
  <si>
    <r>
      <rPr>
        <sz val="5"/>
        <rFont val="Arial MT"/>
        <family val="2"/>
      </rPr>
      <t>ON NITROGEN MANIFOLD</t>
    </r>
  </si>
  <si>
    <r>
      <rPr>
        <sz val="5"/>
        <rFont val="Arial MT"/>
        <family val="2"/>
      </rPr>
      <t>100-ZSL-328</t>
    </r>
  </si>
  <si>
    <r>
      <rPr>
        <sz val="5"/>
        <rFont val="Arial MT"/>
        <family val="2"/>
      </rPr>
      <t>100-UZV-328 VALVE SWITCH CLOSE</t>
    </r>
  </si>
  <si>
    <r>
      <rPr>
        <sz val="5"/>
        <rFont val="Arial MT"/>
        <family val="2"/>
      </rPr>
      <t>100-ZSH-328</t>
    </r>
  </si>
  <si>
    <r>
      <rPr>
        <sz val="5"/>
        <rFont val="Arial MT"/>
        <family val="2"/>
      </rPr>
      <t>100-XF-001</t>
    </r>
  </si>
  <si>
    <r>
      <rPr>
        <sz val="5"/>
        <rFont val="Arial MT"/>
        <family val="2"/>
      </rPr>
      <t>COMMON FAULT-NAV AID</t>
    </r>
  </si>
  <si>
    <r>
      <rPr>
        <sz val="5"/>
        <rFont val="Arial MT"/>
        <family val="2"/>
      </rPr>
      <t>NAV AID</t>
    </r>
  </si>
  <si>
    <r>
      <rPr>
        <sz val="5"/>
        <rFont val="Arial MT"/>
        <family val="2"/>
      </rPr>
      <t>100-NAV-001 PANEL</t>
    </r>
  </si>
  <si>
    <r>
      <rPr>
        <sz val="5"/>
        <rFont val="Arial MT"/>
        <family val="2"/>
      </rPr>
      <t>100-XS-015</t>
    </r>
  </si>
  <si>
    <r>
      <rPr>
        <sz val="5"/>
        <rFont val="Arial MT"/>
        <family val="2"/>
      </rPr>
      <t>SYSTEM HEALTHY</t>
    </r>
  </si>
  <si>
    <r>
      <rPr>
        <sz val="5"/>
        <rFont val="Arial MT"/>
        <family val="2"/>
      </rPr>
      <t>SYSTEM HEALTHY FROM PAGA</t>
    </r>
  </si>
  <si>
    <r>
      <rPr>
        <sz val="5"/>
        <rFont val="Arial MT"/>
        <family val="2"/>
      </rPr>
      <t>PAGA</t>
    </r>
  </si>
  <si>
    <r>
      <rPr>
        <sz val="5"/>
        <rFont val="Arial MT"/>
        <family val="2"/>
      </rPr>
      <t>100-PAGA-001 PANEL</t>
    </r>
  </si>
  <si>
    <r>
      <rPr>
        <sz val="5"/>
        <rFont val="Arial MT"/>
        <family val="2"/>
      </rPr>
      <t>100-XS-016</t>
    </r>
  </si>
  <si>
    <r>
      <rPr>
        <sz val="5"/>
        <rFont val="Arial MT"/>
        <family val="2"/>
      </rPr>
      <t>SYSTEM FAULT</t>
    </r>
  </si>
  <si>
    <r>
      <rPr>
        <sz val="5"/>
        <rFont val="Arial MT"/>
        <family val="2"/>
      </rPr>
      <t>SYSTEM FAULT FROM PAGA</t>
    </r>
  </si>
  <si>
    <r>
      <rPr>
        <sz val="5"/>
        <rFont val="Arial MT"/>
        <family val="2"/>
      </rPr>
      <t>100-XS-017</t>
    </r>
  </si>
  <si>
    <r>
      <rPr>
        <sz val="5"/>
        <rFont val="Arial MT"/>
        <family val="2"/>
      </rPr>
      <t>SIGNAL FOR LIGHTING DB</t>
    </r>
  </si>
  <si>
    <r>
      <rPr>
        <sz val="5"/>
        <rFont val="Arial MT"/>
        <family val="2"/>
      </rPr>
      <t>FOR SWITCH ON-OFF LIGHT FROM ONSHORE</t>
    </r>
  </si>
  <si>
    <r>
      <rPr>
        <sz val="5"/>
        <rFont val="Arial MT"/>
        <family val="2"/>
      </rPr>
      <t>LIGHTING DB</t>
    </r>
  </si>
  <si>
    <r>
      <rPr>
        <sz val="5"/>
        <rFont val="Arial MT"/>
        <family val="2"/>
      </rPr>
      <t>100-LTG-001 PANEL</t>
    </r>
  </si>
  <si>
    <r>
      <rPr>
        <sz val="5"/>
        <rFont val="Arial MT"/>
        <family val="2"/>
      </rPr>
      <t>100-PIT-301</t>
    </r>
  </si>
  <si>
    <r>
      <rPr>
        <sz val="5"/>
        <rFont val="Arial MT"/>
        <family val="2"/>
      </rPr>
      <t>CLEAN AGENT CYLINDER BANK PRESSURE TRANSMITTER</t>
    </r>
  </si>
  <si>
    <r>
      <rPr>
        <sz val="5"/>
        <rFont val="Arial MT"/>
        <family val="2"/>
      </rPr>
      <t>CLEAN AGENT SYSTEM</t>
    </r>
  </si>
  <si>
    <r>
      <rPr>
        <sz val="5"/>
        <rFont val="Arial MT"/>
        <family val="2"/>
      </rPr>
      <t>CLEAN AGENT SYSTEM VENDOR SCOPE.
.</t>
    </r>
  </si>
  <si>
    <r>
      <rPr>
        <sz val="5"/>
        <rFont val="Arial MT"/>
        <family val="2"/>
      </rPr>
      <t>100-PS-301</t>
    </r>
  </si>
  <si>
    <r>
      <rPr>
        <sz val="5"/>
        <rFont val="Arial MT"/>
        <family val="2"/>
      </rPr>
      <t>PRESSURE SWITCH</t>
    </r>
  </si>
  <si>
    <r>
      <rPr>
        <sz val="5"/>
        <rFont val="Arial MT"/>
        <family val="2"/>
      </rPr>
      <t>CLEAN AGENT CYLINDER BANK LOW PRESSURE ALARM</t>
    </r>
  </si>
  <si>
    <r>
      <rPr>
        <sz val="5"/>
        <rFont val="Arial MT"/>
        <family val="2"/>
      </rPr>
      <t>100-PB-302</t>
    </r>
  </si>
  <si>
    <r>
      <rPr>
        <sz val="5"/>
        <rFont val="Arial MT"/>
        <family val="2"/>
      </rPr>
      <t>KEY SWITCH</t>
    </r>
  </si>
  <si>
    <r>
      <rPr>
        <sz val="5"/>
        <rFont val="Arial MT"/>
        <family val="2"/>
      </rPr>
      <t>AUTO OPERATION KEY SWITCH</t>
    </r>
  </si>
  <si>
    <r>
      <rPr>
        <sz val="5"/>
        <rFont val="Arial MT"/>
        <family val="2"/>
      </rPr>
      <t>CLEAN AGENT SYSTEM PANEL</t>
    </r>
  </si>
  <si>
    <r>
      <rPr>
        <sz val="5"/>
        <rFont val="Arial MT"/>
        <family val="2"/>
      </rPr>
      <t>100-CASP-001</t>
    </r>
  </si>
  <si>
    <r>
      <rPr>
        <sz val="5"/>
        <rFont val="Arial MT"/>
        <family val="2"/>
      </rPr>
      <t>100-PB-303</t>
    </r>
  </si>
  <si>
    <r>
      <rPr>
        <sz val="5"/>
        <rFont val="Arial MT"/>
        <family val="2"/>
      </rPr>
      <t>MANUAL OPERATION KEY SWITCH</t>
    </r>
  </si>
  <si>
    <r>
      <rPr>
        <sz val="5"/>
        <rFont val="Arial MT"/>
        <family val="2"/>
      </rPr>
      <t>100-PB-304</t>
    </r>
  </si>
  <si>
    <r>
      <rPr>
        <sz val="5"/>
        <rFont val="Arial MT"/>
        <family val="2"/>
      </rPr>
      <t>TEST KEY SWITCH</t>
    </r>
  </si>
  <si>
    <r>
      <rPr>
        <sz val="5"/>
        <rFont val="Arial MT"/>
        <family val="2"/>
      </rPr>
      <t>100-PB-305</t>
    </r>
  </si>
  <si>
    <r>
      <rPr>
        <sz val="5"/>
        <rFont val="Arial MT"/>
        <family val="2"/>
      </rPr>
      <t>INHIBIT KEY SWITCH</t>
    </r>
  </si>
  <si>
    <r>
      <rPr>
        <sz val="5"/>
        <rFont val="Arial MT"/>
        <family val="2"/>
      </rPr>
      <t>100-PB-306</t>
    </r>
  </si>
  <si>
    <r>
      <rPr>
        <sz val="5"/>
        <rFont val="Arial MT"/>
        <family val="2"/>
      </rPr>
      <t>PUSH BUTTON</t>
    </r>
  </si>
  <si>
    <r>
      <rPr>
        <sz val="5"/>
        <rFont val="Arial MT"/>
        <family val="2"/>
      </rPr>
      <t>ABORT PUSH BUTTON</t>
    </r>
  </si>
  <si>
    <r>
      <rPr>
        <sz val="5"/>
        <rFont val="Arial MT"/>
        <family val="2"/>
      </rPr>
      <t>CLEAN AGENT SYSTEM VENDOR SCOPE</t>
    </r>
  </si>
  <si>
    <r>
      <rPr>
        <sz val="5"/>
        <rFont val="Arial MT"/>
        <family val="2"/>
      </rPr>
      <t>100-PZIT-W201A</t>
    </r>
  </si>
  <si>
    <r>
      <rPr>
        <sz val="5"/>
        <rFont val="Arial MT"/>
        <family val="2"/>
      </rPr>
      <t>PRESSURE SAFETY TRANSMITTER</t>
    </r>
  </si>
  <si>
    <r>
      <rPr>
        <sz val="5"/>
        <rFont val="Arial MT"/>
        <family val="2"/>
      </rPr>
      <t>100-SSV-W901A  HYDRAULIC CONTROL PRESSURE</t>
    </r>
  </si>
  <si>
    <r>
      <rPr>
        <sz val="5"/>
        <rFont val="Arial MT"/>
        <family val="2"/>
      </rPr>
      <t>SIS</t>
    </r>
  </si>
  <si>
    <r>
      <rPr>
        <sz val="5"/>
        <rFont val="Arial MT"/>
        <family val="2"/>
      </rPr>
      <t>100-AJBZ-101</t>
    </r>
  </si>
  <si>
    <r>
      <rPr>
        <sz val="5"/>
        <rFont val="Arial MT"/>
        <family val="2"/>
      </rPr>
      <t>100-PZIT-W202A</t>
    </r>
  </si>
  <si>
    <r>
      <rPr>
        <sz val="5"/>
        <rFont val="Arial MT"/>
        <family val="2"/>
      </rPr>
      <t>100-SSSV-W902A  HYDRAULIC CONTROL PRESSURE</t>
    </r>
  </si>
  <si>
    <r>
      <rPr>
        <sz val="5"/>
        <rFont val="Arial MT"/>
        <family val="2"/>
      </rPr>
      <t>100-PZIT-W203A</t>
    </r>
  </si>
  <si>
    <r>
      <rPr>
        <sz val="5"/>
        <rFont val="Arial MT"/>
        <family val="2"/>
      </rPr>
      <t>100-SDV-W903A   HYDRAULIC CONTROL PRESSURE</t>
    </r>
  </si>
  <si>
    <r>
      <rPr>
        <sz val="5"/>
        <rFont val="Arial MT"/>
        <family val="2"/>
      </rPr>
      <t>100-SSV-W902A SURFACE SAFETY VALVE</t>
    </r>
  </si>
  <si>
    <r>
      <rPr>
        <sz val="5"/>
        <rFont val="Arial MT"/>
        <family val="2"/>
      </rPr>
      <t>DP (NE)</t>
    </r>
  </si>
  <si>
    <r>
      <rPr>
        <sz val="5"/>
        <rFont val="Arial MT"/>
        <family val="2"/>
      </rPr>
      <t>100-SJBZ-101</t>
    </r>
  </si>
  <si>
    <r>
      <rPr>
        <sz val="5"/>
        <rFont val="Arial MT"/>
        <family val="2"/>
      </rPr>
      <t>100-SDV-W903A WING VALVE</t>
    </r>
  </si>
  <si>
    <r>
      <rPr>
        <sz val="5"/>
        <rFont val="Arial MT"/>
        <family val="2"/>
      </rPr>
      <t>TO WEB PLATFORM MANIFOLD</t>
    </r>
  </si>
  <si>
    <r>
      <rPr>
        <sz val="5"/>
        <rFont val="Arial MT"/>
        <family val="2"/>
      </rPr>
      <t>100-AJBZ-002</t>
    </r>
  </si>
  <si>
    <r>
      <rPr>
        <sz val="5"/>
        <rFont val="Arial MT"/>
        <family val="2"/>
      </rPr>
      <t>80/50</t>
    </r>
  </si>
  <si>
    <r>
      <rPr>
        <sz val="5"/>
        <rFont val="Arial MT"/>
        <family val="2"/>
      </rPr>
      <t>100-SSV-W902B SURFACE SAFETY VALVE</t>
    </r>
  </si>
  <si>
    <r>
      <rPr>
        <sz val="5"/>
        <rFont val="Arial MT"/>
        <family val="2"/>
      </rPr>
      <t>100-SDV-W903B WING VALVE</t>
    </r>
  </si>
  <si>
    <r>
      <rPr>
        <sz val="5"/>
        <rFont val="Arial MT"/>
        <family val="2"/>
      </rPr>
      <t>100-PZIT-W201B</t>
    </r>
  </si>
  <si>
    <r>
      <rPr>
        <sz val="5"/>
        <rFont val="Arial MT"/>
        <family val="2"/>
      </rPr>
      <t>100-SSV-W901B HYDRAULIC CONTROL PRESSURE</t>
    </r>
  </si>
  <si>
    <r>
      <rPr>
        <sz val="5"/>
        <rFont val="Arial MT"/>
        <family val="2"/>
      </rPr>
      <t>100-PZIT-W202B</t>
    </r>
  </si>
  <si>
    <r>
      <rPr>
        <sz val="5"/>
        <rFont val="Arial MT"/>
        <family val="2"/>
      </rPr>
      <t>100-SSSV-W902B  HYDRAULIC CONTROL PRESSURE</t>
    </r>
  </si>
  <si>
    <r>
      <rPr>
        <sz val="5"/>
        <rFont val="Arial MT"/>
        <family val="2"/>
      </rPr>
      <t>100-PZIT-W203B</t>
    </r>
  </si>
  <si>
    <r>
      <rPr>
        <sz val="5"/>
        <rFont val="Arial MT"/>
        <family val="2"/>
      </rPr>
      <t>100-SDV-W903B HYDRAULIC CONTROL PRESSURE</t>
    </r>
  </si>
  <si>
    <r>
      <rPr>
        <sz val="5"/>
        <rFont val="Arial MT"/>
        <family val="2"/>
      </rPr>
      <t>100-SSV-W902C SURFACE SAFETY VALVE</t>
    </r>
  </si>
  <si>
    <r>
      <rPr>
        <sz val="5"/>
        <rFont val="Arial MT"/>
        <family val="2"/>
      </rPr>
      <t>100-SY-W903C</t>
    </r>
  </si>
  <si>
    <r>
      <rPr>
        <sz val="5"/>
        <rFont val="Arial MT"/>
        <family val="2"/>
      </rPr>
      <t>100-SDV-W903C WING VALVE</t>
    </r>
  </si>
  <si>
    <r>
      <rPr>
        <sz val="5"/>
        <rFont val="Arial MT"/>
        <family val="2"/>
      </rPr>
      <t>100-PZIT-W201C</t>
    </r>
  </si>
  <si>
    <r>
      <rPr>
        <sz val="5"/>
        <rFont val="Arial MT"/>
        <family val="2"/>
      </rPr>
      <t>100-SSV-W901C HYDRAULIC CONTROL PRESSURE</t>
    </r>
  </si>
  <si>
    <r>
      <rPr>
        <sz val="5"/>
        <rFont val="Arial MT"/>
        <family val="2"/>
      </rPr>
      <t>100-PZIT-W202C</t>
    </r>
  </si>
  <si>
    <r>
      <rPr>
        <sz val="5"/>
        <rFont val="Arial MT"/>
        <family val="2"/>
      </rPr>
      <t>100-SSSV-W902C  HYDRAULIC CONTROL PRESSURE</t>
    </r>
  </si>
  <si>
    <r>
      <rPr>
        <sz val="5"/>
        <rFont val="Arial MT"/>
        <family val="2"/>
      </rPr>
      <t>100-PZIT-W203C</t>
    </r>
  </si>
  <si>
    <r>
      <rPr>
        <sz val="5"/>
        <rFont val="Arial MT"/>
        <family val="2"/>
      </rPr>
      <t>100-SDV-W903C HYDRAULIC CONTROL PRESSURE</t>
    </r>
  </si>
  <si>
    <r>
      <rPr>
        <sz val="5"/>
        <rFont val="Arial MT"/>
        <family val="2"/>
      </rPr>
      <t>100-SSV-W902D SURFACE SAFETY VALVE</t>
    </r>
  </si>
  <si>
    <r>
      <rPr>
        <sz val="5"/>
        <rFont val="Arial MT"/>
        <family val="2"/>
      </rPr>
      <t>100-SDV-W903D WING VALVE</t>
    </r>
  </si>
  <si>
    <r>
      <rPr>
        <sz val="5"/>
        <rFont val="Arial MT"/>
        <family val="2"/>
      </rPr>
      <t>100-PZIT-W201D</t>
    </r>
  </si>
  <si>
    <r>
      <rPr>
        <sz val="5"/>
        <rFont val="Arial MT"/>
        <family val="2"/>
      </rPr>
      <t>100-SSV-W901D HYDRAULIC CONTROL PRESSURE</t>
    </r>
  </si>
  <si>
    <r>
      <rPr>
        <sz val="5"/>
        <rFont val="Arial MT"/>
        <family val="2"/>
      </rPr>
      <t>100-PZIT-W202D</t>
    </r>
  </si>
  <si>
    <r>
      <rPr>
        <sz val="5"/>
        <rFont val="Arial MT"/>
        <family val="2"/>
      </rPr>
      <t>100-SSSV-W902D  HYDRAULIC CONTROL PRESSURE</t>
    </r>
  </si>
  <si>
    <r>
      <rPr>
        <sz val="5"/>
        <rFont val="Arial MT"/>
        <family val="2"/>
      </rPr>
      <t>100-AJBZ-102</t>
    </r>
  </si>
  <si>
    <r>
      <rPr>
        <sz val="5"/>
        <rFont val="Arial MT"/>
        <family val="2"/>
      </rPr>
      <t>100-PZIT-W203D</t>
    </r>
  </si>
  <si>
    <r>
      <rPr>
        <sz val="5"/>
        <rFont val="Arial MT"/>
        <family val="2"/>
      </rPr>
      <t>100-SDV-W903D HYDRAULIC CONTROL PRESSURE</t>
    </r>
  </si>
  <si>
    <r>
      <rPr>
        <sz val="5"/>
        <rFont val="Arial MT"/>
        <family val="2"/>
      </rPr>
      <t>LEVEL SAFETY TRANSMITTER</t>
    </r>
  </si>
  <si>
    <r>
      <rPr>
        <sz val="5"/>
        <rFont val="Arial MT"/>
        <family val="2"/>
      </rPr>
      <t>HYDRAULIC OIL LEVEL TK-1</t>
    </r>
  </si>
  <si>
    <r>
      <rPr>
        <sz val="5"/>
        <rFont val="Arial MT"/>
        <family val="2"/>
      </rPr>
      <t>HYDRAULIC OIL LEVEL TK-2</t>
    </r>
  </si>
  <si>
    <r>
      <rPr>
        <sz val="5"/>
        <rFont val="Arial MT"/>
        <family val="2"/>
      </rPr>
      <t>ESD TRIP</t>
    </r>
  </si>
  <si>
    <r>
      <rPr>
        <sz val="5"/>
        <rFont val="Arial MT"/>
        <family val="2"/>
      </rPr>
      <t>100-SY-601</t>
    </r>
  </si>
  <si>
    <r>
      <rPr>
        <sz val="5"/>
        <rFont val="Arial MT"/>
        <family val="2"/>
      </rPr>
      <t>REMOTE ESD</t>
    </r>
  </si>
  <si>
    <r>
      <rPr>
        <sz val="5"/>
        <rFont val="Arial MT"/>
        <family val="2"/>
      </rPr>
      <t>100-SJBZ-102</t>
    </r>
  </si>
  <si>
    <r>
      <rPr>
        <sz val="5"/>
        <rFont val="Arial MT"/>
        <family val="2"/>
      </rPr>
      <t>100-SY-602</t>
    </r>
  </si>
  <si>
    <r>
      <rPr>
        <sz val="5"/>
        <rFont val="Arial MT"/>
        <family val="2"/>
      </rPr>
      <t>100-SY-603</t>
    </r>
  </si>
  <si>
    <r>
      <rPr>
        <sz val="5"/>
        <rFont val="Arial MT"/>
        <family val="2"/>
      </rPr>
      <t>REMOTE PSD</t>
    </r>
  </si>
  <si>
    <r>
      <rPr>
        <sz val="5"/>
        <rFont val="Arial MT"/>
        <family val="2"/>
      </rPr>
      <t>100-SY-604</t>
    </r>
  </si>
  <si>
    <r>
      <rPr>
        <sz val="5"/>
        <rFont val="Arial MT"/>
        <family val="2"/>
      </rPr>
      <t>100-PZIT-616</t>
    </r>
  </si>
  <si>
    <r>
      <rPr>
        <sz val="5"/>
        <rFont val="Arial MT"/>
        <family val="2"/>
      </rPr>
      <t>ESD HEADER HYDRAULIC OIL PRESSURE</t>
    </r>
  </si>
  <si>
    <r>
      <rPr>
        <sz val="5"/>
        <rFont val="Arial MT"/>
        <family val="2"/>
      </rPr>
      <t>100-PZIT-617</t>
    </r>
  </si>
  <si>
    <r>
      <rPr>
        <sz val="5"/>
        <rFont val="Arial MT"/>
        <family val="2"/>
      </rPr>
      <t>PSD HEADER HYDRAULIC OIL PRESSURE</t>
    </r>
  </si>
  <si>
    <r>
      <rPr>
        <sz val="5"/>
        <rFont val="Arial MT"/>
        <family val="2"/>
      </rPr>
      <t>100-ZZT-908</t>
    </r>
  </si>
  <si>
    <r>
      <rPr>
        <sz val="5"/>
        <rFont val="Arial MT"/>
        <family val="2"/>
      </rPr>
      <t>POSITION SAFETY TRANSMITTER</t>
    </r>
  </si>
  <si>
    <r>
      <rPr>
        <sz val="5"/>
        <rFont val="Arial MT"/>
        <family val="2"/>
      </rPr>
      <t>100-BDV-908- BLOW DOWN VALVE</t>
    </r>
  </si>
  <si>
    <r>
      <rPr>
        <sz val="5"/>
        <rFont val="Arial MT"/>
        <family val="2"/>
      </rPr>
      <t>100-AJBZ-003</t>
    </r>
  </si>
  <si>
    <r>
      <rPr>
        <sz val="5"/>
        <rFont val="Arial MT"/>
        <family val="2"/>
      </rPr>
      <t>100-SJBZ-001</t>
    </r>
  </si>
  <si>
    <r>
      <rPr>
        <sz val="5"/>
        <rFont val="Arial MT"/>
        <family val="2"/>
      </rPr>
      <t>100-ZZT-906</t>
    </r>
  </si>
  <si>
    <r>
      <rPr>
        <sz val="5"/>
        <rFont val="Arial MT"/>
        <family val="2"/>
      </rPr>
      <t>100-SDV-906 POSITION TRANSMITTER</t>
    </r>
  </si>
  <si>
    <r>
      <rPr>
        <sz val="5"/>
        <rFont val="Arial MT"/>
        <family val="2"/>
      </rPr>
      <t>100-SDV-906- SHUT DOWN VALVE</t>
    </r>
  </si>
  <si>
    <r>
      <rPr>
        <sz val="5"/>
        <rFont val="Arial MT"/>
        <family val="2"/>
      </rPr>
      <t>100-PZIT-219-1</t>
    </r>
  </si>
  <si>
    <r>
      <rPr>
        <sz val="5"/>
        <rFont val="Arial MT"/>
        <family val="2"/>
      </rPr>
      <t>TO WEB PIPELINE PIG RECEIVER AT ONSHORE</t>
    </r>
  </si>
  <si>
    <r>
      <rPr>
        <sz val="5"/>
        <rFont val="Arial MT"/>
        <family val="2"/>
      </rPr>
      <t>100-PZIT-219-2</t>
    </r>
  </si>
  <si>
    <r>
      <rPr>
        <sz val="5"/>
        <rFont val="Arial MT"/>
        <family val="2"/>
      </rPr>
      <t>LEVEL SAFETY TRANSMITTER-DP TYPE DIAPHRAM SEAL</t>
    </r>
  </si>
  <si>
    <r>
      <rPr>
        <sz val="5"/>
        <rFont val="Arial MT"/>
        <family val="2"/>
      </rPr>
      <t>800 - 5100 mm ( 0 - 358
mbar)</t>
    </r>
  </si>
  <si>
    <r>
      <rPr>
        <sz val="5"/>
        <rFont val="Arial MT"/>
        <family val="2"/>
      </rPr>
      <t>FLOW SAFETY TRANSIMITTER</t>
    </r>
  </si>
  <si>
    <r>
      <rPr>
        <sz val="5"/>
        <rFont val="Arial MT"/>
        <family val="2"/>
      </rPr>
      <t>TO 100-FL-001 DIESEL FILTER SKID</t>
    </r>
  </si>
  <si>
    <r>
      <rPr>
        <sz val="5"/>
        <rFont val="Arial MT"/>
        <family val="2"/>
      </rPr>
      <t>DIESEL PUMP PACKAGE</t>
    </r>
  </si>
  <si>
    <r>
      <rPr>
        <sz val="5"/>
        <rFont val="Arial MT"/>
        <family val="2"/>
      </rPr>
      <t>100-LZIT-605A</t>
    </r>
  </si>
  <si>
    <r>
      <rPr>
        <sz val="5"/>
        <rFont val="Arial MT"/>
        <family val="2"/>
      </rPr>
      <t>LEVEL SAFETY TRANSMITTER-GUIDED WAVE RADAR</t>
    </r>
  </si>
  <si>
    <r>
      <rPr>
        <sz val="5"/>
        <rFont val="Arial MT"/>
        <family val="2"/>
      </rPr>
      <t>150 - 950 mm</t>
    </r>
  </si>
  <si>
    <r>
      <rPr>
        <sz val="5"/>
        <rFont val="Arial MT"/>
        <family val="2"/>
      </rPr>
      <t>100-AJBZ-004</t>
    </r>
  </si>
  <si>
    <r>
      <rPr>
        <sz val="5"/>
        <rFont val="Arial MT"/>
        <family val="2"/>
      </rPr>
      <t>100-LZIT-605B</t>
    </r>
  </si>
  <si>
    <r>
      <rPr>
        <sz val="5"/>
        <rFont val="Arial MT"/>
        <family val="2"/>
      </rPr>
      <t>100-LZIT-605C</t>
    </r>
  </si>
  <si>
    <r>
      <rPr>
        <sz val="5"/>
        <rFont val="Arial MT"/>
        <family val="2"/>
      </rPr>
      <t>100-AJBZ-104</t>
    </r>
  </si>
  <si>
    <r>
      <rPr>
        <sz val="5"/>
        <rFont val="Arial MT"/>
        <family val="2"/>
      </rPr>
      <t>100-SV-910A</t>
    </r>
  </si>
  <si>
    <r>
      <rPr>
        <sz val="5"/>
        <rFont val="Arial MT"/>
        <family val="2"/>
      </rPr>
      <t>CORROSION INHIBITOR INJECTION TO WEB NE FLOWLINE</t>
    </r>
  </si>
  <si>
    <r>
      <rPr>
        <sz val="5"/>
        <rFont val="Arial MT"/>
        <family val="2"/>
      </rPr>
      <t>100-SJBZ-103</t>
    </r>
  </si>
  <si>
    <r>
      <rPr>
        <sz val="5"/>
        <rFont val="Arial MT"/>
        <family val="2"/>
      </rPr>
      <t>100-SV-910B</t>
    </r>
  </si>
  <si>
    <r>
      <rPr>
        <sz val="5"/>
        <rFont val="Arial MT"/>
        <family val="2"/>
      </rPr>
      <t>CORROSION INHIBITOR INJECTION TO WEB NW FLOWLINE</t>
    </r>
  </si>
  <si>
    <r>
      <rPr>
        <sz val="5"/>
        <rFont val="Arial MT"/>
        <family val="2"/>
      </rPr>
      <t>100-SV-910C</t>
    </r>
  </si>
  <si>
    <r>
      <rPr>
        <sz val="5"/>
        <rFont val="Arial MT"/>
        <family val="2"/>
      </rPr>
      <t>CORROSION INHIBITOR INJECTION TO WEB SE FLOWLINE</t>
    </r>
  </si>
  <si>
    <r>
      <rPr>
        <sz val="5"/>
        <rFont val="Arial MT"/>
        <family val="2"/>
      </rPr>
      <t>100-SV-910D</t>
    </r>
  </si>
  <si>
    <r>
      <rPr>
        <sz val="5"/>
        <rFont val="Arial MT"/>
        <family val="2"/>
      </rPr>
      <t>CORROSION INHIBITOR INJECTION TO WEB SW FLOWLINE</t>
    </r>
  </si>
  <si>
    <r>
      <rPr>
        <sz val="5"/>
        <rFont val="Arial MT"/>
        <family val="2"/>
      </rPr>
      <t>100-AJBZ-105</t>
    </r>
  </si>
  <si>
    <r>
      <rPr>
        <sz val="5"/>
        <rFont val="Arial MT"/>
        <family val="2"/>
      </rPr>
      <t>OUTLET FROM KHI PUMP (100-P-002A )</t>
    </r>
  </si>
  <si>
    <r>
      <rPr>
        <sz val="5"/>
        <rFont val="Arial MT"/>
        <family val="2"/>
      </rPr>
      <t>OUTLET FROM KHI PUMP (100-P-002B )</t>
    </r>
  </si>
  <si>
    <r>
      <rPr>
        <sz val="5"/>
        <rFont val="Arial MT"/>
        <family val="2"/>
      </rPr>
      <t>100-SV-911A</t>
    </r>
  </si>
  <si>
    <r>
      <rPr>
        <sz val="5"/>
        <rFont val="Arial MT"/>
        <family val="2"/>
      </rPr>
      <t>KHI INJECTION TO WEB NE FLOWLINE</t>
    </r>
  </si>
  <si>
    <r>
      <rPr>
        <sz val="5"/>
        <rFont val="Arial MT"/>
        <family val="2"/>
      </rPr>
      <t>100-SJBZ-104</t>
    </r>
  </si>
  <si>
    <r>
      <rPr>
        <sz val="5"/>
        <rFont val="Arial MT"/>
        <family val="2"/>
      </rPr>
      <t>100-SV-911B</t>
    </r>
  </si>
  <si>
    <r>
      <rPr>
        <sz val="5"/>
        <rFont val="Arial MT"/>
        <family val="2"/>
      </rPr>
      <t>KHI INJECTION TO WEB NW FLOWLINE</t>
    </r>
  </si>
  <si>
    <r>
      <rPr>
        <sz val="5"/>
        <rFont val="Arial MT"/>
        <family val="2"/>
      </rPr>
      <t>100-SV-911C</t>
    </r>
  </si>
  <si>
    <r>
      <rPr>
        <sz val="5"/>
        <rFont val="Arial MT"/>
        <family val="2"/>
      </rPr>
      <t>KHI INJECTION TO WEB SE FLOWLINE</t>
    </r>
  </si>
  <si>
    <r>
      <rPr>
        <sz val="5"/>
        <rFont val="Arial MT"/>
        <family val="2"/>
      </rPr>
      <t>100-SV-911D</t>
    </r>
  </si>
  <si>
    <r>
      <rPr>
        <sz val="5"/>
        <rFont val="Arial MT"/>
        <family val="2"/>
      </rPr>
      <t>KHI INJECTION TO WEB SW FLOWLINE</t>
    </r>
  </si>
  <si>
    <r>
      <rPr>
        <sz val="5"/>
        <rFont val="Arial MT"/>
        <family val="2"/>
      </rPr>
      <t>100-AJBZ-106</t>
    </r>
  </si>
  <si>
    <r>
      <rPr>
        <sz val="5"/>
        <rFont val="Arial MT"/>
        <family val="2"/>
      </rPr>
      <t>100-SV-909A</t>
    </r>
  </si>
  <si>
    <r>
      <rPr>
        <sz val="5"/>
        <rFont val="Arial MT"/>
        <family val="2"/>
      </rPr>
      <t>METHANOL INJECTION TO WEB NE FLOWLINE</t>
    </r>
  </si>
  <si>
    <r>
      <rPr>
        <sz val="5"/>
        <rFont val="Arial MT"/>
        <family val="2"/>
      </rPr>
      <t>BY METHANOL INJECTION SKID
VENDOR</t>
    </r>
  </si>
  <si>
    <r>
      <rPr>
        <sz val="5"/>
        <rFont val="Arial MT"/>
        <family val="2"/>
      </rPr>
      <t>100-SJBZ-105</t>
    </r>
  </si>
  <si>
    <r>
      <rPr>
        <sz val="5"/>
        <rFont val="Arial MT"/>
        <family val="2"/>
      </rPr>
      <t>100-SV-909B</t>
    </r>
  </si>
  <si>
    <r>
      <rPr>
        <sz val="5"/>
        <rFont val="Arial MT"/>
        <family val="2"/>
      </rPr>
      <t>METHANOL INJECTION TO WEB NW FLOWLINE</t>
    </r>
  </si>
  <si>
    <r>
      <rPr>
        <sz val="5"/>
        <rFont val="Arial MT"/>
        <family val="2"/>
      </rPr>
      <t>100-SV-909C</t>
    </r>
  </si>
  <si>
    <r>
      <rPr>
        <sz val="5"/>
        <rFont val="Arial MT"/>
        <family val="2"/>
      </rPr>
      <t>METHANOL INJECTION TO WEB SE FLOWLINE</t>
    </r>
  </si>
  <si>
    <r>
      <rPr>
        <sz val="5"/>
        <rFont val="Arial MT"/>
        <family val="2"/>
      </rPr>
      <t>100-SV-909D</t>
    </r>
  </si>
  <si>
    <r>
      <rPr>
        <sz val="5"/>
        <rFont val="Arial MT"/>
        <family val="2"/>
      </rPr>
      <t>METHANOL INJECTION TO WEB SW FLOWLINE</t>
    </r>
  </si>
  <si>
    <r>
      <rPr>
        <sz val="5"/>
        <rFont val="Arial MT"/>
        <family val="2"/>
      </rPr>
      <t>100-XS-MX-008</t>
    </r>
  </si>
  <si>
    <r>
      <rPr>
        <sz val="5"/>
        <rFont val="Arial MT"/>
        <family val="2"/>
      </rPr>
      <t>100-AJBZ-103</t>
    </r>
  </si>
  <si>
    <r>
      <rPr>
        <sz val="5"/>
        <rFont val="Arial MT"/>
        <family val="2"/>
      </rPr>
      <t>DISCHARGE OF 100-P-008A SCALE INHIBITOR PUMP</t>
    </r>
  </si>
  <si>
    <r>
      <rPr>
        <sz val="5"/>
        <rFont val="Arial MT"/>
        <family val="2"/>
      </rPr>
      <t>DISCHARGE OF 100-P-008B SCALE INHIBITOR PUMP</t>
    </r>
  </si>
  <si>
    <r>
      <rPr>
        <sz val="5"/>
        <rFont val="Arial MT"/>
        <family val="2"/>
      </rPr>
      <t>100-SV-912</t>
    </r>
  </si>
  <si>
    <r>
      <rPr>
        <sz val="5"/>
        <rFont val="Arial MT"/>
        <family val="2"/>
      </rPr>
      <t>SCALE INHIBITOR TO WEB PIPELINE PIG LAUNCHER</t>
    </r>
  </si>
  <si>
    <r>
      <rPr>
        <sz val="5"/>
        <rFont val="Arial MT"/>
        <family val="2"/>
      </rPr>
      <t>ON 100-TK-005 FRESH WATER TANK</t>
    </r>
  </si>
  <si>
    <r>
      <rPr>
        <sz val="5"/>
        <rFont val="Arial MT"/>
        <family val="2"/>
      </rPr>
      <t>100 - 1750 mm ( 0 - 162
mbar)</t>
    </r>
  </si>
  <si>
    <r>
      <rPr>
        <sz val="5"/>
        <rFont val="Arial MT"/>
        <family val="2"/>
      </rPr>
      <t>100-AJBZ-001</t>
    </r>
  </si>
  <si>
    <r>
      <rPr>
        <sz val="5"/>
        <rFont val="Arial MT"/>
        <family val="2"/>
      </rPr>
      <t>TO ACCOMODATION MODULE 100-PK-002</t>
    </r>
  </si>
  <si>
    <r>
      <rPr>
        <sz val="5"/>
        <rFont val="Arial MT"/>
        <family val="2"/>
      </rPr>
      <t>0 - 5500 kg/hr ( 0- 250
mbar)</t>
    </r>
  </si>
  <si>
    <r>
      <rPr>
        <sz val="5"/>
        <rFont val="Arial MT"/>
        <family val="2"/>
      </rPr>
      <t>FROM PAPYRUS PIPELINE PIG LAUNCHER</t>
    </r>
  </si>
  <si>
    <r>
      <rPr>
        <sz val="5"/>
        <rFont val="Arial MT"/>
        <family val="2"/>
      </rPr>
      <t>100-ZZT-907</t>
    </r>
  </si>
  <si>
    <r>
      <rPr>
        <sz val="5"/>
        <rFont val="Arial MT"/>
        <family val="2"/>
      </rPr>
      <t>100-SDV-907 POSITION TRANSMITTER</t>
    </r>
  </si>
  <si>
    <r>
      <rPr>
        <sz val="5"/>
        <rFont val="Arial MT"/>
        <family val="2"/>
      </rPr>
      <t>100-XL-001</t>
    </r>
  </si>
  <si>
    <r>
      <rPr>
        <sz val="5"/>
        <rFont val="Arial MT"/>
        <family val="2"/>
      </rPr>
      <t>POWER ON</t>
    </r>
  </si>
  <si>
    <r>
      <rPr>
        <sz val="5"/>
        <rFont val="Arial MT"/>
        <family val="2"/>
      </rPr>
      <t>POWER ON LAMP ON ICSS PANEL</t>
    </r>
  </si>
  <si>
    <r>
      <rPr>
        <sz val="5"/>
        <rFont val="Arial MT"/>
        <family val="2"/>
      </rPr>
      <t>SIS PANEL</t>
    </r>
  </si>
  <si>
    <r>
      <rPr>
        <sz val="5"/>
        <rFont val="Arial MT"/>
        <family val="2"/>
      </rPr>
      <t>100-XL-002</t>
    </r>
  </si>
  <si>
    <r>
      <rPr>
        <sz val="5"/>
        <rFont val="Arial MT"/>
        <family val="2"/>
      </rPr>
      <t>SYSTEM HEALTHY LAMP ON ICSS PANEL</t>
    </r>
  </si>
  <si>
    <r>
      <rPr>
        <sz val="5"/>
        <rFont val="Arial MT"/>
        <family val="2"/>
      </rPr>
      <t>100-XL-003</t>
    </r>
  </si>
  <si>
    <r>
      <rPr>
        <sz val="5"/>
        <rFont val="Arial MT"/>
        <family val="2"/>
      </rPr>
      <t>SYSTEM FAULT LAMP ON ICSS PANEL</t>
    </r>
  </si>
  <si>
    <r>
      <rPr>
        <sz val="5"/>
        <rFont val="Arial MT"/>
        <family val="2"/>
      </rPr>
      <t>100-XL-004</t>
    </r>
  </si>
  <si>
    <r>
      <rPr>
        <sz val="5"/>
        <rFont val="Arial MT"/>
        <family val="2"/>
      </rPr>
      <t>ESD STATUS</t>
    </r>
  </si>
  <si>
    <r>
      <rPr>
        <sz val="5"/>
        <rFont val="Arial MT"/>
        <family val="2"/>
      </rPr>
      <t>ESD STATUS LAMP ON ICSS PANEL</t>
    </r>
  </si>
  <si>
    <r>
      <rPr>
        <sz val="5"/>
        <rFont val="Arial MT"/>
        <family val="2"/>
      </rPr>
      <t>100-XL-005</t>
    </r>
  </si>
  <si>
    <r>
      <rPr>
        <sz val="5"/>
        <rFont val="Arial MT"/>
        <family val="2"/>
      </rPr>
      <t>PSD STATUS</t>
    </r>
  </si>
  <si>
    <r>
      <rPr>
        <sz val="5"/>
        <rFont val="Arial MT"/>
        <family val="2"/>
      </rPr>
      <t>PSD STATUS LAMP ON ICSS PANEL</t>
    </r>
  </si>
  <si>
    <r>
      <rPr>
        <sz val="5"/>
        <rFont val="Arial MT"/>
        <family val="2"/>
      </rPr>
      <t>100-XL-006</t>
    </r>
  </si>
  <si>
    <r>
      <rPr>
        <sz val="5"/>
        <rFont val="Arial MT"/>
        <family val="2"/>
      </rPr>
      <t>SPARE</t>
    </r>
  </si>
  <si>
    <r>
      <rPr>
        <sz val="5"/>
        <rFont val="Arial MT"/>
        <family val="2"/>
      </rPr>
      <t>SPARE LAMP ON ICSS PANEL</t>
    </r>
  </si>
  <si>
    <r>
      <rPr>
        <sz val="5"/>
        <rFont val="Arial MT"/>
        <family val="2"/>
      </rPr>
      <t>100-XL-007</t>
    </r>
  </si>
  <si>
    <r>
      <rPr>
        <sz val="5"/>
        <rFont val="Arial MT"/>
        <family val="2"/>
      </rPr>
      <t>100-XL-008</t>
    </r>
  </si>
  <si>
    <r>
      <rPr>
        <sz val="5"/>
        <rFont val="Arial MT"/>
        <family val="2"/>
      </rPr>
      <t>OVERRIDE STATUS</t>
    </r>
  </si>
  <si>
    <r>
      <rPr>
        <sz val="5"/>
        <rFont val="Arial MT"/>
        <family val="2"/>
      </rPr>
      <t>OVERRIDE STATUS LAMP ON ICSS PANEL</t>
    </r>
  </si>
  <si>
    <r>
      <rPr>
        <sz val="5"/>
        <rFont val="Arial MT"/>
        <family val="2"/>
      </rPr>
      <t>100-XL-009</t>
    </r>
  </si>
  <si>
    <r>
      <rPr>
        <sz val="5"/>
        <rFont val="Arial MT"/>
        <family val="2"/>
      </rPr>
      <t>MAINTENANCE OVERRIDE STATUS</t>
    </r>
  </si>
  <si>
    <r>
      <rPr>
        <sz val="5"/>
        <rFont val="Arial MT"/>
        <family val="2"/>
      </rPr>
      <t>MAINTENANCE OVERRIDE STATUS LAMP ON ICSS PANEL</t>
    </r>
  </si>
  <si>
    <r>
      <rPr>
        <sz val="5"/>
        <rFont val="Arial MT"/>
        <family val="2"/>
      </rPr>
      <t>100-XL-010</t>
    </r>
  </si>
  <si>
    <r>
      <rPr>
        <sz val="5"/>
        <rFont val="Arial MT"/>
        <family val="2"/>
      </rPr>
      <t>100-XL-011</t>
    </r>
  </si>
  <si>
    <r>
      <rPr>
        <sz val="5"/>
        <rFont val="Arial MT"/>
        <family val="2"/>
      </rPr>
      <t>100-XL-012</t>
    </r>
  </si>
  <si>
    <r>
      <rPr>
        <sz val="5"/>
        <rFont val="Arial MT"/>
        <family val="2"/>
      </rPr>
      <t>100-XL-013</t>
    </r>
  </si>
  <si>
    <r>
      <rPr>
        <sz val="5"/>
        <rFont val="Arial MT"/>
        <family val="2"/>
      </rPr>
      <t>100-PB-001</t>
    </r>
  </si>
  <si>
    <r>
      <rPr>
        <sz val="5"/>
        <rFont val="Arial MT"/>
        <family val="2"/>
      </rPr>
      <t>ACKNOWLEDGEMENT-PUSH BUTTON</t>
    </r>
  </si>
  <si>
    <r>
      <rPr>
        <sz val="5"/>
        <rFont val="Arial MT"/>
        <family val="2"/>
      </rPr>
      <t>ACKNOWLEDGEMENT-PUSH BUTTON ON ICSS PANEL</t>
    </r>
  </si>
  <si>
    <r>
      <rPr>
        <sz val="5"/>
        <rFont val="Arial MT"/>
        <family val="2"/>
      </rPr>
      <t>100-PB-002</t>
    </r>
  </si>
  <si>
    <r>
      <rPr>
        <sz val="5"/>
        <rFont val="Arial MT"/>
        <family val="2"/>
      </rPr>
      <t>LAMP TEST-PUSH BUTTON</t>
    </r>
  </si>
  <si>
    <r>
      <rPr>
        <sz val="5"/>
        <rFont val="Arial MT"/>
        <family val="2"/>
      </rPr>
      <t>LAMP TEST-PUSH BUTTON ON ICSS PANEL</t>
    </r>
  </si>
  <si>
    <r>
      <rPr>
        <sz val="5"/>
        <rFont val="Arial MT"/>
        <family val="2"/>
      </rPr>
      <t>100-PB-003</t>
    </r>
  </si>
  <si>
    <r>
      <rPr>
        <sz val="5"/>
        <rFont val="Arial MT"/>
        <family val="2"/>
      </rPr>
      <t>ESD-PUSH BUTTON</t>
    </r>
  </si>
  <si>
    <r>
      <rPr>
        <sz val="5"/>
        <rFont val="Arial MT"/>
        <family val="2"/>
      </rPr>
      <t>ESD-PUSH BUTTON ON ICSS PANEL</t>
    </r>
  </si>
  <si>
    <r>
      <rPr>
        <sz val="5"/>
        <rFont val="Arial MT"/>
        <family val="2"/>
      </rPr>
      <t>100-PB-004</t>
    </r>
  </si>
  <si>
    <r>
      <rPr>
        <sz val="5"/>
        <rFont val="Arial MT"/>
        <family val="2"/>
      </rPr>
      <t>PSD-PUSH BUTTON</t>
    </r>
  </si>
  <si>
    <r>
      <rPr>
        <sz val="5"/>
        <rFont val="Arial MT"/>
        <family val="2"/>
      </rPr>
      <t>PSD-PUSH BUTTON ON ICSS PANEL</t>
    </r>
  </si>
  <si>
    <r>
      <rPr>
        <sz val="5"/>
        <rFont val="Arial MT"/>
        <family val="2"/>
      </rPr>
      <t>100-PB-005</t>
    </r>
  </si>
  <si>
    <r>
      <rPr>
        <sz val="5"/>
        <rFont val="Arial MT"/>
        <family val="2"/>
      </rPr>
      <t>START-UP OVERRIDE KEYSWITCH</t>
    </r>
  </si>
  <si>
    <r>
      <rPr>
        <sz val="5"/>
        <rFont val="Arial MT"/>
        <family val="2"/>
      </rPr>
      <t>START-UP OVERRIDE KEYSWITCH ON ICSS PANEL</t>
    </r>
  </si>
  <si>
    <r>
      <rPr>
        <sz val="5"/>
        <rFont val="Arial MT"/>
        <family val="2"/>
      </rPr>
      <t>100-PB-006</t>
    </r>
  </si>
  <si>
    <r>
      <rPr>
        <sz val="5"/>
        <rFont val="Arial MT"/>
        <family val="2"/>
      </rPr>
      <t>MAINTENANCE OVERRIDE KEYSWITCH</t>
    </r>
  </si>
  <si>
    <r>
      <rPr>
        <sz val="5"/>
        <rFont val="Arial MT"/>
        <family val="2"/>
      </rPr>
      <t>MAINTENANCE OVERRIDE KEYSWITCH ON ICSS PANEL</t>
    </r>
  </si>
  <si>
    <r>
      <rPr>
        <sz val="5"/>
        <rFont val="Arial MT"/>
        <family val="2"/>
      </rPr>
      <t>100-PB-007</t>
    </r>
  </si>
  <si>
    <r>
      <rPr>
        <sz val="5"/>
        <rFont val="Arial MT"/>
        <family val="2"/>
      </rPr>
      <t>LOCAL / REMOTE KEYSWITCH</t>
    </r>
  </si>
  <si>
    <r>
      <rPr>
        <sz val="5"/>
        <rFont val="Arial MT"/>
        <family val="2"/>
      </rPr>
      <t>LOCAL / REMOTE KEYSWITCH ON ICSS PANEL</t>
    </r>
  </si>
  <si>
    <r>
      <rPr>
        <sz val="5"/>
        <rFont val="Arial MT"/>
        <family val="2"/>
      </rPr>
      <t>100-PB-008</t>
    </r>
  </si>
  <si>
    <r>
      <rPr>
        <sz val="5"/>
        <rFont val="Arial MT"/>
        <family val="2"/>
      </rPr>
      <t>ESD RESET-PUSH BUTTON</t>
    </r>
  </si>
  <si>
    <r>
      <rPr>
        <sz val="5"/>
        <rFont val="Arial MT"/>
        <family val="2"/>
      </rPr>
      <t>ESD RESET-PUSH BUTTON ON ICSS PANEL</t>
    </r>
  </si>
  <si>
    <r>
      <rPr>
        <sz val="5"/>
        <rFont val="Arial MT"/>
        <family val="2"/>
      </rPr>
      <t>100-PB-009</t>
    </r>
  </si>
  <si>
    <r>
      <rPr>
        <sz val="5"/>
        <rFont val="Arial MT"/>
        <family val="2"/>
      </rPr>
      <t>PSD RESET-PUSH BUTTON</t>
    </r>
  </si>
  <si>
    <r>
      <rPr>
        <sz val="5"/>
        <rFont val="Arial MT"/>
        <family val="2"/>
      </rPr>
      <t>PSD RESET-PUSH BUTTON ON ICSS PANEL</t>
    </r>
  </si>
  <si>
    <r>
      <rPr>
        <sz val="5"/>
        <rFont val="Arial MT"/>
        <family val="2"/>
      </rPr>
      <t>100-PB-010</t>
    </r>
  </si>
  <si>
    <r>
      <rPr>
        <sz val="5"/>
        <rFont val="Arial MT"/>
        <family val="2"/>
      </rPr>
      <t>LSD RESET-PUSH BUTTON</t>
    </r>
  </si>
  <si>
    <r>
      <rPr>
        <sz val="5"/>
        <rFont val="Arial MT"/>
        <family val="2"/>
      </rPr>
      <t>LSD RESET-PUSH BUTTON ON ICSS PANEL</t>
    </r>
  </si>
  <si>
    <r>
      <rPr>
        <sz val="5"/>
        <rFont val="Arial MT"/>
        <family val="2"/>
      </rPr>
      <t>100-PB-011</t>
    </r>
  </si>
  <si>
    <r>
      <rPr>
        <sz val="5"/>
        <rFont val="Arial MT"/>
        <family val="2"/>
      </rPr>
      <t>NORMAL/ SIPROD SELECTOR SWITCH</t>
    </r>
  </si>
  <si>
    <r>
      <rPr>
        <sz val="5"/>
        <rFont val="Arial MT"/>
        <family val="2"/>
      </rPr>
      <t>NORMAL/ SIP ROD SELECTOR SWITCH ON ICSS PANEL</t>
    </r>
  </si>
  <si>
    <r>
      <rPr>
        <sz val="5"/>
        <rFont val="Arial MT"/>
        <family val="2"/>
      </rPr>
      <t>NEWLY ADDED</t>
    </r>
  </si>
  <si>
    <r>
      <rPr>
        <sz val="5"/>
        <rFont val="Arial MT"/>
        <family val="2"/>
      </rPr>
      <t>100-PB-012</t>
    </r>
  </si>
  <si>
    <r>
      <rPr>
        <sz val="5"/>
        <rFont val="Arial MT"/>
        <family val="2"/>
      </rPr>
      <t>SPARE -KEYSWITCH</t>
    </r>
  </si>
  <si>
    <r>
      <rPr>
        <sz val="5"/>
        <rFont val="Arial MT"/>
        <family val="2"/>
      </rPr>
      <t>SPARE -KEYSWITCH ON ICSS PANEL</t>
    </r>
  </si>
  <si>
    <r>
      <rPr>
        <sz val="5"/>
        <rFont val="Arial MT"/>
        <family val="2"/>
      </rPr>
      <t>100-PB-013</t>
    </r>
  </si>
  <si>
    <r>
      <rPr>
        <sz val="5"/>
        <rFont val="Arial MT"/>
        <family val="2"/>
      </rPr>
      <t>100-PB-014</t>
    </r>
  </si>
  <si>
    <r>
      <rPr>
        <sz val="5"/>
        <rFont val="Arial MT"/>
        <family val="2"/>
      </rPr>
      <t>100-PB-015</t>
    </r>
  </si>
  <si>
    <r>
      <rPr>
        <sz val="5"/>
        <rFont val="Arial MT"/>
        <family val="2"/>
      </rPr>
      <t>SPARE -PUSH BUTTON</t>
    </r>
  </si>
  <si>
    <r>
      <rPr>
        <sz val="5"/>
        <rFont val="Arial MT"/>
        <family val="2"/>
      </rPr>
      <t>SPARE -PUSH BUTTON ON ICSS PANEL</t>
    </r>
  </si>
  <si>
    <r>
      <rPr>
        <sz val="5"/>
        <rFont val="Arial MT"/>
        <family val="2"/>
      </rPr>
      <t>100-PB-016</t>
    </r>
  </si>
  <si>
    <r>
      <rPr>
        <sz val="5"/>
        <rFont val="Arial MT"/>
        <family val="2"/>
      </rPr>
      <t>100-HS-ESD-001</t>
    </r>
  </si>
  <si>
    <r>
      <rPr>
        <sz val="5"/>
        <rFont val="Arial MT"/>
        <family val="2"/>
      </rPr>
      <t>ESD SHUTDOWN</t>
    </r>
  </si>
  <si>
    <r>
      <rPr>
        <sz val="5"/>
        <rFont val="Arial MT"/>
        <family val="2"/>
      </rPr>
      <t>100-DJBZ-001</t>
    </r>
  </si>
  <si>
    <r>
      <rPr>
        <sz val="5"/>
        <rFont val="Arial MT"/>
        <family val="2"/>
      </rPr>
      <t>100-HS-ESD-002</t>
    </r>
  </si>
  <si>
    <r>
      <rPr>
        <sz val="5"/>
        <rFont val="Arial MT"/>
        <family val="2"/>
      </rPr>
      <t>100-HS-ESD-003</t>
    </r>
  </si>
  <si>
    <r>
      <rPr>
        <sz val="5"/>
        <rFont val="Arial MT"/>
        <family val="2"/>
      </rPr>
      <t>100-HS-ESD-004</t>
    </r>
  </si>
  <si>
    <r>
      <rPr>
        <sz val="5"/>
        <rFont val="Arial MT"/>
        <family val="2"/>
      </rPr>
      <t>100-HS-ESD-005</t>
    </r>
  </si>
  <si>
    <r>
      <rPr>
        <sz val="5"/>
        <rFont val="Arial MT"/>
        <family val="2"/>
      </rPr>
      <t>100-DJBZ-002</t>
    </r>
  </si>
  <si>
    <r>
      <rPr>
        <sz val="5"/>
        <rFont val="Arial MT"/>
        <family val="2"/>
      </rPr>
      <t>100-HS-ESD-006</t>
    </r>
  </si>
  <si>
    <r>
      <rPr>
        <sz val="5"/>
        <rFont val="Arial MT"/>
        <family val="2"/>
      </rPr>
      <t>100-XS-009</t>
    </r>
  </si>
  <si>
    <r>
      <rPr>
        <sz val="5"/>
        <rFont val="Arial MT"/>
        <family val="2"/>
      </rPr>
      <t>ESD SIGNAL TO PAGA</t>
    </r>
  </si>
  <si>
    <r>
      <rPr>
        <sz val="5"/>
        <rFont val="Arial MT"/>
        <family val="2"/>
      </rPr>
      <t>100-XS-012</t>
    </r>
  </si>
  <si>
    <r>
      <rPr>
        <sz val="5"/>
        <rFont val="Arial MT"/>
        <family val="2"/>
      </rPr>
      <t>TOTAL POWER LOSS STATUS</t>
    </r>
  </si>
  <si>
    <r>
      <rPr>
        <sz val="5"/>
        <rFont val="Arial MT"/>
        <family val="2"/>
      </rPr>
      <t>100-XS-013</t>
    </r>
  </si>
  <si>
    <r>
      <rPr>
        <sz val="5"/>
        <rFont val="Arial MT"/>
        <family val="2"/>
      </rPr>
      <t>COMMUNICATION LOSS IN WDDM STATUS</t>
    </r>
  </si>
  <si>
    <r>
      <rPr>
        <sz val="5"/>
        <rFont val="Arial MT"/>
        <family val="2"/>
      </rPr>
      <t>TELECOM</t>
    </r>
  </si>
  <si>
    <r>
      <rPr>
        <sz val="5"/>
        <rFont val="Arial MT"/>
        <family val="2"/>
      </rPr>
      <t>100-TEL-001 PANEL</t>
    </r>
  </si>
  <si>
    <r>
      <rPr>
        <sz val="5"/>
        <rFont val="Arial MT"/>
        <family val="2"/>
      </rPr>
      <t>100-HS-ESD-007</t>
    </r>
  </si>
  <si>
    <r>
      <rPr>
        <sz val="5"/>
        <rFont val="Arial MT"/>
        <family val="2"/>
      </rPr>
      <t>100-HS-ESD-008</t>
    </r>
  </si>
  <si>
    <r>
      <rPr>
        <sz val="5"/>
        <rFont val="Arial MT"/>
        <family val="2"/>
      </rPr>
      <t>100-XS-014</t>
    </r>
  </si>
  <si>
    <r>
      <rPr>
        <sz val="5"/>
        <rFont val="Arial MT"/>
        <family val="2"/>
      </rPr>
      <t>PSD STATUS FROM SIS TO PAGA</t>
    </r>
  </si>
  <si>
    <r>
      <rPr>
        <sz val="5"/>
        <rFont val="Arial MT"/>
        <family val="2"/>
      </rPr>
      <t>100-PS-906</t>
    </r>
  </si>
  <si>
    <r>
      <rPr>
        <sz val="5"/>
        <rFont val="Arial MT"/>
        <family val="2"/>
      </rPr>
      <t>ON 100-SDV-906 SHUT DOWN VALVE</t>
    </r>
  </si>
  <si>
    <r>
      <rPr>
        <sz val="5"/>
        <rFont val="Arial MT"/>
        <family val="2"/>
      </rPr>
      <t>100-PS-907</t>
    </r>
  </si>
  <si>
    <r>
      <rPr>
        <sz val="5"/>
        <rFont val="Arial MT"/>
        <family val="2"/>
      </rPr>
      <t>ON 100-SDV-907 SHUT DOWN VALVE</t>
    </r>
  </si>
  <si>
    <r>
      <rPr>
        <sz val="5"/>
        <rFont val="Arial MT"/>
        <family val="2"/>
      </rPr>
      <t>100-HS-ESD-009</t>
    </r>
  </si>
  <si>
    <r>
      <rPr>
        <sz val="5"/>
        <rFont val="Arial MT"/>
        <family val="2"/>
      </rPr>
      <t>DRILLING RIG - ESD PUSHBUTTON</t>
    </r>
  </si>
  <si>
    <r>
      <rPr>
        <sz val="5"/>
        <rFont val="Arial MT"/>
        <family val="2"/>
      </rPr>
      <t>ESD SHUTDOWN FROM DRILLING RIG</t>
    </r>
  </si>
  <si>
    <r>
      <rPr>
        <sz val="5"/>
        <rFont val="Arial MT"/>
        <family val="2"/>
      </rPr>
      <t>DRILLING RIG</t>
    </r>
  </si>
  <si>
    <r>
      <rPr>
        <sz val="5"/>
        <rFont val="Arial MT"/>
        <family val="2"/>
      </rPr>
      <t>DURING SIPROD OPERATION ONLY
NEWLY ADDED</t>
    </r>
  </si>
  <si>
    <r>
      <rPr>
        <sz val="5"/>
        <rFont val="Arial MT"/>
        <family val="2"/>
      </rPr>
      <t>100-CF-003A</t>
    </r>
  </si>
  <si>
    <r>
      <rPr>
        <sz val="5"/>
        <rFont val="Arial MT"/>
        <family val="2"/>
      </rPr>
      <t>CONFIRMED FIRE</t>
    </r>
  </si>
  <si>
    <r>
      <rPr>
        <sz val="5"/>
        <rFont val="Arial MT"/>
        <family val="2"/>
      </rPr>
      <t>100-PK-003A DIESEL GENERATOR PACKAGE CONFIRMED FIRE</t>
    </r>
  </si>
  <si>
    <r>
      <rPr>
        <sz val="5"/>
        <rFont val="Arial MT"/>
        <family val="2"/>
      </rPr>
      <t>FGS</t>
    </r>
  </si>
  <si>
    <r>
      <rPr>
        <sz val="5"/>
        <rFont val="Arial MT"/>
        <family val="2"/>
      </rPr>
      <t>100-CF-003B</t>
    </r>
  </si>
  <si>
    <r>
      <rPr>
        <sz val="5"/>
        <rFont val="Arial MT"/>
        <family val="2"/>
      </rPr>
      <t>100-PK-003B DIESEL GENERATOR PACKAGE CONFIRMED FIRE</t>
    </r>
  </si>
  <si>
    <r>
      <rPr>
        <sz val="5"/>
        <rFont val="Arial MT"/>
        <family val="2"/>
      </rPr>
      <t>100-SV-910</t>
    </r>
  </si>
  <si>
    <r>
      <rPr>
        <sz val="5"/>
        <rFont val="Arial MT"/>
        <family val="2"/>
      </rPr>
      <t>CO2 SNUFFING PACKAGE SCOPE (COLD VENT PACKAGE)</t>
    </r>
  </si>
  <si>
    <r>
      <rPr>
        <sz val="5"/>
        <rFont val="Arial MT"/>
        <family val="2"/>
      </rPr>
      <t>TEMPERATURE CO2 SNUFFING SYSTEM</t>
    </r>
  </si>
  <si>
    <r>
      <rPr>
        <sz val="5"/>
        <rFont val="Arial MT"/>
        <family val="2"/>
      </rPr>
      <t>BY COLD VENT PACKAGE VENDOR</t>
    </r>
  </si>
  <si>
    <r>
      <rPr>
        <sz val="5"/>
        <rFont val="Arial MT"/>
        <family val="2"/>
      </rPr>
      <t>100-AJBZFG-101</t>
    </r>
  </si>
  <si>
    <r>
      <rPr>
        <sz val="5"/>
        <rFont val="Arial MT"/>
        <family val="2"/>
      </rPr>
      <t>100-PZIT-615A</t>
    </r>
  </si>
  <si>
    <r>
      <rPr>
        <sz val="5"/>
        <rFont val="Arial MT"/>
        <family val="2"/>
      </rPr>
      <t>FUSIBLE LOOP PRESSURE</t>
    </r>
  </si>
  <si>
    <r>
      <rPr>
        <sz val="5"/>
        <rFont val="Arial MT"/>
        <family val="2"/>
      </rPr>
      <t>100-AJBZFG-102</t>
    </r>
  </si>
  <si>
    <r>
      <rPr>
        <sz val="5"/>
        <rFont val="Arial MT"/>
        <family val="2"/>
      </rPr>
      <t>100-PZIT-615B</t>
    </r>
  </si>
  <si>
    <r>
      <rPr>
        <sz val="5"/>
        <rFont val="Arial MT"/>
        <family val="2"/>
      </rPr>
      <t>100-MR-001</t>
    </r>
  </si>
  <si>
    <r>
      <rPr>
        <sz val="5"/>
        <rFont val="Arial MT"/>
        <family val="2"/>
      </rPr>
      <t>MANUAL RELEASE</t>
    </r>
  </si>
  <si>
    <r>
      <rPr>
        <sz val="5"/>
        <rFont val="Arial MT"/>
        <family val="2"/>
      </rPr>
      <t>MANUAL RELASE FOR FOAM SYSTEM HELIDECK</t>
    </r>
  </si>
  <si>
    <r>
      <rPr>
        <sz val="5"/>
        <rFont val="Arial MT"/>
        <family val="2"/>
      </rPr>
      <t>80289-FGS-LYT-1001 (1 of 5)</t>
    </r>
  </si>
  <si>
    <r>
      <rPr>
        <sz val="5"/>
        <rFont val="Arial MT"/>
        <family val="2"/>
      </rPr>
      <t>100-DJBZFG-002</t>
    </r>
  </si>
  <si>
    <r>
      <rPr>
        <sz val="5"/>
        <rFont val="Arial MT"/>
        <family val="2"/>
      </rPr>
      <t>100-MR-002</t>
    </r>
  </si>
  <si>
    <r>
      <rPr>
        <sz val="5"/>
        <rFont val="Arial MT"/>
        <family val="2"/>
      </rPr>
      <t>100-MCP-001</t>
    </r>
  </si>
  <si>
    <r>
      <rPr>
        <sz val="5"/>
        <rFont val="Arial MT"/>
        <family val="2"/>
      </rPr>
      <t>ON HELIDECK</t>
    </r>
  </si>
  <si>
    <r>
      <rPr>
        <sz val="5"/>
        <rFont val="Arial MT"/>
        <family val="2"/>
      </rPr>
      <t>100-DJBZFG-001</t>
    </r>
  </si>
  <si>
    <r>
      <rPr>
        <sz val="5"/>
        <rFont val="Arial MT"/>
        <family val="2"/>
      </rPr>
      <t>100-MCP-002</t>
    </r>
  </si>
  <si>
    <r>
      <rPr>
        <sz val="5"/>
        <rFont val="Arial MT"/>
        <family val="2"/>
      </rPr>
      <t>100-H2-001</t>
    </r>
  </si>
  <si>
    <r>
      <rPr>
        <sz val="5"/>
        <rFont val="Arial MT"/>
        <family val="2"/>
      </rPr>
      <t>H2 DETECTOR</t>
    </r>
  </si>
  <si>
    <r>
      <rPr>
        <sz val="5"/>
        <rFont val="Arial MT"/>
        <family val="2"/>
      </rPr>
      <t>80289-FGS-LYT-1001 (2 of 5)</t>
    </r>
  </si>
  <si>
    <r>
      <rPr>
        <sz val="5"/>
        <rFont val="Arial MT"/>
        <family val="2"/>
      </rPr>
      <t>0 - 100% LEL</t>
    </r>
  </si>
  <si>
    <r>
      <rPr>
        <sz val="5"/>
        <rFont val="Arial MT"/>
        <family val="2"/>
      </rPr>
      <t>20% LEL</t>
    </r>
  </si>
  <si>
    <r>
      <rPr>
        <sz val="5"/>
        <rFont val="Arial MT"/>
        <family val="2"/>
      </rPr>
      <t>60% LEL</t>
    </r>
  </si>
  <si>
    <r>
      <rPr>
        <sz val="5"/>
        <rFont val="Arial MT"/>
        <family val="2"/>
      </rPr>
      <t>100-H2-002</t>
    </r>
  </si>
  <si>
    <r>
      <rPr>
        <sz val="5"/>
        <rFont val="Arial MT"/>
        <family val="2"/>
      </rPr>
      <t>100-GD-001</t>
    </r>
  </si>
  <si>
    <r>
      <rPr>
        <sz val="5"/>
        <rFont val="Arial MT"/>
        <family val="2"/>
      </rPr>
      <t>GAS DETECTOR-HC</t>
    </r>
  </si>
  <si>
    <r>
      <rPr>
        <sz val="5"/>
        <rFont val="Arial MT"/>
        <family val="2"/>
      </rPr>
      <t>ELECTRICAL AND INSTRUMENT ROOM (HVAC AIR INTAKE)</t>
    </r>
  </si>
  <si>
    <r>
      <rPr>
        <sz val="5"/>
        <rFont val="Arial MT"/>
        <family val="2"/>
      </rPr>
      <t>50% LEL</t>
    </r>
  </si>
  <si>
    <r>
      <rPr>
        <sz val="5"/>
        <rFont val="Arial MT"/>
        <family val="2"/>
      </rPr>
      <t>100-GD-002</t>
    </r>
  </si>
  <si>
    <r>
      <rPr>
        <sz val="5"/>
        <rFont val="Arial MT"/>
        <family val="2"/>
      </rPr>
      <t>100-GD-003</t>
    </r>
  </si>
  <si>
    <r>
      <rPr>
        <sz val="5"/>
        <rFont val="Arial MT"/>
        <family val="2"/>
      </rPr>
      <t>100-FD-010</t>
    </r>
  </si>
  <si>
    <r>
      <rPr>
        <sz val="5"/>
        <rFont val="Arial MT"/>
        <family val="2"/>
      </rPr>
      <t>100-AJBZFG-001</t>
    </r>
  </si>
  <si>
    <r>
      <rPr>
        <sz val="5"/>
        <rFont val="Arial MT"/>
        <family val="2"/>
      </rPr>
      <t>100-FD-009</t>
    </r>
  </si>
  <si>
    <r>
      <rPr>
        <sz val="5"/>
        <rFont val="Arial MT"/>
        <family val="2"/>
      </rPr>
      <t>100-MCP-003</t>
    </r>
  </si>
  <si>
    <r>
      <rPr>
        <sz val="5"/>
        <rFont val="Arial MT"/>
        <family val="2"/>
      </rPr>
      <t>100-MCP-004</t>
    </r>
  </si>
  <si>
    <r>
      <rPr>
        <sz val="5"/>
        <rFont val="Arial MT"/>
        <family val="2"/>
      </rPr>
      <t>100-SD-001</t>
    </r>
  </si>
  <si>
    <r>
      <rPr>
        <sz val="5"/>
        <rFont val="Arial MT"/>
        <family val="2"/>
      </rPr>
      <t>ON ELECTRICAL &amp; INSTRUMENT ROOM</t>
    </r>
  </si>
  <si>
    <r>
      <rPr>
        <sz val="5"/>
        <rFont val="Arial MT"/>
        <family val="2"/>
      </rPr>
      <t>100-SD-002</t>
    </r>
  </si>
  <si>
    <r>
      <rPr>
        <sz val="5"/>
        <rFont val="Arial MT"/>
        <family val="2"/>
      </rPr>
      <t>100-SD-003</t>
    </r>
  </si>
  <si>
    <r>
      <rPr>
        <sz val="5"/>
        <rFont val="Arial MT"/>
        <family val="2"/>
      </rPr>
      <t>ON ELECTRICAL &amp; INSTRUMENT ROOM (BELOW RAISED FLOOR)</t>
    </r>
  </si>
  <si>
    <r>
      <rPr>
        <sz val="5"/>
        <rFont val="Arial MT"/>
        <family val="2"/>
      </rPr>
      <t>100-SD-004</t>
    </r>
  </si>
  <si>
    <r>
      <rPr>
        <sz val="5"/>
        <rFont val="Arial MT"/>
        <family val="2"/>
      </rPr>
      <t>100-SD-005</t>
    </r>
  </si>
  <si>
    <r>
      <rPr>
        <sz val="5"/>
        <rFont val="Arial MT"/>
        <family val="2"/>
      </rPr>
      <t>ON ACCOMODATION MODULE (1st FLOOR)</t>
    </r>
  </si>
  <si>
    <r>
      <rPr>
        <sz val="5"/>
        <rFont val="Arial MT"/>
        <family val="2"/>
      </rPr>
      <t>100-SD-006</t>
    </r>
  </si>
  <si>
    <r>
      <rPr>
        <sz val="5"/>
        <rFont val="Arial MT"/>
        <family val="2"/>
      </rPr>
      <t>HVAC VENDOR SCOPE</t>
    </r>
  </si>
  <si>
    <r>
      <rPr>
        <sz val="5"/>
        <rFont val="Arial MT"/>
        <family val="2"/>
      </rPr>
      <t>100-GD-004</t>
    </r>
  </si>
  <si>
    <r>
      <rPr>
        <sz val="5"/>
        <rFont val="Arial MT"/>
        <family val="2"/>
      </rPr>
      <t>MEZZANINE DECK</t>
    </r>
  </si>
  <si>
    <r>
      <rPr>
        <sz val="5"/>
        <rFont val="Arial MT"/>
        <family val="2"/>
      </rPr>
      <t>80289-FGS-LYT-1001 (3 of 5)</t>
    </r>
  </si>
  <si>
    <r>
      <rPr>
        <sz val="5"/>
        <rFont val="Arial MT"/>
        <family val="2"/>
      </rPr>
      <t>100-AJBZFG-002</t>
    </r>
  </si>
  <si>
    <r>
      <rPr>
        <sz val="5"/>
        <rFont val="Arial MT"/>
        <family val="2"/>
      </rPr>
      <t>100-GD-005</t>
    </r>
  </si>
  <si>
    <r>
      <rPr>
        <sz val="5"/>
        <rFont val="Arial MT"/>
        <family val="2"/>
      </rPr>
      <t>100-GD-006</t>
    </r>
  </si>
  <si>
    <r>
      <rPr>
        <sz val="5"/>
        <rFont val="Arial MT"/>
        <family val="2"/>
      </rPr>
      <t>100-GD-007</t>
    </r>
  </si>
  <si>
    <r>
      <rPr>
        <sz val="5"/>
        <rFont val="Arial MT"/>
        <family val="2"/>
      </rPr>
      <t>100-FD-001</t>
    </r>
  </si>
  <si>
    <r>
      <rPr>
        <sz val="5"/>
        <rFont val="Arial MT"/>
        <family val="2"/>
      </rPr>
      <t>100-FD-002</t>
    </r>
  </si>
  <si>
    <r>
      <rPr>
        <sz val="5"/>
        <rFont val="Arial MT"/>
        <family val="2"/>
      </rPr>
      <t>100-AJBZFG-006</t>
    </r>
  </si>
  <si>
    <r>
      <rPr>
        <sz val="5"/>
        <rFont val="Arial MT"/>
        <family val="2"/>
      </rPr>
      <t>100-MCP-007</t>
    </r>
  </si>
  <si>
    <r>
      <rPr>
        <sz val="5"/>
        <rFont val="Arial MT"/>
        <family val="2"/>
      </rPr>
      <t>100-MCP-008</t>
    </r>
  </si>
  <si>
    <r>
      <rPr>
        <sz val="5"/>
        <rFont val="Arial MT"/>
        <family val="2"/>
      </rPr>
      <t>100-GD-008</t>
    </r>
  </si>
  <si>
    <r>
      <rPr>
        <sz val="5"/>
        <rFont val="Arial MT"/>
        <family val="2"/>
      </rPr>
      <t>CELLAR DECK</t>
    </r>
  </si>
  <si>
    <r>
      <rPr>
        <sz val="5"/>
        <rFont val="Arial MT"/>
        <family val="2"/>
      </rPr>
      <t>80289-FGS-LYT-1001 (4 of 5)</t>
    </r>
  </si>
  <si>
    <r>
      <rPr>
        <sz val="5"/>
        <rFont val="Arial MT"/>
        <family val="2"/>
      </rPr>
      <t>100-AJBZFG-004</t>
    </r>
  </si>
  <si>
    <r>
      <rPr>
        <sz val="5"/>
        <rFont val="Arial MT"/>
        <family val="2"/>
      </rPr>
      <t>100-FD-004</t>
    </r>
  </si>
  <si>
    <r>
      <rPr>
        <sz val="5"/>
        <rFont val="Arial MT"/>
        <family val="2"/>
      </rPr>
      <t>100-FD-006</t>
    </r>
  </si>
  <si>
    <r>
      <rPr>
        <sz val="5"/>
        <rFont val="Arial MT"/>
        <family val="2"/>
      </rPr>
      <t>100-GD-009</t>
    </r>
  </si>
  <si>
    <r>
      <rPr>
        <sz val="5"/>
        <rFont val="Arial MT"/>
        <family val="2"/>
      </rPr>
      <t>100-GD-010</t>
    </r>
  </si>
  <si>
    <r>
      <rPr>
        <sz val="5"/>
        <rFont val="Arial MT"/>
        <family val="2"/>
      </rPr>
      <t>100-GD-011</t>
    </r>
  </si>
  <si>
    <r>
      <rPr>
        <sz val="5"/>
        <rFont val="Arial MT"/>
        <family val="2"/>
      </rPr>
      <t>100-GD-012</t>
    </r>
  </si>
  <si>
    <r>
      <rPr>
        <sz val="5"/>
        <rFont val="Arial MT"/>
        <family val="2"/>
      </rPr>
      <t>100-AJBZFG-003</t>
    </r>
  </si>
  <si>
    <r>
      <rPr>
        <sz val="5"/>
        <rFont val="Arial MT"/>
        <family val="2"/>
      </rPr>
      <t>100-GD-013</t>
    </r>
  </si>
  <si>
    <r>
      <rPr>
        <sz val="5"/>
        <rFont val="Arial MT"/>
        <family val="2"/>
      </rPr>
      <t>100-GD-014</t>
    </r>
  </si>
  <si>
    <r>
      <rPr>
        <sz val="5"/>
        <rFont val="Arial MT"/>
        <family val="2"/>
      </rPr>
      <t>100-GD-015</t>
    </r>
  </si>
  <si>
    <r>
      <rPr>
        <sz val="5"/>
        <rFont val="Arial MT"/>
        <family val="2"/>
      </rPr>
      <t>100-FD-003</t>
    </r>
  </si>
  <si>
    <r>
      <rPr>
        <sz val="5"/>
        <rFont val="Arial MT"/>
        <family val="2"/>
      </rPr>
      <t>100-FD-005</t>
    </r>
  </si>
  <si>
    <r>
      <rPr>
        <sz val="5"/>
        <rFont val="Arial MT"/>
        <family val="2"/>
      </rPr>
      <t>100-MCP-005</t>
    </r>
  </si>
  <si>
    <r>
      <rPr>
        <sz val="5"/>
        <rFont val="Arial MT"/>
        <family val="2"/>
      </rPr>
      <t>ON CELLAR DECK</t>
    </r>
  </si>
  <si>
    <r>
      <rPr>
        <sz val="5"/>
        <rFont val="Arial MT"/>
        <family val="2"/>
      </rPr>
      <t>100-GD-016</t>
    </r>
  </si>
  <si>
    <r>
      <rPr>
        <sz val="5"/>
        <rFont val="Arial MT"/>
        <family val="2"/>
      </rPr>
      <t>SUB-CELLAR DECK</t>
    </r>
  </si>
  <si>
    <r>
      <rPr>
        <sz val="5"/>
        <rFont val="Arial MT"/>
        <family val="2"/>
      </rPr>
      <t>80289-FGS-LYT-1001 (5 of 5)</t>
    </r>
  </si>
  <si>
    <r>
      <rPr>
        <sz val="5"/>
        <rFont val="Arial MT"/>
        <family val="2"/>
      </rPr>
      <t>100-AJBZFG-005</t>
    </r>
  </si>
  <si>
    <r>
      <rPr>
        <sz val="5"/>
        <rFont val="Arial MT"/>
        <family val="2"/>
      </rPr>
      <t>100-GD-017</t>
    </r>
  </si>
  <si>
    <r>
      <rPr>
        <sz val="5"/>
        <rFont val="Arial MT"/>
        <family val="2"/>
      </rPr>
      <t>100-FD-007</t>
    </r>
  </si>
  <si>
    <r>
      <rPr>
        <sz val="5"/>
        <rFont val="Arial MT"/>
        <family val="2"/>
      </rPr>
      <t>SUB CELLAR DECK</t>
    </r>
  </si>
  <si>
    <r>
      <rPr>
        <sz val="5"/>
        <rFont val="Arial MT"/>
        <family val="2"/>
      </rPr>
      <t>100-FD-008</t>
    </r>
  </si>
  <si>
    <r>
      <rPr>
        <sz val="5"/>
        <rFont val="Arial MT"/>
        <family val="2"/>
      </rPr>
      <t>100-MCP-006</t>
    </r>
  </si>
  <si>
    <r>
      <rPr>
        <sz val="5"/>
        <rFont val="Arial MT"/>
        <family val="2"/>
      </rPr>
      <t>ON SUB CELLAR DECK</t>
    </r>
  </si>
  <si>
    <r>
      <rPr>
        <sz val="5"/>
        <rFont val="Arial MT"/>
        <family val="2"/>
      </rPr>
      <t>100-SV-323</t>
    </r>
  </si>
  <si>
    <r>
      <rPr>
        <sz val="5"/>
        <rFont val="Arial MT"/>
        <family val="2"/>
      </rPr>
      <t>100-V-006A ACTUATION BOTTLE</t>
    </r>
  </si>
  <si>
    <r>
      <rPr>
        <sz val="5"/>
        <rFont val="Arial MT"/>
        <family val="2"/>
      </rPr>
      <t>100-CF-002</t>
    </r>
  </si>
  <si>
    <r>
      <rPr>
        <sz val="5"/>
        <rFont val="Arial MT"/>
        <family val="2"/>
      </rPr>
      <t>CONFIRMED FIRE - PAGA</t>
    </r>
  </si>
  <si>
    <r>
      <rPr>
        <sz val="5"/>
        <rFont val="Arial MT"/>
        <family val="2"/>
      </rPr>
      <t>100-CG-002</t>
    </r>
  </si>
  <si>
    <r>
      <rPr>
        <sz val="5"/>
        <rFont val="Arial MT"/>
        <family val="2"/>
      </rPr>
      <t>CONFIRMED GAS ALARM</t>
    </r>
  </si>
  <si>
    <r>
      <rPr>
        <sz val="5"/>
        <rFont val="Arial MT"/>
        <family val="2"/>
      </rPr>
      <t>CONFIRMED GAS - PAGA</t>
    </r>
  </si>
  <si>
    <r>
      <rPr>
        <sz val="5"/>
        <rFont val="Arial MT"/>
        <family val="2"/>
      </rPr>
      <t>100-CR-003</t>
    </r>
  </si>
  <si>
    <r>
      <rPr>
        <sz val="5"/>
        <rFont val="Arial MT"/>
        <family val="2"/>
      </rPr>
      <t>CONFIRMED FIRE/GAS ALARM</t>
    </r>
  </si>
  <si>
    <r>
      <rPr>
        <sz val="5"/>
        <rFont val="Arial MT"/>
        <family val="2"/>
      </rPr>
      <t>CONFIRMED FIRE/GAS - NAV AID</t>
    </r>
  </si>
  <si>
    <r>
      <rPr>
        <sz val="5"/>
        <rFont val="Arial MT"/>
        <family val="2"/>
      </rPr>
      <t>100-XS-200</t>
    </r>
  </si>
  <si>
    <r>
      <rPr>
        <sz val="5"/>
        <rFont val="Arial MT"/>
        <family val="2"/>
      </rPr>
      <t>RELEASE SIGNAL</t>
    </r>
  </si>
  <si>
    <r>
      <rPr>
        <sz val="5"/>
        <rFont val="Arial MT"/>
        <family val="2"/>
      </rPr>
      <t>CLEAN AGENT RELEASE</t>
    </r>
  </si>
  <si>
    <r>
      <rPr>
        <sz val="5"/>
        <rFont val="Arial MT"/>
        <family val="2"/>
      </rPr>
      <t>100-PS-401</t>
    </r>
  </si>
  <si>
    <r>
      <rPr>
        <sz val="5"/>
        <rFont val="Arial MT"/>
        <family val="2"/>
      </rPr>
      <t>CO2 SNUFFING PACKAGE FUSIBLE PLUG</t>
    </r>
  </si>
  <si>
    <r>
      <rPr>
        <sz val="5"/>
        <rFont val="Arial MT"/>
        <family val="2"/>
      </rPr>
      <t>100-XS-010</t>
    </r>
  </si>
  <si>
    <r>
      <rPr>
        <sz val="5"/>
        <rFont val="Arial MT"/>
        <family val="2"/>
      </rPr>
      <t>ESD SIGNAL</t>
    </r>
  </si>
  <si>
    <r>
      <rPr>
        <sz val="5"/>
        <rFont val="Arial MT"/>
        <family val="2"/>
      </rPr>
      <t>SIGNAL TO ISOLATE BATTERY CHARGER</t>
    </r>
  </si>
  <si>
    <r>
      <rPr>
        <sz val="5"/>
        <rFont val="Arial MT"/>
        <family val="2"/>
      </rPr>
      <t>BATTERY CHARGER</t>
    </r>
  </si>
  <si>
    <r>
      <rPr>
        <sz val="5"/>
        <rFont val="Arial MT"/>
        <family val="2"/>
      </rPr>
      <t>100-UPS-001 PANEL</t>
    </r>
  </si>
  <si>
    <r>
      <rPr>
        <sz val="5"/>
        <rFont val="Arial MT"/>
        <family val="2"/>
      </rPr>
      <t>100-XS-011</t>
    </r>
  </si>
  <si>
    <r>
      <rPr>
        <sz val="5"/>
        <rFont val="Arial MT"/>
        <family val="2"/>
      </rPr>
      <t>SIGNAL TO TRIP HVAC</t>
    </r>
  </si>
  <si>
    <r>
      <rPr>
        <sz val="5"/>
        <rFont val="Arial MT"/>
        <family val="2"/>
      </rPr>
      <t>HVAC</t>
    </r>
  </si>
  <si>
    <r>
      <rPr>
        <sz val="5"/>
        <rFont val="Arial MT"/>
        <family val="2"/>
      </rPr>
      <t>100-HVAC-001 PANEL</t>
    </r>
  </si>
  <si>
    <r>
      <rPr>
        <sz val="5"/>
        <rFont val="Arial MT"/>
        <family val="2"/>
      </rPr>
      <t>100-PS-302</t>
    </r>
  </si>
  <si>
    <r>
      <rPr>
        <sz val="5"/>
        <rFont val="Arial MT"/>
        <family val="2"/>
      </rPr>
      <t>CLEAN AGENT SYSTEM FUSIBLE PLUG</t>
    </r>
  </si>
  <si>
    <t>WEB OFFSHORE FIELD DEVELOPMENT PROJECT</t>
  </si>
  <si>
    <t>100-PIT-222A</t>
  </si>
  <si>
    <t>100-LZIT-607</t>
  </si>
  <si>
    <t>ESD PUSH BUTTON AT DRILLING RIG (DURING SIPROD ONLY)</t>
  </si>
  <si>
    <t>IC-100LZIT607</t>
  </si>
  <si>
    <t>100-AJBZ-001</t>
  </si>
  <si>
    <t>TYPE I2 (NON I.S) -1PR</t>
  </si>
  <si>
    <t>IC-100FZIT104</t>
  </si>
  <si>
    <t>100-FZIT-104</t>
  </si>
  <si>
    <t>NA</t>
  </si>
  <si>
    <t>100-HS-ESD-009</t>
  </si>
  <si>
    <t>IC-100HSESD001</t>
  </si>
  <si>
    <t>100-HS-ESD-001</t>
  </si>
  <si>
    <t>100-DJBZ-001</t>
  </si>
  <si>
    <t>TYPE I4 (NON I.S) -1PR</t>
  </si>
  <si>
    <t>HELI DECK</t>
  </si>
  <si>
    <t>IC-100HSESD002</t>
  </si>
  <si>
    <t>100-HS-ESD-002</t>
  </si>
  <si>
    <t>IC-100HSESD003</t>
  </si>
  <si>
    <t>100-HS-ESD-003</t>
  </si>
  <si>
    <t>MAIN DECK</t>
  </si>
  <si>
    <t>IC-100HSESD004</t>
  </si>
  <si>
    <t>100-HS-ESD-004</t>
  </si>
  <si>
    <t>IC-100HSESD007</t>
  </si>
  <si>
    <t>100-HS-ESD-007</t>
  </si>
  <si>
    <t>MEZZANINE DECK</t>
  </si>
  <si>
    <t>IC-100HSESD008</t>
  </si>
  <si>
    <t>100-HS-ESD-008</t>
  </si>
  <si>
    <t>IC-100HSESD005</t>
  </si>
  <si>
    <t>100-HS-ESD-005</t>
  </si>
  <si>
    <t>100-DJBZ-002</t>
  </si>
  <si>
    <t>IC-100HSESD006</t>
  </si>
  <si>
    <t>100-HS-ESD-006</t>
  </si>
  <si>
    <t>SUB CELLAR DECK</t>
  </si>
  <si>
    <t>100-AJBZ-003</t>
  </si>
  <si>
    <t>IC-100PZITW208A</t>
  </si>
  <si>
    <t>100-PZIT-W208A</t>
  </si>
  <si>
    <t>100-AJBZ-002</t>
  </si>
  <si>
    <t>IC-100PZITW208B</t>
  </si>
  <si>
    <t>100-PZIT-W208B</t>
  </si>
  <si>
    <t>IC-100PZITW208C</t>
  </si>
  <si>
    <t>100-PZIT-W208C</t>
  </si>
  <si>
    <t>CELLAR DECK</t>
  </si>
  <si>
    <t>IC-100PZITW208D</t>
  </si>
  <si>
    <t>100-PZIT-W208D</t>
  </si>
  <si>
    <t>IC-100PZITW207A</t>
  </si>
  <si>
    <t>100-PZIT-W207A</t>
  </si>
  <si>
    <t>100-PZIT-W207B</t>
  </si>
  <si>
    <t>IC-100PZITW207B</t>
  </si>
  <si>
    <t>IC-100PZITW207C</t>
  </si>
  <si>
    <t>100-PZIT-W207C</t>
  </si>
  <si>
    <t>IC-100PZITW207D</t>
  </si>
  <si>
    <t>100-PZIT-W207D</t>
  </si>
  <si>
    <t>IC-100SY908</t>
  </si>
  <si>
    <t>100-SY-908</t>
  </si>
  <si>
    <t>100-SJBZ-001</t>
  </si>
  <si>
    <t>16.50 mm</t>
  </si>
  <si>
    <t>IC-100SY906A</t>
  </si>
  <si>
    <t>100-SY-906A</t>
  </si>
  <si>
    <t>IC-100SY906B</t>
  </si>
  <si>
    <t>100-SY-906B</t>
  </si>
  <si>
    <t>IC-100SY907A</t>
  </si>
  <si>
    <t>100-SY-907A</t>
  </si>
  <si>
    <t>IC-100SY907B</t>
  </si>
  <si>
    <t>100-SY-907B</t>
  </si>
  <si>
    <t>IC-100PS906</t>
  </si>
  <si>
    <t>100-PS-906</t>
  </si>
  <si>
    <t>IC-100PS907</t>
  </si>
  <si>
    <t>100-PS-907</t>
  </si>
  <si>
    <t>IC-100ZZT906</t>
  </si>
  <si>
    <t>100-ZZT-906</t>
  </si>
  <si>
    <t>IC-100PZIT219-1</t>
  </si>
  <si>
    <t>100-PZIT-219-1</t>
  </si>
  <si>
    <t>IC-100PZIT219-2</t>
  </si>
  <si>
    <t>100-PZIT-219-2</t>
  </si>
  <si>
    <t>16*7</t>
  </si>
  <si>
    <t>*</t>
  </si>
  <si>
    <t>IC-100PZIT230-1</t>
  </si>
  <si>
    <t>100-PZIT-230-1</t>
  </si>
  <si>
    <t>IC-100PZIT230-2</t>
  </si>
  <si>
    <t>100-PZIT-230-2</t>
  </si>
  <si>
    <t>IC-100ZZT907</t>
  </si>
  <si>
    <t>100-ZZT-907</t>
  </si>
  <si>
    <t>IC-100LZIT602</t>
  </si>
  <si>
    <t>100-LZIT-602</t>
  </si>
  <si>
    <t>IC-100FZIT103</t>
  </si>
  <si>
    <t>100-FZIT-103</t>
  </si>
  <si>
    <t>DIESEL FILTERATION SKID</t>
  </si>
  <si>
    <t>IC-100ZZT908</t>
  </si>
  <si>
    <t>100-ZZT-908</t>
  </si>
  <si>
    <t>IC-100LZIT605A</t>
  </si>
  <si>
    <t>100-LZIT-605A</t>
  </si>
  <si>
    <t>100-AJBZ-004</t>
  </si>
  <si>
    <t>IC-100LZIT605B</t>
  </si>
  <si>
    <t>100-LZIT-605B</t>
  </si>
  <si>
    <t>IC-100LZIT605C</t>
  </si>
  <si>
    <t>100-LZIT-605C</t>
  </si>
  <si>
    <t>80289-PRO-PID-1011</t>
  </si>
  <si>
    <t>YEs</t>
  </si>
  <si>
    <t>100-SSSV-W901A SUB SURFACE SAFETY VALVE</t>
  </si>
  <si>
    <t>100-XS-005A</t>
  </si>
  <si>
    <t>100-XS-MX-008</t>
  </si>
  <si>
    <t>100-SY-W901D</t>
  </si>
  <si>
    <t>100-SV-911A</t>
  </si>
  <si>
    <t>WEB NE HIPPS VALVE 100-SDV-W904A</t>
  </si>
  <si>
    <t>100-ZSC-W904A</t>
  </si>
  <si>
    <t>100-SY-910</t>
  </si>
  <si>
    <t>FRESH WATER PUMP 100-P-004A TRIP</t>
  </si>
  <si>
    <t>not shown in P&amp;ID</t>
  </si>
  <si>
    <t xml:space="preserve">No </t>
  </si>
  <si>
    <t>check the CEM Effect Tag , is it  100-SY-910 ?</t>
  </si>
  <si>
    <t xml:space="preserve"> in PID 1001 not 1002 ???
Also in PID is it not showen with same tag no</t>
  </si>
  <si>
    <t>100-HCV-W904A- CHOKE VALVE</t>
  </si>
  <si>
    <t>ADDED from P&amp;ID</t>
  </si>
  <si>
    <t>100-HSR-901A</t>
  </si>
  <si>
    <t>SIS</t>
  </si>
  <si>
    <t>100-HSR-902A</t>
  </si>
  <si>
    <t>100-HSR-903A</t>
  </si>
  <si>
    <t>100-ZIR-w901A</t>
  </si>
  <si>
    <t>PSD-W010</t>
  </si>
  <si>
    <t>ESD-W010</t>
  </si>
  <si>
    <t>LSD-W010</t>
  </si>
  <si>
    <t>100-ZIR-w902A</t>
  </si>
  <si>
    <t>100-ZIR-w903A</t>
  </si>
  <si>
    <t>100-HSR-901B</t>
  </si>
  <si>
    <t>100-HSR-902B</t>
  </si>
  <si>
    <t>100-HSR-903B</t>
  </si>
  <si>
    <t>100-ZIR-w901B</t>
  </si>
  <si>
    <t>100-ZIR-w902B</t>
  </si>
  <si>
    <t>100-ZIR-w903B</t>
  </si>
  <si>
    <t>80289-PRO-PID-1005</t>
  </si>
  <si>
    <t xml:space="preserve">ADDED from P&amp;ID - CEM </t>
  </si>
  <si>
    <t>IO StBte</t>
  </si>
  <si>
    <t>100-PSHH-W904B</t>
  </si>
  <si>
    <t>100-PSHH-W905B</t>
  </si>
  <si>
    <t>100-PSHH-W906B</t>
  </si>
  <si>
    <t>100-PSHH-W907B</t>
  </si>
  <si>
    <t>100-HSR-901C</t>
  </si>
  <si>
    <t>100-HSR-902C</t>
  </si>
  <si>
    <t>100-HSR-903C</t>
  </si>
  <si>
    <t>100-ZIR-w901C</t>
  </si>
  <si>
    <t>100-ZIR-w902C</t>
  </si>
  <si>
    <t>100-ZIR-w903C</t>
  </si>
  <si>
    <t>100-PSHH-W904C</t>
  </si>
  <si>
    <t>100-PSHH-W905C</t>
  </si>
  <si>
    <t>100-PSHH-W906C</t>
  </si>
  <si>
    <t>100-PSHH-W907C</t>
  </si>
  <si>
    <t>100-PSHH-W907D</t>
  </si>
  <si>
    <t>100-HSR-901D</t>
  </si>
  <si>
    <t>100-HSR-902D</t>
  </si>
  <si>
    <t>100-HSR-903D</t>
  </si>
  <si>
    <t>100-ZIR-w901D</t>
  </si>
  <si>
    <t>100-ZIR-w902D</t>
  </si>
  <si>
    <t>100-ZIR-w903D</t>
  </si>
  <si>
    <t>100-PSHH-W904D</t>
  </si>
  <si>
    <t>100-PSHH-W905D</t>
  </si>
  <si>
    <t>100-PSHH-W906D</t>
  </si>
  <si>
    <t>W90</t>
  </si>
  <si>
    <t>WEB NE HIPPS VALVE 100-SDV-W905A</t>
  </si>
  <si>
    <t>100-SDV-905A</t>
  </si>
  <si>
    <t>100-SDV-906A</t>
  </si>
  <si>
    <t>100-SDV-905B</t>
  </si>
  <si>
    <t>100-SDV-906B</t>
  </si>
  <si>
    <t>100-SDV-905C</t>
  </si>
  <si>
    <t>100-SDV-906C</t>
  </si>
  <si>
    <t>100-SDV-905D</t>
  </si>
  <si>
    <t>100-SDV-906D</t>
  </si>
  <si>
    <t>100-HSR-901E</t>
  </si>
  <si>
    <t>100-HSR-902E</t>
  </si>
  <si>
    <t>100-HSR-903E</t>
  </si>
  <si>
    <t>100-ZIR-w901E</t>
  </si>
  <si>
    <t>100-ZIR-w902E</t>
  </si>
  <si>
    <t>100-ZIR-w903E</t>
  </si>
  <si>
    <t>100-PSHH-W904E</t>
  </si>
  <si>
    <t>100-PSHH-W905E</t>
  </si>
  <si>
    <t>100-PSHH-W906E</t>
  </si>
  <si>
    <t>100-PSHH-W907E</t>
  </si>
  <si>
    <t>100-SEV-905E</t>
  </si>
  <si>
    <t>100-SEV-906E</t>
  </si>
  <si>
    <t>100-PIT-W217E</t>
  </si>
  <si>
    <t>100-PIT-W206E</t>
  </si>
  <si>
    <t>100-PIT-W209E</t>
  </si>
  <si>
    <t>100-TIT-W401E</t>
  </si>
  <si>
    <t>100-PIT-W204E</t>
  </si>
  <si>
    <t>100-XZT-W904E</t>
  </si>
  <si>
    <t>100-HY-W904-1E</t>
  </si>
  <si>
    <t>100-HY-W904-2E</t>
  </si>
  <si>
    <t>100-ZSO-W904E</t>
  </si>
  <si>
    <t>100-ZSC-W904E</t>
  </si>
  <si>
    <t>100-ZSO-W905E</t>
  </si>
  <si>
    <t>100-ZSC-W905E</t>
  </si>
  <si>
    <t>100-PZIT-W201E</t>
  </si>
  <si>
    <t>100-PZIT-W202E</t>
  </si>
  <si>
    <t>100-PZIT-W203E</t>
  </si>
  <si>
    <t>100-PZIT-W208E</t>
  </si>
  <si>
    <t>100-PZIT-W207E</t>
  </si>
  <si>
    <t>100-SDV-905E</t>
  </si>
  <si>
    <t>100-SDV-906E</t>
  </si>
  <si>
    <t>100-PIT-W217F</t>
  </si>
  <si>
    <t>100-PIT-W206F</t>
  </si>
  <si>
    <t>100-PIT-W209F</t>
  </si>
  <si>
    <t>100-TIT-W401F</t>
  </si>
  <si>
    <t>100-PIT-W204F</t>
  </si>
  <si>
    <t>100-XZT-W904F</t>
  </si>
  <si>
    <t>100-HY-W904-1F</t>
  </si>
  <si>
    <t>100-HY-W904-2F</t>
  </si>
  <si>
    <t>100-ZSO-W904F</t>
  </si>
  <si>
    <t>100-ZSC-W904F</t>
  </si>
  <si>
    <t>100-ZSO-W905F</t>
  </si>
  <si>
    <t>100-ZSC-W905F</t>
  </si>
  <si>
    <t>100-PZIT-W201F</t>
  </si>
  <si>
    <t>100-PZIT-W202F</t>
  </si>
  <si>
    <t>100-PZIT-W203F</t>
  </si>
  <si>
    <t>100-PZIT-W208F</t>
  </si>
  <si>
    <t>100-PZIT-W207F</t>
  </si>
  <si>
    <t>100-HSR-901F</t>
  </si>
  <si>
    <t>100-HSR-902F</t>
  </si>
  <si>
    <t>100-HSR-903F</t>
  </si>
  <si>
    <t>100-ZIR-w901F</t>
  </si>
  <si>
    <t>100-ZIR-w902F</t>
  </si>
  <si>
    <t>100-ZIR-w903F</t>
  </si>
  <si>
    <t>100-PSHH-W904F</t>
  </si>
  <si>
    <t>100-PSHH-W905F</t>
  </si>
  <si>
    <t>100-PSHH-W906F</t>
  </si>
  <si>
    <t>100-PSHH-W907F</t>
  </si>
  <si>
    <t>100-SDV-905F</t>
  </si>
  <si>
    <t>100-SDV-906F</t>
  </si>
  <si>
    <t>80289-PRO-PID-1006</t>
  </si>
  <si>
    <t>100-PSD-W010</t>
  </si>
  <si>
    <t>100-LSD-W010</t>
  </si>
  <si>
    <t>ESD SIGNAL FROM WHCP (100-PZIT-216)</t>
  </si>
  <si>
    <t>80289-PRO-PID-1012</t>
  </si>
  <si>
    <t>100-ESDA-W010</t>
  </si>
  <si>
    <t>PSD SIGNAL FROM WHCP (100-PZIT-617)</t>
  </si>
  <si>
    <t>100-P-005A DIESEL PUMP</t>
  </si>
  <si>
    <t>100-MX-001 CORRISION INHIBITOR TANK MIXER</t>
  </si>
  <si>
    <t>DIESEL PUMP 100-P-005A</t>
  </si>
  <si>
    <t xml:space="preserve"> </t>
  </si>
  <si>
    <t>100-P-001A CORRISION INHIBITOR PUMP</t>
  </si>
  <si>
    <t>100-P-002A KHI PUMP</t>
  </si>
  <si>
    <t>100-P-003A METHANOL PUMP</t>
  </si>
  <si>
    <t>100-P-008A SCALE INHIBITOR PUMP</t>
  </si>
  <si>
    <t>100-P-004A FRESH WATER PUMP</t>
  </si>
  <si>
    <t>Junction Boxes Without Main Multi Core Cable in Cavle Schedule</t>
  </si>
  <si>
    <t>Junction Boxes has onlly the main cable without any subcable</t>
  </si>
  <si>
    <t>in Io Data base, no Subcable</t>
  </si>
  <si>
    <t>CORROSION INHIBITOR INJECTION SKID
in IO Data base without any subcable</t>
  </si>
  <si>
    <t>KHI INJECTION SKID
in IO Data base without any subcable</t>
  </si>
  <si>
    <t>METHANOL INJECTION SKID
in IO Data base without any subcable</t>
  </si>
  <si>
    <t>SCALE INHIBITOR INJECTION SKID
In IO Data base without any subcable</t>
  </si>
  <si>
    <t>IC-100AJBB106</t>
  </si>
  <si>
    <t>DIESEL FILTERATION SKID
in IO Data base without any subcable</t>
  </si>
  <si>
    <t>in IO Data base wiothout any subcables</t>
  </si>
  <si>
    <t>SCALE INHIBITOR INJECTION SKID
in IO Data base wiothout any subcables</t>
  </si>
  <si>
    <t>CORROSION INHIBITOR INJECTION SKID
in IO Database without any subcable</t>
  </si>
  <si>
    <t>KHI INJECTION SKID
in IO database without any subcable</t>
  </si>
  <si>
    <t>METHANOL INJECTION SKID
In IO Database without any subcable</t>
  </si>
  <si>
    <t>100-AJBZFG-001</t>
  </si>
  <si>
    <t>100-AJBZFG-003</t>
  </si>
  <si>
    <t>100-AJBZFG-004</t>
  </si>
  <si>
    <t>100-AJBZFG-005</t>
  </si>
  <si>
    <t>100-AJBZFG-006</t>
  </si>
  <si>
    <t>100-AJBZFG-101</t>
  </si>
  <si>
    <t>100-AJBZFG-102</t>
  </si>
  <si>
    <t>100-CASP-001</t>
  </si>
  <si>
    <t>100-DJBBFG-101</t>
  </si>
  <si>
    <t>100-AJBZFG-002</t>
  </si>
  <si>
    <t>PAGA CABINET
in io data base without subcable</t>
  </si>
  <si>
    <t>CORROSION INHIBITOR INJECTION SKID
in IO Data base without any subcables</t>
  </si>
  <si>
    <t>KHI INJECTION SKID
in IO Data base without any subcables</t>
  </si>
  <si>
    <t>METHANOL INJECTION SKID
in IO Data base without any subcables</t>
  </si>
  <si>
    <t>Redudant cable , Note 09.
there is hard wired signal , no cable no assigned here</t>
  </si>
  <si>
    <t>DIESEL GENERATOR PACKAGE
in IO Databse without any subcables</t>
  </si>
  <si>
    <t>HP/LP HYDRAULIC RESERVOIR PUMP PANEL
in IO Database without any subcables</t>
  </si>
  <si>
    <t>PANEL-100-PK-003A</t>
  </si>
  <si>
    <t>SCALE INHIBITOR INJECTION SKID
is it direct run cable ?</t>
  </si>
  <si>
    <t>NAV AID PANEL
in io data base without subcable</t>
  </si>
  <si>
    <t>LIGHTING DB PANEL.
in io data base without subcable</t>
  </si>
  <si>
    <t>DIESEL GENERATOR PACKAGE
hard wired cable not having nay subcable names
Redudant cable , Note 09.</t>
  </si>
  <si>
    <t>is it direct run cable in the io data base</t>
  </si>
  <si>
    <t>100-DJBZFG-001</t>
  </si>
  <si>
    <t>100-DJBZFG-002</t>
  </si>
  <si>
    <t>DIRECT RUN CABLE</t>
  </si>
  <si>
    <t>100-SY-W902A</t>
  </si>
  <si>
    <t>100-XS-PK-003A</t>
  </si>
  <si>
    <t>100-XS-PK-003B</t>
  </si>
  <si>
    <t>100-PK-003A DIESEL GENERATOR PACKAGE</t>
  </si>
  <si>
    <t>100-PK-003B DIESEL GENERATOR PACKAGE</t>
  </si>
  <si>
    <t>ON 100-V-001 VENT/CLOSED DRAIN KNOCKOUT DRUM</t>
  </si>
  <si>
    <t>SCALE INHIBITOR TO WEB PIPELINE PIG LAUNCHER</t>
  </si>
  <si>
    <t>100-SY-W901-1A</t>
  </si>
  <si>
    <t>100-SY-W902-1A</t>
  </si>
  <si>
    <t>100-SDV-W904B VALVE SWITCH Close</t>
  </si>
  <si>
    <t>100-XB-006A</t>
  </si>
  <si>
    <t>100-HSBR-MX-002</t>
  </si>
  <si>
    <t>100-MX-002 KHI TANK MIXER</t>
  </si>
  <si>
    <t>100-HSAR-MX-002</t>
  </si>
  <si>
    <t>100-HSBR-MX-008</t>
  </si>
  <si>
    <t>100-HSAR-MX-008</t>
  </si>
  <si>
    <t>100-MX-008 SCALE INHIBITOR TANK MIXER</t>
  </si>
  <si>
    <t>80289-PRO-PID-1015</t>
  </si>
  <si>
    <t>100-XS-003A</t>
  </si>
  <si>
    <t>100-XS-003B</t>
  </si>
  <si>
    <t>100-P-003B METHANOL PUMP</t>
  </si>
  <si>
    <t>100-XS-013</t>
  </si>
  <si>
    <t>100-ZSC-W904D</t>
  </si>
  <si>
    <t>100-ZSC-W905A</t>
  </si>
  <si>
    <t>100-ZSC-W905D</t>
  </si>
  <si>
    <t>100-ZSO-W904A</t>
  </si>
  <si>
    <t>100-ZSO-W904D</t>
  </si>
  <si>
    <t>100-ZSO-W905A</t>
  </si>
  <si>
    <t>100-ZSO-W905D</t>
  </si>
  <si>
    <t>100-ZSC-W904C</t>
  </si>
  <si>
    <t>100-ZSC-W904B</t>
  </si>
  <si>
    <t>100-ZSC-W905C</t>
  </si>
  <si>
    <t>100-ZSC-W905B</t>
  </si>
  <si>
    <t>100-ZSO-W904C</t>
  </si>
  <si>
    <t>100-ZSO-W904B</t>
  </si>
  <si>
    <t>100-ZSO-W905C</t>
  </si>
  <si>
    <t>100-ZSO-W905B</t>
  </si>
  <si>
    <t>-</t>
  </si>
  <si>
    <t>100-AJBB-102</t>
  </si>
  <si>
    <t>IC-100DJBBFG101</t>
  </si>
  <si>
    <t>IC-100CASP0011</t>
  </si>
  <si>
    <t>IC-100PT332</t>
  </si>
  <si>
    <t>IC-100PS301</t>
  </si>
  <si>
    <t>NOTE-1 | GIS WHC PID</t>
  </si>
  <si>
    <r>
      <rPr>
        <b/>
        <sz val="7"/>
        <rFont val="Arial"/>
        <family val="2"/>
      </rPr>
      <t>M40</t>
    </r>
  </si>
  <si>
    <r>
      <rPr>
        <b/>
        <sz val="7"/>
        <rFont val="Arial"/>
        <family val="2"/>
      </rPr>
      <t>TYPE F1 (NON I.S) - 12PR</t>
    </r>
  </si>
  <si>
    <r>
      <rPr>
        <b/>
        <sz val="7"/>
        <rFont val="Arial"/>
        <family val="2"/>
      </rPr>
      <t>1.5 mm</t>
    </r>
    <r>
      <rPr>
        <b/>
        <vertAlign val="superscript"/>
        <sz val="7"/>
        <rFont val="Arial"/>
        <family val="2"/>
      </rPr>
      <t>2</t>
    </r>
  </si>
  <si>
    <r>
      <rPr>
        <b/>
        <sz val="7"/>
        <rFont val="Arial"/>
        <family val="2"/>
      </rPr>
      <t>36.50 mm</t>
    </r>
  </si>
  <si>
    <r>
      <rPr>
        <b/>
        <sz val="7"/>
        <rFont val="Arial"/>
        <family val="2"/>
      </rPr>
      <t>FIRE FIGHTING SYSTEM</t>
    </r>
  </si>
  <si>
    <r>
      <rPr>
        <b/>
        <sz val="7"/>
        <rFont val="Arial"/>
        <family val="2"/>
      </rPr>
      <t>M20</t>
    </r>
  </si>
  <si>
    <r>
      <rPr>
        <b/>
        <sz val="7"/>
        <rFont val="Arial"/>
        <family val="2"/>
      </rPr>
      <t>1.5mm</t>
    </r>
    <r>
      <rPr>
        <b/>
        <vertAlign val="superscript"/>
        <sz val="7"/>
        <rFont val="Arial"/>
        <family val="2"/>
      </rPr>
      <t>2</t>
    </r>
  </si>
  <si>
    <r>
      <rPr>
        <b/>
        <sz val="7"/>
        <rFont val="Arial"/>
        <family val="2"/>
      </rPr>
      <t>15.00 mm</t>
    </r>
  </si>
  <si>
    <r>
      <rPr>
        <b/>
        <sz val="7"/>
        <rFont val="Arial"/>
        <family val="2"/>
      </rPr>
      <t>COLD VENT PACKAGE</t>
    </r>
  </si>
  <si>
    <r>
      <rPr>
        <b/>
        <sz val="7"/>
        <rFont val="Arial"/>
        <family val="2"/>
      </rPr>
      <t>100-CASP-001</t>
    </r>
  </si>
  <si>
    <r>
      <rPr>
        <b/>
        <sz val="7"/>
        <rFont val="Arial"/>
        <family val="2"/>
      </rPr>
      <t>M32</t>
    </r>
  </si>
  <si>
    <r>
      <rPr>
        <b/>
        <sz val="7"/>
        <rFont val="Arial"/>
        <family val="2"/>
      </rPr>
      <t>TYPE F1 (NON I.S) - 6PR</t>
    </r>
  </si>
  <si>
    <r>
      <rPr>
        <b/>
        <sz val="7"/>
        <rFont val="Arial"/>
        <family val="2"/>
      </rPr>
      <t>28.00 mm</t>
    </r>
  </si>
  <si>
    <r>
      <rPr>
        <b/>
        <sz val="7"/>
        <rFont val="Arial"/>
        <family val="2"/>
      </rPr>
      <t>CLEAN AGENT SYSTEM</t>
    </r>
  </si>
  <si>
    <t>TYPE F1 (NON I.S) - 12PR</t>
  </si>
  <si>
    <t>36.50 mm</t>
  </si>
  <si>
    <t>FIRE FIGHTING SYSTEM</t>
  </si>
  <si>
    <t>100-PT-332</t>
  </si>
  <si>
    <t>TYPE F3 (NON I.S) - 1PR</t>
  </si>
  <si>
    <t>IC-100PIT228</t>
  </si>
  <si>
    <t>COLD VENT PACKAGE</t>
  </si>
  <si>
    <t>TYPE F1 (NON I.S) - 6PR</t>
  </si>
  <si>
    <t>28.00 mm</t>
  </si>
  <si>
    <t>CLEAN AGENT PANEL</t>
  </si>
  <si>
    <t>IC-100PIT301</t>
  </si>
  <si>
    <t>100-PIT-301</t>
  </si>
  <si>
    <t>TYPE F3  (NON I.S) -1PR</t>
  </si>
  <si>
    <t>CLEAN AGENT SYSTEM</t>
  </si>
  <si>
    <t>100-PS-301</t>
  </si>
  <si>
    <t>TYPE F1  (NON I.S) -1PR</t>
  </si>
  <si>
    <r>
      <rPr>
        <sz val="7"/>
        <rFont val="Arial MT"/>
        <family val="2"/>
      </rPr>
      <t>MEZZANINE DECK</t>
    </r>
  </si>
  <si>
    <r>
      <rPr>
        <sz val="7"/>
        <rFont val="Arial MT"/>
        <family val="2"/>
      </rPr>
      <t>15.00 mm</t>
    </r>
  </si>
  <si>
    <r>
      <rPr>
        <sz val="7"/>
        <rFont val="Arial MT"/>
        <family val="2"/>
      </rPr>
      <t>1.5 mm2</t>
    </r>
  </si>
  <si>
    <r>
      <rPr>
        <sz val="7"/>
        <rFont val="Arial MT"/>
        <family val="2"/>
      </rPr>
      <t>TYPE F1 (NON I.S) - 1PR</t>
    </r>
  </si>
  <si>
    <r>
      <rPr>
        <sz val="7"/>
        <rFont val="Arial MT"/>
        <family val="2"/>
      </rPr>
      <t>M20</t>
    </r>
  </si>
  <si>
    <r>
      <rPr>
        <sz val="7"/>
        <rFont val="Arial MT"/>
        <family val="2"/>
      </rPr>
      <t>100-DJBZFG-001</t>
    </r>
  </si>
  <si>
    <r>
      <rPr>
        <sz val="7"/>
        <rFont val="Arial MT"/>
        <family val="2"/>
      </rPr>
      <t>100-MCP-008</t>
    </r>
  </si>
  <si>
    <r>
      <rPr>
        <sz val="7"/>
        <rFont val="Arial MT"/>
        <family val="2"/>
      </rPr>
      <t>IC-100MCP008</t>
    </r>
  </si>
  <si>
    <r>
      <rPr>
        <sz val="7"/>
        <rFont val="Arial MT"/>
        <family val="2"/>
      </rPr>
      <t>100-MCP-007</t>
    </r>
  </si>
  <si>
    <r>
      <rPr>
        <sz val="7"/>
        <rFont val="Arial MT"/>
        <family val="2"/>
      </rPr>
      <t>IC-100MCP007</t>
    </r>
  </si>
  <si>
    <r>
      <rPr>
        <sz val="7"/>
        <rFont val="Arial MT"/>
        <family val="2"/>
      </rPr>
      <t>MAIN DECK</t>
    </r>
  </si>
  <si>
    <r>
      <rPr>
        <sz val="7"/>
        <rFont val="Arial MT"/>
        <family val="2"/>
      </rPr>
      <t>100-MCP-004</t>
    </r>
  </si>
  <si>
    <r>
      <rPr>
        <sz val="7"/>
        <rFont val="Arial MT"/>
        <family val="2"/>
      </rPr>
      <t>IC-100MCP004</t>
    </r>
  </si>
  <si>
    <r>
      <rPr>
        <sz val="7"/>
        <rFont val="Arial MT"/>
        <family val="2"/>
      </rPr>
      <t>100-MCP-003</t>
    </r>
  </si>
  <si>
    <r>
      <rPr>
        <sz val="7"/>
        <rFont val="Arial MT"/>
        <family val="2"/>
      </rPr>
      <t>IC-100MCP003</t>
    </r>
  </si>
  <si>
    <r>
      <rPr>
        <sz val="7"/>
        <rFont val="Arial MT"/>
        <family val="2"/>
      </rPr>
      <t>SUB-CELLAR DECK</t>
    </r>
  </si>
  <si>
    <r>
      <rPr>
        <sz val="7"/>
        <rFont val="Arial MT"/>
        <family val="2"/>
      </rPr>
      <t>100-MCP-006</t>
    </r>
  </si>
  <si>
    <r>
      <rPr>
        <sz val="7"/>
        <rFont val="Arial MT"/>
        <family val="2"/>
      </rPr>
      <t>IC-100MCP006</t>
    </r>
  </si>
  <si>
    <r>
      <rPr>
        <sz val="7"/>
        <rFont val="Arial MT"/>
        <family val="2"/>
      </rPr>
      <t>CELLAR DECK</t>
    </r>
  </si>
  <si>
    <r>
      <rPr>
        <sz val="7"/>
        <rFont val="Arial MT"/>
        <family val="2"/>
      </rPr>
      <t>100-MCP-005</t>
    </r>
  </si>
  <si>
    <r>
      <rPr>
        <sz val="7"/>
        <rFont val="Arial MT"/>
        <family val="2"/>
      </rPr>
      <t>IC-100MCP005</t>
    </r>
  </si>
  <si>
    <r>
      <rPr>
        <sz val="7"/>
        <rFont val="Arial MT"/>
        <family val="2"/>
      </rPr>
      <t>HELI DECK</t>
    </r>
  </si>
  <si>
    <r>
      <rPr>
        <sz val="7"/>
        <rFont val="Arial MT"/>
        <family val="2"/>
      </rPr>
      <t>100-MCP-002</t>
    </r>
  </si>
  <si>
    <r>
      <rPr>
        <sz val="7"/>
        <rFont val="Arial MT"/>
        <family val="2"/>
      </rPr>
      <t>IC-100MCP002</t>
    </r>
  </si>
  <si>
    <r>
      <rPr>
        <sz val="7"/>
        <rFont val="Arial MT"/>
        <family val="2"/>
      </rPr>
      <t>100-MCP-001</t>
    </r>
  </si>
  <si>
    <r>
      <rPr>
        <sz val="7"/>
        <rFont val="Arial MT"/>
        <family val="2"/>
      </rPr>
      <t>IC-100MCP001</t>
    </r>
  </si>
  <si>
    <r>
      <rPr>
        <b/>
        <sz val="7"/>
        <rFont val="Arial"/>
        <family val="2"/>
      </rPr>
      <t>1.5 mm2</t>
    </r>
  </si>
  <si>
    <r>
      <rPr>
        <b/>
        <sz val="7"/>
        <rFont val="Arial"/>
        <family val="2"/>
      </rPr>
      <t>SIS MARSHALLING CABINET 100-SIS-001B</t>
    </r>
  </si>
  <si>
    <r>
      <rPr>
        <b/>
        <sz val="7"/>
        <rFont val="Arial"/>
        <family val="2"/>
      </rPr>
      <t>100-DJBZFG-001</t>
    </r>
  </si>
  <si>
    <r>
      <rPr>
        <b/>
        <sz val="7"/>
        <rFont val="Arial"/>
        <family val="2"/>
      </rPr>
      <t>IC-100DJBZFG001</t>
    </r>
  </si>
  <si>
    <r>
      <rPr>
        <b/>
        <sz val="7"/>
        <rFont val="Arial"/>
        <family val="2"/>
      </rPr>
      <t>ACCOMMODATION ROOM</t>
    </r>
  </si>
  <si>
    <r>
      <rPr>
        <b/>
        <sz val="7"/>
        <rFont val="Arial"/>
        <family val="2"/>
      </rPr>
      <t>TYPE F1 (NON I.S) - 1PR</t>
    </r>
  </si>
  <si>
    <r>
      <rPr>
        <b/>
        <sz val="7"/>
        <rFont val="Arial"/>
        <family val="2"/>
      </rPr>
      <t>100-SD-006</t>
    </r>
  </si>
  <si>
    <r>
      <rPr>
        <b/>
        <sz val="7"/>
        <rFont val="Arial"/>
        <family val="2"/>
      </rPr>
      <t>IC-100SD006</t>
    </r>
  </si>
  <si>
    <r>
      <rPr>
        <b/>
        <sz val="7"/>
        <rFont val="Arial"/>
        <family val="2"/>
      </rPr>
      <t>100-SD-005</t>
    </r>
  </si>
  <si>
    <r>
      <rPr>
        <b/>
        <sz val="7"/>
        <rFont val="Arial"/>
        <family val="2"/>
      </rPr>
      <t>IC-100SD005</t>
    </r>
  </si>
  <si>
    <r>
      <rPr>
        <b/>
        <sz val="7"/>
        <rFont val="Arial"/>
        <family val="2"/>
      </rPr>
      <t>VENDOR SCOPE (HVAC)</t>
    </r>
  </si>
  <si>
    <r>
      <rPr>
        <b/>
        <sz val="7"/>
        <rFont val="Arial"/>
        <family val="2"/>
      </rPr>
      <t>100-SD-007</t>
    </r>
  </si>
  <si>
    <r>
      <rPr>
        <b/>
        <sz val="7"/>
        <rFont val="Arial"/>
        <family val="2"/>
      </rPr>
      <t>IC-100SD007</t>
    </r>
  </si>
  <si>
    <r>
      <rPr>
        <b/>
        <sz val="7"/>
        <rFont val="Arial"/>
        <family val="2"/>
      </rPr>
      <t>ELECTRICAL &amp; INSTRUMENT ROOM</t>
    </r>
  </si>
  <si>
    <r>
      <rPr>
        <b/>
        <sz val="7"/>
        <rFont val="Arial"/>
        <family val="2"/>
      </rPr>
      <t>100-SD-002</t>
    </r>
  </si>
  <si>
    <r>
      <rPr>
        <b/>
        <sz val="7"/>
        <rFont val="Arial"/>
        <family val="2"/>
      </rPr>
      <t>IC-100SD002</t>
    </r>
  </si>
  <si>
    <r>
      <rPr>
        <b/>
        <sz val="7"/>
        <rFont val="Arial"/>
        <family val="2"/>
      </rPr>
      <t>100-SD-001</t>
    </r>
  </si>
  <si>
    <r>
      <rPr>
        <b/>
        <sz val="7"/>
        <rFont val="Arial"/>
        <family val="2"/>
      </rPr>
      <t>IC-100SD001</t>
    </r>
  </si>
  <si>
    <r>
      <rPr>
        <b/>
        <sz val="7"/>
        <rFont val="Arial"/>
        <family val="2"/>
      </rPr>
      <t>INSIDE BATTERY ROOM</t>
    </r>
  </si>
  <si>
    <r>
      <rPr>
        <b/>
        <sz val="7"/>
        <rFont val="Arial"/>
        <family val="2"/>
      </rPr>
      <t>16.00 mm</t>
    </r>
  </si>
  <si>
    <r>
      <rPr>
        <b/>
        <sz val="7"/>
        <rFont val="Arial"/>
        <family val="2"/>
      </rPr>
      <t>TYPE F2 (NON I.S) - 1TR</t>
    </r>
  </si>
  <si>
    <r>
      <rPr>
        <b/>
        <sz val="7"/>
        <rFont val="Arial"/>
        <family val="2"/>
      </rPr>
      <t>100-H2-002</t>
    </r>
  </si>
  <si>
    <r>
      <rPr>
        <b/>
        <sz val="7"/>
        <rFont val="Arial"/>
        <family val="2"/>
      </rPr>
      <t>IC-100H2002</t>
    </r>
  </si>
  <si>
    <r>
      <rPr>
        <b/>
        <sz val="7"/>
        <rFont val="Arial"/>
        <family val="2"/>
      </rPr>
      <t>100-H2-001</t>
    </r>
  </si>
  <si>
    <r>
      <rPr>
        <b/>
        <sz val="7"/>
        <rFont val="Arial"/>
        <family val="2"/>
      </rPr>
      <t>IC-100H2001</t>
    </r>
  </si>
  <si>
    <r>
      <rPr>
        <sz val="7"/>
        <rFont val="Arial MT"/>
        <family val="2"/>
      </rPr>
      <t>100-DJBZFG-002</t>
    </r>
  </si>
  <si>
    <r>
      <rPr>
        <sz val="7"/>
        <rFont val="Arial MT"/>
        <family val="2"/>
      </rPr>
      <t>100-MR-002</t>
    </r>
  </si>
  <si>
    <r>
      <rPr>
        <sz val="7"/>
        <rFont val="Arial MT"/>
        <family val="2"/>
      </rPr>
      <t>IC-100MR002</t>
    </r>
  </si>
  <si>
    <r>
      <rPr>
        <sz val="7"/>
        <rFont val="Arial MT"/>
        <family val="2"/>
      </rPr>
      <t>100-MR-001</t>
    </r>
  </si>
  <si>
    <r>
      <rPr>
        <sz val="7"/>
        <rFont val="Arial MT"/>
        <family val="2"/>
      </rPr>
      <t>IC-100MR001</t>
    </r>
  </si>
  <si>
    <r>
      <rPr>
        <b/>
        <sz val="7"/>
        <rFont val="Arial"/>
        <family val="2"/>
      </rPr>
      <t>100-DJBZFG-002</t>
    </r>
  </si>
  <si>
    <r>
      <rPr>
        <b/>
        <sz val="7"/>
        <rFont val="Arial"/>
        <family val="2"/>
      </rPr>
      <t>IC-100DJBZFG002</t>
    </r>
  </si>
  <si>
    <r>
      <rPr>
        <b/>
        <sz val="7"/>
        <rFont val="Arial"/>
        <family val="2"/>
      </rPr>
      <t>16.5mm</t>
    </r>
  </si>
  <si>
    <r>
      <rPr>
        <b/>
        <sz val="7"/>
        <rFont val="Arial"/>
        <family val="2"/>
      </rPr>
      <t>2.5 mm</t>
    </r>
    <r>
      <rPr>
        <b/>
        <vertAlign val="superscript"/>
        <sz val="7"/>
        <rFont val="Arial"/>
        <family val="2"/>
      </rPr>
      <t>2</t>
    </r>
  </si>
  <si>
    <r>
      <rPr>
        <b/>
        <sz val="7"/>
        <rFont val="Arial"/>
        <family val="2"/>
      </rPr>
      <t>100-SV-910</t>
    </r>
  </si>
  <si>
    <r>
      <rPr>
        <b/>
        <sz val="7"/>
        <rFont val="Arial"/>
        <family val="2"/>
      </rPr>
      <t>IC-100SV910</t>
    </r>
  </si>
  <si>
    <r>
      <rPr>
        <b/>
        <sz val="7"/>
        <rFont val="Arial"/>
        <family val="2"/>
      </rPr>
      <t>29.5 mm</t>
    </r>
  </si>
  <si>
    <r>
      <rPr>
        <b/>
        <sz val="7"/>
        <rFont val="Arial"/>
        <family val="2"/>
      </rPr>
      <t>0.75 mm</t>
    </r>
    <r>
      <rPr>
        <b/>
        <vertAlign val="superscript"/>
        <sz val="7"/>
        <rFont val="Arial"/>
        <family val="2"/>
      </rPr>
      <t>2</t>
    </r>
  </si>
  <si>
    <r>
      <rPr>
        <b/>
        <sz val="7"/>
        <rFont val="Arial"/>
        <family val="2"/>
      </rPr>
      <t>TYPE F3 (NON I.S) - 6PR</t>
    </r>
  </si>
  <si>
    <r>
      <rPr>
        <b/>
        <sz val="7"/>
        <rFont val="Arial"/>
        <family val="2"/>
      </rPr>
      <t>100-AJBZFG-101</t>
    </r>
  </si>
  <si>
    <r>
      <rPr>
        <b/>
        <sz val="7"/>
        <rFont val="Arial"/>
        <family val="2"/>
      </rPr>
      <t>IC-100AJBZFG101</t>
    </r>
  </si>
  <si>
    <r>
      <rPr>
        <sz val="7"/>
        <rFont val="Arial MT"/>
        <family val="2"/>
      </rPr>
      <t>16.00 mm</t>
    </r>
  </si>
  <si>
    <r>
      <rPr>
        <sz val="7"/>
        <rFont val="Arial MT"/>
        <family val="2"/>
      </rPr>
      <t>TYPE F2 (NON I.S) - 1TR</t>
    </r>
  </si>
  <si>
    <r>
      <rPr>
        <sz val="7"/>
        <rFont val="Arial MT"/>
        <family val="2"/>
      </rPr>
      <t>100-AJBZFG-001</t>
    </r>
  </si>
  <si>
    <r>
      <rPr>
        <sz val="7"/>
        <rFont val="Arial MT"/>
        <family val="2"/>
      </rPr>
      <t>100-FD-010</t>
    </r>
  </si>
  <si>
    <r>
      <rPr>
        <sz val="7"/>
        <rFont val="Arial MT"/>
        <family val="2"/>
      </rPr>
      <t>IC-100FD010</t>
    </r>
  </si>
  <si>
    <r>
      <rPr>
        <sz val="7"/>
        <rFont val="Arial MT"/>
        <family val="2"/>
      </rPr>
      <t>100-FD-009</t>
    </r>
  </si>
  <si>
    <r>
      <rPr>
        <sz val="7"/>
        <rFont val="Arial MT"/>
        <family val="2"/>
      </rPr>
      <t>IC-100FD009</t>
    </r>
  </si>
  <si>
    <r>
      <rPr>
        <b/>
        <sz val="7"/>
        <rFont val="Arial"/>
        <family val="2"/>
      </rPr>
      <t>37.15 mm</t>
    </r>
  </si>
  <si>
    <r>
      <rPr>
        <b/>
        <sz val="7"/>
        <rFont val="Arial"/>
        <family val="2"/>
      </rPr>
      <t>TYPE F2 (NON I.S) - 6TR</t>
    </r>
  </si>
  <si>
    <r>
      <rPr>
        <b/>
        <sz val="7"/>
        <rFont val="Arial"/>
        <family val="2"/>
      </rPr>
      <t>100-AJBZFG-001</t>
    </r>
  </si>
  <si>
    <r>
      <rPr>
        <b/>
        <sz val="7"/>
        <rFont val="Arial"/>
        <family val="2"/>
      </rPr>
      <t>IC-100AJBZFG001</t>
    </r>
  </si>
  <si>
    <r>
      <rPr>
        <b/>
        <sz val="7"/>
        <rFont val="Arial"/>
        <family val="2"/>
      </rPr>
      <t>16.50 mm</t>
    </r>
  </si>
  <si>
    <r>
      <rPr>
        <b/>
        <sz val="7"/>
        <rFont val="Arial"/>
        <family val="2"/>
      </rPr>
      <t>2.5 mm2</t>
    </r>
  </si>
  <si>
    <r>
      <rPr>
        <b/>
        <sz val="7"/>
        <rFont val="Arial"/>
        <family val="2"/>
      </rPr>
      <t>100-SV-323</t>
    </r>
  </si>
  <si>
    <r>
      <rPr>
        <b/>
        <sz val="7"/>
        <rFont val="Arial"/>
        <family val="2"/>
      </rPr>
      <t>IC-100SV323</t>
    </r>
  </si>
  <si>
    <r>
      <rPr>
        <b/>
        <sz val="7"/>
        <rFont val="Arial"/>
        <family val="2"/>
      </rPr>
      <t>HVAC AIR INTAKE</t>
    </r>
  </si>
  <si>
    <r>
      <rPr>
        <b/>
        <sz val="7"/>
        <rFont val="Arial"/>
        <family val="2"/>
      </rPr>
      <t>100-GD-003</t>
    </r>
  </si>
  <si>
    <r>
      <rPr>
        <b/>
        <sz val="7"/>
        <rFont val="Arial"/>
        <family val="2"/>
      </rPr>
      <t>IC-100GD003</t>
    </r>
  </si>
  <si>
    <r>
      <rPr>
        <b/>
        <sz val="7"/>
        <rFont val="Arial"/>
        <family val="2"/>
      </rPr>
      <t>100-GD-002</t>
    </r>
  </si>
  <si>
    <r>
      <rPr>
        <b/>
        <sz val="7"/>
        <rFont val="Arial"/>
        <family val="2"/>
      </rPr>
      <t>IC-100GD002</t>
    </r>
  </si>
  <si>
    <r>
      <rPr>
        <b/>
        <sz val="7"/>
        <rFont val="Arial"/>
        <family val="2"/>
      </rPr>
      <t>100-GD-001</t>
    </r>
  </si>
  <si>
    <r>
      <rPr>
        <b/>
        <sz val="7"/>
        <rFont val="Arial"/>
        <family val="2"/>
      </rPr>
      <t>IC-100GD001</t>
    </r>
  </si>
  <si>
    <r>
      <rPr>
        <b/>
        <sz val="7"/>
        <rFont val="Arial"/>
        <family val="2"/>
      </rPr>
      <t>DIESEL GENERATOR PACKAGE</t>
    </r>
  </si>
  <si>
    <r>
      <rPr>
        <b/>
        <sz val="7"/>
        <rFont val="Arial"/>
        <family val="2"/>
      </rPr>
      <t>PANEL 100-PK-003B</t>
    </r>
  </si>
  <si>
    <r>
      <rPr>
        <b/>
        <sz val="7"/>
        <rFont val="Arial"/>
        <family val="2"/>
      </rPr>
      <t>IC-100PK003B3</t>
    </r>
  </si>
  <si>
    <r>
      <rPr>
        <b/>
        <sz val="7"/>
        <rFont val="Arial"/>
        <family val="2"/>
      </rPr>
      <t>IC-100PK003A3</t>
    </r>
  </si>
  <si>
    <r>
      <rPr>
        <sz val="7"/>
        <rFont val="Arial MT"/>
        <family val="2"/>
      </rPr>
      <t>REMOTE LED FOR 100-SD-004 IN ELECTRICAL &amp; INSTRUMENT ROOM</t>
    </r>
  </si>
  <si>
    <r>
      <rPr>
        <sz val="7"/>
        <rFont val="Arial MT"/>
        <family val="2"/>
      </rPr>
      <t>100-SD-004</t>
    </r>
  </si>
  <si>
    <r>
      <rPr>
        <sz val="7"/>
        <rFont val="Arial MT"/>
        <family val="2"/>
      </rPr>
      <t>100-LED-004</t>
    </r>
  </si>
  <si>
    <r>
      <rPr>
        <sz val="7"/>
        <rFont val="Arial MT"/>
        <family val="2"/>
      </rPr>
      <t>IC-100LED004</t>
    </r>
  </si>
  <si>
    <r>
      <rPr>
        <b/>
        <sz val="7"/>
        <rFont val="Arial"/>
        <family val="2"/>
      </rPr>
      <t xml:space="preserve">ELECTRICAL &amp; INSTRUMENT ROOM BELOW
</t>
    </r>
    <r>
      <rPr>
        <b/>
        <sz val="7"/>
        <rFont val="Arial"/>
        <family val="2"/>
      </rPr>
      <t>RAISED FLOOR</t>
    </r>
  </si>
  <si>
    <r>
      <rPr>
        <b/>
        <sz val="7"/>
        <rFont val="Arial"/>
        <family val="2"/>
      </rPr>
      <t>100-SD-004</t>
    </r>
  </si>
  <si>
    <r>
      <rPr>
        <b/>
        <sz val="7"/>
        <rFont val="Arial"/>
        <family val="2"/>
      </rPr>
      <t>IC-100SD004</t>
    </r>
  </si>
  <si>
    <r>
      <rPr>
        <sz val="7"/>
        <rFont val="Arial MT"/>
        <family val="2"/>
      </rPr>
      <t>REMOTE LED FOR 100-SD-003 IN ELECTRICAL &amp; INSTRUMENT ROOM</t>
    </r>
  </si>
  <si>
    <r>
      <rPr>
        <sz val="7"/>
        <rFont val="Arial MT"/>
        <family val="2"/>
      </rPr>
      <t>1.5  mm2</t>
    </r>
  </si>
  <si>
    <r>
      <rPr>
        <sz val="7"/>
        <rFont val="Arial MT"/>
        <family val="2"/>
      </rPr>
      <t>100-SD-003</t>
    </r>
  </si>
  <si>
    <r>
      <rPr>
        <sz val="7"/>
        <rFont val="Arial MT"/>
        <family val="2"/>
      </rPr>
      <t>100-LED-003</t>
    </r>
  </si>
  <si>
    <r>
      <rPr>
        <sz val="7"/>
        <rFont val="Arial MT"/>
        <family val="2"/>
      </rPr>
      <t>IC-100LED003</t>
    </r>
  </si>
  <si>
    <r>
      <rPr>
        <b/>
        <sz val="7"/>
        <rFont val="Arial"/>
        <family val="2"/>
      </rPr>
      <t>100-SD-003</t>
    </r>
  </si>
  <si>
    <r>
      <rPr>
        <b/>
        <sz val="7"/>
        <rFont val="Arial"/>
        <family val="2"/>
      </rPr>
      <t>IC-100SD003</t>
    </r>
  </si>
  <si>
    <r>
      <rPr>
        <sz val="7"/>
        <rFont val="Arial MT"/>
        <family val="2"/>
      </rPr>
      <t>100-AJBZFG-004</t>
    </r>
  </si>
  <si>
    <r>
      <rPr>
        <sz val="7"/>
        <rFont val="Arial MT"/>
        <family val="2"/>
      </rPr>
      <t>100-GD-008</t>
    </r>
  </si>
  <si>
    <r>
      <rPr>
        <sz val="7"/>
        <rFont val="Arial MT"/>
        <family val="2"/>
      </rPr>
      <t>IC-100GD008</t>
    </r>
  </si>
  <si>
    <r>
      <rPr>
        <sz val="7"/>
        <rFont val="Arial MT"/>
        <family val="2"/>
      </rPr>
      <t>100-FD-006</t>
    </r>
  </si>
  <si>
    <r>
      <rPr>
        <sz val="7"/>
        <rFont val="Arial MT"/>
        <family val="2"/>
      </rPr>
      <t>IC-100FD006</t>
    </r>
  </si>
  <si>
    <r>
      <rPr>
        <b/>
        <sz val="7"/>
        <rFont val="Arial"/>
        <family val="2"/>
      </rPr>
      <t>100-AJBZFG-004</t>
    </r>
  </si>
  <si>
    <r>
      <rPr>
        <b/>
        <sz val="7"/>
        <rFont val="Arial"/>
        <family val="2"/>
      </rPr>
      <t>IC-100AJBZFG004</t>
    </r>
  </si>
  <si>
    <r>
      <rPr>
        <sz val="7"/>
        <rFont val="Arial MT"/>
        <family val="2"/>
      </rPr>
      <t>100-AJBZFG-003</t>
    </r>
  </si>
  <si>
    <r>
      <rPr>
        <sz val="7"/>
        <rFont val="Arial MT"/>
        <family val="2"/>
      </rPr>
      <t>100-GD-015</t>
    </r>
  </si>
  <si>
    <r>
      <rPr>
        <sz val="7"/>
        <rFont val="Arial MT"/>
        <family val="2"/>
      </rPr>
      <t>IC-100GD015</t>
    </r>
  </si>
  <si>
    <r>
      <rPr>
        <sz val="7"/>
        <rFont val="Arial MT"/>
        <family val="2"/>
      </rPr>
      <t>100-GD-014</t>
    </r>
  </si>
  <si>
    <r>
      <rPr>
        <sz val="7"/>
        <rFont val="Arial MT"/>
        <family val="2"/>
      </rPr>
      <t>IC-100GD014</t>
    </r>
  </si>
  <si>
    <r>
      <rPr>
        <sz val="7"/>
        <rFont val="Arial MT"/>
        <family val="2"/>
      </rPr>
      <t>100-GD-013</t>
    </r>
  </si>
  <si>
    <r>
      <rPr>
        <sz val="7"/>
        <rFont val="Arial MT"/>
        <family val="2"/>
      </rPr>
      <t>IC-100GD013</t>
    </r>
  </si>
  <si>
    <r>
      <rPr>
        <sz val="7"/>
        <rFont val="Arial MT"/>
        <family val="2"/>
      </rPr>
      <t>100-GD-012</t>
    </r>
  </si>
  <si>
    <r>
      <rPr>
        <sz val="7"/>
        <rFont val="Arial MT"/>
        <family val="2"/>
      </rPr>
      <t>IC-100GD012</t>
    </r>
  </si>
  <si>
    <r>
      <rPr>
        <sz val="7"/>
        <rFont val="Arial MT"/>
        <family val="2"/>
      </rPr>
      <t>100-FD-005</t>
    </r>
  </si>
  <si>
    <r>
      <rPr>
        <sz val="7"/>
        <rFont val="Arial MT"/>
        <family val="2"/>
      </rPr>
      <t>IC-100FD005</t>
    </r>
  </si>
  <si>
    <r>
      <rPr>
        <b/>
        <sz val="7"/>
        <rFont val="Arial"/>
        <family val="2"/>
      </rPr>
      <t>100-AJBZFG-003</t>
    </r>
  </si>
  <si>
    <r>
      <rPr>
        <b/>
        <sz val="7"/>
        <rFont val="Arial"/>
        <family val="2"/>
      </rPr>
      <t>IC-100AJBZFG003</t>
    </r>
  </si>
  <si>
    <r>
      <rPr>
        <b/>
        <sz val="7"/>
        <rFont val="Arial"/>
        <family val="2"/>
      </rPr>
      <t>WHCP PANEL 100-WHCP-001</t>
    </r>
  </si>
  <si>
    <r>
      <rPr>
        <b/>
        <sz val="7"/>
        <rFont val="Arial"/>
        <family val="2"/>
      </rPr>
      <t>100-AJBZFG-102</t>
    </r>
  </si>
  <si>
    <r>
      <rPr>
        <b/>
        <sz val="7"/>
        <rFont val="Arial"/>
        <family val="2"/>
      </rPr>
      <t>IC-100AJBZFG102</t>
    </r>
  </si>
  <si>
    <r>
      <rPr>
        <sz val="7"/>
        <rFont val="Arial MT"/>
        <family val="2"/>
      </rPr>
      <t>100-AJBZFG-002</t>
    </r>
  </si>
  <si>
    <r>
      <rPr>
        <sz val="7"/>
        <rFont val="Arial MT"/>
        <family val="2"/>
      </rPr>
      <t>100-FD-001</t>
    </r>
  </si>
  <si>
    <r>
      <rPr>
        <sz val="7"/>
        <rFont val="Arial MT"/>
        <family val="2"/>
      </rPr>
      <t>IC-100FD001</t>
    </r>
  </si>
  <si>
    <r>
      <rPr>
        <sz val="7"/>
        <rFont val="Arial MT"/>
        <family val="2"/>
      </rPr>
      <t>100-GD-007</t>
    </r>
  </si>
  <si>
    <r>
      <rPr>
        <sz val="7"/>
        <rFont val="Arial MT"/>
        <family val="2"/>
      </rPr>
      <t>IC-100GD007</t>
    </r>
  </si>
  <si>
    <r>
      <rPr>
        <sz val="7"/>
        <rFont val="Arial MT"/>
        <family val="2"/>
      </rPr>
      <t>100-GD-006</t>
    </r>
  </si>
  <si>
    <r>
      <rPr>
        <sz val="7"/>
        <rFont val="Arial MT"/>
        <family val="2"/>
      </rPr>
      <t>IC-100GD006</t>
    </r>
  </si>
  <si>
    <r>
      <rPr>
        <sz val="7"/>
        <rFont val="Arial MT"/>
        <family val="2"/>
      </rPr>
      <t>100-GD-005</t>
    </r>
  </si>
  <si>
    <r>
      <rPr>
        <sz val="7"/>
        <rFont val="Arial MT"/>
        <family val="2"/>
      </rPr>
      <t>IC-100GD005</t>
    </r>
  </si>
  <si>
    <r>
      <rPr>
        <sz val="7"/>
        <rFont val="Arial MT"/>
        <family val="2"/>
      </rPr>
      <t>100-GD-004</t>
    </r>
  </si>
  <si>
    <r>
      <rPr>
        <sz val="7"/>
        <rFont val="Arial MT"/>
        <family val="2"/>
      </rPr>
      <t>IC-100GD004</t>
    </r>
  </si>
  <si>
    <r>
      <rPr>
        <b/>
        <sz val="7"/>
        <rFont val="Arial"/>
        <family val="2"/>
      </rPr>
      <t>100-AJBZFG-002</t>
    </r>
  </si>
  <si>
    <r>
      <rPr>
        <b/>
        <sz val="7"/>
        <rFont val="Arial"/>
        <family val="2"/>
      </rPr>
      <t>IC-100AJBZFG002</t>
    </r>
  </si>
  <si>
    <r>
      <rPr>
        <b/>
        <sz val="7"/>
        <rFont val="Arial"/>
        <family val="2"/>
      </rPr>
      <t>100-PS-302</t>
    </r>
  </si>
  <si>
    <r>
      <rPr>
        <b/>
        <sz val="7"/>
        <rFont val="Arial"/>
        <family val="2"/>
      </rPr>
      <t>IC-100PS302</t>
    </r>
  </si>
  <si>
    <r>
      <rPr>
        <b/>
        <sz val="7"/>
        <rFont val="Arial"/>
        <family val="2"/>
      </rPr>
      <t>CLEAN AGENT SYSTEM PANEL</t>
    </r>
  </si>
  <si>
    <r>
      <rPr>
        <b/>
        <sz val="7"/>
        <rFont val="Arial"/>
        <family val="2"/>
      </rPr>
      <t>IC-100CASP0012</t>
    </r>
  </si>
  <si>
    <r>
      <rPr>
        <b/>
        <sz val="7"/>
        <rFont val="Arial"/>
        <family val="2"/>
      </rPr>
      <t>100-PS-401</t>
    </r>
  </si>
  <si>
    <r>
      <rPr>
        <b/>
        <sz val="7"/>
        <rFont val="Arial"/>
        <family val="2"/>
      </rPr>
      <t>IC-100PS401</t>
    </r>
  </si>
  <si>
    <r>
      <rPr>
        <sz val="7"/>
        <rFont val="Arial MT"/>
        <family val="2"/>
      </rPr>
      <t>100-AJBZFG-005</t>
    </r>
  </si>
  <si>
    <r>
      <rPr>
        <sz val="7"/>
        <rFont val="Arial MT"/>
        <family val="2"/>
      </rPr>
      <t>100-GD-017</t>
    </r>
  </si>
  <si>
    <r>
      <rPr>
        <sz val="7"/>
        <rFont val="Arial MT"/>
        <family val="2"/>
      </rPr>
      <t>IC-100GD017</t>
    </r>
  </si>
  <si>
    <r>
      <rPr>
        <sz val="7"/>
        <rFont val="Arial MT"/>
        <family val="2"/>
      </rPr>
      <t>100-GD-016</t>
    </r>
  </si>
  <si>
    <r>
      <rPr>
        <sz val="7"/>
        <rFont val="Arial MT"/>
        <family val="2"/>
      </rPr>
      <t>IC-100GD016</t>
    </r>
  </si>
  <si>
    <r>
      <rPr>
        <sz val="7"/>
        <rFont val="Arial MT"/>
        <family val="2"/>
      </rPr>
      <t>100-FD-008</t>
    </r>
  </si>
  <si>
    <r>
      <rPr>
        <sz val="7"/>
        <rFont val="Arial MT"/>
        <family val="2"/>
      </rPr>
      <t>IC-100FD008</t>
    </r>
  </si>
  <si>
    <r>
      <rPr>
        <sz val="7"/>
        <rFont val="Arial MT"/>
        <family val="2"/>
      </rPr>
      <t>100-FD-007</t>
    </r>
  </si>
  <si>
    <r>
      <rPr>
        <sz val="7"/>
        <rFont val="Arial MT"/>
        <family val="2"/>
      </rPr>
      <t>IC-100FD007</t>
    </r>
  </si>
  <si>
    <r>
      <rPr>
        <b/>
        <sz val="7"/>
        <rFont val="Arial"/>
        <family val="2"/>
      </rPr>
      <t>100-AJBZFG-005</t>
    </r>
  </si>
  <si>
    <r>
      <rPr>
        <b/>
        <sz val="7"/>
        <rFont val="Arial"/>
        <family val="2"/>
      </rPr>
      <t>IC-100AJBZFG005</t>
    </r>
  </si>
  <si>
    <r>
      <rPr>
        <sz val="7"/>
        <rFont val="Arial MT"/>
        <family val="2"/>
      </rPr>
      <t>100-AJBZFG-006</t>
    </r>
  </si>
  <si>
    <r>
      <rPr>
        <sz val="7"/>
        <rFont val="Arial MT"/>
        <family val="2"/>
      </rPr>
      <t>100-FD-004</t>
    </r>
  </si>
  <si>
    <r>
      <rPr>
        <sz val="7"/>
        <rFont val="Arial MT"/>
        <family val="2"/>
      </rPr>
      <t>IC-100FD004</t>
    </r>
  </si>
  <si>
    <r>
      <rPr>
        <sz val="7"/>
        <rFont val="Arial MT"/>
        <family val="2"/>
      </rPr>
      <t>100-GD-010</t>
    </r>
  </si>
  <si>
    <r>
      <rPr>
        <sz val="7"/>
        <rFont val="Arial MT"/>
        <family val="2"/>
      </rPr>
      <t>IC-100GD010</t>
    </r>
  </si>
  <si>
    <r>
      <rPr>
        <sz val="7"/>
        <rFont val="Arial MT"/>
        <family val="2"/>
      </rPr>
      <t>100-FD-002</t>
    </r>
  </si>
  <si>
    <r>
      <rPr>
        <sz val="7"/>
        <rFont val="Arial MT"/>
        <family val="2"/>
      </rPr>
      <t>IC-100FD002</t>
    </r>
  </si>
  <si>
    <r>
      <rPr>
        <b/>
        <sz val="7"/>
        <rFont val="Arial"/>
        <family val="2"/>
      </rPr>
      <t>100-AJBZFG-006</t>
    </r>
  </si>
  <si>
    <r>
      <rPr>
        <b/>
        <sz val="7"/>
        <rFont val="Arial"/>
        <family val="2"/>
      </rPr>
      <t>IC-100AJBZFG006</t>
    </r>
  </si>
  <si>
    <r>
      <rPr>
        <sz val="7"/>
        <rFont val="Arial MT"/>
        <family val="2"/>
      </rPr>
      <t>100-GD-011</t>
    </r>
  </si>
  <si>
    <r>
      <rPr>
        <sz val="7"/>
        <rFont val="Arial MT"/>
        <family val="2"/>
      </rPr>
      <t>IC-100GD011</t>
    </r>
  </si>
  <si>
    <r>
      <rPr>
        <sz val="7"/>
        <rFont val="Arial MT"/>
        <family val="2"/>
      </rPr>
      <t>100-FD-003</t>
    </r>
  </si>
  <si>
    <r>
      <rPr>
        <sz val="7"/>
        <rFont val="Arial MT"/>
        <family val="2"/>
      </rPr>
      <t>IC-100FD003</t>
    </r>
  </si>
  <si>
    <r>
      <rPr>
        <sz val="7"/>
        <rFont val="Arial MT"/>
        <family val="2"/>
      </rPr>
      <t>100-GD-009</t>
    </r>
  </si>
  <si>
    <r>
      <rPr>
        <sz val="7"/>
        <rFont val="Arial MT"/>
        <family val="2"/>
      </rPr>
      <t>IC-100GD009</t>
    </r>
  </si>
  <si>
    <r>
      <rPr>
        <sz val="7"/>
        <rFont val="Arial MT"/>
        <family val="2"/>
      </rPr>
      <t>SIGNAL TO TRIP HVAC</t>
    </r>
  </si>
  <si>
    <r>
      <rPr>
        <b/>
        <sz val="7"/>
        <rFont val="Arial"/>
        <family val="2"/>
      </rPr>
      <t>16.5 mm</t>
    </r>
  </si>
  <si>
    <r>
      <rPr>
        <b/>
        <sz val="7"/>
        <rFont val="Arial"/>
        <family val="2"/>
      </rPr>
      <t>IC-100HVAC0013</t>
    </r>
  </si>
  <si>
    <r>
      <rPr>
        <sz val="7"/>
        <rFont val="Arial MT"/>
        <family val="2"/>
      </rPr>
      <t>SIGNAL TO ISOLATE BATTERY CHARGER</t>
    </r>
  </si>
  <si>
    <r>
      <rPr>
        <b/>
        <sz val="7"/>
        <rFont val="Arial"/>
        <family val="2"/>
      </rPr>
      <t>IC-100UPS0013</t>
    </r>
  </si>
  <si>
    <r>
      <rPr>
        <sz val="7"/>
        <rFont val="Arial MT"/>
        <family val="2"/>
      </rPr>
      <t>CONFIRMED FIRE&amp;CONFIRMED GAS -  PAGA</t>
    </r>
  </si>
  <si>
    <r>
      <rPr>
        <b/>
        <sz val="7"/>
        <rFont val="Arial"/>
        <family val="2"/>
      </rPr>
      <t>32.20 mm</t>
    </r>
  </si>
  <si>
    <r>
      <rPr>
        <b/>
        <sz val="7"/>
        <rFont val="Arial"/>
        <family val="2"/>
      </rPr>
      <t>IC-100PAGA0013</t>
    </r>
  </si>
  <si>
    <r>
      <rPr>
        <sz val="7"/>
        <rFont val="Arial MT"/>
        <family val="2"/>
      </rPr>
      <t>CONFIRMED FIRE/GAS - NAV AID</t>
    </r>
  </si>
  <si>
    <r>
      <rPr>
        <b/>
        <sz val="7"/>
        <rFont val="Arial"/>
        <family val="2"/>
      </rPr>
      <t>IC-100NAV0013</t>
    </r>
  </si>
  <si>
    <r>
      <t>2.5mm</t>
    </r>
    <r>
      <rPr>
        <b/>
        <vertAlign val="superscript"/>
        <sz val="7.5"/>
        <rFont val="Arial"/>
        <family val="2"/>
      </rPr>
      <t>2</t>
    </r>
  </si>
  <si>
    <t>POWER ON LAMP ON ICSS PANEL</t>
  </si>
  <si>
    <t xml:space="preserve">100-PAGA-001 </t>
  </si>
  <si>
    <t xml:space="preserve">100-HVAC-001 </t>
  </si>
  <si>
    <t xml:space="preserve">100-NAV-001 </t>
  </si>
  <si>
    <t>100UPS0013</t>
  </si>
  <si>
    <t>HS-W902A</t>
  </si>
  <si>
    <t>100-SY-603</t>
  </si>
  <si>
    <t>DP (NE)</t>
  </si>
  <si>
    <t>Not In 2 Documents</t>
  </si>
  <si>
    <t>Not In 1 Document</t>
  </si>
  <si>
    <t>Clear</t>
  </si>
  <si>
    <t>Type</t>
  </si>
  <si>
    <t>Quantity</t>
  </si>
  <si>
    <t>DVFC</t>
  </si>
  <si>
    <t>DP (NDE)</t>
  </si>
  <si>
    <t>DPM</t>
  </si>
  <si>
    <t>AI PCS</t>
  </si>
  <si>
    <t>DVFC PCS</t>
  </si>
  <si>
    <t>DP (NE) PCS</t>
  </si>
  <si>
    <t>DP (NDE) PCS</t>
  </si>
  <si>
    <t>DPM PCS</t>
  </si>
  <si>
    <t>AI SIS</t>
  </si>
  <si>
    <t>DVFC SIS</t>
  </si>
  <si>
    <t>DP (NE) SIS</t>
  </si>
  <si>
    <t>DP (NDE) SIS</t>
  </si>
  <si>
    <t>DPM SIS</t>
  </si>
  <si>
    <t>FGS</t>
  </si>
  <si>
    <t>AI FGS</t>
  </si>
  <si>
    <t>DVFC FGS</t>
  </si>
  <si>
    <t>DP (NE) FGS</t>
  </si>
  <si>
    <t>DP (NDE) FGS</t>
  </si>
  <si>
    <t>DPM FGS</t>
  </si>
  <si>
    <t>Totals</t>
  </si>
  <si>
    <t>Total</t>
  </si>
  <si>
    <t>ESD SHUTDOWN FROM DRILLING RIG</t>
  </si>
  <si>
    <t>100-CF-PK-003A</t>
  </si>
  <si>
    <t>100-CF-PK-003B</t>
  </si>
  <si>
    <t>Spare</t>
  </si>
  <si>
    <t>R01S01_DI1</t>
  </si>
  <si>
    <t>R01S02_DO1</t>
  </si>
  <si>
    <t>R01S03_DO2</t>
  </si>
  <si>
    <t>R01S04_AI1</t>
  </si>
  <si>
    <t>R02S01_DI2</t>
  </si>
  <si>
    <t>100-LIT-601</t>
  </si>
  <si>
    <t>100-LIT-602</t>
  </si>
  <si>
    <t>100-PIT-605</t>
  </si>
  <si>
    <t>100-PIT-607</t>
  </si>
  <si>
    <t>100-PIT-611</t>
  </si>
  <si>
    <t>100-PIT-612</t>
  </si>
  <si>
    <t>100-PIT-619</t>
  </si>
  <si>
    <t>100-HSBR-006A</t>
  </si>
  <si>
    <t>100-HSAR-006A</t>
  </si>
  <si>
    <t>100-HSBR-006B</t>
  </si>
  <si>
    <t>100-HSAR-006B</t>
  </si>
  <si>
    <t>100-HSBR-007A</t>
  </si>
  <si>
    <t>100-HSAR-007A</t>
  </si>
  <si>
    <t>100-HSBR-007B</t>
  </si>
  <si>
    <t>100-HSAR-007B</t>
  </si>
  <si>
    <t>100-PIT-609</t>
  </si>
  <si>
    <t>100-XF-006A</t>
  </si>
  <si>
    <t>100-XF-006B</t>
  </si>
  <si>
    <t>100-XB-006B</t>
  </si>
  <si>
    <t>100-XF-007A</t>
  </si>
  <si>
    <t>100-XB-007A</t>
  </si>
  <si>
    <t>100-XF-007B</t>
  </si>
  <si>
    <t>100-XB-007B</t>
  </si>
  <si>
    <t>100-PIT-212A</t>
  </si>
  <si>
    <t>100-PIT-212B</t>
  </si>
  <si>
    <t>100-HSAR-005A</t>
  </si>
  <si>
    <t>100-HSBR-005B</t>
  </si>
  <si>
    <t>100-HSAR-005B</t>
  </si>
  <si>
    <t>100-PDIT-213A</t>
  </si>
  <si>
    <t>100-PDIT-213B</t>
  </si>
  <si>
    <t>100-XI-003A</t>
  </si>
  <si>
    <t>100-HSAR-910</t>
  </si>
  <si>
    <t>100-HSBR-910</t>
  </si>
  <si>
    <t>100-XI-003B</t>
  </si>
  <si>
    <t>100-LI-603B</t>
  </si>
  <si>
    <t>100-HSAR-911</t>
  </si>
  <si>
    <t>100-HSBR-911</t>
  </si>
  <si>
    <t>100-LIT-626</t>
  </si>
  <si>
    <t>100-PIT-220A</t>
  </si>
  <si>
    <t>100-PIT-220B</t>
  </si>
  <si>
    <t>100-HSBR-MX-001</t>
  </si>
  <si>
    <t>100-HSAR-MX-001</t>
  </si>
  <si>
    <t>100-HSBR-001A</t>
  </si>
  <si>
    <t>100-HSAR-001A</t>
  </si>
  <si>
    <t>100-HSBR-001B</t>
  </si>
  <si>
    <t>100-HSAR-001B</t>
  </si>
  <si>
    <t>100-LIT-628</t>
  </si>
  <si>
    <t>100-PIT-221A</t>
  </si>
  <si>
    <t>100-PIT-221B</t>
  </si>
  <si>
    <t>100-HSBR-002A</t>
  </si>
  <si>
    <t>100-HSAR-002A</t>
  </si>
  <si>
    <t>100-HSBR-002B</t>
  </si>
  <si>
    <t>100-HSAR-002B</t>
  </si>
  <si>
    <t>100-PIT-223</t>
  </si>
  <si>
    <t>100-LIT-630</t>
  </si>
  <si>
    <t>100-PIT-222B</t>
  </si>
  <si>
    <t>100-HSBR-003A</t>
  </si>
  <si>
    <t>100-HSAR-003A</t>
  </si>
  <si>
    <t>100-HSBR-003B</t>
  </si>
  <si>
    <t>100-HSAR-003B</t>
  </si>
  <si>
    <t>100-LIT-631</t>
  </si>
  <si>
    <t>100-PIT-225A</t>
  </si>
  <si>
    <t>100-PIT-225B</t>
  </si>
  <si>
    <t>100-HSBR-008A</t>
  </si>
  <si>
    <t>100-HSAR-008A</t>
  </si>
  <si>
    <t>100-HSBR-008B</t>
  </si>
  <si>
    <t>100-HSAR-008B</t>
  </si>
  <si>
    <t>100-HRN-003</t>
  </si>
  <si>
    <t>100-HSBR-004A</t>
  </si>
  <si>
    <t>100-HSAR-004A</t>
  </si>
  <si>
    <t>100-HSBR-004B</t>
  </si>
  <si>
    <t>100-HSAR-004B</t>
  </si>
  <si>
    <t>100-LSL-311</t>
  </si>
  <si>
    <t>100-PSL-318</t>
  </si>
  <si>
    <t>100-PSL-319</t>
  </si>
  <si>
    <t>100-PSL-325</t>
  </si>
  <si>
    <t>100-ZSL-328</t>
  </si>
  <si>
    <t>100-ZSH-328</t>
  </si>
  <si>
    <t>100-XF-001</t>
  </si>
  <si>
    <t>100-XS-015</t>
  </si>
  <si>
    <t>100-XS-016</t>
  </si>
  <si>
    <t>100-XS-017</t>
  </si>
  <si>
    <t>100-PB-302</t>
  </si>
  <si>
    <t>100-PB-303</t>
  </si>
  <si>
    <t>100-PB-304</t>
  </si>
  <si>
    <t>100-PB-305</t>
  </si>
  <si>
    <t>100-PB-306</t>
  </si>
  <si>
    <t>100-XS-020</t>
  </si>
  <si>
    <t>100-XS-100</t>
  </si>
  <si>
    <t>100-XS-101</t>
  </si>
  <si>
    <t>100-XS-102</t>
  </si>
  <si>
    <t>100-XS-103</t>
  </si>
  <si>
    <t>100-XS-021</t>
  </si>
  <si>
    <t>100-XS-022</t>
  </si>
  <si>
    <t>100-XS-023</t>
  </si>
  <si>
    <t>100-XS-024</t>
  </si>
  <si>
    <t>100-XS-025</t>
  </si>
  <si>
    <t>100-XS-026</t>
  </si>
  <si>
    <t>100-XS-027</t>
  </si>
  <si>
    <t>100-PZIT-W201A</t>
  </si>
  <si>
    <t>100-PZIT-W202A</t>
  </si>
  <si>
    <t>100-PZIT-W203A</t>
  </si>
  <si>
    <t>100-SY-W903A</t>
  </si>
  <si>
    <t>100-SY-W902B</t>
  </si>
  <si>
    <t>100-SY-W903B</t>
  </si>
  <si>
    <t>100-PZIT-W201B</t>
  </si>
  <si>
    <t>100-PZIT-W202B</t>
  </si>
  <si>
    <t>100-PZIT-W203B</t>
  </si>
  <si>
    <t>100-SY-W902C</t>
  </si>
  <si>
    <t>100-SY-W903C</t>
  </si>
  <si>
    <t>100-PZIT-W201C</t>
  </si>
  <si>
    <t>100-PZIT-W202C</t>
  </si>
  <si>
    <t>100-PZIT-W203C</t>
  </si>
  <si>
    <t>100-SY-W902D</t>
  </si>
  <si>
    <t>100-SY-W903D</t>
  </si>
  <si>
    <t>100-PZIT-W201D</t>
  </si>
  <si>
    <t>100-PZIT-W202D</t>
  </si>
  <si>
    <t>100-PZIT-W203D</t>
  </si>
  <si>
    <t>100-LZIT-603</t>
  </si>
  <si>
    <t>100-LZIT-604</t>
  </si>
  <si>
    <t>100-PZIT-606</t>
  </si>
  <si>
    <t>100-PZIT-608</t>
  </si>
  <si>
    <t>100-PZIT-613</t>
  </si>
  <si>
    <t>100-PZIT-614</t>
  </si>
  <si>
    <t>100-XS-006A</t>
  </si>
  <si>
    <t>100-XS-006B</t>
  </si>
  <si>
    <t>100-XS-007A</t>
  </si>
  <si>
    <t>100-XS-007B</t>
  </si>
  <si>
    <t>100-SY-601</t>
  </si>
  <si>
    <t>100-SY-602</t>
  </si>
  <si>
    <t>100-SY-604</t>
  </si>
  <si>
    <t>100-PZIT-616</t>
  </si>
  <si>
    <t>100-PZIT-617</t>
  </si>
  <si>
    <t>100-XS-005B</t>
  </si>
  <si>
    <t>100-XS-MX-001</t>
  </si>
  <si>
    <t>100-LZIT-625</t>
  </si>
  <si>
    <t>100-PZIT-226A</t>
  </si>
  <si>
    <t>100-PZIT-226B</t>
  </si>
  <si>
    <t>100-XS-001A</t>
  </si>
  <si>
    <t>100-XS-001B</t>
  </si>
  <si>
    <t>100-SV-910A</t>
  </si>
  <si>
    <t>100-SV-910B</t>
  </si>
  <si>
    <t>100-SV-910C</t>
  </si>
  <si>
    <t>100-SV-910D</t>
  </si>
  <si>
    <t>100-XS-MX-002</t>
  </si>
  <si>
    <t>100-LZIT-627</t>
  </si>
  <si>
    <t>100-PZIT-227A</t>
  </si>
  <si>
    <t>100-PZIT-227B</t>
  </si>
  <si>
    <t>100-XS-002A</t>
  </si>
  <si>
    <t>100-XS-002B</t>
  </si>
  <si>
    <t>100-SV-911B</t>
  </si>
  <si>
    <t>100-SV-911C</t>
  </si>
  <si>
    <t>100-SV-911D</t>
  </si>
  <si>
    <t>100-LZIT-629</t>
  </si>
  <si>
    <t>100-PZIT-228A</t>
  </si>
  <si>
    <t>100-PZIT-228B</t>
  </si>
  <si>
    <t>100-SV-909A</t>
  </si>
  <si>
    <t>100-SV-909B</t>
  </si>
  <si>
    <t>100-SV-909C</t>
  </si>
  <si>
    <t>100-SV-909D</t>
  </si>
  <si>
    <t>100-LZIT-632</t>
  </si>
  <si>
    <t>100-PZIT-229A</t>
  </si>
  <si>
    <t>100-PZIT-229B</t>
  </si>
  <si>
    <t>100-XS-008A</t>
  </si>
  <si>
    <t>100-XS-008B</t>
  </si>
  <si>
    <t>100-SV-912</t>
  </si>
  <si>
    <t>100-XS-004A</t>
  </si>
  <si>
    <t>100-XS-004B</t>
  </si>
  <si>
    <t>100-XL-001</t>
  </si>
  <si>
    <t>100-XL-002</t>
  </si>
  <si>
    <t>100-XL-003</t>
  </si>
  <si>
    <t>100-XL-004</t>
  </si>
  <si>
    <t>100-XL-005</t>
  </si>
  <si>
    <t>100-XL-006</t>
  </si>
  <si>
    <t>100-XL-007</t>
  </si>
  <si>
    <t>100-XL-008</t>
  </si>
  <si>
    <t>100-XL-009</t>
  </si>
  <si>
    <t>100-XL-010</t>
  </si>
  <si>
    <t>100-XL-011</t>
  </si>
  <si>
    <t>100-XL-012</t>
  </si>
  <si>
    <t>100-XL-013</t>
  </si>
  <si>
    <t>100-PB-001</t>
  </si>
  <si>
    <t>100-PB-002</t>
  </si>
  <si>
    <t>100-PB-003</t>
  </si>
  <si>
    <t>100-PB-004</t>
  </si>
  <si>
    <t>100-PB-005</t>
  </si>
  <si>
    <t>100-PB-006</t>
  </si>
  <si>
    <t>100-PB-007</t>
  </si>
  <si>
    <t>100-PB-008</t>
  </si>
  <si>
    <t>100-PB-009</t>
  </si>
  <si>
    <t>100-PB-010</t>
  </si>
  <si>
    <t>100-PB-011</t>
  </si>
  <si>
    <t>100-PB-012</t>
  </si>
  <si>
    <t>100-PB-013</t>
  </si>
  <si>
    <t>100-PB-014</t>
  </si>
  <si>
    <t>100-PB-015</t>
  </si>
  <si>
    <t>100-PB-016</t>
  </si>
  <si>
    <t>100-XS-009</t>
  </si>
  <si>
    <t>100-XS-012</t>
  </si>
  <si>
    <t>100-XS-014</t>
  </si>
  <si>
    <t>100-XS-018</t>
  </si>
  <si>
    <t>100-XS-019</t>
  </si>
  <si>
    <t>100-SV-910</t>
  </si>
  <si>
    <t>100-TZIT-409A</t>
  </si>
  <si>
    <t>100-TZIT-409B</t>
  </si>
  <si>
    <t>100-PZIT-615A</t>
  </si>
  <si>
    <t>100-PZIT-615B</t>
  </si>
  <si>
    <t>100-MR-001</t>
  </si>
  <si>
    <t>100-MR-002</t>
  </si>
  <si>
    <t>100-MCP-001</t>
  </si>
  <si>
    <t>100-MCP-002</t>
  </si>
  <si>
    <t>100-H2-001</t>
  </si>
  <si>
    <t>100-H2-002</t>
  </si>
  <si>
    <t>100-GD-001</t>
  </si>
  <si>
    <t>100-GD-002</t>
  </si>
  <si>
    <t>100-GD-003</t>
  </si>
  <si>
    <t>100-FD-010</t>
  </si>
  <si>
    <t>100-FD-009</t>
  </si>
  <si>
    <t>100-MCP-003</t>
  </si>
  <si>
    <t>100-MCP-004</t>
  </si>
  <si>
    <t>100-SD-001</t>
  </si>
  <si>
    <t>100-SD-002</t>
  </si>
  <si>
    <t>100-SD-003</t>
  </si>
  <si>
    <t>100-SD-004</t>
  </si>
  <si>
    <t>100-SD-005</t>
  </si>
  <si>
    <t>100-SD-006</t>
  </si>
  <si>
    <t>100-SD-007</t>
  </si>
  <si>
    <t>100-GD-004</t>
  </si>
  <si>
    <t>100-GD-005</t>
  </si>
  <si>
    <t>100-GD-006</t>
  </si>
  <si>
    <t>100-GD-007</t>
  </si>
  <si>
    <t>100-FD-001</t>
  </si>
  <si>
    <t>100-FD-002</t>
  </si>
  <si>
    <t>100-MCP-007</t>
  </si>
  <si>
    <t>100-MCP-008</t>
  </si>
  <si>
    <t>100-GD-008</t>
  </si>
  <si>
    <t>100-FD-004</t>
  </si>
  <si>
    <t>100-FD-006</t>
  </si>
  <si>
    <t>100-GD-009</t>
  </si>
  <si>
    <t>100-GD-010</t>
  </si>
  <si>
    <t>100-GD-011</t>
  </si>
  <si>
    <t>100-GD-012</t>
  </si>
  <si>
    <t>100-GD-013</t>
  </si>
  <si>
    <t>100-GD-014</t>
  </si>
  <si>
    <t>100-GD-015</t>
  </si>
  <si>
    <t>100-FD-003</t>
  </si>
  <si>
    <t>100-FD-005</t>
  </si>
  <si>
    <t>100-MCP-005</t>
  </si>
  <si>
    <t>100-GD-016</t>
  </si>
  <si>
    <t>100-GD-017</t>
  </si>
  <si>
    <t>100-FD-007</t>
  </si>
  <si>
    <t>100-FD-008</t>
  </si>
  <si>
    <t>100-MCP-006</t>
  </si>
  <si>
    <t>100-SV-323</t>
  </si>
  <si>
    <t>100-CF-002</t>
  </si>
  <si>
    <t>100-CG-002</t>
  </si>
  <si>
    <t>100-CR-003</t>
  </si>
  <si>
    <t>100-XS-200</t>
  </si>
  <si>
    <t>100-PS-401</t>
  </si>
  <si>
    <t>100-XS-010</t>
  </si>
  <si>
    <t>100-XS-011</t>
  </si>
  <si>
    <t>100-PS-302</t>
  </si>
  <si>
    <t>Tag</t>
  </si>
  <si>
    <t>in R4</t>
  </si>
  <si>
    <t>Dublicated?</t>
  </si>
  <si>
    <t>JB</t>
  </si>
  <si>
    <t>100-AJBB-106</t>
  </si>
  <si>
    <t>100-SWGR-001 PANEL</t>
  </si>
  <si>
    <t>PANEL-100-PK-003B</t>
  </si>
  <si>
    <t>100-AJBB-103</t>
  </si>
  <si>
    <t>Notes</t>
  </si>
  <si>
    <t>100-AJBB-104</t>
  </si>
  <si>
    <t>100-AJBB-105</t>
  </si>
  <si>
    <t>CHANGE TO DP(NE)</t>
  </si>
  <si>
    <t>DELETE</t>
  </si>
  <si>
    <t>100-AJBZ-104</t>
  </si>
  <si>
    <t>100-SJBZ-103</t>
  </si>
  <si>
    <t>100-AJBZ-105</t>
  </si>
  <si>
    <t>100-SJBZ-104</t>
  </si>
  <si>
    <t>100-AJBZ-106</t>
  </si>
  <si>
    <t>100-SJBZ-105</t>
  </si>
  <si>
    <t>100-AJBZ-103</t>
  </si>
  <si>
    <r>
      <rPr>
        <sz val="5"/>
        <color rgb="FF000000"/>
        <rFont val="Arial"/>
        <family val="2"/>
      </rPr>
      <t>1</t>
    </r>
    <r>
      <rPr>
        <sz val="5"/>
        <color rgb="FF000000"/>
        <rFont val="Arial"/>
        <family val="2"/>
      </rPr>
      <t>0</t>
    </r>
    <r>
      <rPr>
        <sz val="5"/>
        <color rgb="FF000000"/>
        <rFont val="Arial"/>
        <family val="2"/>
      </rPr>
      <t>0</t>
    </r>
    <r>
      <rPr>
        <sz val="5"/>
        <color rgb="FF000000"/>
        <rFont val="Arial"/>
        <family val="2"/>
      </rPr>
      <t>-</t>
    </r>
    <r>
      <rPr>
        <sz val="5"/>
        <color rgb="FF000000"/>
        <rFont val="Arial"/>
        <family val="2"/>
      </rPr>
      <t>DJ</t>
    </r>
    <r>
      <rPr>
        <sz val="5"/>
        <color rgb="FF000000"/>
        <rFont val="Arial"/>
        <family val="2"/>
      </rPr>
      <t>B</t>
    </r>
    <r>
      <rPr>
        <sz val="5"/>
        <color rgb="FF000000"/>
        <rFont val="Arial"/>
        <family val="2"/>
      </rPr>
      <t>Z</t>
    </r>
    <r>
      <rPr>
        <sz val="5"/>
        <color rgb="FF000000"/>
        <rFont val="Arial"/>
        <family val="2"/>
      </rPr>
      <t>-</t>
    </r>
    <r>
      <rPr>
        <sz val="5"/>
        <color rgb="FF000000"/>
        <rFont val="Arial"/>
        <family val="2"/>
      </rPr>
      <t>0</t>
    </r>
    <r>
      <rPr>
        <sz val="5"/>
        <color rgb="FF000000"/>
        <rFont val="Arial"/>
        <family val="2"/>
      </rPr>
      <t>0</t>
    </r>
    <r>
      <rPr>
        <sz val="5"/>
        <color rgb="FF000000"/>
        <rFont val="Arial"/>
        <family val="2"/>
      </rPr>
      <t>1</t>
    </r>
  </si>
  <si>
    <t>JB R4 = R5 ?</t>
  </si>
  <si>
    <t>R4 if R4=R5</t>
  </si>
  <si>
    <t/>
  </si>
  <si>
    <t xml:space="preserve">100-SWGR-001 </t>
  </si>
  <si>
    <t>NAV. AID BATTERY CB BOX STATUS</t>
  </si>
  <si>
    <t>LOAD BANK STEP1 ON/OFF</t>
  </si>
  <si>
    <t>LOAD BANK STEP2 ON/OFF</t>
  </si>
  <si>
    <t>LOAD BANK STEP3 ON/OFF</t>
  </si>
  <si>
    <t>LOAD BANK STEP4 ON/OFF</t>
  </si>
  <si>
    <t>UPS A COMMON ALARM</t>
  </si>
  <si>
    <t>UPS B COMMON ALARM</t>
  </si>
  <si>
    <t>UPS A CB STATUS</t>
  </si>
  <si>
    <t>UPS B CB STATUS</t>
  </si>
  <si>
    <t>ESDB CB'S COMMON TRIP</t>
  </si>
  <si>
    <t>ESDB INCOMMER CB STATUS</t>
  </si>
  <si>
    <t>NON ESDB CB'S TRIP</t>
  </si>
  <si>
    <t>100-P-002A  KHI PUMP TRIPPED</t>
  </si>
  <si>
    <t>100-P-002B  KHI PUMP TRIPPED</t>
  </si>
  <si>
    <t>R02S04CH15-Spare</t>
  </si>
  <si>
    <t>PCS RACK 1</t>
  </si>
  <si>
    <t>R01S04_AI2</t>
  </si>
  <si>
    <t>R01S04_AI3</t>
  </si>
  <si>
    <t>PCS RACK 2</t>
  </si>
  <si>
    <t>Free</t>
  </si>
  <si>
    <t>Used</t>
  </si>
  <si>
    <t>DI1</t>
  </si>
  <si>
    <t>DI1R</t>
  </si>
  <si>
    <t>DI2</t>
  </si>
  <si>
    <t>DI3</t>
  </si>
  <si>
    <t>DI2R</t>
  </si>
  <si>
    <t>DI3R</t>
  </si>
  <si>
    <t>DO1</t>
  </si>
  <si>
    <t>DO2</t>
  </si>
  <si>
    <t>DO3</t>
  </si>
  <si>
    <t>DO4</t>
  </si>
  <si>
    <t>DO5</t>
  </si>
  <si>
    <t>DO6</t>
  </si>
  <si>
    <t>DO1R</t>
  </si>
  <si>
    <t>DO2R</t>
  </si>
  <si>
    <t>DO3R</t>
  </si>
  <si>
    <t>DO4R</t>
  </si>
  <si>
    <t>DO5R</t>
  </si>
  <si>
    <t>DO6R</t>
  </si>
  <si>
    <t>AI1</t>
  </si>
  <si>
    <t>AI2</t>
  </si>
  <si>
    <t>AI3</t>
  </si>
  <si>
    <t>AI4</t>
  </si>
  <si>
    <t>AI5</t>
  </si>
  <si>
    <t>AI1R</t>
  </si>
  <si>
    <t>AI2R</t>
  </si>
  <si>
    <t>AI3R</t>
  </si>
  <si>
    <t>AI4R</t>
  </si>
  <si>
    <t>AI5R</t>
  </si>
  <si>
    <t>3DI</t>
  </si>
  <si>
    <t>6DO</t>
  </si>
  <si>
    <t>5AI</t>
  </si>
  <si>
    <t>Total DP</t>
  </si>
  <si>
    <t>AI6</t>
  </si>
  <si>
    <t>AI7</t>
  </si>
  <si>
    <t>2DI</t>
  </si>
  <si>
    <t>7AI</t>
  </si>
  <si>
    <t>3DO</t>
  </si>
  <si>
    <t>1DO</t>
  </si>
  <si>
    <t>3AI</t>
  </si>
  <si>
    <t>Offer Total Points</t>
  </si>
  <si>
    <t>IO Database Signals Qunatity</t>
  </si>
  <si>
    <t>IO Database Spares Quantity</t>
  </si>
  <si>
    <t>Spares Percentage</t>
  </si>
  <si>
    <t>SIS + FGS</t>
  </si>
  <si>
    <t>Rack1</t>
  </si>
  <si>
    <t>Rack2</t>
  </si>
  <si>
    <t>Rack3</t>
  </si>
  <si>
    <t>Rack4</t>
  </si>
  <si>
    <t>Rack5</t>
  </si>
  <si>
    <t>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</si>
</sst>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dd\-mm\-yy;@"/>
    <numFmt numFmtId="166" formatCode="0."/>
    <numFmt numFmtId="167" formatCode="yyyy\.mm\.dd;@"/>
    <numFmt numFmtId="168" formatCode="0.0"/>
  </numFmts>
  <fonts count="93">
    <font>
      <sz val="11"/>
      <color theme="1"/>
      <name val="Aptos Narrow"/>
      <family val="2"/>
      <scheme val="minor"/>
    </font>
    <font>
      <b/>
      <sz val="6"/>
      <name val="Arial"/>
      <family val="2"/>
    </font>
    <font>
      <sz val="6.5"/>
      <color rgb="FF000000"/>
      <name val="Arial MT"/>
      <family val="2"/>
    </font>
    <font>
      <sz val="6.5"/>
      <name val="Arial MT"/>
    </font>
    <font>
      <sz val="6.5"/>
      <name val="Arial MT"/>
      <family val="2"/>
    </font>
    <font>
      <sz val="10"/>
      <color rgb="FF000000"/>
      <name val="Times New Roman"/>
      <family val="1"/>
    </font>
    <font>
      <b/>
      <sz val="6"/>
      <name val="Arial"/>
      <family val="2"/>
    </font>
    <font>
      <b/>
      <sz val="5"/>
      <name val="Arial"/>
      <family val="2"/>
    </font>
    <font>
      <sz val="4.5"/>
      <name val="Arial MT"/>
    </font>
    <font>
      <sz val="4.5"/>
      <name val="Arial MT"/>
      <family val="2"/>
    </font>
    <font>
      <sz val="4.5"/>
      <color rgb="FF000000"/>
      <name val="Arial MT"/>
      <family val="2"/>
    </font>
    <font>
      <b/>
      <sz val="4.5"/>
      <name val="Arial"/>
      <family val="2"/>
    </font>
    <font>
      <sz val="1.5"/>
      <name val="Arial MT"/>
      <family val="2"/>
    </font>
    <font>
      <sz val="2"/>
      <name val="Arial MT"/>
      <family val="2"/>
    </font>
    <font>
      <u/>
      <sz val="4.5"/>
      <color rgb="FF0462C1"/>
      <name val="Arial MT"/>
      <family val="2"/>
    </font>
    <font>
      <sz val="5"/>
      <name val="Arial MT"/>
    </font>
    <font>
      <sz val="5"/>
      <name val="Arial MT"/>
      <family val="2"/>
    </font>
    <font>
      <sz val="5"/>
      <color rgb="FF000000"/>
      <name val="Arial MT"/>
      <family val="2"/>
    </font>
    <font>
      <b/>
      <sz val="6.5"/>
      <name val="Arial"/>
      <family val="2"/>
    </font>
    <font>
      <b/>
      <sz val="5.5"/>
      <name val="Arial"/>
      <family val="2"/>
    </font>
    <font>
      <u/>
      <sz val="5"/>
      <color rgb="FF0462C1"/>
      <name val="Arial MT"/>
      <family val="2"/>
    </font>
    <font>
      <b/>
      <sz val="7.5"/>
      <name val="Arial"/>
      <family val="2"/>
    </font>
    <font>
      <b/>
      <sz val="7.5"/>
      <name val="Arial"/>
      <family val="2"/>
    </font>
    <font>
      <b/>
      <vertAlign val="superscript"/>
      <sz val="7.5"/>
      <name val="Arial"/>
      <family val="2"/>
    </font>
    <font>
      <b/>
      <sz val="7.5"/>
      <color rgb="FF000000"/>
      <name val="Arial"/>
      <family val="2"/>
    </font>
    <font>
      <sz val="7.5"/>
      <name val="Arial MT"/>
    </font>
    <font>
      <sz val="7.5"/>
      <name val="Arial MT"/>
      <family val="2"/>
    </font>
    <font>
      <sz val="7.5"/>
      <color rgb="FF000000"/>
      <name val="Arial MT"/>
      <family val="2"/>
    </font>
    <font>
      <sz val="11"/>
      <color rgb="FF006100"/>
      <name val="Aptos Narrow"/>
      <family val="2"/>
      <scheme val="minor"/>
    </font>
    <font>
      <sz val="11"/>
      <color rgb="FF9C0006"/>
      <name val="Aptos Narrow"/>
      <family val="2"/>
      <scheme val="minor"/>
    </font>
    <font>
      <sz val="11"/>
      <color rgb="FF9C5700"/>
      <name val="Aptos Narrow"/>
      <family val="2"/>
      <scheme val="minor"/>
    </font>
    <font>
      <b/>
      <strike/>
      <sz val="5"/>
      <name val="Arial"/>
      <family val="2"/>
    </font>
    <font>
      <u/>
      <sz val="5"/>
      <name val="Arial MT"/>
      <family val="2"/>
    </font>
    <font>
      <sz val="1.5"/>
      <name val="Arial MT"/>
    </font>
    <font>
      <sz val="2"/>
      <color rgb="FF000000"/>
      <name val="Arial MT"/>
      <family val="2"/>
    </font>
    <font>
      <sz val="2"/>
      <name val="Arial MT"/>
    </font>
    <font>
      <sz val="5"/>
      <color rgb="FF000000"/>
      <name val="Calibri"/>
      <family val="2"/>
    </font>
    <font>
      <sz val="5"/>
      <name val="Calibri"/>
      <family val="2"/>
    </font>
    <font>
      <sz val="5"/>
      <name val="Calibri"/>
      <family val="1"/>
    </font>
    <font>
      <sz val="6.5"/>
      <name val="Calibri"/>
      <family val="2"/>
    </font>
    <font>
      <sz val="6.5"/>
      <name val="Calibri"/>
      <family val="1"/>
    </font>
    <font>
      <u/>
      <sz val="5"/>
      <color rgb="FF0462C1"/>
      <name val="Calibri"/>
      <family val="1"/>
    </font>
    <font>
      <u/>
      <sz val="5.5"/>
      <name val="Arial MT"/>
      <family val="2"/>
    </font>
    <font>
      <sz val="5.5"/>
      <name val="Arial MT"/>
      <family val="2"/>
    </font>
    <font>
      <sz val="5.5"/>
      <name val="Arial MT"/>
    </font>
    <font>
      <sz val="5.5"/>
      <color rgb="FF000000"/>
      <name val="Arial MT"/>
      <family val="2"/>
    </font>
    <font>
      <sz val="5.5"/>
      <color rgb="FF000000"/>
      <name val="Calibri"/>
      <family val="2"/>
    </font>
    <font>
      <sz val="5.5"/>
      <name val="Calibri"/>
      <family val="2"/>
    </font>
    <font>
      <sz val="5.5"/>
      <name val="Calibri"/>
      <family val="1"/>
    </font>
    <font>
      <sz val="7"/>
      <name val="Calibri"/>
      <family val="2"/>
    </font>
    <font>
      <sz val="7"/>
      <name val="Calibri"/>
      <family val="1"/>
    </font>
    <font>
      <u/>
      <sz val="5.5"/>
      <color rgb="FF0462C1"/>
      <name val="Calibri"/>
      <family val="1"/>
    </font>
    <font>
      <sz val="1"/>
      <name val="Arial MT"/>
      <family val="2"/>
    </font>
    <font>
      <sz val="10"/>
      <color rgb="FF000000"/>
      <name val="Times New Roman"/>
      <family val="1"/>
    </font>
    <font>
      <sz val="5"/>
      <color rgb="FF9C0006"/>
      <name val="Aptos Narrow"/>
      <family val="2"/>
      <scheme val="minor"/>
    </font>
    <font>
      <b/>
      <sz val="11"/>
      <color rgb="FF9C5700"/>
      <name val="Aptos Narrow"/>
      <scheme val="minor"/>
    </font>
    <font>
      <b/>
      <sz val="11"/>
      <color theme="1"/>
      <name val="Aptos Narrow"/>
      <scheme val="minor"/>
    </font>
    <font>
      <b/>
      <sz val="8"/>
      <name val="Arial"/>
      <family val="2"/>
    </font>
    <font>
      <b/>
      <sz val="11"/>
      <name val="Arial"/>
      <family val="2"/>
    </font>
    <font>
      <sz val="5"/>
      <color rgb="FF000000"/>
      <name val="Times New Roman"/>
      <family val="1"/>
    </font>
    <font>
      <b/>
      <sz val="5"/>
      <color theme="0"/>
      <name val="Arial MT"/>
    </font>
    <font>
      <sz val="5"/>
      <color theme="1"/>
      <name val="Aptos Narrow"/>
      <family val="2"/>
      <scheme val="minor"/>
    </font>
    <font>
      <sz val="11"/>
      <name val="Aptos Narrow"/>
      <family val="2"/>
      <scheme val="minor"/>
    </font>
    <font>
      <b/>
      <sz val="5"/>
      <name val="Arial MT"/>
    </font>
    <font>
      <sz val="9"/>
      <color indexed="81"/>
      <name val="Tahoma"/>
      <family val="2"/>
    </font>
    <font>
      <b/>
      <sz val="9"/>
      <color indexed="81"/>
      <name val="Tahoma"/>
      <family val="2"/>
    </font>
    <font>
      <sz val="5"/>
      <name val="Aptos Narrow"/>
      <family val="2"/>
      <scheme val="minor"/>
    </font>
    <font>
      <b/>
      <sz val="5"/>
      <color theme="1"/>
      <name val="Aptos Narrow"/>
      <scheme val="minor"/>
    </font>
    <font>
      <b/>
      <sz val="8"/>
      <name val="Arial MT"/>
    </font>
    <font>
      <b/>
      <sz val="11"/>
      <name val="Arial MT"/>
    </font>
    <font>
      <sz val="5"/>
      <color rgb="FF000000"/>
      <name val="ArialMT"/>
    </font>
    <font>
      <b/>
      <sz val="7"/>
      <name val="Arial"/>
      <family val="2"/>
    </font>
    <font>
      <b/>
      <sz val="7"/>
      <name val="Arial"/>
      <family val="2"/>
    </font>
    <font>
      <b/>
      <vertAlign val="superscript"/>
      <sz val="7"/>
      <name val="Arial"/>
      <family val="2"/>
    </font>
    <font>
      <sz val="7"/>
      <name val="Arial MT"/>
      <family val="2"/>
    </font>
    <font>
      <b/>
      <sz val="12"/>
      <color theme="1"/>
      <name val="Aptos Narrow"/>
      <scheme val="minor"/>
    </font>
    <font>
      <sz val="5"/>
      <color rgb="FFFF0000"/>
      <name val="Arial MT"/>
      <family val="2"/>
    </font>
    <font>
      <sz val="5"/>
      <color rgb="FF000000"/>
      <name val="Arial"/>
      <family val="2"/>
    </font>
    <font>
      <sz val="11"/>
      <color rgb="FF000000"/>
      <name val="Arial"/>
      <family val="2"/>
    </font>
    <font>
      <strike/>
      <sz val="5"/>
      <color rgb="FFFF0000"/>
      <name val="Arial"/>
      <family val="2"/>
    </font>
    <font>
      <strike/>
      <sz val="11"/>
      <color rgb="FFFF0000"/>
      <name val="Arial"/>
      <family val="2"/>
    </font>
    <font>
      <sz val="12"/>
      <color rgb="FF000000"/>
      <name val="Arial"/>
      <family val="2"/>
    </font>
    <font>
      <strike/>
      <sz val="12"/>
      <color rgb="FFFF0000"/>
      <name val="Arial"/>
      <family val="2"/>
    </font>
    <font>
      <sz val="5"/>
      <color rgb="FFFF0000"/>
      <name val="Arial"/>
      <family val="2"/>
    </font>
    <font>
      <sz val="11"/>
      <color rgb="FFFF0000"/>
      <name val="Arial"/>
      <family val="2"/>
    </font>
    <font>
      <sz val="12"/>
      <color rgb="FFFF0000"/>
      <name val="Arial"/>
      <family val="2"/>
    </font>
    <font>
      <sz val="10"/>
      <color theme="1"/>
      <name val="Arial Unicode MS"/>
    </font>
    <font>
      <sz val="11"/>
      <color rgb="FF000000"/>
      <name val="Calibri"/>
      <family val="2"/>
      <charset val="204"/>
    </font>
    <font>
      <sz val="5"/>
      <color rgb="FF002060"/>
      <name val="Arial"/>
      <family val="2"/>
    </font>
    <font>
      <sz val="5"/>
      <color rgb="FF002060"/>
      <name val="Arial MT"/>
    </font>
    <font>
      <sz val="5"/>
      <color rgb="FF002060"/>
      <name val="Arial MT"/>
      <family val="2"/>
    </font>
    <font>
      <b/>
      <sz val="18"/>
      <color theme="1"/>
      <name val="Aptos Narrow"/>
      <scheme val="minor"/>
    </font>
    <font>
      <b/>
      <sz val="11"/>
      <color theme="1"/>
      <name val="Aptos Narrow"/>
      <family val="2"/>
      <scheme val="minor"/>
    </font>
  </fonts>
  <fills count="20">
    <fill>
      <patternFill patternType="none"/>
    </fill>
    <fill>
      <patternFill patternType="gray125"/>
    </fill>
    <fill>
      <patternFill patternType="solid">
        <fgColor rgb="FFFFFF00"/>
        <bgColor rgb="FF000000"/>
      </patternFill>
    </fill>
    <fill>
      <patternFill patternType="solid">
        <fgColor rgb="FFFFEB9C"/>
      </patternFill>
    </fill>
    <fill>
      <patternFill patternType="solid">
        <fgColor theme="4" tint="0.79998168889431442"/>
        <bgColor indexed="64"/>
      </patternFill>
    </fill>
    <fill>
      <patternFill patternType="solid">
        <fgColor theme="5"/>
        <bgColor indexed="64"/>
      </patternFill>
    </fill>
    <fill>
      <patternFill patternType="solid">
        <fgColor rgb="FFFFEB9C"/>
        <bgColor indexed="64"/>
      </patternFill>
    </fill>
    <fill>
      <patternFill patternType="solid">
        <fgColor rgb="FFFFC7CE"/>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C000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00E400"/>
        <bgColor indexed="64"/>
      </patternFill>
    </fill>
    <fill>
      <patternFill patternType="solid">
        <fgColor rgb="FFFF0000"/>
        <bgColor indexed="64"/>
      </patternFill>
    </fill>
  </fills>
  <borders count="48">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s>
  <cellStyleXfs count="6">
    <xf numFmtId="0" fontId="0" fillId="0" borderId="0"/>
    <xf numFmtId="0" fontId="28" fillId="18" borderId="0" applyNumberFormat="0" applyFont="0" applyBorder="0" applyAlignment="0" applyProtection="0"/>
    <xf numFmtId="0" fontId="29" fillId="19" borderId="0" applyNumberFormat="0" applyFont="0" applyBorder="0" applyAlignment="0" applyProtection="0"/>
    <xf numFmtId="0" fontId="30" fillId="3" borderId="0" applyNumberFormat="0" applyBorder="0" applyAlignment="0" applyProtection="0"/>
    <xf numFmtId="0" fontId="53" fillId="0" borderId="0"/>
    <xf numFmtId="0" fontId="87" fillId="0" borderId="0"/>
  </cellStyleXfs>
  <cellXfs count="779">
    <xf numFmtId="0" fontId="0" fillId="0" borderId="0" xfId="0"/>
    <xf numFmtId="0" fontId="1" fillId="0" borderId="1" xfId="0" applyFont="1" applyBorder="1" applyAlignment="1">
      <alignment horizontal="center" vertical="top" wrapText="1"/>
    </xf>
    <xf numFmtId="1" fontId="2" fillId="0" borderId="1" xfId="0" applyNumberFormat="1" applyFont="1" applyBorder="1" applyAlignment="1">
      <alignment horizontal="center" vertical="top" shrinkToFit="1"/>
    </xf>
    <xf numFmtId="0" fontId="0" fillId="0" borderId="1" xfId="0" applyBorder="1" applyAlignment="1">
      <alignment horizontal="left" vertical="center" wrapText="1"/>
    </xf>
    <xf numFmtId="0" fontId="3" fillId="0" borderId="1" xfId="0" applyFont="1" applyBorder="1" applyAlignment="1">
      <alignment horizontal="center" vertical="top" wrapText="1"/>
    </xf>
    <xf numFmtId="0" fontId="0" fillId="0" borderId="1" xfId="0" applyBorder="1" applyAlignment="1">
      <alignment horizontal="left" vertical="top" wrapText="1"/>
    </xf>
    <xf numFmtId="0" fontId="1" fillId="0" borderId="3" xfId="0" applyFont="1" applyBorder="1" applyAlignment="1">
      <alignment horizontal="center" vertical="top" wrapText="1"/>
    </xf>
    <xf numFmtId="0" fontId="1" fillId="0" borderId="3" xfId="0" applyFont="1" applyBorder="1" applyAlignment="1">
      <alignment horizontal="left" vertical="top" wrapText="1" indent="4"/>
    </xf>
    <xf numFmtId="0" fontId="1" fillId="0" borderId="3" xfId="0" applyFont="1" applyBorder="1" applyAlignment="1">
      <alignment horizontal="left" vertical="top" wrapText="1" indent="2"/>
    </xf>
    <xf numFmtId="1" fontId="2" fillId="0" borderId="3" xfId="0" applyNumberFormat="1" applyFont="1" applyBorder="1" applyAlignment="1">
      <alignment horizontal="center" vertical="top" shrinkToFit="1"/>
    </xf>
    <xf numFmtId="0" fontId="0" fillId="0" borderId="3" xfId="0" applyBorder="1" applyAlignment="1">
      <alignment horizontal="left" vertical="center" wrapText="1"/>
    </xf>
    <xf numFmtId="0" fontId="3" fillId="0" borderId="3" xfId="0" applyFont="1" applyBorder="1" applyAlignment="1">
      <alignment horizontal="center" vertical="top" wrapText="1"/>
    </xf>
    <xf numFmtId="0" fontId="3" fillId="0" borderId="3" xfId="0" applyFont="1" applyBorder="1" applyAlignment="1">
      <alignment horizontal="left" vertical="top" wrapText="1"/>
    </xf>
    <xf numFmtId="0" fontId="0" fillId="0" borderId="3" xfId="0" applyBorder="1" applyAlignment="1">
      <alignment horizontal="left" vertical="top"/>
    </xf>
    <xf numFmtId="0" fontId="0" fillId="0" borderId="0" xfId="0" applyAlignment="1">
      <alignment horizontal="left" vertical="top"/>
    </xf>
    <xf numFmtId="0" fontId="0" fillId="0" borderId="3" xfId="0" applyBorder="1" applyAlignment="1">
      <alignment horizontal="left" vertical="top" wrapText="1"/>
    </xf>
    <xf numFmtId="0" fontId="0" fillId="0" borderId="3" xfId="0" applyBorder="1" applyAlignment="1">
      <alignment horizontal="center" vertical="top" wrapText="1"/>
    </xf>
    <xf numFmtId="0" fontId="7" fillId="0" borderId="1" xfId="0" applyFont="1" applyBorder="1" applyAlignment="1">
      <alignment horizontal="left" textRotation="90" wrapText="1"/>
    </xf>
    <xf numFmtId="0" fontId="8" fillId="0" borderId="1" xfId="0" applyFont="1" applyBorder="1" applyAlignment="1">
      <alignment horizontal="left" textRotation="90" wrapText="1"/>
    </xf>
    <xf numFmtId="0" fontId="5" fillId="0" borderId="1" xfId="0" applyFont="1" applyBorder="1" applyAlignment="1">
      <alignment horizontal="left" vertical="top" wrapText="1"/>
    </xf>
    <xf numFmtId="0" fontId="5" fillId="0" borderId="0" xfId="0" applyFont="1" applyAlignment="1">
      <alignment horizontal="left" vertical="top"/>
    </xf>
    <xf numFmtId="0" fontId="7" fillId="0" borderId="7" xfId="0" applyFont="1" applyBorder="1" applyAlignment="1">
      <alignment horizontal="left" textRotation="90" wrapText="1"/>
    </xf>
    <xf numFmtId="0" fontId="7" fillId="0" borderId="1" xfId="0" applyFont="1" applyBorder="1" applyAlignment="1">
      <alignment horizontal="center" vertical="top" wrapText="1"/>
    </xf>
    <xf numFmtId="0" fontId="7" fillId="0" borderId="1" xfId="0" applyFont="1" applyBorder="1" applyAlignment="1">
      <alignment horizontal="left" vertical="top" wrapText="1" indent="4"/>
    </xf>
    <xf numFmtId="0" fontId="7" fillId="0" borderId="1" xfId="0" applyFont="1" applyBorder="1" applyAlignment="1">
      <alignment horizontal="left" vertical="top" wrapText="1" indent="1"/>
    </xf>
    <xf numFmtId="0" fontId="5" fillId="0" borderId="1" xfId="0" applyFont="1" applyBorder="1" applyAlignment="1">
      <alignment horizontal="left" wrapText="1"/>
    </xf>
    <xf numFmtId="164" fontId="10" fillId="0" borderId="1" xfId="0" applyNumberFormat="1" applyFont="1" applyBorder="1" applyAlignment="1">
      <alignment horizontal="center" vertical="top" shrinkToFit="1"/>
    </xf>
    <xf numFmtId="0" fontId="8" fillId="2" borderId="1" xfId="0" applyFont="1" applyFill="1" applyBorder="1" applyAlignment="1">
      <alignment horizontal="right" vertical="top" wrapText="1" indent="1"/>
    </xf>
    <xf numFmtId="0" fontId="8" fillId="2" borderId="1" xfId="0" applyFont="1" applyFill="1" applyBorder="1" applyAlignment="1">
      <alignment horizontal="left" vertical="top" wrapText="1"/>
    </xf>
    <xf numFmtId="0" fontId="9" fillId="2" borderId="1" xfId="0" applyFont="1" applyFill="1" applyBorder="1" applyAlignment="1">
      <alignment horizontal="left" vertical="top" wrapText="1"/>
    </xf>
    <xf numFmtId="0" fontId="9" fillId="2" borderId="1" xfId="0" applyFont="1" applyFill="1" applyBorder="1" applyAlignment="1">
      <alignment horizontal="center" vertical="top" wrapText="1"/>
    </xf>
    <xf numFmtId="0" fontId="11" fillId="0" borderId="1" xfId="0" applyFont="1" applyBorder="1" applyAlignment="1">
      <alignment horizontal="center" vertical="top" wrapText="1"/>
    </xf>
    <xf numFmtId="0" fontId="11" fillId="0" borderId="1" xfId="0" applyFont="1" applyBorder="1" applyAlignment="1">
      <alignment horizontal="right" vertical="top" wrapText="1"/>
    </xf>
    <xf numFmtId="0" fontId="8" fillId="2" borderId="1" xfId="0" applyFont="1" applyFill="1" applyBorder="1" applyAlignment="1">
      <alignment horizontal="center" vertical="top" wrapText="1"/>
    </xf>
    <xf numFmtId="0" fontId="9" fillId="0" borderId="1" xfId="0" applyFont="1" applyBorder="1" applyAlignment="1">
      <alignment horizontal="right" vertical="top" wrapText="1" indent="1"/>
    </xf>
    <xf numFmtId="0" fontId="8" fillId="0" borderId="1" xfId="0" applyFont="1" applyBorder="1" applyAlignment="1">
      <alignment horizontal="left" vertical="top" wrapText="1"/>
    </xf>
    <xf numFmtId="0" fontId="8" fillId="0" borderId="1" xfId="0" applyFont="1" applyBorder="1" applyAlignment="1">
      <alignment horizontal="center" vertical="top" wrapText="1"/>
    </xf>
    <xf numFmtId="0" fontId="8" fillId="0" borderId="1" xfId="0" applyFont="1" applyBorder="1" applyAlignment="1">
      <alignment horizontal="right" vertical="top" wrapText="1" indent="1"/>
    </xf>
    <xf numFmtId="0" fontId="5" fillId="0" borderId="1" xfId="0" applyFont="1" applyBorder="1" applyAlignment="1">
      <alignment horizontal="left" vertical="center" wrapText="1"/>
    </xf>
    <xf numFmtId="0" fontId="11" fillId="0" borderId="1" xfId="0" applyFont="1" applyBorder="1" applyAlignment="1">
      <alignment horizontal="left" vertical="top" wrapText="1"/>
    </xf>
    <xf numFmtId="0" fontId="5" fillId="0" borderId="4" xfId="0" applyFont="1" applyBorder="1" applyAlignment="1">
      <alignment horizontal="left" vertical="center" wrapText="1"/>
    </xf>
    <xf numFmtId="0" fontId="5" fillId="0" borderId="5" xfId="0" applyFont="1" applyBorder="1" applyAlignment="1">
      <alignment horizontal="left" vertical="center" wrapText="1"/>
    </xf>
    <xf numFmtId="0" fontId="5" fillId="0" borderId="6" xfId="0" applyFont="1" applyBorder="1" applyAlignment="1">
      <alignment horizontal="left" vertical="center" wrapText="1"/>
    </xf>
    <xf numFmtId="0" fontId="5" fillId="0" borderId="10" xfId="0" applyFont="1" applyBorder="1" applyAlignment="1">
      <alignment horizontal="left" wrapText="1"/>
    </xf>
    <xf numFmtId="0" fontId="5" fillId="0" borderId="0" xfId="0" applyFont="1" applyAlignment="1">
      <alignment horizontal="left" wrapText="1"/>
    </xf>
    <xf numFmtId="0" fontId="5" fillId="0" borderId="11" xfId="0" applyFont="1" applyBorder="1" applyAlignment="1">
      <alignment horizontal="left" wrapText="1"/>
    </xf>
    <xf numFmtId="0" fontId="8" fillId="0" borderId="10" xfId="0" applyFont="1" applyBorder="1" applyAlignment="1">
      <alignment horizontal="center" vertical="center" wrapText="1"/>
    </xf>
    <xf numFmtId="0" fontId="5" fillId="0" borderId="0" xfId="0" applyFont="1" applyAlignment="1">
      <alignment horizontal="left" vertical="center" wrapText="1"/>
    </xf>
    <xf numFmtId="0" fontId="5" fillId="0" borderId="11" xfId="0" applyFont="1" applyBorder="1" applyAlignment="1">
      <alignment horizontal="left" vertical="center" wrapText="1"/>
    </xf>
    <xf numFmtId="166" fontId="10" fillId="0" borderId="10" xfId="0" applyNumberFormat="1" applyFont="1" applyBorder="1" applyAlignment="1">
      <alignment horizontal="center" vertical="center" shrinkToFit="1"/>
    </xf>
    <xf numFmtId="0" fontId="8" fillId="0" borderId="5" xfId="0" applyFont="1" applyBorder="1" applyAlignment="1">
      <alignment horizontal="center" vertical="top" wrapText="1"/>
    </xf>
    <xf numFmtId="166" fontId="10" fillId="0" borderId="10" xfId="0" applyNumberFormat="1" applyFont="1" applyBorder="1" applyAlignment="1">
      <alignment horizontal="center" vertical="top" shrinkToFit="1"/>
    </xf>
    <xf numFmtId="0" fontId="8" fillId="0" borderId="0" xfId="0" applyFont="1" applyAlignment="1">
      <alignment horizontal="left" vertical="top" wrapText="1"/>
    </xf>
    <xf numFmtId="1" fontId="10" fillId="0" borderId="10" xfId="0" applyNumberFormat="1" applyFont="1" applyBorder="1" applyAlignment="1">
      <alignment horizontal="center" vertical="top" shrinkToFit="1"/>
    </xf>
    <xf numFmtId="1" fontId="10" fillId="0" borderId="12" xfId="0" applyNumberFormat="1" applyFont="1" applyBorder="1" applyAlignment="1">
      <alignment horizontal="center" vertical="top" shrinkToFit="1"/>
    </xf>
    <xf numFmtId="0" fontId="5" fillId="0" borderId="13" xfId="0" applyFont="1" applyBorder="1" applyAlignment="1">
      <alignment horizontal="left" wrapText="1"/>
    </xf>
    <xf numFmtId="0" fontId="5" fillId="0" borderId="14" xfId="0" applyFont="1" applyBorder="1" applyAlignment="1">
      <alignment horizontal="left" wrapText="1"/>
    </xf>
    <xf numFmtId="1" fontId="10" fillId="0" borderId="5" xfId="0" applyNumberFormat="1" applyFont="1" applyBorder="1" applyAlignment="1">
      <alignment horizontal="right" vertical="top" shrinkToFit="1"/>
    </xf>
    <xf numFmtId="0" fontId="5" fillId="0" borderId="12" xfId="0" applyFont="1" applyBorder="1" applyAlignment="1">
      <alignment horizontal="left" vertical="center" wrapText="1"/>
    </xf>
    <xf numFmtId="1" fontId="10" fillId="0" borderId="13" xfId="0" applyNumberFormat="1" applyFont="1" applyBorder="1" applyAlignment="1">
      <alignment horizontal="right" vertical="top" shrinkToFit="1"/>
    </xf>
    <xf numFmtId="0" fontId="5" fillId="0" borderId="13" xfId="0" applyFont="1" applyBorder="1" applyAlignment="1">
      <alignment horizontal="left" vertical="center" wrapText="1"/>
    </xf>
    <xf numFmtId="0" fontId="5" fillId="0" borderId="14" xfId="0" applyFont="1" applyBorder="1" applyAlignment="1">
      <alignment horizontal="left" vertical="center" wrapText="1"/>
    </xf>
    <xf numFmtId="164" fontId="10" fillId="0" borderId="13" xfId="0" applyNumberFormat="1" applyFont="1" applyBorder="1" applyAlignment="1">
      <alignment horizontal="center" vertical="top" shrinkToFit="1"/>
    </xf>
    <xf numFmtId="0" fontId="15" fillId="0" borderId="1" xfId="0" applyFont="1" applyBorder="1" applyAlignment="1">
      <alignment horizontal="center" vertical="top" wrapText="1"/>
    </xf>
    <xf numFmtId="164" fontId="17" fillId="0" borderId="1" xfId="0" applyNumberFormat="1" applyFont="1" applyBorder="1" applyAlignment="1">
      <alignment horizontal="center" vertical="top" shrinkToFit="1"/>
    </xf>
    <xf numFmtId="0" fontId="15" fillId="0" borderId="1" xfId="0" applyFont="1" applyBorder="1" applyAlignment="1">
      <alignment horizontal="left" vertical="top" wrapText="1"/>
    </xf>
    <xf numFmtId="0" fontId="19" fillId="0" borderId="1" xfId="0" applyFont="1" applyBorder="1" applyAlignment="1">
      <alignment horizontal="left" textRotation="90" wrapText="1"/>
    </xf>
    <xf numFmtId="0" fontId="15" fillId="0" borderId="1" xfId="0" applyFont="1" applyBorder="1" applyAlignment="1">
      <alignment horizontal="left" textRotation="90" wrapText="1"/>
    </xf>
    <xf numFmtId="0" fontId="19" fillId="0" borderId="7" xfId="0" applyFont="1" applyBorder="1" applyAlignment="1">
      <alignment horizontal="left" textRotation="90" wrapText="1"/>
    </xf>
    <xf numFmtId="0" fontId="19" fillId="0" borderId="1" xfId="0" applyFont="1" applyBorder="1" applyAlignment="1">
      <alignment horizontal="center" vertical="center" wrapText="1"/>
    </xf>
    <xf numFmtId="0" fontId="19" fillId="0" borderId="1" xfId="0" applyFont="1" applyBorder="1" applyAlignment="1">
      <alignment horizontal="left" vertical="center" wrapText="1" indent="5"/>
    </xf>
    <xf numFmtId="0" fontId="19" fillId="0" borderId="1" xfId="0" applyFont="1" applyBorder="1" applyAlignment="1">
      <alignment horizontal="left" vertical="top" wrapText="1" indent="1"/>
    </xf>
    <xf numFmtId="0" fontId="15" fillId="0" borderId="4" xfId="0" applyFont="1" applyBorder="1" applyAlignment="1">
      <alignment horizontal="center" vertical="top" wrapText="1"/>
    </xf>
    <xf numFmtId="0" fontId="5" fillId="0" borderId="12" xfId="0" applyFont="1" applyBorder="1" applyAlignment="1">
      <alignment horizontal="left"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4" borderId="0" xfId="0" applyFill="1" applyAlignment="1">
      <alignment horizontal="center" vertical="center" wrapText="1"/>
    </xf>
    <xf numFmtId="0" fontId="19" fillId="0" borderId="1" xfId="0" applyFont="1" applyBorder="1" applyAlignment="1">
      <alignment horizontal="left" vertical="top" wrapText="1"/>
    </xf>
    <xf numFmtId="0" fontId="15" fillId="0" borderId="4" xfId="0" applyFont="1" applyBorder="1" applyAlignment="1">
      <alignment horizontal="left" vertical="top" wrapText="1"/>
    </xf>
    <xf numFmtId="0" fontId="19" fillId="0" borderId="1" xfId="0" applyFont="1" applyBorder="1" applyAlignment="1">
      <alignment horizontal="left" vertical="center" wrapText="1"/>
    </xf>
    <xf numFmtId="0" fontId="7" fillId="0" borderId="1" xfId="0" applyFont="1" applyBorder="1" applyAlignment="1">
      <alignment horizontal="left" vertical="top" wrapText="1"/>
    </xf>
    <xf numFmtId="0" fontId="30" fillId="3" borderId="0" xfId="3"/>
    <xf numFmtId="0" fontId="0" fillId="5" borderId="0" xfId="0" applyFill="1"/>
    <xf numFmtId="0" fontId="28" fillId="18" borderId="0" xfId="1"/>
    <xf numFmtId="0" fontId="29" fillId="19" borderId="0" xfId="2"/>
    <xf numFmtId="1" fontId="17" fillId="0" borderId="1" xfId="0" applyNumberFormat="1" applyFont="1" applyBorder="1" applyAlignment="1">
      <alignment horizontal="center" vertical="top" shrinkToFit="1"/>
    </xf>
    <xf numFmtId="0" fontId="5" fillId="0" borderId="7" xfId="0" applyFont="1" applyBorder="1" applyAlignment="1">
      <alignment horizontal="left" wrapText="1"/>
    </xf>
    <xf numFmtId="0" fontId="5" fillId="0" borderId="2" xfId="0" applyFont="1" applyBorder="1" applyAlignment="1">
      <alignment horizontal="left" wrapText="1"/>
    </xf>
    <xf numFmtId="0" fontId="15" fillId="0" borderId="2" xfId="0" applyFont="1" applyBorder="1" applyAlignment="1">
      <alignment horizontal="center" vertical="top" wrapText="1"/>
    </xf>
    <xf numFmtId="0" fontId="5" fillId="0" borderId="2" xfId="0" applyFont="1" applyBorder="1" applyAlignment="1">
      <alignment horizontal="left" vertical="center" wrapText="1"/>
    </xf>
    <xf numFmtId="0" fontId="15" fillId="0" borderId="2" xfId="0" applyFont="1" applyBorder="1" applyAlignment="1">
      <alignment horizontal="left" vertical="top" wrapText="1" indent="2"/>
    </xf>
    <xf numFmtId="0" fontId="5" fillId="0" borderId="15" xfId="0" applyFont="1" applyBorder="1" applyAlignment="1">
      <alignment horizontal="left" wrapText="1"/>
    </xf>
    <xf numFmtId="0" fontId="15" fillId="0" borderId="7" xfId="0" applyFont="1" applyBorder="1" applyAlignment="1">
      <alignment horizontal="center" vertical="top" wrapText="1"/>
    </xf>
    <xf numFmtId="0" fontId="15" fillId="0" borderId="15" xfId="0" applyFont="1" applyBorder="1" applyAlignment="1">
      <alignment horizontal="center" vertical="top" wrapText="1"/>
    </xf>
    <xf numFmtId="0" fontId="33" fillId="0" borderId="7" xfId="0" applyFont="1" applyBorder="1" applyAlignment="1">
      <alignment horizontal="left" vertical="top" wrapText="1" indent="1"/>
    </xf>
    <xf numFmtId="167" fontId="34" fillId="0" borderId="7" xfId="0" applyNumberFormat="1" applyFont="1" applyBorder="1" applyAlignment="1">
      <alignment horizontal="left" vertical="top" indent="2" shrinkToFit="1"/>
    </xf>
    <xf numFmtId="0" fontId="33" fillId="0" borderId="15" xfId="0" applyFont="1" applyBorder="1" applyAlignment="1">
      <alignment horizontal="center" vertical="top" wrapText="1"/>
    </xf>
    <xf numFmtId="0" fontId="35" fillId="0" borderId="15" xfId="0" applyFont="1" applyBorder="1" applyAlignment="1">
      <alignment horizontal="left" vertical="top" wrapText="1" indent="2"/>
    </xf>
    <xf numFmtId="164" fontId="36" fillId="0" borderId="1" xfId="0" applyNumberFormat="1" applyFont="1" applyBorder="1" applyAlignment="1">
      <alignment horizontal="center" vertical="top" shrinkToFit="1"/>
    </xf>
    <xf numFmtId="165" fontId="36" fillId="0" borderId="1" xfId="0" applyNumberFormat="1" applyFont="1" applyBorder="1" applyAlignment="1">
      <alignment horizontal="center" vertical="top" shrinkToFit="1"/>
    </xf>
    <xf numFmtId="0" fontId="37" fillId="0" borderId="1" xfId="0" applyFont="1" applyBorder="1" applyAlignment="1">
      <alignment horizontal="center" vertical="top" wrapText="1"/>
    </xf>
    <xf numFmtId="0" fontId="37" fillId="0" borderId="1" xfId="0" applyFont="1" applyBorder="1" applyAlignment="1">
      <alignment horizontal="left" vertical="top" wrapText="1" indent="1"/>
    </xf>
    <xf numFmtId="0" fontId="37" fillId="0" borderId="1" xfId="0" applyFont="1" applyBorder="1" applyAlignment="1">
      <alignment horizontal="left" vertical="top" wrapText="1"/>
    </xf>
    <xf numFmtId="0" fontId="37" fillId="0" borderId="7" xfId="0" applyFont="1" applyBorder="1" applyAlignment="1">
      <alignment horizontal="center" vertical="top" wrapText="1"/>
    </xf>
    <xf numFmtId="0" fontId="37" fillId="0" borderId="15" xfId="0" applyFont="1" applyBorder="1" applyAlignment="1">
      <alignment horizontal="center" vertical="top" wrapText="1"/>
    </xf>
    <xf numFmtId="0" fontId="0" fillId="0" borderId="1" xfId="0" applyBorder="1" applyAlignment="1">
      <alignment horizontal="left" wrapText="1"/>
    </xf>
    <xf numFmtId="0" fontId="19" fillId="0" borderId="1" xfId="0" applyFont="1" applyBorder="1" applyAlignment="1">
      <alignment horizontal="left" vertical="top" wrapText="1" indent="3"/>
    </xf>
    <xf numFmtId="0" fontId="19" fillId="0" borderId="1" xfId="0" applyFont="1" applyBorder="1" applyAlignment="1">
      <alignment horizontal="center" vertical="top" wrapText="1"/>
    </xf>
    <xf numFmtId="0" fontId="44" fillId="0" borderId="1" xfId="0" applyFont="1" applyBorder="1" applyAlignment="1">
      <alignment horizontal="left" vertical="top" wrapText="1" indent="4"/>
    </xf>
    <xf numFmtId="0" fontId="44" fillId="0" borderId="1" xfId="0" applyFont="1" applyBorder="1" applyAlignment="1">
      <alignment horizontal="center" vertical="top" wrapText="1"/>
    </xf>
    <xf numFmtId="1" fontId="45" fillId="0" borderId="1" xfId="0" applyNumberFormat="1" applyFont="1" applyBorder="1" applyAlignment="1">
      <alignment horizontal="center" vertical="top" shrinkToFit="1"/>
    </xf>
    <xf numFmtId="0" fontId="44" fillId="0" borderId="7" xfId="0" applyFont="1" applyBorder="1" applyAlignment="1">
      <alignment horizontal="center" vertical="top" wrapText="1"/>
    </xf>
    <xf numFmtId="0" fontId="44" fillId="0" borderId="15" xfId="0" applyFont="1" applyBorder="1" applyAlignment="1">
      <alignment horizontal="center" vertical="top" wrapText="1"/>
    </xf>
    <xf numFmtId="0" fontId="44" fillId="0" borderId="1" xfId="0" applyFont="1" applyBorder="1" applyAlignment="1">
      <alignment horizontal="left" vertical="top" wrapText="1" indent="2"/>
    </xf>
    <xf numFmtId="0" fontId="0" fillId="0" borderId="1" xfId="0" applyBorder="1" applyAlignment="1">
      <alignment horizontal="left" vertical="top" wrapText="1" indent="3"/>
    </xf>
    <xf numFmtId="0" fontId="0" fillId="0" borderId="1" xfId="0" applyBorder="1" applyAlignment="1">
      <alignment horizontal="left" vertical="top" wrapText="1" indent="2"/>
    </xf>
    <xf numFmtId="164" fontId="46" fillId="0" borderId="1" xfId="0" applyNumberFormat="1" applyFont="1" applyBorder="1" applyAlignment="1">
      <alignment horizontal="center" vertical="top" shrinkToFit="1"/>
    </xf>
    <xf numFmtId="165" fontId="46" fillId="0" borderId="1" xfId="0" applyNumberFormat="1" applyFont="1" applyBorder="1" applyAlignment="1">
      <alignment horizontal="center" vertical="top" shrinkToFit="1"/>
    </xf>
    <xf numFmtId="0" fontId="47" fillId="0" borderId="1" xfId="0" applyFont="1" applyBorder="1" applyAlignment="1">
      <alignment horizontal="center" vertical="top" wrapText="1"/>
    </xf>
    <xf numFmtId="0" fontId="47" fillId="0" borderId="7" xfId="0" applyFont="1" applyBorder="1" applyAlignment="1">
      <alignment horizontal="center" vertical="top" wrapText="1"/>
    </xf>
    <xf numFmtId="0" fontId="0" fillId="0" borderId="4" xfId="0" applyBorder="1" applyAlignment="1">
      <alignment horizontal="left" wrapText="1"/>
    </xf>
    <xf numFmtId="1" fontId="46" fillId="0" borderId="6" xfId="0" applyNumberFormat="1" applyFont="1" applyBorder="1" applyAlignment="1">
      <alignment horizontal="left" vertical="top" shrinkToFit="1"/>
    </xf>
    <xf numFmtId="0" fontId="47" fillId="0" borderId="15" xfId="0" applyFont="1" applyBorder="1" applyAlignment="1">
      <alignment horizontal="center" vertical="top" wrapText="1"/>
    </xf>
    <xf numFmtId="0" fontId="0" fillId="0" borderId="12" xfId="0" applyBorder="1" applyAlignment="1">
      <alignment horizontal="left" vertical="center" wrapText="1"/>
    </xf>
    <xf numFmtId="1" fontId="46" fillId="0" borderId="14" xfId="0" applyNumberFormat="1" applyFont="1" applyBorder="1" applyAlignment="1">
      <alignment horizontal="left" vertical="top" shrinkToFit="1"/>
    </xf>
    <xf numFmtId="0" fontId="0" fillId="0" borderId="8" xfId="0" applyBorder="1" applyAlignment="1">
      <alignment horizontal="left" vertical="top" wrapText="1"/>
    </xf>
    <xf numFmtId="0" fontId="44" fillId="0" borderId="1" xfId="0" applyFont="1" applyBorder="1" applyAlignment="1">
      <alignment horizontal="left" vertical="top" wrapText="1"/>
    </xf>
    <xf numFmtId="0" fontId="0" fillId="0" borderId="1" xfId="0" applyBorder="1" applyAlignment="1">
      <alignment horizontal="left" vertical="center" wrapText="1" indent="2"/>
    </xf>
    <xf numFmtId="0" fontId="30" fillId="3" borderId="3" xfId="3" applyBorder="1" applyAlignment="1">
      <alignment horizontal="center" vertical="center" wrapText="1"/>
    </xf>
    <xf numFmtId="1" fontId="30" fillId="3" borderId="3" xfId="3" applyNumberFormat="1" applyBorder="1" applyAlignment="1">
      <alignment horizontal="center" vertical="center" wrapText="1" shrinkToFit="1"/>
    </xf>
    <xf numFmtId="0" fontId="3" fillId="6" borderId="1" xfId="0" applyFont="1" applyFill="1" applyBorder="1" applyAlignment="1">
      <alignment horizontal="center" vertical="top" wrapText="1"/>
    </xf>
    <xf numFmtId="0" fontId="0" fillId="6" borderId="0" xfId="0" applyFill="1"/>
    <xf numFmtId="0" fontId="29" fillId="19" borderId="3" xfId="2" applyBorder="1" applyAlignment="1">
      <alignment horizontal="center" vertical="center" wrapText="1"/>
    </xf>
    <xf numFmtId="0" fontId="1" fillId="0" borderId="8" xfId="0" applyFont="1" applyBorder="1" applyAlignment="1">
      <alignment horizontal="left" vertical="top" wrapText="1" indent="4"/>
    </xf>
    <xf numFmtId="0" fontId="3" fillId="0" borderId="8" xfId="0" applyFont="1" applyBorder="1" applyAlignment="1">
      <alignment horizontal="left" vertical="top" wrapText="1"/>
    </xf>
    <xf numFmtId="0" fontId="4" fillId="0" borderId="3" xfId="0" applyFont="1" applyBorder="1" applyAlignment="1">
      <alignment horizontal="left" vertical="top" wrapText="1"/>
    </xf>
    <xf numFmtId="0" fontId="0" fillId="0" borderId="3" xfId="0" applyBorder="1"/>
    <xf numFmtId="0" fontId="4" fillId="0" borderId="3" xfId="0" applyFont="1" applyBorder="1" applyAlignment="1">
      <alignment horizontal="center" vertical="top" wrapText="1"/>
    </xf>
    <xf numFmtId="0" fontId="3" fillId="6" borderId="3" xfId="0" applyFont="1" applyFill="1" applyBorder="1" applyAlignment="1">
      <alignment horizontal="center" vertical="top" wrapText="1"/>
    </xf>
    <xf numFmtId="0" fontId="3" fillId="6" borderId="3" xfId="0" applyFont="1" applyFill="1" applyBorder="1" applyAlignment="1">
      <alignment horizontal="left" vertical="top" wrapText="1"/>
    </xf>
    <xf numFmtId="0" fontId="0" fillId="6" borderId="3" xfId="0" applyFill="1" applyBorder="1" applyAlignment="1">
      <alignment horizontal="left" vertical="center" wrapText="1"/>
    </xf>
    <xf numFmtId="0" fontId="0" fillId="6" borderId="3" xfId="0" applyFill="1" applyBorder="1"/>
    <xf numFmtId="0" fontId="29" fillId="19" borderId="3" xfId="2" applyBorder="1"/>
    <xf numFmtId="1" fontId="30" fillId="3" borderId="3" xfId="3" applyNumberFormat="1" applyBorder="1" applyAlignment="1">
      <alignment horizontal="center" vertical="top" shrinkToFit="1"/>
    </xf>
    <xf numFmtId="0" fontId="29" fillId="19" borderId="3" xfId="2" applyBorder="1" applyAlignment="1">
      <alignment horizontal="center" vertical="top" wrapText="1"/>
    </xf>
    <xf numFmtId="0" fontId="30" fillId="3" borderId="3" xfId="3" applyBorder="1" applyAlignment="1">
      <alignment horizontal="center" vertical="top" wrapText="1"/>
    </xf>
    <xf numFmtId="1" fontId="2" fillId="6" borderId="1" xfId="0" applyNumberFormat="1" applyFont="1" applyFill="1" applyBorder="1" applyAlignment="1">
      <alignment horizontal="center" vertical="top" shrinkToFit="1"/>
    </xf>
    <xf numFmtId="0" fontId="3" fillId="6" borderId="8" xfId="0" applyFont="1" applyFill="1" applyBorder="1" applyAlignment="1">
      <alignment horizontal="left" vertical="top" wrapText="1"/>
    </xf>
    <xf numFmtId="1" fontId="2" fillId="6" borderId="3" xfId="0" applyNumberFormat="1" applyFont="1" applyFill="1" applyBorder="1" applyAlignment="1">
      <alignment horizontal="center" vertical="top" shrinkToFit="1"/>
    </xf>
    <xf numFmtId="0" fontId="4" fillId="6" borderId="3" xfId="0" applyFont="1" applyFill="1" applyBorder="1" applyAlignment="1">
      <alignment horizontal="center" vertical="top" wrapText="1"/>
    </xf>
    <xf numFmtId="0" fontId="30" fillId="6" borderId="3" xfId="3" applyFill="1" applyBorder="1"/>
    <xf numFmtId="0" fontId="0" fillId="0" borderId="0" xfId="0" applyAlignment="1">
      <alignment horizontal="center" vertical="center"/>
    </xf>
    <xf numFmtId="0" fontId="8" fillId="0" borderId="3" xfId="0" applyFont="1" applyBorder="1" applyAlignment="1">
      <alignment horizontal="center" vertical="center" wrapText="1"/>
    </xf>
    <xf numFmtId="0" fontId="54" fillId="19" borderId="3" xfId="2" applyFont="1" applyBorder="1" applyAlignment="1">
      <alignment horizontal="center" vertical="center" wrapText="1"/>
    </xf>
    <xf numFmtId="0" fontId="30" fillId="3" borderId="0" xfId="3" applyAlignment="1">
      <alignment horizontal="center" vertical="center" wrapText="1"/>
    </xf>
    <xf numFmtId="0" fontId="55" fillId="3" borderId="3" xfId="3" applyFont="1" applyBorder="1" applyAlignment="1">
      <alignment horizontal="center" vertical="center" wrapText="1"/>
    </xf>
    <xf numFmtId="1" fontId="55" fillId="3" borderId="3" xfId="3" applyNumberFormat="1" applyFont="1" applyBorder="1" applyAlignment="1">
      <alignment horizontal="center" vertical="center" wrapText="1" shrinkToFit="1"/>
    </xf>
    <xf numFmtId="0" fontId="55" fillId="3" borderId="3" xfId="3" applyFont="1" applyBorder="1" applyAlignment="1">
      <alignment horizontal="center" vertical="top" wrapText="1"/>
    </xf>
    <xf numFmtId="0" fontId="56" fillId="0" borderId="0" xfId="0" applyFont="1" applyAlignment="1">
      <alignment horizontal="center" vertical="center" wrapText="1"/>
    </xf>
    <xf numFmtId="0" fontId="1" fillId="0" borderId="3" xfId="0" applyFont="1" applyBorder="1" applyAlignment="1">
      <alignment horizontal="center" vertical="center" wrapText="1"/>
    </xf>
    <xf numFmtId="0" fontId="15" fillId="6" borderId="3" xfId="0" applyFont="1" applyFill="1" applyBorder="1" applyAlignment="1">
      <alignment horizontal="center" vertical="center" wrapText="1"/>
    </xf>
    <xf numFmtId="1" fontId="17" fillId="6" borderId="3" xfId="0" applyNumberFormat="1" applyFont="1" applyFill="1" applyBorder="1" applyAlignment="1">
      <alignment horizontal="center" vertical="center" shrinkToFit="1"/>
    </xf>
    <xf numFmtId="0" fontId="60" fillId="10" borderId="3" xfId="0" applyFont="1" applyFill="1" applyBorder="1" applyAlignment="1">
      <alignment horizontal="center" vertical="center" wrapText="1"/>
    </xf>
    <xf numFmtId="2" fontId="17" fillId="6" borderId="3" xfId="0" applyNumberFormat="1" applyFont="1" applyFill="1" applyBorder="1" applyAlignment="1">
      <alignment horizontal="center" vertical="center" shrinkToFit="1"/>
    </xf>
    <xf numFmtId="0" fontId="59" fillId="6" borderId="3" xfId="0" applyFont="1" applyFill="1" applyBorder="1" applyAlignment="1">
      <alignment horizontal="center" vertical="center" wrapText="1"/>
    </xf>
    <xf numFmtId="0" fontId="61" fillId="6" borderId="3" xfId="0" applyFont="1" applyFill="1" applyBorder="1" applyAlignment="1">
      <alignment horizontal="center" vertical="center" wrapText="1"/>
    </xf>
    <xf numFmtId="0" fontId="15" fillId="7" borderId="3" xfId="0" applyFont="1" applyFill="1" applyBorder="1" applyAlignment="1">
      <alignment horizontal="center" vertical="center" wrapText="1"/>
    </xf>
    <xf numFmtId="0" fontId="61" fillId="7" borderId="3" xfId="0" applyFont="1" applyFill="1" applyBorder="1" applyAlignment="1">
      <alignment horizontal="center" vertical="center" wrapText="1"/>
    </xf>
    <xf numFmtId="0" fontId="15" fillId="5" borderId="3" xfId="0" applyFont="1" applyFill="1" applyBorder="1" applyAlignment="1">
      <alignment horizontal="center" vertical="center" wrapText="1"/>
    </xf>
    <xf numFmtId="0" fontId="61" fillId="5" borderId="3" xfId="0" applyFont="1" applyFill="1" applyBorder="1" applyAlignment="1">
      <alignment horizontal="center" vertical="center" wrapText="1"/>
    </xf>
    <xf numFmtId="2" fontId="17" fillId="5" borderId="3" xfId="0" applyNumberFormat="1" applyFont="1" applyFill="1" applyBorder="1" applyAlignment="1">
      <alignment horizontal="center" vertical="center" shrinkToFit="1"/>
    </xf>
    <xf numFmtId="168" fontId="17" fillId="6" borderId="3" xfId="0" applyNumberFormat="1" applyFont="1" applyFill="1" applyBorder="1" applyAlignment="1">
      <alignment horizontal="center" vertical="center" shrinkToFit="1"/>
    </xf>
    <xf numFmtId="164" fontId="17" fillId="6" borderId="3" xfId="0" applyNumberFormat="1" applyFont="1" applyFill="1" applyBorder="1" applyAlignment="1">
      <alignment horizontal="center" vertical="center" shrinkToFit="1"/>
    </xf>
    <xf numFmtId="0" fontId="16" fillId="6" borderId="3" xfId="0" applyFont="1" applyFill="1" applyBorder="1" applyAlignment="1">
      <alignment horizontal="center" vertical="center" wrapText="1"/>
    </xf>
    <xf numFmtId="164" fontId="17" fillId="7" borderId="3" xfId="0" applyNumberFormat="1" applyFont="1" applyFill="1" applyBorder="1" applyAlignment="1">
      <alignment horizontal="center" vertical="center" shrinkToFit="1"/>
    </xf>
    <xf numFmtId="164" fontId="17" fillId="5" borderId="3" xfId="0" applyNumberFormat="1" applyFont="1" applyFill="1" applyBorder="1" applyAlignment="1">
      <alignment horizontal="center" vertical="center" shrinkToFit="1"/>
    </xf>
    <xf numFmtId="0" fontId="16" fillId="5" borderId="3" xfId="0" applyFont="1" applyFill="1" applyBorder="1" applyAlignment="1">
      <alignment horizontal="center" vertical="center" wrapText="1"/>
    </xf>
    <xf numFmtId="164" fontId="17" fillId="9" borderId="3" xfId="0" applyNumberFormat="1" applyFont="1" applyFill="1" applyBorder="1" applyAlignment="1">
      <alignment horizontal="center" vertical="center" shrinkToFit="1"/>
    </xf>
    <xf numFmtId="164" fontId="17" fillId="11" borderId="3" xfId="0" applyNumberFormat="1" applyFont="1" applyFill="1" applyBorder="1" applyAlignment="1">
      <alignment horizontal="center" vertical="center" shrinkToFit="1"/>
    </xf>
    <xf numFmtId="164" fontId="17" fillId="8" borderId="3" xfId="0" applyNumberFormat="1" applyFont="1" applyFill="1" applyBorder="1" applyAlignment="1">
      <alignment horizontal="center" vertical="center" shrinkToFit="1"/>
    </xf>
    <xf numFmtId="1" fontId="17" fillId="5" borderId="3" xfId="0" applyNumberFormat="1" applyFont="1" applyFill="1" applyBorder="1" applyAlignment="1">
      <alignment horizontal="center" vertical="center" shrinkToFit="1"/>
    </xf>
    <xf numFmtId="1" fontId="17" fillId="7" borderId="3" xfId="0" applyNumberFormat="1" applyFont="1" applyFill="1" applyBorder="1" applyAlignment="1">
      <alignment horizontal="center" vertical="center" shrinkToFit="1"/>
    </xf>
    <xf numFmtId="168" fontId="17" fillId="5" borderId="3" xfId="0" applyNumberFormat="1" applyFont="1" applyFill="1" applyBorder="1" applyAlignment="1">
      <alignment horizontal="center" vertical="center" shrinkToFit="1"/>
    </xf>
    <xf numFmtId="164" fontId="17" fillId="4" borderId="3" xfId="0" applyNumberFormat="1" applyFont="1" applyFill="1" applyBorder="1" applyAlignment="1">
      <alignment horizontal="center" vertical="center" shrinkToFit="1"/>
    </xf>
    <xf numFmtId="0" fontId="15" fillId="4" borderId="3" xfId="0" applyFont="1" applyFill="1" applyBorder="1" applyAlignment="1">
      <alignment horizontal="center" vertical="center" wrapText="1"/>
    </xf>
    <xf numFmtId="0" fontId="61" fillId="4" borderId="3" xfId="0" applyFont="1" applyFill="1" applyBorder="1" applyAlignment="1">
      <alignment horizontal="center" vertical="center" wrapText="1"/>
    </xf>
    <xf numFmtId="0" fontId="9" fillId="0" borderId="1" xfId="0" applyFont="1" applyBorder="1" applyAlignment="1">
      <alignment horizontal="left" vertical="top" wrapText="1"/>
    </xf>
    <xf numFmtId="0" fontId="8" fillId="12" borderId="1" xfId="0" applyFont="1" applyFill="1" applyBorder="1" applyAlignment="1">
      <alignment horizontal="left" vertical="top" wrapText="1"/>
    </xf>
    <xf numFmtId="164" fontId="17" fillId="12" borderId="3" xfId="0" applyNumberFormat="1" applyFont="1" applyFill="1" applyBorder="1" applyAlignment="1">
      <alignment horizontal="center" vertical="center" shrinkToFit="1"/>
    </xf>
    <xf numFmtId="0" fontId="15" fillId="12" borderId="3" xfId="0" applyFont="1" applyFill="1" applyBorder="1" applyAlignment="1">
      <alignment horizontal="center" vertical="center" wrapText="1"/>
    </xf>
    <xf numFmtId="0" fontId="61" fillId="12" borderId="3" xfId="0" applyFont="1" applyFill="1" applyBorder="1" applyAlignment="1">
      <alignment horizontal="center" vertical="center" wrapText="1"/>
    </xf>
    <xf numFmtId="0" fontId="9" fillId="6" borderId="1" xfId="0" applyFont="1" applyFill="1" applyBorder="1" applyAlignment="1">
      <alignment horizontal="left" vertical="top" wrapText="1"/>
    </xf>
    <xf numFmtId="0" fontId="28" fillId="18" borderId="3" xfId="1" applyBorder="1" applyAlignment="1">
      <alignment horizontal="center" vertical="center" wrapText="1"/>
    </xf>
    <xf numFmtId="1" fontId="28" fillId="18" borderId="3" xfId="1" applyNumberFormat="1" applyBorder="1" applyAlignment="1">
      <alignment horizontal="center" vertical="center" wrapText="1" shrinkToFit="1"/>
    </xf>
    <xf numFmtId="1" fontId="17" fillId="12" borderId="3" xfId="0" applyNumberFormat="1" applyFont="1" applyFill="1" applyBorder="1" applyAlignment="1">
      <alignment horizontal="center" vertical="center" shrinkToFit="1"/>
    </xf>
    <xf numFmtId="0" fontId="15" fillId="12" borderId="1" xfId="0" applyFont="1" applyFill="1" applyBorder="1" applyAlignment="1">
      <alignment horizontal="center" vertical="top" wrapText="1"/>
    </xf>
    <xf numFmtId="0" fontId="8" fillId="12" borderId="1" xfId="0" applyFont="1" applyFill="1" applyBorder="1" applyAlignment="1">
      <alignment horizontal="left" textRotation="90" wrapText="1"/>
    </xf>
    <xf numFmtId="0" fontId="15" fillId="12" borderId="1" xfId="0" applyFont="1" applyFill="1" applyBorder="1" applyAlignment="1">
      <alignment horizontal="left" textRotation="90" wrapText="1"/>
    </xf>
    <xf numFmtId="0" fontId="62" fillId="5" borderId="3" xfId="1" applyFont="1" applyFill="1" applyBorder="1" applyAlignment="1">
      <alignment horizontal="center" vertical="center" wrapText="1"/>
    </xf>
    <xf numFmtId="1" fontId="62" fillId="5" borderId="3" xfId="1" applyNumberFormat="1" applyFont="1" applyFill="1" applyBorder="1" applyAlignment="1">
      <alignment horizontal="center" vertical="center" wrapText="1" shrinkToFit="1"/>
    </xf>
    <xf numFmtId="2" fontId="17" fillId="12" borderId="3" xfId="0" applyNumberFormat="1" applyFont="1" applyFill="1" applyBorder="1" applyAlignment="1">
      <alignment horizontal="center" vertical="center" shrinkToFit="1"/>
    </xf>
    <xf numFmtId="0" fontId="15" fillId="12" borderId="1" xfId="0" applyFont="1" applyFill="1" applyBorder="1" applyAlignment="1">
      <alignment horizontal="left" vertical="top" wrapText="1"/>
    </xf>
    <xf numFmtId="0" fontId="8" fillId="6" borderId="1" xfId="0" applyFont="1" applyFill="1" applyBorder="1" applyAlignment="1">
      <alignment horizontal="left" textRotation="90" wrapText="1"/>
    </xf>
    <xf numFmtId="0" fontId="15" fillId="6" borderId="1" xfId="0" applyFont="1" applyFill="1" applyBorder="1" applyAlignment="1">
      <alignment horizontal="left" textRotation="90" wrapText="1"/>
    </xf>
    <xf numFmtId="0" fontId="8" fillId="7" borderId="1" xfId="0" applyFont="1" applyFill="1" applyBorder="1" applyAlignment="1">
      <alignment horizontal="left" textRotation="90" wrapText="1"/>
    </xf>
    <xf numFmtId="0" fontId="15" fillId="6" borderId="1" xfId="0" applyFont="1" applyFill="1" applyBorder="1" applyAlignment="1">
      <alignment horizontal="left" vertical="top" wrapText="1"/>
    </xf>
    <xf numFmtId="0" fontId="15" fillId="5" borderId="1" xfId="0" applyFont="1" applyFill="1" applyBorder="1" applyAlignment="1">
      <alignment horizontal="left" vertical="top" wrapText="1"/>
    </xf>
    <xf numFmtId="0" fontId="8" fillId="5" borderId="1" xfId="0" applyFont="1" applyFill="1" applyBorder="1" applyAlignment="1">
      <alignment horizontal="left" textRotation="90" wrapText="1"/>
    </xf>
    <xf numFmtId="0" fontId="15" fillId="5" borderId="1" xfId="0" applyFont="1" applyFill="1" applyBorder="1" applyAlignment="1">
      <alignment horizontal="left" textRotation="90" wrapText="1"/>
    </xf>
    <xf numFmtId="0" fontId="8" fillId="6" borderId="1" xfId="0" applyFont="1" applyFill="1" applyBorder="1" applyAlignment="1">
      <alignment horizontal="left" vertical="top" wrapText="1"/>
    </xf>
    <xf numFmtId="0" fontId="9" fillId="6" borderId="1" xfId="0" applyFont="1" applyFill="1" applyBorder="1" applyAlignment="1">
      <alignment horizontal="left" textRotation="90" wrapText="1"/>
    </xf>
    <xf numFmtId="0" fontId="9" fillId="7" borderId="1" xfId="0" applyFont="1" applyFill="1" applyBorder="1" applyAlignment="1">
      <alignment horizontal="left" textRotation="90" wrapText="1"/>
    </xf>
    <xf numFmtId="0" fontId="15" fillId="7" borderId="1" xfId="0" applyFont="1" applyFill="1" applyBorder="1" applyAlignment="1">
      <alignment horizontal="left" textRotation="90" wrapText="1"/>
    </xf>
    <xf numFmtId="0" fontId="16" fillId="0" borderId="1" xfId="0" applyFont="1" applyBorder="1" applyAlignment="1">
      <alignment horizontal="left" textRotation="90" wrapText="1"/>
    </xf>
    <xf numFmtId="0" fontId="4" fillId="0" borderId="1" xfId="0" applyFont="1" applyBorder="1" applyAlignment="1">
      <alignment horizontal="center" vertical="top" wrapText="1"/>
    </xf>
    <xf numFmtId="0" fontId="5" fillId="7" borderId="1" xfId="0" applyFont="1" applyFill="1" applyBorder="1" applyAlignment="1">
      <alignment horizontal="left" vertical="top" wrapText="1"/>
    </xf>
    <xf numFmtId="0" fontId="16" fillId="7" borderId="1" xfId="0" applyFont="1" applyFill="1" applyBorder="1" applyAlignment="1">
      <alignment horizontal="left" textRotation="90" wrapText="1"/>
    </xf>
    <xf numFmtId="0" fontId="15" fillId="5" borderId="1" xfId="0" applyFont="1" applyFill="1" applyBorder="1" applyAlignment="1">
      <alignment horizontal="center" vertical="top" wrapText="1"/>
    </xf>
    <xf numFmtId="0" fontId="44" fillId="5" borderId="1" xfId="0" applyFont="1" applyFill="1" applyBorder="1" applyAlignment="1">
      <alignment horizontal="left" vertical="top" wrapText="1" indent="6"/>
    </xf>
    <xf numFmtId="0" fontId="15" fillId="5" borderId="1" xfId="0" applyFont="1" applyFill="1" applyBorder="1" applyAlignment="1">
      <alignment horizontal="left" vertical="top" wrapText="1" indent="2"/>
    </xf>
    <xf numFmtId="0" fontId="44" fillId="5" borderId="1" xfId="0" applyFont="1" applyFill="1" applyBorder="1" applyAlignment="1">
      <alignment horizontal="left" vertical="top" wrapText="1" indent="4"/>
    </xf>
    <xf numFmtId="0" fontId="44" fillId="5" borderId="1" xfId="0" applyFont="1" applyFill="1" applyBorder="1" applyAlignment="1">
      <alignment horizontal="center" vertical="top" wrapText="1"/>
    </xf>
    <xf numFmtId="0" fontId="44" fillId="5" borderId="1" xfId="0" applyFont="1" applyFill="1" applyBorder="1" applyAlignment="1">
      <alignment horizontal="left" vertical="top" wrapText="1" indent="1"/>
    </xf>
    <xf numFmtId="0" fontId="7" fillId="5" borderId="1" xfId="0" applyFont="1" applyFill="1" applyBorder="1" applyAlignment="1">
      <alignment horizontal="left" textRotation="90" wrapText="1"/>
    </xf>
    <xf numFmtId="0" fontId="15" fillId="13" borderId="3" xfId="0" applyFont="1" applyFill="1" applyBorder="1" applyAlignment="1">
      <alignment horizontal="center" vertical="center" wrapText="1"/>
    </xf>
    <xf numFmtId="0" fontId="63" fillId="12" borderId="3" xfId="0" applyFont="1" applyFill="1" applyBorder="1" applyAlignment="1">
      <alignment horizontal="center" vertical="center" wrapText="1"/>
    </xf>
    <xf numFmtId="0" fontId="66" fillId="14" borderId="3" xfId="2" applyFont="1" applyFill="1" applyBorder="1" applyAlignment="1">
      <alignment horizontal="center" vertical="center" wrapText="1"/>
    </xf>
    <xf numFmtId="0" fontId="54" fillId="7" borderId="3" xfId="2" applyFont="1" applyFill="1" applyBorder="1" applyAlignment="1">
      <alignment horizontal="center" vertical="center" wrapText="1"/>
    </xf>
    <xf numFmtId="0" fontId="67" fillId="7" borderId="3" xfId="0" applyFont="1" applyFill="1" applyBorder="1" applyAlignment="1">
      <alignment horizontal="center" vertical="center" wrapText="1"/>
    </xf>
    <xf numFmtId="0" fontId="15" fillId="15" borderId="3" xfId="0" applyFont="1" applyFill="1" applyBorder="1" applyAlignment="1">
      <alignment horizontal="center" vertical="center" wrapText="1"/>
    </xf>
    <xf numFmtId="0" fontId="59" fillId="15" borderId="3" xfId="0" applyFont="1" applyFill="1" applyBorder="1" applyAlignment="1">
      <alignment horizontal="center" vertical="center" wrapText="1"/>
    </xf>
    <xf numFmtId="0" fontId="16" fillId="15" borderId="3" xfId="0" applyFont="1" applyFill="1" applyBorder="1" applyAlignment="1">
      <alignment horizontal="center" vertical="center" wrapText="1"/>
    </xf>
    <xf numFmtId="0" fontId="68" fillId="15" borderId="3" xfId="0" applyFont="1" applyFill="1" applyBorder="1" applyAlignment="1">
      <alignment horizontal="center" vertical="center" wrapText="1"/>
    </xf>
    <xf numFmtId="0" fontId="16" fillId="15" borderId="28" xfId="0" applyFont="1" applyFill="1" applyBorder="1" applyAlignment="1">
      <alignment horizontal="center" vertical="center" wrapText="1"/>
    </xf>
    <xf numFmtId="0" fontId="0" fillId="15" borderId="3" xfId="0" applyFill="1" applyBorder="1"/>
    <xf numFmtId="0" fontId="15" fillId="15" borderId="28" xfId="0" applyFont="1" applyFill="1" applyBorder="1" applyAlignment="1">
      <alignment horizontal="center" vertical="center" wrapText="1"/>
    </xf>
    <xf numFmtId="164" fontId="17" fillId="5" borderId="0" xfId="0" applyNumberFormat="1" applyFont="1" applyFill="1" applyAlignment="1">
      <alignment horizontal="center" vertical="center" shrinkToFit="1"/>
    </xf>
    <xf numFmtId="164" fontId="17" fillId="7" borderId="0" xfId="0" applyNumberFormat="1" applyFont="1" applyFill="1" applyAlignment="1">
      <alignment horizontal="center" vertical="center" shrinkToFit="1"/>
    </xf>
    <xf numFmtId="0" fontId="15" fillId="5" borderId="28" xfId="0" applyFont="1" applyFill="1" applyBorder="1" applyAlignment="1">
      <alignment horizontal="center" vertical="center" wrapText="1"/>
    </xf>
    <xf numFmtId="0" fontId="15" fillId="7" borderId="28" xfId="0" applyFont="1" applyFill="1" applyBorder="1" applyAlignment="1">
      <alignment horizontal="center" vertical="center" wrapText="1"/>
    </xf>
    <xf numFmtId="164" fontId="17" fillId="4" borderId="0" xfId="0" applyNumberFormat="1" applyFont="1" applyFill="1" applyAlignment="1">
      <alignment horizontal="center" vertical="center" shrinkToFit="1"/>
    </xf>
    <xf numFmtId="164" fontId="17" fillId="6" borderId="0" xfId="0" applyNumberFormat="1" applyFont="1" applyFill="1" applyAlignment="1">
      <alignment horizontal="center" vertical="center" shrinkToFit="1"/>
    </xf>
    <xf numFmtId="0" fontId="15" fillId="4" borderId="28" xfId="0" applyFont="1" applyFill="1" applyBorder="1" applyAlignment="1">
      <alignment horizontal="center" vertical="center" wrapText="1"/>
    </xf>
    <xf numFmtId="0" fontId="15" fillId="6" borderId="28" xfId="0" applyFont="1" applyFill="1" applyBorder="1" applyAlignment="1">
      <alignment horizontal="center" vertical="center" wrapText="1"/>
    </xf>
    <xf numFmtId="0" fontId="16" fillId="4" borderId="28" xfId="0" applyFont="1" applyFill="1" applyBorder="1" applyAlignment="1">
      <alignment horizontal="center" vertical="center" wrapText="1"/>
    </xf>
    <xf numFmtId="0" fontId="8" fillId="7" borderId="1" xfId="0" applyFont="1" applyFill="1" applyBorder="1" applyAlignment="1">
      <alignment horizontal="left" vertical="top" wrapText="1"/>
    </xf>
    <xf numFmtId="0" fontId="16" fillId="6" borderId="1" xfId="0" applyFont="1" applyFill="1" applyBorder="1" applyAlignment="1">
      <alignment horizontal="left" textRotation="90" wrapText="1"/>
    </xf>
    <xf numFmtId="0" fontId="5" fillId="6" borderId="1" xfId="0" applyFont="1" applyFill="1" applyBorder="1" applyAlignment="1">
      <alignment horizontal="left" vertical="top" wrapText="1"/>
    </xf>
    <xf numFmtId="0" fontId="0" fillId="7" borderId="3" xfId="0" applyFill="1" applyBorder="1" applyAlignment="1">
      <alignment horizontal="center" vertical="center" wrapText="1"/>
    </xf>
    <xf numFmtId="0" fontId="21" fillId="7" borderId="3" xfId="0" applyFont="1" applyFill="1" applyBorder="1" applyAlignment="1">
      <alignment horizontal="center" vertical="center" wrapText="1"/>
    </xf>
    <xf numFmtId="1" fontId="24" fillId="7" borderId="3" xfId="0" applyNumberFormat="1" applyFont="1" applyFill="1" applyBorder="1" applyAlignment="1">
      <alignment horizontal="center" vertical="center" wrapText="1" shrinkToFit="1"/>
    </xf>
    <xf numFmtId="0" fontId="25" fillId="7" borderId="3" xfId="0" applyFont="1" applyFill="1" applyBorder="1" applyAlignment="1">
      <alignment horizontal="center" vertical="center" wrapText="1"/>
    </xf>
    <xf numFmtId="0" fontId="26" fillId="7" borderId="3" xfId="0" applyFont="1" applyFill="1" applyBorder="1" applyAlignment="1">
      <alignment horizontal="center" vertical="center" wrapText="1"/>
    </xf>
    <xf numFmtId="0" fontId="21" fillId="6" borderId="3" xfId="0" applyFont="1" applyFill="1" applyBorder="1" applyAlignment="1">
      <alignment horizontal="center" vertical="center" wrapText="1"/>
    </xf>
    <xf numFmtId="1" fontId="24" fillId="6" borderId="3" xfId="0" applyNumberFormat="1" applyFont="1" applyFill="1" applyBorder="1" applyAlignment="1">
      <alignment horizontal="center" vertical="center" wrapText="1" shrinkToFit="1"/>
    </xf>
    <xf numFmtId="0" fontId="21" fillId="12" borderId="3" xfId="0" applyFont="1" applyFill="1" applyBorder="1" applyAlignment="1">
      <alignment horizontal="center" vertical="center" wrapText="1"/>
    </xf>
    <xf numFmtId="1" fontId="24" fillId="12" borderId="3" xfId="0" applyNumberFormat="1" applyFont="1" applyFill="1" applyBorder="1" applyAlignment="1">
      <alignment horizontal="center" vertical="center" wrapText="1" shrinkToFit="1"/>
    </xf>
    <xf numFmtId="0" fontId="0" fillId="12" borderId="3" xfId="0" applyFill="1" applyBorder="1" applyAlignment="1">
      <alignment horizontal="center" vertical="center" wrapText="1"/>
    </xf>
    <xf numFmtId="0" fontId="69" fillId="5" borderId="3" xfId="0" applyFont="1" applyFill="1" applyBorder="1" applyAlignment="1">
      <alignment horizontal="center" vertical="center" wrapText="1"/>
    </xf>
    <xf numFmtId="0" fontId="0" fillId="16" borderId="3" xfId="0" applyFill="1" applyBorder="1" applyAlignment="1">
      <alignment horizontal="center" vertical="center" wrapText="1"/>
    </xf>
    <xf numFmtId="1" fontId="27" fillId="12" borderId="3" xfId="0" applyNumberFormat="1" applyFont="1" applyFill="1" applyBorder="1" applyAlignment="1">
      <alignment horizontal="center" vertical="center" wrapText="1" shrinkToFit="1"/>
    </xf>
    <xf numFmtId="0" fontId="26" fillId="6" borderId="3" xfId="0" applyFont="1" applyFill="1" applyBorder="1" applyAlignment="1">
      <alignment horizontal="center" vertical="center" wrapText="1"/>
    </xf>
    <xf numFmtId="0" fontId="25" fillId="12" borderId="3" xfId="0" applyFont="1" applyFill="1" applyBorder="1" applyAlignment="1">
      <alignment horizontal="center" vertical="center" wrapText="1"/>
    </xf>
    <xf numFmtId="0" fontId="22" fillId="7" borderId="3" xfId="0" applyFont="1" applyFill="1" applyBorder="1" applyAlignment="1">
      <alignment horizontal="center" vertical="center" wrapText="1"/>
    </xf>
    <xf numFmtId="0" fontId="15" fillId="7" borderId="1" xfId="0" applyFont="1" applyFill="1" applyBorder="1" applyAlignment="1">
      <alignment horizontal="center" vertical="top" wrapText="1"/>
    </xf>
    <xf numFmtId="0" fontId="30" fillId="6" borderId="3" xfId="3" applyFill="1" applyBorder="1" applyAlignment="1">
      <alignment horizontal="center" vertical="center" wrapText="1"/>
    </xf>
    <xf numFmtId="0" fontId="28" fillId="6" borderId="3" xfId="1" applyFill="1" applyBorder="1" applyAlignment="1">
      <alignment horizontal="center" vertical="center" wrapText="1"/>
    </xf>
    <xf numFmtId="1" fontId="28" fillId="6" borderId="3" xfId="1" applyNumberFormat="1" applyFill="1" applyBorder="1" applyAlignment="1">
      <alignment horizontal="center" vertical="center" wrapText="1" shrinkToFit="1"/>
    </xf>
    <xf numFmtId="0" fontId="15" fillId="7" borderId="1" xfId="0" applyFont="1" applyFill="1" applyBorder="1" applyAlignment="1">
      <alignment horizontal="left" vertical="top" wrapText="1"/>
    </xf>
    <xf numFmtId="0" fontId="5" fillId="7" borderId="1" xfId="0" applyFont="1" applyFill="1" applyBorder="1" applyAlignment="1">
      <alignment horizontal="left" wrapText="1"/>
    </xf>
    <xf numFmtId="0" fontId="15" fillId="7" borderId="1" xfId="0" applyFont="1" applyFill="1" applyBorder="1" applyAlignment="1">
      <alignment horizontal="left" vertical="center" wrapText="1"/>
    </xf>
    <xf numFmtId="0" fontId="16" fillId="12" borderId="1" xfId="0" applyFont="1" applyFill="1" applyBorder="1" applyAlignment="1">
      <alignment horizontal="left" textRotation="90" wrapText="1"/>
    </xf>
    <xf numFmtId="0" fontId="21" fillId="4" borderId="20" xfId="0" applyFont="1" applyFill="1" applyBorder="1" applyAlignment="1">
      <alignment horizontal="center" vertical="center" wrapText="1"/>
    </xf>
    <xf numFmtId="0" fontId="0" fillId="4" borderId="20" xfId="0" applyFill="1" applyBorder="1" applyAlignment="1">
      <alignment horizontal="center" vertical="center" wrapText="1"/>
    </xf>
    <xf numFmtId="0" fontId="71" fillId="0" borderId="3" xfId="0" applyFont="1" applyBorder="1" applyAlignment="1">
      <alignment vertical="top" wrapText="1"/>
    </xf>
    <xf numFmtId="0" fontId="71" fillId="0" borderId="3" xfId="0" applyFont="1" applyBorder="1" applyAlignment="1">
      <alignment horizontal="center" vertical="top" wrapText="1"/>
    </xf>
    <xf numFmtId="0" fontId="0" fillId="0" borderId="3" xfId="0" applyBorder="1" applyAlignment="1">
      <alignment vertical="center" wrapText="1"/>
    </xf>
    <xf numFmtId="0" fontId="15" fillId="17" borderId="3" xfId="0" applyFont="1" applyFill="1" applyBorder="1" applyAlignment="1">
      <alignment horizontal="center" vertical="center" wrapText="1"/>
    </xf>
    <xf numFmtId="0" fontId="72" fillId="0" borderId="3" xfId="0" applyFont="1" applyBorder="1" applyAlignment="1">
      <alignment vertical="center" wrapText="1"/>
    </xf>
    <xf numFmtId="0" fontId="16" fillId="7" borderId="1" xfId="0" applyFont="1" applyFill="1" applyBorder="1" applyAlignment="1">
      <alignment horizontal="left" vertical="top" wrapText="1"/>
    </xf>
    <xf numFmtId="0" fontId="16" fillId="17" borderId="3" xfId="0" applyFont="1" applyFill="1" applyBorder="1" applyAlignment="1">
      <alignment horizontal="center" vertical="center" wrapText="1"/>
    </xf>
    <xf numFmtId="0" fontId="15" fillId="17" borderId="3" xfId="1" applyFont="1" applyFill="1" applyBorder="1" applyAlignment="1">
      <alignment horizontal="center" vertical="center" wrapText="1"/>
    </xf>
    <xf numFmtId="0" fontId="16" fillId="17" borderId="3" xfId="1" applyFont="1" applyFill="1" applyBorder="1" applyAlignment="1">
      <alignment horizontal="center" vertical="center" wrapText="1"/>
    </xf>
    <xf numFmtId="0" fontId="7" fillId="4" borderId="35" xfId="0" applyFont="1" applyFill="1" applyBorder="1" applyAlignment="1">
      <alignment horizontal="center" vertical="center" wrapText="1"/>
    </xf>
    <xf numFmtId="0" fontId="75" fillId="0" borderId="37" xfId="0" applyFont="1" applyBorder="1" applyAlignment="1">
      <alignment horizontal="center" vertical="center" wrapText="1"/>
    </xf>
    <xf numFmtId="0" fontId="0" fillId="0" borderId="30" xfId="0" applyBorder="1" applyAlignment="1">
      <alignment horizontal="center" vertical="center" wrapText="1"/>
    </xf>
    <xf numFmtId="0" fontId="0" fillId="0" borderId="32" xfId="0" applyBorder="1" applyAlignment="1">
      <alignment horizontal="center" vertical="center" wrapText="1"/>
    </xf>
    <xf numFmtId="0" fontId="0" fillId="17" borderId="36" xfId="1" applyFont="1" applyFill="1" applyBorder="1" applyAlignment="1">
      <alignment horizontal="center" vertical="center" wrapText="1"/>
    </xf>
    <xf numFmtId="0" fontId="0" fillId="17" borderId="35" xfId="1" applyFont="1" applyFill="1" applyBorder="1" applyAlignment="1">
      <alignment horizontal="center" vertical="center" wrapText="1"/>
    </xf>
    <xf numFmtId="0" fontId="0" fillId="17" borderId="37" xfId="1" applyFont="1" applyFill="1" applyBorder="1" applyAlignment="1">
      <alignment horizontal="center" vertical="center" wrapText="1"/>
    </xf>
    <xf numFmtId="0" fontId="77" fillId="0" borderId="1" xfId="0" applyFont="1" applyBorder="1" applyAlignment="1">
      <alignment horizontal="left" vertical="top"/>
    </xf>
    <xf numFmtId="0" fontId="77" fillId="0" borderId="7" xfId="0" applyFont="1" applyBorder="1" applyAlignment="1">
      <alignment horizontal="left" vertical="top"/>
    </xf>
    <xf numFmtId="0" fontId="78" fillId="0" borderId="1" xfId="0" applyFont="1" applyBorder="1" applyAlignment="1">
      <alignment horizontal="left" vertical="top"/>
    </xf>
    <xf numFmtId="0" fontId="78" fillId="0" borderId="7" xfId="0" applyFont="1" applyBorder="1" applyAlignment="1">
      <alignment horizontal="left" vertical="top"/>
    </xf>
    <xf numFmtId="0" fontId="79" fillId="0" borderId="1" xfId="0" applyFont="1" applyBorder="1" applyAlignment="1">
      <alignment horizontal="left" vertical="top"/>
    </xf>
    <xf numFmtId="0" fontId="80" fillId="0" borderId="1" xfId="0" applyFont="1" applyBorder="1" applyAlignment="1">
      <alignment horizontal="left" vertical="top"/>
    </xf>
    <xf numFmtId="0" fontId="81" fillId="0" borderId="1" xfId="0" applyFont="1" applyBorder="1" applyAlignment="1">
      <alignment horizontal="left" vertical="top"/>
    </xf>
    <xf numFmtId="0" fontId="82" fillId="0" borderId="1" xfId="0" applyFont="1" applyBorder="1" applyAlignment="1">
      <alignment horizontal="left" vertical="top"/>
    </xf>
    <xf numFmtId="0" fontId="83" fillId="0" borderId="1" xfId="0" applyFont="1" applyBorder="1" applyAlignment="1">
      <alignment horizontal="left" vertical="top"/>
    </xf>
    <xf numFmtId="0" fontId="84" fillId="0" borderId="1" xfId="0" applyFont="1" applyBorder="1" applyAlignment="1">
      <alignment horizontal="left" vertical="top"/>
    </xf>
    <xf numFmtId="0" fontId="85" fillId="0" borderId="1" xfId="0" applyFont="1" applyBorder="1" applyAlignment="1">
      <alignment horizontal="left" vertical="top"/>
    </xf>
    <xf numFmtId="0" fontId="77" fillId="0" borderId="1" xfId="0" applyFont="1" applyBorder="1" applyAlignment="1">
      <alignment horizontal="left" vertical="top" wrapText="1"/>
    </xf>
    <xf numFmtId="0" fontId="78" fillId="0" borderId="1" xfId="0" applyFont="1" applyBorder="1" applyAlignment="1">
      <alignment horizontal="left" vertical="top" wrapText="1"/>
    </xf>
    <xf numFmtId="0" fontId="78" fillId="0" borderId="1" xfId="0" applyFont="1" applyBorder="1" applyAlignment="1">
      <alignment vertical="top"/>
    </xf>
    <xf numFmtId="0" fontId="86" fillId="0" borderId="0" xfId="0" applyFont="1" applyAlignment="1">
      <alignment vertical="center"/>
    </xf>
    <xf numFmtId="0" fontId="79" fillId="0" borderId="1" xfId="0" applyFont="1" applyBorder="1" applyAlignment="1">
      <alignment horizontal="center" vertical="top"/>
    </xf>
    <xf numFmtId="0" fontId="77" fillId="0" borderId="1" xfId="0" applyFont="1" applyBorder="1" applyAlignment="1">
      <alignment vertical="top"/>
    </xf>
    <xf numFmtId="0" fontId="0" fillId="0" borderId="1" xfId="0" applyBorder="1" applyAlignment="1">
      <alignment vertical="top"/>
    </xf>
    <xf numFmtId="0" fontId="83" fillId="0" borderId="1" xfId="0" applyFont="1" applyBorder="1" applyAlignment="1">
      <alignment vertical="top"/>
    </xf>
    <xf numFmtId="0" fontId="77" fillId="0" borderId="1" xfId="0" applyFont="1" applyBorder="1" applyAlignment="1">
      <alignment horizontal="center" vertical="top"/>
    </xf>
    <xf numFmtId="0" fontId="83" fillId="0" borderId="1" xfId="0" applyFont="1" applyBorder="1" applyAlignment="1">
      <alignment horizontal="center" vertical="top"/>
    </xf>
    <xf numFmtId="0" fontId="76" fillId="17" borderId="3" xfId="1" applyFont="1" applyFill="1" applyBorder="1" applyAlignment="1">
      <alignment horizontal="center" vertical="center" wrapText="1"/>
    </xf>
    <xf numFmtId="0" fontId="89" fillId="17" borderId="3" xfId="0" applyFont="1" applyFill="1" applyBorder="1" applyAlignment="1">
      <alignment horizontal="center" vertical="center" wrapText="1"/>
    </xf>
    <xf numFmtId="0" fontId="90" fillId="17" borderId="3" xfId="0" applyFont="1" applyFill="1" applyBorder="1" applyAlignment="1">
      <alignment horizontal="center" vertical="center" wrapText="1"/>
    </xf>
    <xf numFmtId="0" fontId="88" fillId="0" borderId="3" xfId="0" applyFont="1" applyBorder="1" applyAlignment="1">
      <alignment horizontal="center" vertical="center"/>
    </xf>
    <xf numFmtId="0" fontId="0" fillId="17" borderId="0" xfId="0" applyFill="1" applyAlignment="1">
      <alignment horizontal="center" vertical="center"/>
    </xf>
    <xf numFmtId="0" fontId="70" fillId="17" borderId="3" xfId="0" applyFont="1" applyFill="1" applyBorder="1" applyAlignment="1">
      <alignment horizontal="center" vertical="center" wrapText="1"/>
    </xf>
    <xf numFmtId="0" fontId="91" fillId="0" borderId="3" xfId="0" applyFont="1" applyBorder="1" applyAlignment="1">
      <alignment horizontal="center" vertical="center"/>
    </xf>
    <xf numFmtId="0" fontId="91" fillId="0" borderId="0" xfId="0" applyFont="1" applyAlignment="1">
      <alignment horizontal="center" vertical="center"/>
    </xf>
    <xf numFmtId="0" fontId="15" fillId="17" borderId="45" xfId="0" applyFont="1" applyFill="1" applyBorder="1" applyAlignment="1">
      <alignment horizontal="center" vertical="center" wrapText="1"/>
    </xf>
    <xf numFmtId="0" fontId="61" fillId="17" borderId="0" xfId="0" applyFont="1" applyFill="1" applyAlignment="1">
      <alignment horizontal="center" vertical="center"/>
    </xf>
    <xf numFmtId="0" fontId="61" fillId="17" borderId="38" xfId="0" applyFont="1" applyFill="1" applyBorder="1" applyAlignment="1">
      <alignment horizontal="center" vertical="center"/>
    </xf>
    <xf numFmtId="0" fontId="61" fillId="17" borderId="39" xfId="0" applyFont="1" applyFill="1" applyBorder="1" applyAlignment="1">
      <alignment horizontal="center" vertic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17" borderId="3" xfId="1" applyFont="1" applyFill="1" applyBorder="1" applyAlignment="1">
      <alignment horizontal="center" vertical="center" wrapText="1"/>
    </xf>
    <xf numFmtId="0" fontId="0" fillId="17" borderId="0" xfId="0" applyFill="1" applyAlignment="1">
      <alignment horizontal="left" vertical="center" wrapText="1"/>
    </xf>
    <xf numFmtId="0" fontId="0" fillId="17" borderId="0" xfId="0" applyFill="1" applyAlignment="1">
      <alignment horizontal="center" vertical="center" wrapText="1"/>
    </xf>
    <xf numFmtId="0" fontId="0" fillId="17" borderId="33" xfId="1" applyFont="1" applyFill="1" applyBorder="1" applyAlignment="1">
      <alignment horizontal="left" vertical="center" wrapText="1"/>
    </xf>
    <xf numFmtId="0" fontId="0" fillId="17" borderId="21" xfId="1" applyFont="1" applyFill="1" applyBorder="1" applyAlignment="1">
      <alignment horizontal="center" vertical="center" wrapText="1"/>
    </xf>
    <xf numFmtId="10" fontId="0" fillId="17" borderId="34" xfId="1" applyNumberFormat="1" applyFont="1" applyFill="1" applyBorder="1" applyAlignment="1">
      <alignment horizontal="center" vertical="center" wrapText="1"/>
    </xf>
    <xf numFmtId="0" fontId="0" fillId="17" borderId="29" xfId="1" applyFont="1" applyFill="1" applyBorder="1" applyAlignment="1">
      <alignment horizontal="left" vertical="center" wrapText="1"/>
    </xf>
    <xf numFmtId="0" fontId="0" fillId="17" borderId="31" xfId="1" applyFont="1" applyFill="1" applyBorder="1" applyAlignment="1">
      <alignment horizontal="left" vertical="center" wrapText="1"/>
    </xf>
    <xf numFmtId="0" fontId="0" fillId="17" borderId="43" xfId="1" applyFont="1" applyFill="1" applyBorder="1" applyAlignment="1">
      <alignment horizontal="center" vertical="center" wrapText="1"/>
    </xf>
    <xf numFmtId="10" fontId="0" fillId="17" borderId="30" xfId="1" applyNumberFormat="1" applyFont="1" applyFill="1" applyBorder="1" applyAlignment="1">
      <alignment horizontal="center" vertical="center" wrapText="1"/>
    </xf>
    <xf numFmtId="10" fontId="0" fillId="17" borderId="32" xfId="1" applyNumberFormat="1" applyFont="1" applyFill="1" applyBorder="1" applyAlignment="1">
      <alignment horizontal="center" vertical="center" wrapText="1"/>
    </xf>
    <xf numFmtId="0" fontId="0" fillId="0" borderId="46" xfId="0" applyBorder="1" applyAlignment="1">
      <alignment horizontal="center" vertical="center" wrapText="1"/>
    </xf>
    <xf numFmtId="0" fontId="91" fillId="0" borderId="36" xfId="0" applyFont="1" applyBorder="1" applyAlignment="1">
      <alignment horizontal="center" vertical="center"/>
    </xf>
    <xf numFmtId="0" fontId="91" fillId="0" borderId="35" xfId="0" applyFont="1" applyBorder="1" applyAlignment="1">
      <alignment horizontal="center" vertical="center"/>
    </xf>
    <xf numFmtId="0" fontId="91" fillId="0" borderId="37" xfId="0" applyFont="1" applyBorder="1" applyAlignment="1">
      <alignment horizontal="center" vertical="center"/>
    </xf>
    <xf numFmtId="0" fontId="91" fillId="0" borderId="47" xfId="0" applyFont="1" applyBorder="1" applyAlignment="1">
      <alignment horizontal="center" vertical="center"/>
    </xf>
    <xf numFmtId="0" fontId="91" fillId="0" borderId="19" xfId="0" applyFont="1" applyBorder="1" applyAlignment="1">
      <alignment horizontal="center" vertical="center"/>
    </xf>
    <xf numFmtId="0" fontId="58" fillId="0" borderId="22" xfId="0" applyFont="1" applyBorder="1" applyAlignment="1">
      <alignment horizontal="center" vertical="center" wrapText="1"/>
    </xf>
    <xf numFmtId="0" fontId="58" fillId="0" borderId="23" xfId="0" applyFont="1" applyBorder="1" applyAlignment="1">
      <alignment horizontal="center" vertical="center" wrapText="1"/>
    </xf>
    <xf numFmtId="0" fontId="58" fillId="0" borderId="24" xfId="0" applyFont="1" applyBorder="1" applyAlignment="1">
      <alignment horizontal="center" vertical="center" wrapText="1"/>
    </xf>
    <xf numFmtId="0" fontId="58" fillId="0" borderId="25" xfId="0" applyFont="1" applyBorder="1" applyAlignment="1">
      <alignment horizontal="center" vertical="center" wrapText="1"/>
    </xf>
    <xf numFmtId="0" fontId="58" fillId="0" borderId="26" xfId="0" applyFont="1" applyBorder="1" applyAlignment="1">
      <alignment horizontal="center" vertical="center" wrapText="1"/>
    </xf>
    <xf numFmtId="0" fontId="58" fillId="0" borderId="27" xfId="0" applyFont="1" applyBorder="1" applyAlignment="1">
      <alignment horizontal="center" vertical="center" wrapText="1"/>
    </xf>
    <xf numFmtId="0" fontId="53" fillId="0" borderId="22" xfId="0" applyFont="1" applyBorder="1" applyAlignment="1">
      <alignment horizontal="left" vertical="top" wrapText="1"/>
    </xf>
    <xf numFmtId="0" fontId="53" fillId="0" borderId="23" xfId="0" applyFont="1" applyBorder="1" applyAlignment="1">
      <alignment horizontal="left" vertical="top" wrapText="1"/>
    </xf>
    <xf numFmtId="0" fontId="53" fillId="0" borderId="24" xfId="0" applyFont="1" applyBorder="1" applyAlignment="1">
      <alignment horizontal="left" vertical="top" wrapText="1"/>
    </xf>
    <xf numFmtId="0" fontId="53" fillId="0" borderId="25" xfId="0" applyFont="1" applyBorder="1" applyAlignment="1">
      <alignment horizontal="left" vertical="top" wrapText="1"/>
    </xf>
    <xf numFmtId="0" fontId="53" fillId="0" borderId="26" xfId="0" applyFont="1" applyBorder="1" applyAlignment="1">
      <alignment horizontal="left" vertical="top" wrapText="1"/>
    </xf>
    <xf numFmtId="0" fontId="53" fillId="0" borderId="27" xfId="0" applyFont="1" applyBorder="1" applyAlignment="1">
      <alignment horizontal="left" vertical="top" wrapText="1"/>
    </xf>
    <xf numFmtId="0" fontId="57" fillId="0" borderId="17" xfId="0" applyFont="1" applyBorder="1" applyAlignment="1">
      <alignment horizontal="center" vertical="top" wrapText="1"/>
    </xf>
    <xf numFmtId="0" fontId="57" fillId="0" borderId="18" xfId="0" applyFont="1" applyBorder="1" applyAlignment="1">
      <alignment horizontal="center" vertical="top" wrapText="1"/>
    </xf>
    <xf numFmtId="0" fontId="57" fillId="0" borderId="19" xfId="0" applyFont="1" applyBorder="1" applyAlignment="1">
      <alignment horizontal="center" vertical="top" wrapText="1"/>
    </xf>
    <xf numFmtId="0" fontId="53" fillId="0" borderId="20" xfId="0" applyFont="1" applyBorder="1" applyAlignment="1">
      <alignment horizontal="left" vertical="top" wrapText="1"/>
    </xf>
    <xf numFmtId="0" fontId="53" fillId="0" borderId="21" xfId="0" applyFont="1" applyBorder="1" applyAlignment="1">
      <alignment horizontal="left" vertical="top" wrapText="1"/>
    </xf>
    <xf numFmtId="0" fontId="57" fillId="0" borderId="17" xfId="0" applyFont="1" applyBorder="1" applyAlignment="1">
      <alignment horizontal="center" vertical="center" wrapText="1"/>
    </xf>
    <xf numFmtId="0" fontId="57" fillId="0" borderId="18" xfId="0" applyFont="1" applyBorder="1" applyAlignment="1">
      <alignment horizontal="center" vertical="center" wrapText="1"/>
    </xf>
    <xf numFmtId="0" fontId="57" fillId="0" borderId="19" xfId="0" applyFont="1" applyBorder="1" applyAlignment="1">
      <alignment horizontal="center" vertical="center" wrapText="1"/>
    </xf>
    <xf numFmtId="0" fontId="0" fillId="17" borderId="40" xfId="1" applyFont="1" applyFill="1" applyBorder="1" applyAlignment="1">
      <alignment horizontal="left" vertical="center" wrapText="1"/>
    </xf>
    <xf numFmtId="0" fontId="0" fillId="17" borderId="42" xfId="1" applyFont="1" applyFill="1" applyBorder="1" applyAlignment="1">
      <alignment horizontal="left" vertical="center" wrapText="1"/>
    </xf>
    <xf numFmtId="0" fontId="0" fillId="17" borderId="41" xfId="1" applyFont="1" applyFill="1" applyBorder="1" applyAlignment="1">
      <alignment horizontal="left" vertical="center" wrapText="1"/>
    </xf>
    <xf numFmtId="0" fontId="0" fillId="0" borderId="29" xfId="0" applyBorder="1" applyAlignment="1">
      <alignment horizontal="center" vertical="center" wrapText="1"/>
    </xf>
    <xf numFmtId="0" fontId="0" fillId="0" borderId="3" xfId="0" applyBorder="1" applyAlignment="1">
      <alignment horizontal="center" vertical="center" wrapText="1"/>
    </xf>
    <xf numFmtId="0" fontId="0" fillId="0" borderId="31" xfId="0" applyBorder="1" applyAlignment="1">
      <alignment horizontal="center" vertical="center" wrapText="1"/>
    </xf>
    <xf numFmtId="0" fontId="0" fillId="0" borderId="43" xfId="0" applyBorder="1" applyAlignment="1">
      <alignment horizontal="center" vertical="center" wrapText="1"/>
    </xf>
    <xf numFmtId="0" fontId="75" fillId="0" borderId="36" xfId="0" applyFont="1" applyBorder="1" applyAlignment="1">
      <alignment horizontal="center" vertical="center" wrapText="1"/>
    </xf>
    <xf numFmtId="0" fontId="75" fillId="0" borderId="35" xfId="0" applyFont="1"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0" xfId="0" applyAlignment="1">
      <alignment horizont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91" fillId="6" borderId="40" xfId="0" applyFont="1" applyFill="1" applyBorder="1" applyAlignment="1">
      <alignment horizontal="center" vertical="center"/>
    </xf>
    <xf numFmtId="0" fontId="91" fillId="6" borderId="42" xfId="0" applyFont="1" applyFill="1" applyBorder="1" applyAlignment="1">
      <alignment horizontal="center" vertical="center"/>
    </xf>
    <xf numFmtId="0" fontId="91" fillId="6" borderId="41" xfId="0" applyFont="1" applyFill="1" applyBorder="1" applyAlignment="1">
      <alignment horizontal="center" vertical="center"/>
    </xf>
    <xf numFmtId="0" fontId="92" fillId="0" borderId="0" xfId="0" applyFont="1" applyAlignment="1">
      <alignment horizontal="center" vertical="center"/>
    </xf>
    <xf numFmtId="0" fontId="8" fillId="0" borderId="4" xfId="0" applyFont="1" applyBorder="1" applyAlignment="1">
      <alignment horizontal="center" vertical="top" wrapText="1"/>
    </xf>
    <xf numFmtId="0" fontId="8" fillId="0" borderId="5" xfId="0" applyFont="1" applyBorder="1" applyAlignment="1">
      <alignment horizontal="center" vertical="top" wrapText="1"/>
    </xf>
    <xf numFmtId="0" fontId="8" fillId="0" borderId="6" xfId="0" applyFont="1" applyBorder="1" applyAlignment="1">
      <alignment horizontal="center" vertical="top" wrapText="1"/>
    </xf>
    <xf numFmtId="0" fontId="8" fillId="0" borderId="12" xfId="0" applyFont="1" applyBorder="1" applyAlignment="1">
      <alignment horizontal="center" vertical="top" wrapText="1"/>
    </xf>
    <xf numFmtId="0" fontId="8" fillId="0" borderId="13" xfId="0" applyFont="1" applyBorder="1" applyAlignment="1">
      <alignment horizontal="center" vertical="top" wrapText="1"/>
    </xf>
    <xf numFmtId="0" fontId="8" fillId="0" borderId="14" xfId="0" applyFont="1" applyBorder="1" applyAlignment="1">
      <alignment horizontal="center" vertical="top" wrapText="1"/>
    </xf>
    <xf numFmtId="0" fontId="8" fillId="0" borderId="8" xfId="0" applyFont="1" applyBorder="1" applyAlignment="1">
      <alignment horizontal="center" vertical="top" wrapText="1"/>
    </xf>
    <xf numFmtId="0" fontId="8" fillId="0" borderId="9" xfId="0" applyFont="1" applyBorder="1" applyAlignment="1">
      <alignment horizontal="center" vertical="top" wrapText="1"/>
    </xf>
    <xf numFmtId="0" fontId="5" fillId="0" borderId="4" xfId="0" applyFont="1" applyBorder="1" applyAlignment="1">
      <alignment horizontal="left" vertical="top" wrapText="1"/>
    </xf>
    <xf numFmtId="0" fontId="5" fillId="0" borderId="6" xfId="0" applyFont="1" applyBorder="1" applyAlignment="1">
      <alignment horizontal="left" vertical="top" wrapText="1"/>
    </xf>
    <xf numFmtId="0" fontId="5" fillId="0" borderId="12" xfId="0" applyFont="1" applyBorder="1" applyAlignment="1">
      <alignment horizontal="left" vertical="top" wrapText="1"/>
    </xf>
    <xf numFmtId="0" fontId="5" fillId="0" borderId="14" xfId="0" applyFont="1" applyBorder="1" applyAlignment="1">
      <alignment horizontal="left" vertical="top" wrapText="1"/>
    </xf>
    <xf numFmtId="0" fontId="8" fillId="0" borderId="8" xfId="0" applyFont="1" applyBorder="1" applyAlignment="1">
      <alignment horizontal="left" vertical="top" wrapText="1" indent="1"/>
    </xf>
    <xf numFmtId="0" fontId="8" fillId="0" borderId="9" xfId="0" applyFont="1" applyBorder="1" applyAlignment="1">
      <alignment horizontal="left" vertical="top" wrapText="1" indent="1"/>
    </xf>
    <xf numFmtId="0" fontId="8" fillId="0" borderId="4" xfId="0" applyFont="1" applyBorder="1" applyAlignment="1">
      <alignment horizontal="left" vertical="top" wrapText="1" indent="1"/>
    </xf>
    <xf numFmtId="0" fontId="8" fillId="0" borderId="5" xfId="0" applyFont="1" applyBorder="1" applyAlignment="1">
      <alignment horizontal="left" vertical="top" wrapText="1" indent="1"/>
    </xf>
    <xf numFmtId="0" fontId="8" fillId="0" borderId="6" xfId="0" applyFont="1" applyBorder="1" applyAlignment="1">
      <alignment horizontal="left" vertical="top" wrapText="1" indent="1"/>
    </xf>
    <xf numFmtId="0" fontId="8" fillId="0" borderId="12" xfId="0" applyFont="1" applyBorder="1" applyAlignment="1">
      <alignment horizontal="left" vertical="top" wrapText="1" indent="1"/>
    </xf>
    <xf numFmtId="0" fontId="8" fillId="0" borderId="13" xfId="0" applyFont="1" applyBorder="1" applyAlignment="1">
      <alignment horizontal="left" vertical="top" wrapText="1" indent="1"/>
    </xf>
    <xf numFmtId="0" fontId="8" fillId="0" borderId="14" xfId="0" applyFont="1" applyBorder="1" applyAlignment="1">
      <alignment horizontal="left" vertical="top" wrapText="1" indent="1"/>
    </xf>
    <xf numFmtId="0" fontId="8" fillId="0" borderId="0" xfId="0" applyFont="1" applyAlignment="1">
      <alignment horizontal="left" vertical="top" wrapText="1"/>
    </xf>
    <xf numFmtId="0" fontId="8" fillId="0" borderId="8" xfId="0" applyFont="1" applyBorder="1" applyAlignment="1">
      <alignment horizontal="left" vertical="top" wrapText="1"/>
    </xf>
    <xf numFmtId="0" fontId="8" fillId="0" borderId="16" xfId="0" applyFont="1" applyBorder="1" applyAlignment="1">
      <alignment horizontal="left" vertical="top" wrapText="1"/>
    </xf>
    <xf numFmtId="0" fontId="8" fillId="0" borderId="9" xfId="0" applyFont="1" applyBorder="1" applyAlignment="1">
      <alignment horizontal="left" vertical="top" wrapText="1"/>
    </xf>
    <xf numFmtId="0" fontId="8" fillId="0" borderId="4" xfId="0" applyFont="1" applyBorder="1" applyAlignment="1">
      <alignment horizontal="center" vertical="center" wrapText="1"/>
    </xf>
    <xf numFmtId="0" fontId="8" fillId="0" borderId="5" xfId="0" applyFont="1" applyBorder="1" applyAlignment="1">
      <alignment horizontal="center" vertical="center" wrapText="1"/>
    </xf>
    <xf numFmtId="0" fontId="8" fillId="0" borderId="6"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0" xfId="0" applyFont="1" applyAlignment="1">
      <alignment horizontal="center"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4" xfId="0" applyFont="1" applyBorder="1" applyAlignment="1">
      <alignment horizontal="center" vertical="center" wrapText="1"/>
    </xf>
    <xf numFmtId="0" fontId="5" fillId="0" borderId="8" xfId="0" applyFont="1" applyBorder="1" applyAlignment="1">
      <alignment horizontal="left" wrapText="1"/>
    </xf>
    <xf numFmtId="0" fontId="5" fillId="0" borderId="16" xfId="0" applyFont="1" applyBorder="1" applyAlignment="1">
      <alignment horizontal="left" wrapText="1"/>
    </xf>
    <xf numFmtId="0" fontId="5" fillId="0" borderId="9" xfId="0" applyFont="1" applyBorder="1" applyAlignment="1">
      <alignment horizontal="left" wrapText="1"/>
    </xf>
    <xf numFmtId="0" fontId="8" fillId="0" borderId="13" xfId="0" applyFont="1" applyBorder="1" applyAlignment="1">
      <alignment horizontal="left" vertical="top" wrapText="1"/>
    </xf>
    <xf numFmtId="0" fontId="8" fillId="0" borderId="16" xfId="0" applyFont="1" applyBorder="1" applyAlignment="1">
      <alignment horizontal="center" vertical="top" wrapText="1"/>
    </xf>
    <xf numFmtId="0" fontId="8" fillId="0" borderId="0" xfId="0" applyFont="1" applyAlignment="1">
      <alignment horizontal="left" vertical="center" wrapText="1"/>
    </xf>
    <xf numFmtId="0" fontId="5" fillId="0" borderId="5" xfId="0" applyFont="1" applyBorder="1" applyAlignment="1">
      <alignment horizontal="left" vertical="top" wrapText="1"/>
    </xf>
    <xf numFmtId="0" fontId="5" fillId="0" borderId="10" xfId="0" applyFont="1" applyBorder="1" applyAlignment="1">
      <alignment horizontal="left" vertical="top" wrapText="1"/>
    </xf>
    <xf numFmtId="0" fontId="5" fillId="0" borderId="0" xfId="0" applyFont="1" applyAlignment="1">
      <alignment horizontal="left" vertical="top" wrapText="1"/>
    </xf>
    <xf numFmtId="0" fontId="5" fillId="0" borderId="11" xfId="0" applyFont="1" applyBorder="1" applyAlignment="1">
      <alignment horizontal="left" vertical="top" wrapText="1"/>
    </xf>
    <xf numFmtId="0" fontId="5" fillId="0" borderId="13" xfId="0" applyFont="1" applyBorder="1" applyAlignment="1">
      <alignment horizontal="left" vertical="top" wrapText="1"/>
    </xf>
    <xf numFmtId="0" fontId="8" fillId="0" borderId="16" xfId="0" applyFont="1" applyBorder="1" applyAlignment="1">
      <alignment horizontal="left" vertical="top" wrapText="1" indent="1"/>
    </xf>
    <xf numFmtId="0" fontId="8" fillId="0" borderId="8" xfId="0" applyFont="1" applyBorder="1" applyAlignment="1">
      <alignment horizontal="left" vertical="top" wrapText="1" indent="2"/>
    </xf>
    <xf numFmtId="0" fontId="8" fillId="0" borderId="16" xfId="0" applyFont="1" applyBorder="1" applyAlignment="1">
      <alignment horizontal="left" vertical="top" wrapText="1" indent="2"/>
    </xf>
    <xf numFmtId="0" fontId="8" fillId="0" borderId="9" xfId="0" applyFont="1" applyBorder="1" applyAlignment="1">
      <alignment horizontal="left" vertical="top" wrapText="1" indent="2"/>
    </xf>
    <xf numFmtId="0" fontId="8" fillId="0" borderId="8" xfId="0" applyFont="1" applyBorder="1" applyAlignment="1">
      <alignment horizontal="left" vertical="top" wrapText="1" indent="3"/>
    </xf>
    <xf numFmtId="0" fontId="8" fillId="0" borderId="16" xfId="0" applyFont="1" applyBorder="1" applyAlignment="1">
      <alignment horizontal="left" vertical="top" wrapText="1" indent="3"/>
    </xf>
    <xf numFmtId="0" fontId="8" fillId="0" borderId="9" xfId="0" applyFont="1" applyBorder="1" applyAlignment="1">
      <alignment horizontal="left" vertical="top" wrapText="1" indent="3"/>
    </xf>
    <xf numFmtId="0" fontId="5" fillId="0" borderId="8" xfId="0" applyFont="1" applyBorder="1" applyAlignment="1">
      <alignment horizontal="left" vertical="center" wrapText="1"/>
    </xf>
    <xf numFmtId="0" fontId="5" fillId="0" borderId="16" xfId="0" applyFont="1" applyBorder="1" applyAlignment="1">
      <alignment horizontal="left" vertical="center" wrapText="1"/>
    </xf>
    <xf numFmtId="0" fontId="5" fillId="0" borderId="9" xfId="0" applyFont="1" applyBorder="1" applyAlignment="1">
      <alignment horizontal="left" vertical="center" wrapText="1"/>
    </xf>
    <xf numFmtId="164" fontId="10" fillId="0" borderId="8" xfId="0" applyNumberFormat="1" applyFont="1" applyBorder="1" applyAlignment="1">
      <alignment horizontal="center" vertical="top" shrinkToFit="1"/>
    </xf>
    <xf numFmtId="164" fontId="10" fillId="0" borderId="9" xfId="0" applyNumberFormat="1" applyFont="1" applyBorder="1" applyAlignment="1">
      <alignment horizontal="center" vertical="top" shrinkToFit="1"/>
    </xf>
    <xf numFmtId="165" fontId="10" fillId="0" borderId="8" xfId="0" applyNumberFormat="1" applyFont="1" applyBorder="1" applyAlignment="1">
      <alignment horizontal="left" vertical="top" indent="1" shrinkToFit="1"/>
    </xf>
    <xf numFmtId="165" fontId="10" fillId="0" borderId="16" xfId="0" applyNumberFormat="1" applyFont="1" applyBorder="1" applyAlignment="1">
      <alignment horizontal="left" vertical="top" indent="1" shrinkToFit="1"/>
    </xf>
    <xf numFmtId="165" fontId="10" fillId="0" borderId="9" xfId="0" applyNumberFormat="1" applyFont="1" applyBorder="1" applyAlignment="1">
      <alignment horizontal="left" vertical="top" indent="1" shrinkToFit="1"/>
    </xf>
    <xf numFmtId="0" fontId="5" fillId="0" borderId="8" xfId="0" applyFont="1" applyBorder="1" applyAlignment="1">
      <alignment horizontal="left" vertical="top" wrapText="1" indent="4"/>
    </xf>
    <xf numFmtId="0" fontId="5" fillId="0" borderId="16" xfId="0" applyFont="1" applyBorder="1" applyAlignment="1">
      <alignment horizontal="left" vertical="top" wrapText="1" indent="4"/>
    </xf>
    <xf numFmtId="0" fontId="5" fillId="0" borderId="9" xfId="0" applyFont="1" applyBorder="1" applyAlignment="1">
      <alignment horizontal="left" vertical="top" wrapText="1" indent="4"/>
    </xf>
    <xf numFmtId="1" fontId="10" fillId="0" borderId="8" xfId="0" applyNumberFormat="1" applyFont="1" applyBorder="1" applyAlignment="1">
      <alignment horizontal="center" vertical="top" shrinkToFit="1"/>
    </xf>
    <xf numFmtId="1" fontId="10" fillId="0" borderId="9" xfId="0" applyNumberFormat="1" applyFont="1" applyBorder="1" applyAlignment="1">
      <alignment horizontal="center" vertical="top" shrinkToFit="1"/>
    </xf>
    <xf numFmtId="0" fontId="11" fillId="0" borderId="8" xfId="0" applyFont="1" applyBorder="1" applyAlignment="1">
      <alignment horizontal="left" vertical="top" wrapText="1"/>
    </xf>
    <xf numFmtId="0" fontId="11" fillId="0" borderId="16" xfId="0" applyFont="1" applyBorder="1" applyAlignment="1">
      <alignment horizontal="left" vertical="top" wrapText="1"/>
    </xf>
    <xf numFmtId="0" fontId="11" fillId="0" borderId="9" xfId="0" applyFont="1" applyBorder="1" applyAlignment="1">
      <alignment horizontal="left" vertical="top" wrapText="1"/>
    </xf>
    <xf numFmtId="0" fontId="5" fillId="0" borderId="7" xfId="0" applyFont="1" applyBorder="1" applyAlignment="1">
      <alignment horizontal="left" vertical="top" wrapText="1"/>
    </xf>
    <xf numFmtId="0" fontId="5" fillId="0" borderId="15" xfId="0" applyFont="1" applyBorder="1" applyAlignment="1">
      <alignment horizontal="left" vertical="top" wrapText="1"/>
    </xf>
    <xf numFmtId="0" fontId="7" fillId="0" borderId="12" xfId="0" applyFont="1" applyBorder="1" applyAlignment="1">
      <alignment horizontal="left" vertical="top" wrapText="1"/>
    </xf>
    <xf numFmtId="0" fontId="7" fillId="0" borderId="14" xfId="0" applyFont="1" applyBorder="1" applyAlignment="1">
      <alignment horizontal="left" vertical="top" wrapText="1"/>
    </xf>
    <xf numFmtId="1" fontId="10" fillId="0" borderId="7" xfId="0" applyNumberFormat="1" applyFont="1" applyBorder="1" applyAlignment="1">
      <alignment horizontal="left" vertical="center" shrinkToFit="1"/>
    </xf>
    <xf numFmtId="1" fontId="10" fillId="0" borderId="15" xfId="0" applyNumberFormat="1" applyFont="1" applyBorder="1" applyAlignment="1">
      <alignment horizontal="left" vertical="center" shrinkToFit="1"/>
    </xf>
    <xf numFmtId="1" fontId="10" fillId="0" borderId="7" xfId="0" applyNumberFormat="1" applyFont="1" applyBorder="1" applyAlignment="1">
      <alignment horizontal="center" vertical="center" shrinkToFit="1"/>
    </xf>
    <xf numFmtId="1" fontId="10" fillId="0" borderId="15" xfId="0" applyNumberFormat="1" applyFont="1" applyBorder="1" applyAlignment="1">
      <alignment horizontal="center" vertical="center" shrinkToFit="1"/>
    </xf>
    <xf numFmtId="0" fontId="8" fillId="0" borderId="8" xfId="0" applyFont="1" applyBorder="1" applyAlignment="1">
      <alignment horizontal="left" textRotation="90" wrapText="1"/>
    </xf>
    <xf numFmtId="0" fontId="8" fillId="0" borderId="9" xfId="0" applyFont="1" applyBorder="1" applyAlignment="1">
      <alignment horizontal="left" textRotation="90" wrapText="1"/>
    </xf>
    <xf numFmtId="0" fontId="6" fillId="0" borderId="12" xfId="0" applyFont="1" applyBorder="1" applyAlignment="1">
      <alignment horizontal="center" vertical="top" wrapText="1"/>
    </xf>
    <xf numFmtId="0" fontId="6" fillId="0" borderId="13" xfId="0" applyFont="1" applyBorder="1" applyAlignment="1">
      <alignment horizontal="center" vertical="top" wrapText="1"/>
    </xf>
    <xf numFmtId="0" fontId="6" fillId="0" borderId="14" xfId="0" applyFont="1" applyBorder="1" applyAlignment="1">
      <alignment horizontal="center" vertical="top" wrapText="1"/>
    </xf>
    <xf numFmtId="0" fontId="6" fillId="0" borderId="7" xfId="0" applyFont="1" applyBorder="1" applyAlignment="1">
      <alignment horizontal="center" vertical="center" textRotation="90" wrapText="1"/>
    </xf>
    <xf numFmtId="0" fontId="6" fillId="0" borderId="2" xfId="0" applyFont="1" applyBorder="1" applyAlignment="1">
      <alignment horizontal="center" vertical="center" textRotation="90" wrapText="1"/>
    </xf>
    <xf numFmtId="0" fontId="15" fillId="0" borderId="4" xfId="0" applyFont="1" applyBorder="1" applyAlignment="1">
      <alignment horizontal="left" vertical="top" wrapText="1" indent="2"/>
    </xf>
    <xf numFmtId="0" fontId="15" fillId="0" borderId="5" xfId="0" applyFont="1" applyBorder="1" applyAlignment="1">
      <alignment horizontal="left" vertical="top" wrapText="1" indent="2"/>
    </xf>
    <xf numFmtId="0" fontId="15" fillId="0" borderId="6" xfId="0" applyFont="1" applyBorder="1" applyAlignment="1">
      <alignment horizontal="left" vertical="top" wrapText="1" indent="2"/>
    </xf>
    <xf numFmtId="0" fontId="15" fillId="0" borderId="12" xfId="0" applyFont="1" applyBorder="1" applyAlignment="1">
      <alignment horizontal="left" vertical="top" wrapText="1" indent="2"/>
    </xf>
    <xf numFmtId="0" fontId="15" fillId="0" borderId="13" xfId="0" applyFont="1" applyBorder="1" applyAlignment="1">
      <alignment horizontal="left" vertical="top" wrapText="1" indent="2"/>
    </xf>
    <xf numFmtId="0" fontId="15" fillId="0" borderId="14" xfId="0" applyFont="1" applyBorder="1" applyAlignment="1">
      <alignment horizontal="left" vertical="top" wrapText="1" indent="2"/>
    </xf>
    <xf numFmtId="0" fontId="15" fillId="0" borderId="4" xfId="0" applyFont="1" applyBorder="1" applyAlignment="1">
      <alignment horizontal="center" vertical="top" wrapText="1"/>
    </xf>
    <xf numFmtId="0" fontId="15" fillId="0" borderId="5" xfId="0" applyFont="1" applyBorder="1" applyAlignment="1">
      <alignment horizontal="center" vertical="top" wrapText="1"/>
    </xf>
    <xf numFmtId="0" fontId="15" fillId="0" borderId="6" xfId="0" applyFont="1" applyBorder="1" applyAlignment="1">
      <alignment horizontal="center" vertical="top" wrapText="1"/>
    </xf>
    <xf numFmtId="0" fontId="15" fillId="0" borderId="12" xfId="0" applyFont="1" applyBorder="1" applyAlignment="1">
      <alignment horizontal="center" vertical="top" wrapText="1"/>
    </xf>
    <xf numFmtId="0" fontId="15" fillId="0" borderId="13" xfId="0" applyFont="1" applyBorder="1" applyAlignment="1">
      <alignment horizontal="center" vertical="top" wrapText="1"/>
    </xf>
    <xf numFmtId="0" fontId="15" fillId="0" borderId="14" xfId="0" applyFont="1" applyBorder="1" applyAlignment="1">
      <alignment horizontal="center" vertical="top" wrapText="1"/>
    </xf>
    <xf numFmtId="0" fontId="15" fillId="0" borderId="5" xfId="0" applyFont="1" applyBorder="1" applyAlignment="1">
      <alignment horizontal="left" vertical="top" wrapText="1" indent="1"/>
    </xf>
    <xf numFmtId="0" fontId="15" fillId="0" borderId="8" xfId="0" applyFont="1" applyBorder="1" applyAlignment="1">
      <alignment horizontal="center" vertical="top" wrapText="1"/>
    </xf>
    <xf numFmtId="0" fontId="15" fillId="0" borderId="16" xfId="0" applyFont="1" applyBorder="1" applyAlignment="1">
      <alignment horizontal="center" vertical="top" wrapText="1"/>
    </xf>
    <xf numFmtId="0" fontId="15" fillId="0" borderId="9" xfId="0" applyFont="1" applyBorder="1" applyAlignment="1">
      <alignment horizontal="center" vertical="top" wrapText="1"/>
    </xf>
    <xf numFmtId="1" fontId="17" fillId="0" borderId="12" xfId="0" applyNumberFormat="1" applyFont="1" applyBorder="1" applyAlignment="1">
      <alignment horizontal="center" vertical="top" shrinkToFit="1"/>
    </xf>
    <xf numFmtId="1" fontId="17" fillId="0" borderId="14" xfId="0" applyNumberFormat="1" applyFont="1" applyBorder="1" applyAlignment="1">
      <alignment horizontal="center" vertical="top" shrinkToFit="1"/>
    </xf>
    <xf numFmtId="164" fontId="17" fillId="0" borderId="13" xfId="0" applyNumberFormat="1" applyFont="1" applyBorder="1" applyAlignment="1">
      <alignment horizontal="center" vertical="top" shrinkToFit="1"/>
    </xf>
    <xf numFmtId="1" fontId="17" fillId="0" borderId="4" xfId="0" applyNumberFormat="1" applyFont="1" applyBorder="1" applyAlignment="1">
      <alignment horizontal="center" vertical="top" shrinkToFit="1"/>
    </xf>
    <xf numFmtId="1" fontId="17" fillId="0" borderId="6" xfId="0" applyNumberFormat="1" applyFont="1" applyBorder="1" applyAlignment="1">
      <alignment horizontal="center" vertical="top" shrinkToFit="1"/>
    </xf>
    <xf numFmtId="0" fontId="5" fillId="0" borderId="0" xfId="0" applyFont="1" applyAlignment="1">
      <alignment horizontal="left" wrapText="1"/>
    </xf>
    <xf numFmtId="0" fontId="15" fillId="0" borderId="8" xfId="0" applyFont="1" applyBorder="1" applyAlignment="1">
      <alignment horizontal="left" vertical="top" wrapText="1"/>
    </xf>
    <xf numFmtId="0" fontId="15" fillId="0" borderId="16" xfId="0" applyFont="1" applyBorder="1" applyAlignment="1">
      <alignment horizontal="left" vertical="top" wrapText="1"/>
    </xf>
    <xf numFmtId="0" fontId="15" fillId="0" borderId="9" xfId="0" applyFont="1" applyBorder="1" applyAlignment="1">
      <alignment horizontal="left" vertical="top" wrapText="1"/>
    </xf>
    <xf numFmtId="0" fontId="15" fillId="0" borderId="0" xfId="0" applyFont="1" applyAlignment="1">
      <alignment horizontal="left" vertical="top" wrapText="1"/>
    </xf>
    <xf numFmtId="0" fontId="15" fillId="0" borderId="8" xfId="0" applyFont="1" applyBorder="1" applyAlignment="1">
      <alignment horizontal="left" vertical="top" wrapText="1" indent="9"/>
    </xf>
    <xf numFmtId="0" fontId="15" fillId="0" borderId="16" xfId="0" applyFont="1" applyBorder="1" applyAlignment="1">
      <alignment horizontal="left" vertical="top" wrapText="1" indent="9"/>
    </xf>
    <xf numFmtId="0" fontId="15" fillId="0" borderId="9" xfId="0" applyFont="1" applyBorder="1" applyAlignment="1">
      <alignment horizontal="left" vertical="top" wrapText="1" indent="9"/>
    </xf>
    <xf numFmtId="0" fontId="5" fillId="0" borderId="13" xfId="0" applyFont="1" applyBorder="1" applyAlignment="1">
      <alignment horizontal="left" wrapText="1"/>
    </xf>
    <xf numFmtId="0" fontId="15" fillId="0" borderId="8" xfId="0" applyFont="1" applyBorder="1" applyAlignment="1">
      <alignment horizontal="left" vertical="top" wrapText="1" indent="1"/>
    </xf>
    <xf numFmtId="0" fontId="15" fillId="0" borderId="16" xfId="0" applyFont="1" applyBorder="1" applyAlignment="1">
      <alignment horizontal="left" vertical="top" wrapText="1" indent="1"/>
    </xf>
    <xf numFmtId="0" fontId="15" fillId="0" borderId="9" xfId="0" applyFont="1" applyBorder="1" applyAlignment="1">
      <alignment horizontal="left" vertical="top" wrapText="1" indent="1"/>
    </xf>
    <xf numFmtId="0" fontId="15" fillId="0" borderId="8" xfId="0" applyFont="1" applyBorder="1" applyAlignment="1">
      <alignment horizontal="left" vertical="top" wrapText="1" indent="2"/>
    </xf>
    <xf numFmtId="0" fontId="15" fillId="0" borderId="16" xfId="0" applyFont="1" applyBorder="1" applyAlignment="1">
      <alignment horizontal="left" vertical="top" wrapText="1" indent="2"/>
    </xf>
    <xf numFmtId="0" fontId="15" fillId="0" borderId="9" xfId="0" applyFont="1" applyBorder="1" applyAlignment="1">
      <alignment horizontal="left" vertical="top" wrapText="1" indent="2"/>
    </xf>
    <xf numFmtId="0" fontId="15" fillId="0" borderId="8" xfId="0" applyFont="1" applyBorder="1" applyAlignment="1">
      <alignment horizontal="left" vertical="center" wrapText="1" indent="11"/>
    </xf>
    <xf numFmtId="0" fontId="15" fillId="0" borderId="16" xfId="0" applyFont="1" applyBorder="1" applyAlignment="1">
      <alignment horizontal="left" vertical="center" wrapText="1" indent="11"/>
    </xf>
    <xf numFmtId="0" fontId="15" fillId="0" borderId="9" xfId="0" applyFont="1" applyBorder="1" applyAlignment="1">
      <alignment horizontal="left" vertical="center" wrapText="1" indent="11"/>
    </xf>
    <xf numFmtId="164" fontId="17" fillId="0" borderId="8" xfId="0" applyNumberFormat="1" applyFont="1" applyBorder="1" applyAlignment="1">
      <alignment horizontal="center" vertical="top" shrinkToFit="1"/>
    </xf>
    <xf numFmtId="164" fontId="17" fillId="0" borderId="9" xfId="0" applyNumberFormat="1" applyFont="1" applyBorder="1" applyAlignment="1">
      <alignment horizontal="center" vertical="top" shrinkToFit="1"/>
    </xf>
    <xf numFmtId="165" fontId="17" fillId="0" borderId="8" xfId="0" applyNumberFormat="1" applyFont="1" applyBorder="1" applyAlignment="1">
      <alignment horizontal="left" vertical="top" indent="1" shrinkToFit="1"/>
    </xf>
    <xf numFmtId="165" fontId="17" fillId="0" borderId="16" xfId="0" applyNumberFormat="1" applyFont="1" applyBorder="1" applyAlignment="1">
      <alignment horizontal="left" vertical="top" indent="1" shrinkToFit="1"/>
    </xf>
    <xf numFmtId="165" fontId="17" fillId="0" borderId="9" xfId="0" applyNumberFormat="1" applyFont="1" applyBorder="1" applyAlignment="1">
      <alignment horizontal="left" vertical="top" indent="1" shrinkToFit="1"/>
    </xf>
    <xf numFmtId="0" fontId="5" fillId="0" borderId="8" xfId="0" applyFont="1" applyBorder="1" applyAlignment="1">
      <alignment horizontal="left" vertical="top" wrapText="1" indent="3"/>
    </xf>
    <xf numFmtId="0" fontId="5" fillId="0" borderId="16" xfId="0" applyFont="1" applyBorder="1" applyAlignment="1">
      <alignment horizontal="left" vertical="top" wrapText="1" indent="3"/>
    </xf>
    <xf numFmtId="0" fontId="5" fillId="0" borderId="9" xfId="0" applyFont="1" applyBorder="1" applyAlignment="1">
      <alignment horizontal="left" vertical="top" wrapText="1" indent="3"/>
    </xf>
    <xf numFmtId="1" fontId="17" fillId="0" borderId="8" xfId="0" applyNumberFormat="1" applyFont="1" applyBorder="1" applyAlignment="1">
      <alignment horizontal="center" vertical="top" shrinkToFit="1"/>
    </xf>
    <xf numFmtId="1" fontId="17" fillId="0" borderId="9" xfId="0" applyNumberFormat="1" applyFont="1" applyBorder="1" applyAlignment="1">
      <alignment horizontal="center" vertical="top" shrinkToFit="1"/>
    </xf>
    <xf numFmtId="0" fontId="15" fillId="0" borderId="7" xfId="0" applyFont="1" applyBorder="1" applyAlignment="1">
      <alignment horizontal="left" vertical="top" wrapText="1" indent="1"/>
    </xf>
    <xf numFmtId="0" fontId="15" fillId="0" borderId="15" xfId="0" applyFont="1" applyBorder="1" applyAlignment="1">
      <alignment horizontal="left" vertical="top" wrapText="1" indent="1"/>
    </xf>
    <xf numFmtId="0" fontId="15" fillId="0" borderId="7" xfId="0" applyFont="1" applyBorder="1" applyAlignment="1">
      <alignment horizontal="left" vertical="top" wrapText="1"/>
    </xf>
    <xf numFmtId="0" fontId="15" fillId="0" borderId="15" xfId="0" applyFont="1" applyBorder="1" applyAlignment="1">
      <alignment horizontal="left" vertical="top" wrapText="1"/>
    </xf>
    <xf numFmtId="0" fontId="7" fillId="0" borderId="8" xfId="0" applyFont="1" applyBorder="1" applyAlignment="1">
      <alignment horizontal="left" vertical="top" wrapText="1"/>
    </xf>
    <xf numFmtId="0" fontId="7" fillId="0" borderId="9" xfId="0" applyFont="1" applyBorder="1" applyAlignment="1">
      <alignment horizontal="left" vertical="top" wrapText="1"/>
    </xf>
    <xf numFmtId="1" fontId="17" fillId="0" borderId="7" xfId="0" applyNumberFormat="1" applyFont="1" applyBorder="1" applyAlignment="1">
      <alignment horizontal="left" vertical="center" shrinkToFit="1"/>
    </xf>
    <xf numFmtId="1" fontId="17" fillId="0" borderId="15" xfId="0" applyNumberFormat="1" applyFont="1" applyBorder="1" applyAlignment="1">
      <alignment horizontal="left" vertical="center" shrinkToFit="1"/>
    </xf>
    <xf numFmtId="1" fontId="17" fillId="0" borderId="7" xfId="0" applyNumberFormat="1" applyFont="1" applyBorder="1" applyAlignment="1">
      <alignment horizontal="center" vertical="center" shrinkToFit="1"/>
    </xf>
    <xf numFmtId="1" fontId="17" fillId="0" borderId="15" xfId="0" applyNumberFormat="1" applyFont="1" applyBorder="1" applyAlignment="1">
      <alignment horizontal="center" vertical="center" shrinkToFit="1"/>
    </xf>
    <xf numFmtId="0" fontId="15" fillId="0" borderId="8" xfId="0" applyFont="1" applyBorder="1" applyAlignment="1">
      <alignment horizontal="left" textRotation="90" wrapText="1"/>
    </xf>
    <xf numFmtId="0" fontId="15" fillId="0" borderId="9" xfId="0" applyFont="1" applyBorder="1" applyAlignment="1">
      <alignment horizontal="left" textRotation="90" wrapText="1"/>
    </xf>
    <xf numFmtId="0" fontId="18" fillId="0" borderId="12" xfId="0" applyFont="1" applyBorder="1" applyAlignment="1">
      <alignment horizontal="center" vertical="top" wrapText="1"/>
    </xf>
    <xf numFmtId="0" fontId="18" fillId="0" borderId="13" xfId="0" applyFont="1" applyBorder="1" applyAlignment="1">
      <alignment horizontal="center" vertical="top" wrapText="1"/>
    </xf>
    <xf numFmtId="0" fontId="18" fillId="0" borderId="14" xfId="0" applyFont="1" applyBorder="1" applyAlignment="1">
      <alignment horizontal="center" vertical="top" wrapText="1"/>
    </xf>
    <xf numFmtId="0" fontId="19" fillId="0" borderId="12" xfId="0" applyFont="1" applyBorder="1" applyAlignment="1">
      <alignment horizontal="left" vertical="center" wrapText="1"/>
    </xf>
    <xf numFmtId="0" fontId="19" fillId="0" borderId="14" xfId="0" applyFont="1" applyBorder="1" applyAlignment="1">
      <alignment horizontal="left" vertical="center" wrapText="1"/>
    </xf>
    <xf numFmtId="0" fontId="18" fillId="0" borderId="7" xfId="0" applyFont="1" applyBorder="1" applyAlignment="1">
      <alignment horizontal="center" vertical="center" textRotation="90" wrapText="1"/>
    </xf>
    <xf numFmtId="0" fontId="18" fillId="0" borderId="2" xfId="0" applyFont="1" applyBorder="1" applyAlignment="1">
      <alignment horizontal="center" vertical="center" textRotation="90" wrapText="1"/>
    </xf>
    <xf numFmtId="1" fontId="17" fillId="0" borderId="7" xfId="0" applyNumberFormat="1" applyFont="1" applyBorder="1" applyAlignment="1">
      <alignment horizontal="left" vertical="center" indent="1" shrinkToFit="1"/>
    </xf>
    <xf numFmtId="1" fontId="17" fillId="0" borderId="15" xfId="0" applyNumberFormat="1" applyFont="1" applyBorder="1" applyAlignment="1">
      <alignment horizontal="left" vertical="center" indent="1" shrinkToFit="1"/>
    </xf>
    <xf numFmtId="1" fontId="17" fillId="0" borderId="8" xfId="0" applyNumberFormat="1" applyFont="1" applyBorder="1" applyAlignment="1">
      <alignment horizontal="center" vertical="center" shrinkToFit="1"/>
    </xf>
    <xf numFmtId="1" fontId="17" fillId="0" borderId="9" xfId="0" applyNumberFormat="1" applyFont="1" applyBorder="1" applyAlignment="1">
      <alignment horizontal="center" vertical="center" shrinkToFit="1"/>
    </xf>
    <xf numFmtId="165" fontId="17" fillId="0" borderId="8" xfId="0" applyNumberFormat="1" applyFont="1" applyBorder="1" applyAlignment="1">
      <alignment horizontal="left" vertical="top" indent="2" shrinkToFit="1"/>
    </xf>
    <xf numFmtId="165" fontId="17" fillId="0" borderId="16" xfId="0" applyNumberFormat="1" applyFont="1" applyBorder="1" applyAlignment="1">
      <alignment horizontal="left" vertical="top" indent="2" shrinkToFit="1"/>
    </xf>
    <xf numFmtId="165" fontId="17" fillId="0" borderId="9" xfId="0" applyNumberFormat="1" applyFont="1" applyBorder="1" applyAlignment="1">
      <alignment horizontal="left" vertical="top" indent="2" shrinkToFit="1"/>
    </xf>
    <xf numFmtId="0" fontId="7" fillId="0" borderId="4" xfId="0" applyFont="1" applyBorder="1" applyAlignment="1">
      <alignment horizontal="left" wrapText="1" indent="11"/>
    </xf>
    <xf numFmtId="0" fontId="7" fillId="0" borderId="5" xfId="0" applyFont="1" applyBorder="1" applyAlignment="1">
      <alignment horizontal="left" wrapText="1" indent="11"/>
    </xf>
    <xf numFmtId="0" fontId="7" fillId="0" borderId="6" xfId="0" applyFont="1" applyBorder="1" applyAlignment="1">
      <alignment horizontal="left" wrapText="1" indent="11"/>
    </xf>
    <xf numFmtId="0" fontId="7" fillId="0" borderId="10" xfId="0" applyFont="1" applyBorder="1" applyAlignment="1">
      <alignment horizontal="left" wrapText="1" indent="11"/>
    </xf>
    <xf numFmtId="0" fontId="7" fillId="0" borderId="0" xfId="0" applyFont="1" applyAlignment="1">
      <alignment horizontal="left" wrapText="1" indent="11"/>
    </xf>
    <xf numFmtId="0" fontId="7" fillId="0" borderId="11" xfId="0" applyFont="1" applyBorder="1" applyAlignment="1">
      <alignment horizontal="left" wrapText="1" indent="11"/>
    </xf>
    <xf numFmtId="0" fontId="7" fillId="0" borderId="12" xfId="0" applyFont="1" applyBorder="1" applyAlignment="1">
      <alignment horizontal="left" wrapText="1" indent="11"/>
    </xf>
    <xf numFmtId="0" fontId="7" fillId="0" borderId="13" xfId="0" applyFont="1" applyBorder="1" applyAlignment="1">
      <alignment horizontal="left" wrapText="1" indent="11"/>
    </xf>
    <xf numFmtId="0" fontId="7" fillId="0" borderId="14" xfId="0" applyFont="1" applyBorder="1" applyAlignment="1">
      <alignment horizontal="left" wrapText="1" indent="11"/>
    </xf>
    <xf numFmtId="0" fontId="15" fillId="0" borderId="8" xfId="0" applyFont="1" applyBorder="1" applyAlignment="1">
      <alignment horizontal="left" vertical="center" wrapText="1" indent="10"/>
    </xf>
    <xf numFmtId="0" fontId="15" fillId="0" borderId="16" xfId="0" applyFont="1" applyBorder="1" applyAlignment="1">
      <alignment horizontal="left" vertical="center" wrapText="1" indent="10"/>
    </xf>
    <xf numFmtId="0" fontId="15" fillId="0" borderId="9" xfId="0" applyFont="1" applyBorder="1" applyAlignment="1">
      <alignment horizontal="left" vertical="center" wrapText="1" indent="10"/>
    </xf>
    <xf numFmtId="0" fontId="15" fillId="0" borderId="8" xfId="0" applyFont="1" applyBorder="1" applyAlignment="1">
      <alignment horizontal="left" vertical="top" wrapText="1" indent="8"/>
    </xf>
    <xf numFmtId="0" fontId="15" fillId="0" borderId="16" xfId="0" applyFont="1" applyBorder="1" applyAlignment="1">
      <alignment horizontal="left" vertical="top" wrapText="1" indent="8"/>
    </xf>
    <xf numFmtId="0" fontId="15" fillId="0" borderId="9" xfId="0" applyFont="1" applyBorder="1" applyAlignment="1">
      <alignment horizontal="left" vertical="top" wrapText="1" indent="8"/>
    </xf>
    <xf numFmtId="0" fontId="15" fillId="0" borderId="4" xfId="0" applyFont="1" applyBorder="1" applyAlignment="1">
      <alignment horizontal="left" vertical="top" wrapText="1" indent="4"/>
    </xf>
    <xf numFmtId="0" fontId="15" fillId="0" borderId="5" xfId="0" applyFont="1" applyBorder="1" applyAlignment="1">
      <alignment horizontal="left" vertical="top" wrapText="1" indent="4"/>
    </xf>
    <xf numFmtId="0" fontId="15" fillId="0" borderId="6" xfId="0" applyFont="1" applyBorder="1" applyAlignment="1">
      <alignment horizontal="left" vertical="top" wrapText="1" indent="4"/>
    </xf>
    <xf numFmtId="0" fontId="15" fillId="0" borderId="12" xfId="0" applyFont="1" applyBorder="1" applyAlignment="1">
      <alignment horizontal="left" vertical="top" wrapText="1" indent="4"/>
    </xf>
    <xf numFmtId="0" fontId="15" fillId="0" borderId="13" xfId="0" applyFont="1" applyBorder="1" applyAlignment="1">
      <alignment horizontal="left" vertical="top" wrapText="1" indent="4"/>
    </xf>
    <xf numFmtId="0" fontId="15" fillId="0" borderId="14" xfId="0" applyFont="1" applyBorder="1" applyAlignment="1">
      <alignment horizontal="left" vertical="top" wrapText="1" indent="4"/>
    </xf>
    <xf numFmtId="0" fontId="5" fillId="0" borderId="8" xfId="0" applyFont="1" applyBorder="1" applyAlignment="1">
      <alignment horizontal="left" vertical="center" wrapText="1" indent="3"/>
    </xf>
    <xf numFmtId="0" fontId="5" fillId="0" borderId="16" xfId="0" applyFont="1" applyBorder="1" applyAlignment="1">
      <alignment horizontal="left" vertical="center" wrapText="1" indent="3"/>
    </xf>
    <xf numFmtId="0" fontId="5" fillId="0" borderId="9" xfId="0" applyFont="1" applyBorder="1" applyAlignment="1">
      <alignment horizontal="left" vertical="center" wrapText="1" indent="3"/>
    </xf>
    <xf numFmtId="0" fontId="15" fillId="0" borderId="10" xfId="0" applyFont="1" applyBorder="1" applyAlignment="1">
      <alignment horizontal="center" vertical="top" wrapText="1"/>
    </xf>
    <xf numFmtId="0" fontId="15" fillId="0" borderId="0" xfId="0" applyFont="1" applyAlignment="1">
      <alignment horizontal="center" vertical="top" wrapText="1"/>
    </xf>
    <xf numFmtId="0" fontId="15" fillId="0" borderId="11" xfId="0" applyFont="1" applyBorder="1" applyAlignment="1">
      <alignment horizontal="center" vertical="top" wrapText="1"/>
    </xf>
    <xf numFmtId="0" fontId="15" fillId="0" borderId="8" xfId="0" applyFont="1" applyBorder="1" applyAlignment="1">
      <alignment horizontal="left" vertical="top" wrapText="1" indent="10"/>
    </xf>
    <xf numFmtId="0" fontId="15" fillId="0" borderId="16" xfId="0" applyFont="1" applyBorder="1" applyAlignment="1">
      <alignment horizontal="left" vertical="top" wrapText="1" indent="10"/>
    </xf>
    <xf numFmtId="0" fontId="15" fillId="0" borderId="9" xfId="0" applyFont="1" applyBorder="1" applyAlignment="1">
      <alignment horizontal="left" vertical="top" wrapText="1" indent="10"/>
    </xf>
    <xf numFmtId="0" fontId="7" fillId="0" borderId="7" xfId="0" applyFont="1" applyBorder="1" applyAlignment="1">
      <alignment horizontal="center" vertical="center" textRotation="90" wrapText="1"/>
    </xf>
    <xf numFmtId="0" fontId="7" fillId="0" borderId="2" xfId="0" applyFont="1" applyBorder="1" applyAlignment="1">
      <alignment horizontal="center" vertical="center" textRotation="90" wrapText="1"/>
    </xf>
    <xf numFmtId="0" fontId="7" fillId="0" borderId="15" xfId="0" applyFont="1" applyBorder="1" applyAlignment="1">
      <alignment horizontal="center" vertical="center" textRotation="90" wrapText="1"/>
    </xf>
    <xf numFmtId="0" fontId="15"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12" xfId="0" applyFont="1" applyBorder="1" applyAlignment="1">
      <alignment horizontal="center" vertical="center" wrapText="1"/>
    </xf>
    <xf numFmtId="0" fontId="15" fillId="0" borderId="14" xfId="0" applyFont="1" applyBorder="1" applyAlignment="1">
      <alignment horizontal="center" vertical="center" wrapText="1"/>
    </xf>
    <xf numFmtId="0" fontId="7" fillId="0" borderId="8" xfId="0" applyFont="1" applyBorder="1" applyAlignment="1">
      <alignment horizontal="left" textRotation="90" wrapText="1"/>
    </xf>
    <xf numFmtId="0" fontId="7" fillId="0" borderId="9" xfId="0" applyFont="1" applyBorder="1" applyAlignment="1">
      <alignment horizontal="left" textRotation="90" wrapText="1"/>
    </xf>
    <xf numFmtId="0" fontId="7" fillId="0" borderId="16" xfId="0" applyFont="1" applyBorder="1" applyAlignment="1">
      <alignment horizontal="left" textRotation="90" wrapText="1"/>
    </xf>
    <xf numFmtId="0" fontId="7" fillId="5" borderId="8" xfId="0" applyFont="1" applyFill="1" applyBorder="1" applyAlignment="1">
      <alignment horizontal="left" textRotation="90" wrapText="1"/>
    </xf>
    <xf numFmtId="0" fontId="7" fillId="5" borderId="9" xfId="0" applyFont="1" applyFill="1" applyBorder="1" applyAlignment="1">
      <alignment horizontal="left" textRotation="90" wrapText="1"/>
    </xf>
    <xf numFmtId="0" fontId="7" fillId="0" borderId="8" xfId="0" applyFont="1" applyBorder="1" applyAlignment="1">
      <alignment horizontal="center" vertical="top" wrapText="1"/>
    </xf>
    <xf numFmtId="0" fontId="7" fillId="0" borderId="9" xfId="0" applyFont="1" applyBorder="1" applyAlignment="1">
      <alignment horizontal="center" vertical="top" wrapText="1"/>
    </xf>
    <xf numFmtId="0" fontId="7" fillId="0" borderId="16" xfId="0" applyFont="1" applyBorder="1" applyAlignment="1">
      <alignment horizontal="center" vertical="top" wrapText="1"/>
    </xf>
    <xf numFmtId="0" fontId="15" fillId="0" borderId="7" xfId="0" applyFont="1" applyBorder="1" applyAlignment="1">
      <alignment horizontal="left" vertical="center" wrapText="1"/>
    </xf>
    <xf numFmtId="0" fontId="15" fillId="0" borderId="2" xfId="0" applyFont="1" applyBorder="1" applyAlignment="1">
      <alignment horizontal="left" vertical="center" wrapText="1"/>
    </xf>
    <xf numFmtId="0" fontId="15" fillId="0" borderId="15" xfId="0" applyFont="1" applyBorder="1" applyAlignment="1">
      <alignment horizontal="left" vertical="center" wrapText="1"/>
    </xf>
    <xf numFmtId="0" fontId="5" fillId="0" borderId="2" xfId="0" applyFont="1" applyBorder="1" applyAlignment="1">
      <alignment horizontal="left" vertical="top" wrapText="1"/>
    </xf>
    <xf numFmtId="0" fontId="5" fillId="0" borderId="7" xfId="0" applyFont="1" applyBorder="1" applyAlignment="1">
      <alignment horizontal="left" vertical="center" wrapText="1"/>
    </xf>
    <xf numFmtId="0" fontId="5" fillId="0" borderId="15" xfId="0" applyFont="1" applyBorder="1" applyAlignment="1">
      <alignment horizontal="left" vertical="center" wrapText="1"/>
    </xf>
    <xf numFmtId="0" fontId="5" fillId="0" borderId="2" xfId="0" applyFont="1" applyBorder="1" applyAlignment="1">
      <alignment horizontal="left" vertical="center" wrapText="1"/>
    </xf>
    <xf numFmtId="0" fontId="15" fillId="0" borderId="2" xfId="0" applyFont="1" applyBorder="1" applyAlignment="1">
      <alignment horizontal="left" vertical="center" wrapText="1" indent="1"/>
    </xf>
    <xf numFmtId="0" fontId="5" fillId="0" borderId="7" xfId="0" applyFont="1" applyBorder="1" applyAlignment="1">
      <alignment horizontal="left" wrapText="1"/>
    </xf>
    <xf numFmtId="0" fontId="5" fillId="0" borderId="15" xfId="0" applyFont="1" applyBorder="1" applyAlignment="1">
      <alignment horizontal="left" wrapText="1"/>
    </xf>
    <xf numFmtId="0" fontId="7" fillId="0" borderId="4" xfId="0" applyFont="1" applyBorder="1" applyAlignment="1">
      <alignment horizontal="center" vertical="top" wrapText="1"/>
    </xf>
    <xf numFmtId="0" fontId="7" fillId="0" borderId="6" xfId="0" applyFont="1" applyBorder="1" applyAlignment="1">
      <alignment horizontal="center" vertical="top" wrapText="1"/>
    </xf>
    <xf numFmtId="0" fontId="7" fillId="0" borderId="12" xfId="0" applyFont="1" applyBorder="1" applyAlignment="1">
      <alignment horizontal="center" vertical="top" wrapText="1"/>
    </xf>
    <xf numFmtId="0" fontId="7" fillId="0" borderId="14" xfId="0" applyFont="1" applyBorder="1" applyAlignment="1">
      <alignment horizontal="center" vertical="top" wrapText="1"/>
    </xf>
    <xf numFmtId="0" fontId="5" fillId="0" borderId="4" xfId="0" applyFont="1" applyBorder="1" applyAlignment="1">
      <alignment horizontal="left" wrapText="1"/>
    </xf>
    <xf numFmtId="0" fontId="5" fillId="0" borderId="6" xfId="0" applyFont="1" applyBorder="1" applyAlignment="1">
      <alignment horizontal="left" wrapText="1"/>
    </xf>
    <xf numFmtId="0" fontId="5" fillId="0" borderId="12" xfId="0" applyFont="1" applyBorder="1" applyAlignment="1">
      <alignment horizontal="left" wrapText="1"/>
    </xf>
    <xf numFmtId="0" fontId="5" fillId="0" borderId="14" xfId="0" applyFont="1" applyBorder="1" applyAlignment="1">
      <alignment horizontal="left" wrapText="1"/>
    </xf>
    <xf numFmtId="0" fontId="7" fillId="0" borderId="7" xfId="0" applyFont="1" applyBorder="1" applyAlignment="1">
      <alignment horizontal="center" vertical="top" wrapText="1"/>
    </xf>
    <xf numFmtId="0" fontId="7" fillId="0" borderId="15" xfId="0" applyFont="1" applyBorder="1" applyAlignment="1">
      <alignment horizontal="center" vertical="top" wrapText="1"/>
    </xf>
    <xf numFmtId="0" fontId="15" fillId="0" borderId="7" xfId="0" applyFont="1" applyBorder="1" applyAlignment="1">
      <alignment horizontal="left" vertical="top" wrapText="1" indent="2"/>
    </xf>
    <xf numFmtId="0" fontId="15" fillId="0" borderId="15" xfId="0" applyFont="1" applyBorder="1" applyAlignment="1">
      <alignment horizontal="left" vertical="top" wrapText="1" indent="2"/>
    </xf>
    <xf numFmtId="1" fontId="17" fillId="0" borderId="7" xfId="0" applyNumberFormat="1" applyFont="1" applyBorder="1" applyAlignment="1">
      <alignment horizontal="center" vertical="top" shrinkToFit="1"/>
    </xf>
    <xf numFmtId="1" fontId="17" fillId="0" borderId="15" xfId="0" applyNumberFormat="1" applyFont="1" applyBorder="1" applyAlignment="1">
      <alignment horizontal="center" vertical="top" shrinkToFit="1"/>
    </xf>
    <xf numFmtId="0" fontId="15" fillId="0" borderId="7" xfId="0" applyFont="1" applyBorder="1" applyAlignment="1">
      <alignment horizontal="center" vertical="top" wrapText="1"/>
    </xf>
    <xf numFmtId="0" fontId="15" fillId="0" borderId="15" xfId="0" applyFont="1" applyBorder="1" applyAlignment="1">
      <alignment horizontal="center" vertical="top" wrapText="1"/>
    </xf>
    <xf numFmtId="0" fontId="5" fillId="0" borderId="5" xfId="0" applyFont="1" applyBorder="1" applyAlignment="1">
      <alignment horizontal="left" wrapText="1"/>
    </xf>
    <xf numFmtId="0" fontId="5" fillId="0" borderId="4" xfId="0" applyFont="1" applyBorder="1" applyAlignment="1">
      <alignment horizontal="left" vertical="center" wrapText="1"/>
    </xf>
    <xf numFmtId="0" fontId="5" fillId="0" borderId="6" xfId="0" applyFont="1" applyBorder="1" applyAlignment="1">
      <alignment horizontal="left" vertical="center" wrapText="1"/>
    </xf>
    <xf numFmtId="0" fontId="5" fillId="0" borderId="12" xfId="0" applyFont="1" applyBorder="1" applyAlignment="1">
      <alignment horizontal="left" vertical="center" wrapText="1"/>
    </xf>
    <xf numFmtId="0" fontId="5" fillId="0" borderId="14" xfId="0" applyFont="1" applyBorder="1" applyAlignment="1">
      <alignment horizontal="left" vertical="center" wrapText="1"/>
    </xf>
    <xf numFmtId="0" fontId="15" fillId="0" borderId="2" xfId="0" applyFont="1" applyBorder="1" applyAlignment="1">
      <alignment horizontal="left" vertical="top" wrapText="1"/>
    </xf>
    <xf numFmtId="0" fontId="15" fillId="0" borderId="2" xfId="0" applyFont="1" applyBorder="1" applyAlignment="1">
      <alignment horizontal="left" vertical="top" wrapText="1" indent="1"/>
    </xf>
    <xf numFmtId="0" fontId="5" fillId="0" borderId="5" xfId="0" applyFont="1" applyBorder="1" applyAlignment="1">
      <alignment horizontal="left" vertical="center" wrapText="1"/>
    </xf>
    <xf numFmtId="0" fontId="5" fillId="0" borderId="13" xfId="0" applyFont="1" applyBorder="1" applyAlignment="1">
      <alignment horizontal="left" vertical="center" wrapText="1"/>
    </xf>
    <xf numFmtId="0" fontId="15" fillId="0" borderId="7" xfId="0" applyFont="1" applyBorder="1" applyAlignment="1">
      <alignment horizontal="left" vertical="center" wrapText="1" indent="2"/>
    </xf>
    <xf numFmtId="0" fontId="15" fillId="0" borderId="15" xfId="0" applyFont="1" applyBorder="1" applyAlignment="1">
      <alignment horizontal="left" vertical="center" wrapText="1" indent="2"/>
    </xf>
    <xf numFmtId="0" fontId="15" fillId="0" borderId="10" xfId="0" applyFont="1" applyBorder="1" applyAlignment="1">
      <alignment horizontal="left" vertical="top" wrapText="1"/>
    </xf>
    <xf numFmtId="0" fontId="15" fillId="0" borderId="11" xfId="0" applyFont="1" applyBorder="1" applyAlignment="1">
      <alignment horizontal="left" vertical="top" wrapText="1"/>
    </xf>
    <xf numFmtId="0" fontId="37" fillId="0" borderId="8" xfId="0" applyFont="1" applyBorder="1" applyAlignment="1">
      <alignment horizontal="left" vertical="top" wrapText="1" indent="4"/>
    </xf>
    <xf numFmtId="0" fontId="37" fillId="0" borderId="16" xfId="0" applyFont="1" applyBorder="1" applyAlignment="1">
      <alignment horizontal="left" vertical="top" wrapText="1" indent="4"/>
    </xf>
    <xf numFmtId="0" fontId="37" fillId="0" borderId="9" xfId="0" applyFont="1" applyBorder="1" applyAlignment="1">
      <alignment horizontal="left" vertical="top" wrapText="1" indent="4"/>
    </xf>
    <xf numFmtId="0" fontId="37" fillId="0" borderId="8" xfId="0" applyFont="1" applyBorder="1" applyAlignment="1">
      <alignment horizontal="left" vertical="top" wrapText="1" indent="5"/>
    </xf>
    <xf numFmtId="0" fontId="37" fillId="0" borderId="16" xfId="0" applyFont="1" applyBorder="1" applyAlignment="1">
      <alignment horizontal="left" vertical="top" wrapText="1" indent="5"/>
    </xf>
    <xf numFmtId="0" fontId="37" fillId="0" borderId="9" xfId="0" applyFont="1" applyBorder="1" applyAlignment="1">
      <alignment horizontal="left" vertical="top" wrapText="1" indent="5"/>
    </xf>
    <xf numFmtId="0" fontId="5" fillId="0" borderId="10" xfId="0" applyFont="1" applyBorder="1" applyAlignment="1">
      <alignment horizontal="left" wrapText="1"/>
    </xf>
    <xf numFmtId="0" fontId="5" fillId="0" borderId="11" xfId="0" applyFont="1" applyBorder="1" applyAlignment="1">
      <alignment horizontal="left" wrapText="1"/>
    </xf>
    <xf numFmtId="0" fontId="37" fillId="0" borderId="8" xfId="0" applyFont="1" applyBorder="1" applyAlignment="1">
      <alignment horizontal="center" vertical="top" wrapText="1"/>
    </xf>
    <xf numFmtId="0" fontId="37" fillId="0" borderId="16" xfId="0" applyFont="1" applyBorder="1" applyAlignment="1">
      <alignment horizontal="center" vertical="top" wrapText="1"/>
    </xf>
    <xf numFmtId="0" fontId="37" fillId="0" borderId="9" xfId="0" applyFont="1" applyBorder="1" applyAlignment="1">
      <alignment horizontal="center" vertical="top" wrapText="1"/>
    </xf>
    <xf numFmtId="0" fontId="37" fillId="0" borderId="8" xfId="0" applyFont="1" applyBorder="1" applyAlignment="1">
      <alignment horizontal="left" vertical="top" wrapText="1"/>
    </xf>
    <xf numFmtId="0" fontId="37" fillId="0" borderId="16" xfId="0" applyFont="1" applyBorder="1" applyAlignment="1">
      <alignment horizontal="left" vertical="top" wrapText="1"/>
    </xf>
    <xf numFmtId="0" fontId="37" fillId="0" borderId="9" xfId="0" applyFont="1" applyBorder="1" applyAlignment="1">
      <alignment horizontal="left" vertical="top" wrapText="1"/>
    </xf>
    <xf numFmtId="0" fontId="39" fillId="0" borderId="10" xfId="0" applyFont="1" applyBorder="1" applyAlignment="1">
      <alignment horizontal="left" vertical="top" wrapText="1" indent="5"/>
    </xf>
    <xf numFmtId="0" fontId="39" fillId="0" borderId="0" xfId="0" applyFont="1" applyAlignment="1">
      <alignment horizontal="left" vertical="top" wrapText="1" indent="5"/>
    </xf>
    <xf numFmtId="0" fontId="39" fillId="0" borderId="11" xfId="0" applyFont="1" applyBorder="1" applyAlignment="1">
      <alignment horizontal="left" vertical="top" wrapText="1" indent="5"/>
    </xf>
    <xf numFmtId="0" fontId="37" fillId="0" borderId="8" xfId="0" applyFont="1" applyBorder="1" applyAlignment="1">
      <alignment horizontal="left" vertical="top" wrapText="1" indent="3"/>
    </xf>
    <xf numFmtId="0" fontId="37" fillId="0" borderId="16" xfId="0" applyFont="1" applyBorder="1" applyAlignment="1">
      <alignment horizontal="left" vertical="top" wrapText="1" indent="3"/>
    </xf>
    <xf numFmtId="0" fontId="37" fillId="0" borderId="9" xfId="0" applyFont="1" applyBorder="1" applyAlignment="1">
      <alignment horizontal="left" vertical="top" wrapText="1" indent="3"/>
    </xf>
    <xf numFmtId="0" fontId="5" fillId="0" borderId="10" xfId="0" applyFont="1" applyBorder="1" applyAlignment="1">
      <alignment horizontal="left" vertical="center" wrapText="1"/>
    </xf>
    <xf numFmtId="0" fontId="5" fillId="0" borderId="0" xfId="0" applyFont="1" applyAlignment="1">
      <alignment horizontal="left" vertical="center" wrapText="1"/>
    </xf>
    <xf numFmtId="0" fontId="5" fillId="0" borderId="11" xfId="0" applyFont="1" applyBorder="1" applyAlignment="1">
      <alignment horizontal="left" vertical="center" wrapText="1"/>
    </xf>
    <xf numFmtId="0" fontId="39" fillId="0" borderId="8" xfId="0" applyFont="1" applyBorder="1" applyAlignment="1">
      <alignment horizontal="left" vertical="top" wrapText="1" indent="5"/>
    </xf>
    <xf numFmtId="0" fontId="39" fillId="0" borderId="16" xfId="0" applyFont="1" applyBorder="1" applyAlignment="1">
      <alignment horizontal="left" vertical="top" wrapText="1" indent="5"/>
    </xf>
    <xf numFmtId="0" fontId="39" fillId="0" borderId="9" xfId="0" applyFont="1" applyBorder="1" applyAlignment="1">
      <alignment horizontal="left" vertical="top" wrapText="1" indent="5"/>
    </xf>
    <xf numFmtId="0" fontId="39" fillId="0" borderId="4" xfId="0" applyFont="1" applyBorder="1" applyAlignment="1">
      <alignment horizontal="left" vertical="top" wrapText="1" indent="3"/>
    </xf>
    <xf numFmtId="0" fontId="39" fillId="0" borderId="5" xfId="0" applyFont="1" applyBorder="1" applyAlignment="1">
      <alignment horizontal="left" vertical="top" wrapText="1" indent="3"/>
    </xf>
    <xf numFmtId="0" fontId="39" fillId="0" borderId="6" xfId="0" applyFont="1" applyBorder="1" applyAlignment="1">
      <alignment horizontal="left" vertical="top" wrapText="1" indent="3"/>
    </xf>
    <xf numFmtId="0" fontId="39" fillId="0" borderId="12" xfId="0" applyFont="1" applyBorder="1" applyAlignment="1">
      <alignment horizontal="left" vertical="top" wrapText="1" indent="3"/>
    </xf>
    <xf numFmtId="0" fontId="39" fillId="0" borderId="13" xfId="0" applyFont="1" applyBorder="1" applyAlignment="1">
      <alignment horizontal="left" vertical="top" wrapText="1" indent="3"/>
    </xf>
    <xf numFmtId="0" fontId="39" fillId="0" borderId="14" xfId="0" applyFont="1" applyBorder="1" applyAlignment="1">
      <alignment horizontal="left" vertical="top" wrapText="1" indent="3"/>
    </xf>
    <xf numFmtId="1" fontId="36" fillId="0" borderId="12" xfId="0" applyNumberFormat="1" applyFont="1" applyBorder="1" applyAlignment="1">
      <alignment horizontal="center" vertical="top" shrinkToFit="1"/>
    </xf>
    <xf numFmtId="1" fontId="36" fillId="0" borderId="14" xfId="0" applyNumberFormat="1" applyFont="1" applyBorder="1" applyAlignment="1">
      <alignment horizontal="center" vertical="top" shrinkToFit="1"/>
    </xf>
    <xf numFmtId="164" fontId="36" fillId="0" borderId="8" xfId="0" applyNumberFormat="1" applyFont="1" applyBorder="1" applyAlignment="1">
      <alignment horizontal="center" vertical="top" shrinkToFit="1"/>
    </xf>
    <xf numFmtId="164" fontId="36" fillId="0" borderId="9" xfId="0" applyNumberFormat="1" applyFont="1" applyBorder="1" applyAlignment="1">
      <alignment horizontal="center" vertical="top" shrinkToFit="1"/>
    </xf>
    <xf numFmtId="0" fontId="15" fillId="0" borderId="4" xfId="0" applyFont="1" applyBorder="1" applyAlignment="1">
      <alignment horizontal="left" vertical="top" wrapText="1"/>
    </xf>
    <xf numFmtId="0" fontId="15" fillId="0" borderId="5" xfId="0" applyFont="1" applyBorder="1" applyAlignment="1">
      <alignment horizontal="left" vertical="top" wrapText="1"/>
    </xf>
    <xf numFmtId="0" fontId="15" fillId="0" borderId="6" xfId="0" applyFont="1" applyBorder="1" applyAlignment="1">
      <alignment horizontal="left" vertical="top" wrapText="1"/>
    </xf>
    <xf numFmtId="0" fontId="15" fillId="0" borderId="12" xfId="0" applyFont="1" applyBorder="1" applyAlignment="1">
      <alignment horizontal="left" vertical="top" wrapText="1"/>
    </xf>
    <xf numFmtId="0" fontId="15" fillId="0" borderId="13" xfId="0" applyFont="1" applyBorder="1" applyAlignment="1">
      <alignment horizontal="left" vertical="top" wrapText="1"/>
    </xf>
    <xf numFmtId="0" fontId="15" fillId="0" borderId="14" xfId="0" applyFont="1" applyBorder="1" applyAlignment="1">
      <alignment horizontal="left" vertical="top" wrapText="1"/>
    </xf>
    <xf numFmtId="0" fontId="37" fillId="0" borderId="7" xfId="0" applyFont="1" applyBorder="1" applyAlignment="1">
      <alignment horizontal="left" vertical="top" wrapText="1" indent="1"/>
    </xf>
    <xf numFmtId="0" fontId="37" fillId="0" borderId="15" xfId="0" applyFont="1" applyBorder="1" applyAlignment="1">
      <alignment horizontal="left" vertical="top" wrapText="1" indent="1"/>
    </xf>
    <xf numFmtId="0" fontId="37" fillId="0" borderId="4" xfId="0" applyFont="1" applyBorder="1" applyAlignment="1">
      <alignment horizontal="left" vertical="top" wrapText="1" indent="3"/>
    </xf>
    <xf numFmtId="0" fontId="37" fillId="0" borderId="6" xfId="0" applyFont="1" applyBorder="1" applyAlignment="1">
      <alignment horizontal="left" vertical="top" wrapText="1" indent="3"/>
    </xf>
    <xf numFmtId="0" fontId="37" fillId="0" borderId="12" xfId="0" applyFont="1" applyBorder="1" applyAlignment="1">
      <alignment horizontal="left" vertical="top" wrapText="1" indent="3"/>
    </xf>
    <xf numFmtId="0" fontId="37" fillId="0" borderId="14" xfId="0" applyFont="1" applyBorder="1" applyAlignment="1">
      <alignment horizontal="left" vertical="top" wrapText="1" indent="3"/>
    </xf>
    <xf numFmtId="1" fontId="36" fillId="0" borderId="4" xfId="0" applyNumberFormat="1" applyFont="1" applyBorder="1" applyAlignment="1">
      <alignment horizontal="center" vertical="top" shrinkToFit="1"/>
    </xf>
    <xf numFmtId="1" fontId="36" fillId="0" borderId="6" xfId="0" applyNumberFormat="1" applyFont="1" applyBorder="1" applyAlignment="1">
      <alignment horizontal="center" vertical="top" shrinkToFit="1"/>
    </xf>
    <xf numFmtId="0" fontId="37" fillId="0" borderId="7" xfId="0" applyFont="1" applyBorder="1" applyAlignment="1">
      <alignment horizontal="left" vertical="top" wrapText="1"/>
    </xf>
    <xf numFmtId="0" fontId="37" fillId="0" borderId="15" xfId="0" applyFont="1"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0" borderId="10" xfId="0" applyBorder="1" applyAlignment="1">
      <alignment horizontal="left" vertical="top" wrapText="1"/>
    </xf>
    <xf numFmtId="0" fontId="0" fillId="0" borderId="0" xfId="0"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7" fillId="0" borderId="7" xfId="0" applyFont="1" applyBorder="1" applyAlignment="1">
      <alignment horizontal="left" textRotation="90" wrapText="1"/>
    </xf>
    <xf numFmtId="0" fontId="7" fillId="0" borderId="2" xfId="0" applyFont="1" applyBorder="1" applyAlignment="1">
      <alignment horizontal="left" textRotation="90" wrapText="1"/>
    </xf>
    <xf numFmtId="0" fontId="7" fillId="0" borderId="15" xfId="0" applyFont="1" applyBorder="1" applyAlignment="1">
      <alignment horizontal="left" textRotation="90" wrapText="1"/>
    </xf>
    <xf numFmtId="0" fontId="44" fillId="0" borderId="4" xfId="0" applyFont="1" applyBorder="1" applyAlignment="1">
      <alignment horizontal="center" vertical="center" wrapText="1"/>
    </xf>
    <xf numFmtId="0" fontId="44" fillId="0" borderId="6" xfId="0" applyFont="1" applyBorder="1" applyAlignment="1">
      <alignment horizontal="center" vertical="center" wrapText="1"/>
    </xf>
    <xf numFmtId="0" fontId="44" fillId="0" borderId="12" xfId="0" applyFont="1" applyBorder="1" applyAlignment="1">
      <alignment horizontal="center" vertical="center" wrapText="1"/>
    </xf>
    <xf numFmtId="0" fontId="44" fillId="0" borderId="14" xfId="0" applyFont="1" applyBorder="1" applyAlignment="1">
      <alignment horizontal="center" vertical="center" wrapText="1"/>
    </xf>
    <xf numFmtId="0" fontId="0" fillId="0" borderId="8" xfId="0" applyBorder="1" applyAlignment="1">
      <alignment horizontal="left" wrapText="1"/>
    </xf>
    <xf numFmtId="0" fontId="0" fillId="0" borderId="16" xfId="0" applyBorder="1" applyAlignment="1">
      <alignment horizontal="left" wrapText="1"/>
    </xf>
    <xf numFmtId="0" fontId="0" fillId="0" borderId="9" xfId="0" applyBorder="1" applyAlignment="1">
      <alignment horizontal="left" wrapText="1"/>
    </xf>
    <xf numFmtId="0" fontId="44" fillId="0" borderId="8" xfId="0" applyFont="1" applyBorder="1" applyAlignment="1">
      <alignment horizontal="left" vertical="top" wrapText="1" indent="1"/>
    </xf>
    <xf numFmtId="0" fontId="44" fillId="0" borderId="16" xfId="0" applyFont="1" applyBorder="1" applyAlignment="1">
      <alignment horizontal="left" vertical="top" wrapText="1" indent="1"/>
    </xf>
    <xf numFmtId="0" fontId="44" fillId="0" borderId="9" xfId="0" applyFont="1" applyBorder="1" applyAlignment="1">
      <alignment horizontal="left" vertical="top" wrapText="1" indent="1"/>
    </xf>
    <xf numFmtId="0" fontId="44" fillId="0" borderId="8" xfId="0" applyFont="1" applyBorder="1" applyAlignment="1">
      <alignment horizontal="center" vertical="top" wrapText="1"/>
    </xf>
    <xf numFmtId="0" fontId="44" fillId="0" borderId="16" xfId="0" applyFont="1" applyBorder="1" applyAlignment="1">
      <alignment horizontal="center" vertical="top" wrapText="1"/>
    </xf>
    <xf numFmtId="0" fontId="44" fillId="0" borderId="9" xfId="0" applyFont="1" applyBorder="1" applyAlignment="1">
      <alignment horizontal="center" vertical="top" wrapText="1"/>
    </xf>
    <xf numFmtId="0" fontId="19" fillId="0" borderId="8" xfId="0" applyFont="1" applyBorder="1" applyAlignment="1">
      <alignment horizontal="left" textRotation="90" wrapText="1"/>
    </xf>
    <xf numFmtId="0" fontId="19" fillId="0" borderId="9" xfId="0" applyFont="1" applyBorder="1" applyAlignment="1">
      <alignment horizontal="left" textRotation="90" wrapText="1"/>
    </xf>
    <xf numFmtId="0" fontId="19" fillId="5" borderId="8" xfId="0" applyFont="1" applyFill="1" applyBorder="1" applyAlignment="1">
      <alignment horizontal="left" textRotation="90" wrapText="1"/>
    </xf>
    <xf numFmtId="0" fontId="19" fillId="5" borderId="9" xfId="0" applyFont="1" applyFill="1" applyBorder="1" applyAlignment="1">
      <alignment horizontal="left" textRotation="90" wrapText="1"/>
    </xf>
    <xf numFmtId="0" fontId="19" fillId="0" borderId="8" xfId="0" applyFont="1" applyBorder="1" applyAlignment="1">
      <alignment horizontal="center" vertical="top" wrapText="1"/>
    </xf>
    <xf numFmtId="0" fontId="19" fillId="0" borderId="9" xfId="0" applyFont="1" applyBorder="1" applyAlignment="1">
      <alignment horizontal="center" vertical="top"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6" xfId="0" applyBorder="1" applyAlignment="1">
      <alignment horizontal="left" vertical="center" wrapText="1"/>
    </xf>
    <xf numFmtId="0" fontId="19" fillId="0" borderId="16" xfId="0" applyFont="1" applyBorder="1" applyAlignment="1">
      <alignment horizontal="center" vertical="top" wrapText="1"/>
    </xf>
    <xf numFmtId="0" fontId="44" fillId="0" borderId="7" xfId="0" applyFont="1" applyBorder="1" applyAlignment="1">
      <alignment horizontal="left" vertical="center" wrapText="1"/>
    </xf>
    <xf numFmtId="0" fontId="44" fillId="0" borderId="2" xfId="0" applyFont="1" applyBorder="1" applyAlignment="1">
      <alignment horizontal="left" vertical="center" wrapText="1"/>
    </xf>
    <xf numFmtId="0" fontId="44" fillId="0" borderId="15" xfId="0" applyFont="1" applyBorder="1" applyAlignment="1">
      <alignment horizontal="left" vertical="center" wrapText="1"/>
    </xf>
    <xf numFmtId="0" fontId="44" fillId="0" borderId="7" xfId="0" applyFont="1" applyBorder="1" applyAlignment="1">
      <alignment horizontal="left" vertical="center" wrapText="1" indent="1"/>
    </xf>
    <xf numFmtId="0" fontId="44" fillId="0" borderId="2" xfId="0" applyFont="1" applyBorder="1" applyAlignment="1">
      <alignment horizontal="left" vertical="center" wrapText="1" indent="1"/>
    </xf>
    <xf numFmtId="0" fontId="44" fillId="0" borderId="15" xfId="0" applyFont="1" applyBorder="1" applyAlignment="1">
      <alignment horizontal="left" vertical="center" wrapText="1" indent="1"/>
    </xf>
    <xf numFmtId="0" fontId="0" fillId="0" borderId="7" xfId="0" applyBorder="1" applyAlignment="1">
      <alignment horizontal="left" vertical="center" wrapText="1"/>
    </xf>
    <xf numFmtId="0" fontId="0" fillId="0" borderId="15" xfId="0" applyBorder="1" applyAlignment="1">
      <alignment horizontal="left" vertical="center" wrapText="1"/>
    </xf>
    <xf numFmtId="0" fontId="0" fillId="6" borderId="7" xfId="0" applyFill="1" applyBorder="1" applyAlignment="1">
      <alignment horizontal="center" vertical="top" wrapText="1"/>
    </xf>
    <xf numFmtId="0" fontId="0" fillId="6" borderId="2" xfId="0" applyFill="1" applyBorder="1" applyAlignment="1">
      <alignment horizontal="center" vertical="top" wrapText="1"/>
    </xf>
    <xf numFmtId="0" fontId="0" fillId="6" borderId="15" xfId="0" applyFill="1" applyBorder="1" applyAlignment="1">
      <alignment horizontal="center" vertical="top" wrapText="1"/>
    </xf>
    <xf numFmtId="0" fontId="44" fillId="5" borderId="7" xfId="0" applyFont="1" applyFill="1" applyBorder="1" applyAlignment="1">
      <alignment horizontal="center" vertical="top" wrapText="1"/>
    </xf>
    <xf numFmtId="0" fontId="44" fillId="5" borderId="15" xfId="0" applyFont="1" applyFill="1" applyBorder="1" applyAlignment="1">
      <alignment horizontal="center" vertical="top" wrapText="1"/>
    </xf>
    <xf numFmtId="0" fontId="44" fillId="0" borderId="7" xfId="0" applyFont="1" applyBorder="1" applyAlignment="1">
      <alignment horizontal="left" vertical="center" wrapText="1" indent="2"/>
    </xf>
    <xf numFmtId="0" fontId="44" fillId="0" borderId="2" xfId="0" applyFont="1" applyBorder="1" applyAlignment="1">
      <alignment horizontal="left" vertical="center" wrapText="1" indent="2"/>
    </xf>
    <xf numFmtId="0" fontId="44" fillId="0" borderId="15" xfId="0" applyFont="1" applyBorder="1" applyAlignment="1">
      <alignment horizontal="left" vertical="center" wrapText="1" indent="2"/>
    </xf>
    <xf numFmtId="0" fontId="47" fillId="0" borderId="8" xfId="0" applyFont="1" applyBorder="1" applyAlignment="1">
      <alignment horizontal="center" vertical="top" wrapText="1"/>
    </xf>
    <xf numFmtId="0" fontId="47" fillId="0" borderId="16" xfId="0" applyFont="1" applyBorder="1" applyAlignment="1">
      <alignment horizontal="center" vertical="top" wrapText="1"/>
    </xf>
    <xf numFmtId="0" fontId="47" fillId="0" borderId="9" xfId="0" applyFont="1" applyBorder="1" applyAlignment="1">
      <alignment horizontal="center" vertical="top" wrapText="1"/>
    </xf>
    <xf numFmtId="0" fontId="47" fillId="0" borderId="8" xfId="0" applyFont="1" applyBorder="1" applyAlignment="1">
      <alignment horizontal="left" vertical="top" wrapText="1"/>
    </xf>
    <xf numFmtId="0" fontId="47" fillId="0" borderId="9" xfId="0" applyFont="1" applyBorder="1" applyAlignment="1">
      <alignment horizontal="left" vertical="top" wrapText="1"/>
    </xf>
    <xf numFmtId="0" fontId="47" fillId="0" borderId="8" xfId="0" applyFont="1" applyBorder="1" applyAlignment="1">
      <alignment horizontal="left" vertical="top" wrapText="1" indent="1"/>
    </xf>
    <xf numFmtId="0" fontId="47" fillId="0" borderId="9" xfId="0" applyFont="1" applyBorder="1" applyAlignment="1">
      <alignment horizontal="left" vertical="top" wrapText="1" indent="1"/>
    </xf>
    <xf numFmtId="164" fontId="46" fillId="0" borderId="8" xfId="0" applyNumberFormat="1" applyFont="1" applyBorder="1" applyAlignment="1">
      <alignment horizontal="center" vertical="top" shrinkToFit="1"/>
    </xf>
    <xf numFmtId="164" fontId="46" fillId="0" borderId="9" xfId="0" applyNumberFormat="1" applyFont="1" applyBorder="1" applyAlignment="1">
      <alignment horizontal="center" vertical="top" shrinkToFit="1"/>
    </xf>
    <xf numFmtId="0" fontId="44" fillId="0" borderId="4" xfId="0" applyFont="1" applyBorder="1" applyAlignment="1">
      <alignment horizontal="left" vertical="top" wrapText="1"/>
    </xf>
    <xf numFmtId="0" fontId="44" fillId="0" borderId="5" xfId="0" applyFont="1" applyBorder="1" applyAlignment="1">
      <alignment horizontal="left" vertical="top" wrapText="1"/>
    </xf>
    <xf numFmtId="0" fontId="44" fillId="0" borderId="6" xfId="0" applyFont="1" applyBorder="1" applyAlignment="1">
      <alignment horizontal="left" vertical="top" wrapText="1"/>
    </xf>
    <xf numFmtId="0" fontId="44" fillId="0" borderId="12" xfId="0" applyFont="1" applyBorder="1" applyAlignment="1">
      <alignment horizontal="left" vertical="top" wrapText="1"/>
    </xf>
    <xf numFmtId="0" fontId="44" fillId="0" borderId="13" xfId="0" applyFont="1" applyBorder="1" applyAlignment="1">
      <alignment horizontal="left" vertical="top" wrapText="1"/>
    </xf>
    <xf numFmtId="0" fontId="44" fillId="0" borderId="14" xfId="0" applyFont="1" applyBorder="1" applyAlignment="1">
      <alignment horizontal="left" vertical="top" wrapText="1"/>
    </xf>
    <xf numFmtId="0" fontId="0" fillId="0" borderId="7" xfId="0" applyBorder="1" applyAlignment="1">
      <alignment horizontal="left" vertical="top" wrapText="1"/>
    </xf>
    <xf numFmtId="0" fontId="0" fillId="0" borderId="15" xfId="0" applyBorder="1" applyAlignment="1">
      <alignment horizontal="left" vertical="top" wrapText="1"/>
    </xf>
    <xf numFmtId="0" fontId="47" fillId="0" borderId="7" xfId="0" applyFont="1" applyBorder="1" applyAlignment="1">
      <alignment horizontal="left" vertical="top" wrapText="1" indent="2"/>
    </xf>
    <xf numFmtId="0" fontId="47" fillId="0" borderId="15" xfId="0" applyFont="1" applyBorder="1" applyAlignment="1">
      <alignment horizontal="left" vertical="top" wrapText="1" indent="2"/>
    </xf>
    <xf numFmtId="0" fontId="47" fillId="0" borderId="4" xfId="0" applyFont="1" applyBorder="1" applyAlignment="1">
      <alignment horizontal="left" vertical="top" wrapText="1" indent="3"/>
    </xf>
    <xf numFmtId="0" fontId="47" fillId="0" borderId="6" xfId="0" applyFont="1" applyBorder="1" applyAlignment="1">
      <alignment horizontal="left" vertical="top" wrapText="1" indent="3"/>
    </xf>
    <xf numFmtId="0" fontId="47" fillId="0" borderId="12" xfId="0" applyFont="1" applyBorder="1" applyAlignment="1">
      <alignment horizontal="left" vertical="top" wrapText="1" indent="3"/>
    </xf>
    <xf numFmtId="0" fontId="47" fillId="0" borderId="14" xfId="0" applyFont="1" applyBorder="1" applyAlignment="1">
      <alignment horizontal="left" vertical="top" wrapText="1" indent="3"/>
    </xf>
    <xf numFmtId="0" fontId="49" fillId="0" borderId="4" xfId="0" applyFont="1" applyBorder="1" applyAlignment="1">
      <alignment horizontal="left" vertical="top" wrapText="1" indent="4"/>
    </xf>
    <xf numFmtId="0" fontId="49" fillId="0" borderId="5" xfId="0" applyFont="1" applyBorder="1" applyAlignment="1">
      <alignment horizontal="left" vertical="top" wrapText="1" indent="4"/>
    </xf>
    <xf numFmtId="0" fontId="49" fillId="0" borderId="6" xfId="0" applyFont="1" applyBorder="1" applyAlignment="1">
      <alignment horizontal="left" vertical="top" wrapText="1" indent="4"/>
    </xf>
    <xf numFmtId="0" fontId="49" fillId="0" borderId="12" xfId="0" applyFont="1" applyBorder="1" applyAlignment="1">
      <alignment horizontal="left" vertical="top" wrapText="1" indent="4"/>
    </xf>
    <xf numFmtId="0" fontId="49" fillId="0" borderId="13" xfId="0" applyFont="1" applyBorder="1" applyAlignment="1">
      <alignment horizontal="left" vertical="top" wrapText="1" indent="4"/>
    </xf>
    <xf numFmtId="0" fontId="49" fillId="0" borderId="14" xfId="0" applyFont="1" applyBorder="1" applyAlignment="1">
      <alignment horizontal="left" vertical="top" wrapText="1" indent="4"/>
    </xf>
    <xf numFmtId="0" fontId="47" fillId="0" borderId="16" xfId="0" applyFont="1" applyBorder="1" applyAlignment="1">
      <alignment horizontal="left" vertical="top" wrapText="1"/>
    </xf>
    <xf numFmtId="0" fontId="49" fillId="0" borderId="8" xfId="0" applyFont="1" applyBorder="1" applyAlignment="1">
      <alignment horizontal="left" vertical="top" wrapText="1" indent="6"/>
    </xf>
    <xf numFmtId="0" fontId="49" fillId="0" borderId="16" xfId="0" applyFont="1" applyBorder="1" applyAlignment="1">
      <alignment horizontal="left" vertical="top" wrapText="1" indent="6"/>
    </xf>
    <xf numFmtId="0" fontId="49" fillId="0" borderId="9" xfId="0" applyFont="1" applyBorder="1" applyAlignment="1">
      <alignment horizontal="left" vertical="top" wrapText="1" indent="6"/>
    </xf>
    <xf numFmtId="0" fontId="49" fillId="0" borderId="4" xfId="0" applyFont="1" applyBorder="1" applyAlignment="1">
      <alignment horizontal="left" vertical="top" wrapText="1" indent="6"/>
    </xf>
    <xf numFmtId="0" fontId="49" fillId="0" borderId="5" xfId="0" applyFont="1" applyBorder="1" applyAlignment="1">
      <alignment horizontal="left" vertical="top" wrapText="1" indent="6"/>
    </xf>
    <xf numFmtId="0" fontId="49" fillId="0" borderId="6" xfId="0" applyFont="1" applyBorder="1" applyAlignment="1">
      <alignment horizontal="left" vertical="top" wrapText="1" indent="6"/>
    </xf>
    <xf numFmtId="0" fontId="49" fillId="0" borderId="10" xfId="0" applyFont="1" applyBorder="1" applyAlignment="1">
      <alignment horizontal="left" vertical="top" wrapText="1" indent="6"/>
    </xf>
    <xf numFmtId="0" fontId="49" fillId="0" borderId="0" xfId="0" applyFont="1" applyAlignment="1">
      <alignment horizontal="left" vertical="top" wrapText="1" indent="6"/>
    </xf>
    <xf numFmtId="0" fontId="49" fillId="0" borderId="11" xfId="0" applyFont="1" applyBorder="1" applyAlignment="1">
      <alignment horizontal="left" vertical="top" wrapText="1" indent="6"/>
    </xf>
    <xf numFmtId="0" fontId="49" fillId="0" borderId="12" xfId="0" applyFont="1" applyBorder="1" applyAlignment="1">
      <alignment horizontal="left" vertical="top" wrapText="1" indent="6"/>
    </xf>
    <xf numFmtId="0" fontId="49" fillId="0" borderId="13" xfId="0" applyFont="1" applyBorder="1" applyAlignment="1">
      <alignment horizontal="left" vertical="top" wrapText="1" indent="6"/>
    </xf>
    <xf numFmtId="0" fontId="49" fillId="0" borderId="14" xfId="0" applyFont="1" applyBorder="1" applyAlignment="1">
      <alignment horizontal="left" vertical="top" wrapText="1" indent="6"/>
    </xf>
    <xf numFmtId="0" fontId="47" fillId="0" borderId="8" xfId="0" applyFont="1" applyBorder="1" applyAlignment="1">
      <alignment horizontal="left" vertical="top" wrapText="1" indent="4"/>
    </xf>
    <xf numFmtId="0" fontId="47" fillId="0" borderId="16" xfId="0" applyFont="1" applyBorder="1" applyAlignment="1">
      <alignment horizontal="left" vertical="top" wrapText="1" indent="4"/>
    </xf>
    <xf numFmtId="0" fontId="47" fillId="0" borderId="9" xfId="0" applyFont="1" applyBorder="1" applyAlignment="1">
      <alignment horizontal="left" vertical="top" wrapText="1" indent="4"/>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6" xfId="0" applyBorder="1" applyAlignment="1">
      <alignment horizontal="left" vertical="top" wrapText="1"/>
    </xf>
    <xf numFmtId="0" fontId="47" fillId="0" borderId="8" xfId="0" applyFont="1" applyBorder="1" applyAlignment="1">
      <alignment horizontal="left" vertical="top" wrapText="1" indent="5"/>
    </xf>
    <xf numFmtId="0" fontId="47" fillId="0" borderId="16" xfId="0" applyFont="1" applyBorder="1" applyAlignment="1">
      <alignment horizontal="left" vertical="top" wrapText="1" indent="5"/>
    </xf>
    <xf numFmtId="0" fontId="47" fillId="0" borderId="9" xfId="0" applyFont="1" applyBorder="1" applyAlignment="1">
      <alignment horizontal="left" vertical="top" wrapText="1" indent="5"/>
    </xf>
    <xf numFmtId="0" fontId="47" fillId="0" borderId="7" xfId="0" applyFont="1" applyBorder="1" applyAlignment="1">
      <alignment horizontal="left" vertical="top" wrapText="1" indent="1"/>
    </xf>
    <xf numFmtId="0" fontId="47" fillId="0" borderId="15" xfId="0" applyFont="1" applyBorder="1" applyAlignment="1">
      <alignment horizontal="left" vertical="top" wrapText="1" indent="1"/>
    </xf>
  </cellXfs>
  <cellStyles count="6">
    <cellStyle name="Bad" xfId="2" builtinId="27" customBuiltin="1"/>
    <cellStyle name="Good" xfId="1" builtinId="26" customBuiltin="1"/>
    <cellStyle name="Neutral" xfId="3" builtinId="28"/>
    <cellStyle name="Normal" xfId="0" builtinId="0"/>
    <cellStyle name="Normal 2" xfId="4" xr:uid="{00000000-0005-0000-0000-000004000000}"/>
    <cellStyle name="Normal 3" xfId="5" xr:uid="{00000000-0005-0000-0000-000005000000}"/>
  </cellStyles>
  <dxfs count="6">
    <dxf>
      <fill>
        <patternFill>
          <bgColor rgb="FFFF0000"/>
        </patternFill>
      </fill>
    </dxf>
    <dxf>
      <fill>
        <patternFill>
          <bgColor theme="5"/>
        </patternFill>
      </fill>
    </dxf>
    <dxf>
      <fill>
        <patternFill>
          <bgColor rgb="FFFFEB9C"/>
        </patternFill>
      </fill>
    </dxf>
    <dxf>
      <fill>
        <patternFill>
          <bgColor rgb="FF00E400"/>
        </patternFill>
      </fill>
    </dxf>
    <dxf>
      <fill>
        <patternFill>
          <bgColor theme="0" tint="-0.499984740745262"/>
        </patternFill>
      </fill>
    </dxf>
    <dxf>
      <fill>
        <patternFill>
          <bgColor rgb="FF00E400"/>
        </patternFill>
      </fill>
    </dxf>
  </dxfs>
  <tableStyles count="0" defaultTableStyle="TableStyleMedium2" defaultPivotStyle="PivotStyleLight16"/>
  <colors>
    <mruColors>
      <color rgb="FFFFEB9C"/>
      <color rgb="FFFF0000"/>
      <color rgb="FFFFC7CE"/>
      <color rgb="FFFFEBA7"/>
      <color rgb="FF00E400"/>
      <color rgb="FFFFC781"/>
      <color rgb="FF9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WEB IOs Status</a:t>
            </a:r>
          </a:p>
        </c:rich>
      </c:tx>
      <c:layout>
        <c:manualLayout>
          <c:xMode val="edge"/>
          <c:yMode val="edge"/>
          <c:x val="0.36024423337856176"/>
          <c:y val="1.205545509342977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18-2CBC-4DD1-B95D-ED68240BB7DA}"/>
              </c:ext>
            </c:extLst>
          </c:dPt>
          <c:dPt>
            <c:idx val="1"/>
            <c:bubble3D val="0"/>
            <c:spPr>
              <a:solidFill>
                <a:srgbClr val="FFEBA7"/>
              </a:solidFill>
              <a:ln w="19050">
                <a:solidFill>
                  <a:schemeClr val="lt1"/>
                </a:solidFill>
              </a:ln>
              <a:effectLst/>
            </c:spPr>
            <c:extLst>
              <c:ext xmlns:c16="http://schemas.microsoft.com/office/drawing/2014/chart" uri="{C3380CC4-5D6E-409C-BE32-E72D297353CC}">
                <c16:uniqueId val="{0000001C-2CBC-4DD1-B95D-ED68240BB7DA}"/>
              </c:ext>
            </c:extLst>
          </c:dPt>
          <c:dPt>
            <c:idx val="2"/>
            <c:bubble3D val="0"/>
            <c:spPr>
              <a:solidFill>
                <a:srgbClr val="00E400"/>
              </a:solidFill>
              <a:ln w="19050">
                <a:solidFill>
                  <a:schemeClr val="lt1"/>
                </a:solidFill>
              </a:ln>
              <a:effectLst/>
            </c:spPr>
            <c:extLst>
              <c:ext xmlns:c16="http://schemas.microsoft.com/office/drawing/2014/chart" uri="{C3380CC4-5D6E-409C-BE32-E72D297353CC}">
                <c16:uniqueId val="{0000001F-2CBC-4DD1-B95D-ED68240BB7DA}"/>
              </c:ext>
            </c:extLst>
          </c:dPt>
          <c:dLbls>
            <c:dLbl>
              <c:idx val="0"/>
              <c:dLblPos val="outEnd"/>
              <c:showLegendKey val="0"/>
              <c:showVal val="0"/>
              <c:showCatName val="1"/>
              <c:showSerName val="0"/>
              <c:showPercent val="1"/>
              <c:showBubbleSize val="0"/>
              <c:extLst>
                <c:ext xmlns:c15="http://schemas.microsoft.com/office/drawing/2012/chart" uri="{CE6537A1-D6FC-4f65-9D91-7224C49458BB}">
                  <c15:layout>
                    <c:manualLayout>
                      <c:w val="0.18347631919144436"/>
                      <c:h val="7.8143792152563202E-2"/>
                    </c:manualLayout>
                  </c15:layout>
                </c:ext>
                <c:ext xmlns:c16="http://schemas.microsoft.com/office/drawing/2014/chart" uri="{C3380CC4-5D6E-409C-BE32-E72D297353CC}">
                  <c16:uniqueId val="{00000018-2CBC-4DD1-B95D-ED68240BB7D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Statistics!$I$31:$I$33</c:f>
              <c:strCache>
                <c:ptCount val="3"/>
                <c:pt idx="0">
                  <c:v>Not In 2 Documents</c:v>
                </c:pt>
                <c:pt idx="1">
                  <c:v>Not In 1 Document</c:v>
                </c:pt>
                <c:pt idx="2">
                  <c:v>Clear</c:v>
                </c:pt>
              </c:strCache>
            </c:strRef>
          </c:cat>
          <c:val>
            <c:numRef>
              <c:f>Statistics!$K$31:$K$33</c:f>
              <c:numCache>
                <c:formatCode>General</c:formatCode>
                <c:ptCount val="3"/>
                <c:pt idx="0">
                  <c:v>0</c:v>
                </c:pt>
                <c:pt idx="1">
                  <c:v>0</c:v>
                </c:pt>
                <c:pt idx="2">
                  <c:v>0</c:v>
                </c:pt>
              </c:numCache>
            </c:numRef>
          </c:val>
          <c:extLst>
            <c:ext xmlns:c16="http://schemas.microsoft.com/office/drawing/2014/chart" uri="{C3380CC4-5D6E-409C-BE32-E72D297353CC}">
              <c16:uniqueId val="{00000000-2CBC-4DD1-B95D-ED68240BB7DA}"/>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9.8550724637681164E-2"/>
          <c:y val="0.90923116317777353"/>
          <c:w val="0.80289855072463767"/>
          <c:h val="7.4294465537023638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8.jpe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jpeg"/><Relationship Id="rId5" Type="http://schemas.openxmlformats.org/officeDocument/2006/relationships/image" Target="../media/image10.jpeg"/><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jpeg"/><Relationship Id="rId2" Type="http://schemas.openxmlformats.org/officeDocument/2006/relationships/image" Target="../media/image13.jpeg"/><Relationship Id="rId1" Type="http://schemas.openxmlformats.org/officeDocument/2006/relationships/image" Target="../media/image9.png"/><Relationship Id="rId5" Type="http://schemas.openxmlformats.org/officeDocument/2006/relationships/image" Target="../media/image16.png"/><Relationship Id="rId4" Type="http://schemas.openxmlformats.org/officeDocument/2006/relationships/image" Target="../media/image15.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5.jpeg"/><Relationship Id="rId1" Type="http://schemas.openxmlformats.org/officeDocument/2006/relationships/image" Target="../media/image17.jpeg"/><Relationship Id="rId5" Type="http://schemas.openxmlformats.org/officeDocument/2006/relationships/image" Target="../media/image9.png"/><Relationship Id="rId4" Type="http://schemas.openxmlformats.org/officeDocument/2006/relationships/image" Target="../media/image13.jpeg"/></Relationships>
</file>

<file path=xl/drawings/_rels/drawing7.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19.jpeg"/><Relationship Id="rId1" Type="http://schemas.openxmlformats.org/officeDocument/2006/relationships/image" Target="../media/image13.jpeg"/><Relationship Id="rId5" Type="http://schemas.openxmlformats.org/officeDocument/2006/relationships/image" Target="../media/image22.png"/><Relationship Id="rId4" Type="http://schemas.openxmlformats.org/officeDocument/2006/relationships/image" Target="../media/image2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25.jpeg"/><Relationship Id="rId2" Type="http://schemas.openxmlformats.org/officeDocument/2006/relationships/image" Target="../media/image24.jpeg"/><Relationship Id="rId1" Type="http://schemas.openxmlformats.org/officeDocument/2006/relationships/image" Target="../media/image23.png"/><Relationship Id="rId5" Type="http://schemas.openxmlformats.org/officeDocument/2006/relationships/image" Target="../media/image27.jpeg"/><Relationship Id="rId4" Type="http://schemas.openxmlformats.org/officeDocument/2006/relationships/image" Target="../media/image26.jpeg"/></Relationships>
</file>

<file path=xl/drawings/_rels/drawing9.xml.rels><?xml version="1.0" encoding="UTF-8" standalone="yes"?>
<Relationships xmlns="http://schemas.openxmlformats.org/package/2006/relationships"><Relationship Id="rId3" Type="http://schemas.openxmlformats.org/officeDocument/2006/relationships/image" Target="../media/image24.jpeg"/><Relationship Id="rId2" Type="http://schemas.openxmlformats.org/officeDocument/2006/relationships/image" Target="../media/image19.jpeg"/><Relationship Id="rId1" Type="http://schemas.openxmlformats.org/officeDocument/2006/relationships/image" Target="../media/image28.png"/><Relationship Id="rId5" Type="http://schemas.openxmlformats.org/officeDocument/2006/relationships/image" Target="../media/image29.jpeg"/><Relationship Id="rId4" Type="http://schemas.openxmlformats.org/officeDocument/2006/relationships/image" Target="../media/image26.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19.jpeg"/><Relationship Id="rId2" Type="http://schemas.openxmlformats.org/officeDocument/2006/relationships/image" Target="../media/image24.jpeg"/><Relationship Id="rId1" Type="http://schemas.openxmlformats.org/officeDocument/2006/relationships/image" Target="../media/image30.png"/><Relationship Id="rId5" Type="http://schemas.openxmlformats.org/officeDocument/2006/relationships/image" Target="../media/image32.jpeg"/><Relationship Id="rId4" Type="http://schemas.openxmlformats.org/officeDocument/2006/relationships/image" Target="../media/image31.jpeg"/></Relationships>
</file>

<file path=xl/drawings/drawing1.xml><?xml version="1.0" encoding="utf-8"?>
<xdr:wsDr xmlns:xdr="http://schemas.openxmlformats.org/drawingml/2006/spreadsheetDrawing" xmlns:a="http://schemas.openxmlformats.org/drawingml/2006/main">
  <xdr:oneCellAnchor>
    <xdr:from>
      <xdr:col>1</xdr:col>
      <xdr:colOff>0</xdr:colOff>
      <xdr:row>404</xdr:row>
      <xdr:rowOff>0</xdr:rowOff>
    </xdr:from>
    <xdr:ext cx="2540" cy="296545"/>
    <xdr:sp macro="" textlink="">
      <xdr:nvSpPr>
        <xdr:cNvPr id="8" name="Shape 16">
          <a:extLst>
            <a:ext uri="{FF2B5EF4-FFF2-40B4-BE49-F238E27FC236}">
              <a16:creationId xmlns:a16="http://schemas.microsoft.com/office/drawing/2014/main" id="{00000000-0008-0000-0300-000008000000}"/>
            </a:ext>
          </a:extLst>
        </xdr:cNvPr>
        <xdr:cNvSpPr/>
      </xdr:nvSpPr>
      <xdr:spPr>
        <a:xfrm>
          <a:off x="1026298" y="100157280"/>
          <a:ext cx="2540" cy="296545"/>
        </a:xfrm>
        <a:custGeom>
          <a:avLst/>
          <a:gdLst/>
          <a:ahLst/>
          <a:cxnLst/>
          <a:rect l="0" t="0" r="0" b="0"/>
          <a:pathLst>
            <a:path w="2540" h="296545">
              <a:moveTo>
                <a:pt x="2452" y="0"/>
              </a:moveTo>
              <a:lnTo>
                <a:pt x="0" y="0"/>
              </a:lnTo>
              <a:lnTo>
                <a:pt x="0" y="296244"/>
              </a:lnTo>
              <a:lnTo>
                <a:pt x="2452" y="296244"/>
              </a:lnTo>
              <a:lnTo>
                <a:pt x="2452" y="0"/>
              </a:lnTo>
              <a:close/>
            </a:path>
          </a:pathLst>
        </a:custGeom>
        <a:solidFill>
          <a:srgbClr val="003050"/>
        </a:solidFill>
      </xdr:spPr>
    </xdr:sp>
    <xdr:clientData/>
  </xdr:oneCellAnchor>
  <xdr:oneCellAnchor>
    <xdr:from>
      <xdr:col>1</xdr:col>
      <xdr:colOff>0</xdr:colOff>
      <xdr:row>404</xdr:row>
      <xdr:rowOff>0</xdr:rowOff>
    </xdr:from>
    <xdr:ext cx="2540" cy="296545"/>
    <xdr:sp macro="" textlink="">
      <xdr:nvSpPr>
        <xdr:cNvPr id="9" name="Shape 20">
          <a:extLst>
            <a:ext uri="{FF2B5EF4-FFF2-40B4-BE49-F238E27FC236}">
              <a16:creationId xmlns:a16="http://schemas.microsoft.com/office/drawing/2014/main" id="{00000000-0008-0000-0300-000009000000}"/>
            </a:ext>
          </a:extLst>
        </xdr:cNvPr>
        <xdr:cNvSpPr/>
      </xdr:nvSpPr>
      <xdr:spPr>
        <a:xfrm>
          <a:off x="1026298" y="100157280"/>
          <a:ext cx="2540" cy="296545"/>
        </a:xfrm>
        <a:custGeom>
          <a:avLst/>
          <a:gdLst/>
          <a:ahLst/>
          <a:cxnLst/>
          <a:rect l="0" t="0" r="0" b="0"/>
          <a:pathLst>
            <a:path w="2540" h="296545">
              <a:moveTo>
                <a:pt x="2452" y="0"/>
              </a:moveTo>
              <a:lnTo>
                <a:pt x="0" y="0"/>
              </a:lnTo>
              <a:lnTo>
                <a:pt x="0" y="296244"/>
              </a:lnTo>
              <a:lnTo>
                <a:pt x="2452" y="296244"/>
              </a:lnTo>
              <a:lnTo>
                <a:pt x="2452" y="0"/>
              </a:lnTo>
              <a:close/>
            </a:path>
          </a:pathLst>
        </a:custGeom>
        <a:solidFill>
          <a:srgbClr val="003050"/>
        </a:solidFill>
      </xdr:spPr>
    </xdr:sp>
    <xdr:clientData/>
  </xdr:oneCellAnchor>
  <xdr:oneCellAnchor>
    <xdr:from>
      <xdr:col>1</xdr:col>
      <xdr:colOff>0</xdr:colOff>
      <xdr:row>404</xdr:row>
      <xdr:rowOff>0</xdr:rowOff>
    </xdr:from>
    <xdr:ext cx="2540" cy="296545"/>
    <xdr:sp macro="" textlink="">
      <xdr:nvSpPr>
        <xdr:cNvPr id="10" name="Shape 24">
          <a:extLst>
            <a:ext uri="{FF2B5EF4-FFF2-40B4-BE49-F238E27FC236}">
              <a16:creationId xmlns:a16="http://schemas.microsoft.com/office/drawing/2014/main" id="{00000000-0008-0000-0300-00000A000000}"/>
            </a:ext>
          </a:extLst>
        </xdr:cNvPr>
        <xdr:cNvSpPr/>
      </xdr:nvSpPr>
      <xdr:spPr>
        <a:xfrm>
          <a:off x="1026298" y="100157280"/>
          <a:ext cx="2540" cy="296545"/>
        </a:xfrm>
        <a:custGeom>
          <a:avLst/>
          <a:gdLst/>
          <a:ahLst/>
          <a:cxnLst/>
          <a:rect l="0" t="0" r="0" b="0"/>
          <a:pathLst>
            <a:path w="2540" h="296545">
              <a:moveTo>
                <a:pt x="2452" y="0"/>
              </a:moveTo>
              <a:lnTo>
                <a:pt x="0" y="0"/>
              </a:lnTo>
              <a:lnTo>
                <a:pt x="0" y="296244"/>
              </a:lnTo>
              <a:lnTo>
                <a:pt x="2452" y="296244"/>
              </a:lnTo>
              <a:lnTo>
                <a:pt x="2452" y="0"/>
              </a:lnTo>
              <a:close/>
            </a:path>
          </a:pathLst>
        </a:custGeom>
        <a:solidFill>
          <a:srgbClr val="003050"/>
        </a:solidFill>
      </xdr:spPr>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78521</xdr:colOff>
      <xdr:row>0</xdr:row>
      <xdr:rowOff>167597</xdr:rowOff>
    </xdr:from>
    <xdr:ext cx="392449" cy="279767"/>
    <xdr:pic>
      <xdr:nvPicPr>
        <xdr:cNvPr id="6" name="image9.png">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521" y="167597"/>
          <a:ext cx="392449" cy="279767"/>
        </a:xfrm>
        <a:prstGeom prst="rect">
          <a:avLst/>
        </a:prstGeom>
      </xdr:spPr>
    </xdr:pic>
    <xdr:clientData/>
  </xdr:oneCellAnchor>
  <xdr:oneCellAnchor>
    <xdr:from>
      <xdr:col>1</xdr:col>
      <xdr:colOff>247917</xdr:colOff>
      <xdr:row>0</xdr:row>
      <xdr:rowOff>169779</xdr:rowOff>
    </xdr:from>
    <xdr:ext cx="1528484" cy="257993"/>
    <xdr:pic>
      <xdr:nvPicPr>
        <xdr:cNvPr id="8" name="image8.jpeg">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7219" y="169779"/>
          <a:ext cx="1528484" cy="257993"/>
        </a:xfrm>
        <a:prstGeom prst="rect">
          <a:avLst/>
        </a:prstGeom>
      </xdr:spPr>
    </xdr:pic>
    <xdr:clientData/>
  </xdr:oneCellAnchor>
  <xdr:oneCellAnchor>
    <xdr:from>
      <xdr:col>3</xdr:col>
      <xdr:colOff>858229</xdr:colOff>
      <xdr:row>0</xdr:row>
      <xdr:rowOff>89076</xdr:rowOff>
    </xdr:from>
    <xdr:ext cx="448994" cy="432702"/>
    <xdr:pic>
      <xdr:nvPicPr>
        <xdr:cNvPr id="9" name="image7.jpeg">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85178" y="89076"/>
          <a:ext cx="448994" cy="432702"/>
        </a:xfrm>
        <a:prstGeom prst="rect">
          <a:avLst/>
        </a:prstGeom>
      </xdr:spPr>
    </xdr:pic>
    <xdr:clientData/>
  </xdr:oneCellAnchor>
  <xdr:twoCellAnchor editAs="oneCell">
    <xdr:from>
      <xdr:col>4</xdr:col>
      <xdr:colOff>51422</xdr:colOff>
      <xdr:row>0</xdr:row>
      <xdr:rowOff>119105</xdr:rowOff>
    </xdr:from>
    <xdr:to>
      <xdr:col>4</xdr:col>
      <xdr:colOff>977656</xdr:colOff>
      <xdr:row>1</xdr:row>
      <xdr:rowOff>335982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562558" y="119105"/>
          <a:ext cx="926234" cy="393522"/>
        </a:xfrm>
        <a:prstGeom prst="rect">
          <a:avLst/>
        </a:prstGeom>
      </xdr:spPr>
    </xdr:pic>
    <xdr:clientData/>
  </xdr:twoCellAnchor>
  <xdr:twoCellAnchor editAs="oneCell">
    <xdr:from>
      <xdr:col>4</xdr:col>
      <xdr:colOff>1013153</xdr:colOff>
      <xdr:row>0</xdr:row>
      <xdr:rowOff>143098</xdr:rowOff>
    </xdr:from>
    <xdr:to>
      <xdr:col>4</xdr:col>
      <xdr:colOff>1394879</xdr:colOff>
      <xdr:row>1</xdr:row>
      <xdr:rowOff>354113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524289" y="143098"/>
          <a:ext cx="381726" cy="3876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22860</xdr:colOff>
      <xdr:row>9</xdr:row>
      <xdr:rowOff>76200</xdr:rowOff>
    </xdr:from>
    <xdr:to>
      <xdr:col>12</xdr:col>
      <xdr:colOff>0</xdr:colOff>
      <xdr:row>28</xdr:row>
      <xdr:rowOff>106680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1</xdr:col>
      <xdr:colOff>423621</xdr:colOff>
      <xdr:row>19</xdr:row>
      <xdr:rowOff>97535</xdr:rowOff>
    </xdr:from>
    <xdr:ext cx="20320" cy="0"/>
    <xdr:sp macro="" textlink="">
      <xdr:nvSpPr>
        <xdr:cNvPr id="2" name="Shape 9">
          <a:extLst>
            <a:ext uri="{FF2B5EF4-FFF2-40B4-BE49-F238E27FC236}">
              <a16:creationId xmlns:a16="http://schemas.microsoft.com/office/drawing/2014/main" id="{7C400F3D-7782-488C-BD8E-641E0922DF49}"/>
            </a:ext>
          </a:extLst>
        </xdr:cNvPr>
        <xdr:cNvSpPr/>
      </xdr:nvSpPr>
      <xdr:spPr>
        <a:xfrm>
          <a:off x="604596" y="3974210"/>
          <a:ext cx="20320" cy="0"/>
        </a:xfrm>
        <a:custGeom>
          <a:avLst/>
          <a:gdLst/>
          <a:ahLst/>
          <a:cxnLst/>
          <a:rect l="0" t="0" r="0" b="0"/>
          <a:pathLst>
            <a:path w="20320">
              <a:moveTo>
                <a:pt x="0" y="0"/>
              </a:moveTo>
              <a:lnTo>
                <a:pt x="19812" y="0"/>
              </a:lnTo>
            </a:path>
          </a:pathLst>
        </a:custGeom>
        <a:ln w="3175">
          <a:solidFill>
            <a:srgbClr val="000000"/>
          </a:solidFill>
        </a:ln>
      </xdr:spPr>
    </xdr:sp>
    <xdr:clientData/>
  </xdr:oneCellAnchor>
  <xdr:oneCellAnchor>
    <xdr:from>
      <xdr:col>4</xdr:col>
      <xdr:colOff>343662</xdr:colOff>
      <xdr:row>3</xdr:row>
      <xdr:rowOff>-126</xdr:rowOff>
    </xdr:from>
    <xdr:ext cx="318770" cy="363347"/>
    <xdr:pic>
      <xdr:nvPicPr>
        <xdr:cNvPr id="3" name="image7.png">
          <a:extLst>
            <a:ext uri="{FF2B5EF4-FFF2-40B4-BE49-F238E27FC236}">
              <a16:creationId xmlns:a16="http://schemas.microsoft.com/office/drawing/2014/main" id="{F2D98DB5-072C-4CDD-AFC4-CD9CA11016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91662" y="2076324"/>
          <a:ext cx="318770" cy="363347"/>
        </a:xfrm>
        <a:prstGeom prst="rect">
          <a:avLst/>
        </a:prstGeom>
      </xdr:spPr>
    </xdr:pic>
    <xdr:clientData/>
  </xdr:oneCellAnchor>
  <xdr:oneCellAnchor>
    <xdr:from>
      <xdr:col>19</xdr:col>
      <xdr:colOff>94944</xdr:colOff>
      <xdr:row>52</xdr:row>
      <xdr:rowOff>69803</xdr:rowOff>
    </xdr:from>
    <xdr:ext cx="488315" cy="419734"/>
    <xdr:grpSp>
      <xdr:nvGrpSpPr>
        <xdr:cNvPr id="4" name="Group 11">
          <a:extLst>
            <a:ext uri="{FF2B5EF4-FFF2-40B4-BE49-F238E27FC236}">
              <a16:creationId xmlns:a16="http://schemas.microsoft.com/office/drawing/2014/main" id="{BF8564B1-6B6F-4EE0-98E8-381EE39ABC1B}"/>
            </a:ext>
          </a:extLst>
        </xdr:cNvPr>
        <xdr:cNvGrpSpPr/>
      </xdr:nvGrpSpPr>
      <xdr:grpSpPr>
        <a:xfrm>
          <a:off x="5909957" y="7918403"/>
          <a:ext cx="488315" cy="419734"/>
          <a:chOff x="0" y="0"/>
          <a:chExt cx="488315" cy="419734"/>
        </a:xfrm>
      </xdr:grpSpPr>
      <xdr:sp macro="" textlink="">
        <xdr:nvSpPr>
          <xdr:cNvPr id="5" name="Shape 12">
            <a:extLst>
              <a:ext uri="{FF2B5EF4-FFF2-40B4-BE49-F238E27FC236}">
                <a16:creationId xmlns:a16="http://schemas.microsoft.com/office/drawing/2014/main" id="{F20F41CD-BDEF-C7AF-7ADE-3CEBDC8847CA}"/>
              </a:ext>
            </a:extLst>
          </xdr:cNvPr>
          <xdr:cNvSpPr/>
        </xdr:nvSpPr>
        <xdr:spPr>
          <a:xfrm>
            <a:off x="-11" y="7"/>
            <a:ext cx="485775" cy="292735"/>
          </a:xfrm>
          <a:custGeom>
            <a:avLst/>
            <a:gdLst/>
            <a:ahLst/>
            <a:cxnLst/>
            <a:rect l="0" t="0" r="0" b="0"/>
            <a:pathLst>
              <a:path w="485775" h="292735">
                <a:moveTo>
                  <a:pt x="197065" y="211340"/>
                </a:moveTo>
                <a:lnTo>
                  <a:pt x="152336" y="211340"/>
                </a:lnTo>
                <a:lnTo>
                  <a:pt x="149504" y="236499"/>
                </a:lnTo>
                <a:lnTo>
                  <a:pt x="77584" y="237756"/>
                </a:lnTo>
                <a:lnTo>
                  <a:pt x="96062" y="208902"/>
                </a:lnTo>
                <a:lnTo>
                  <a:pt x="125387" y="181546"/>
                </a:lnTo>
                <a:lnTo>
                  <a:pt x="156972" y="152844"/>
                </a:lnTo>
                <a:lnTo>
                  <a:pt x="182219" y="119913"/>
                </a:lnTo>
                <a:lnTo>
                  <a:pt x="192544" y="79883"/>
                </a:lnTo>
                <a:lnTo>
                  <a:pt x="188620" y="56591"/>
                </a:lnTo>
                <a:lnTo>
                  <a:pt x="187096" y="47485"/>
                </a:lnTo>
                <a:lnTo>
                  <a:pt x="170599" y="22237"/>
                </a:lnTo>
                <a:lnTo>
                  <a:pt x="142849" y="5842"/>
                </a:lnTo>
                <a:lnTo>
                  <a:pt x="103632" y="0"/>
                </a:lnTo>
                <a:lnTo>
                  <a:pt x="75895" y="2324"/>
                </a:lnTo>
                <a:lnTo>
                  <a:pt x="51181" y="8255"/>
                </a:lnTo>
                <a:lnTo>
                  <a:pt x="29337" y="16179"/>
                </a:lnTo>
                <a:lnTo>
                  <a:pt x="10198" y="24523"/>
                </a:lnTo>
                <a:lnTo>
                  <a:pt x="9626" y="25158"/>
                </a:lnTo>
                <a:lnTo>
                  <a:pt x="9626" y="105651"/>
                </a:lnTo>
                <a:lnTo>
                  <a:pt x="53797" y="105651"/>
                </a:lnTo>
                <a:lnTo>
                  <a:pt x="58902" y="61010"/>
                </a:lnTo>
                <a:lnTo>
                  <a:pt x="62268" y="60325"/>
                </a:lnTo>
                <a:lnTo>
                  <a:pt x="70573" y="58801"/>
                </a:lnTo>
                <a:lnTo>
                  <a:pt x="81114" y="57289"/>
                </a:lnTo>
                <a:lnTo>
                  <a:pt x="91173" y="56591"/>
                </a:lnTo>
                <a:lnTo>
                  <a:pt x="104394" y="58039"/>
                </a:lnTo>
                <a:lnTo>
                  <a:pt x="115811" y="62966"/>
                </a:lnTo>
                <a:lnTo>
                  <a:pt x="123825" y="72263"/>
                </a:lnTo>
                <a:lnTo>
                  <a:pt x="126847" y="86804"/>
                </a:lnTo>
                <a:lnTo>
                  <a:pt x="118160" y="111074"/>
                </a:lnTo>
                <a:lnTo>
                  <a:pt x="96227" y="132994"/>
                </a:lnTo>
                <a:lnTo>
                  <a:pt x="67246" y="157327"/>
                </a:lnTo>
                <a:lnTo>
                  <a:pt x="37426" y="188836"/>
                </a:lnTo>
                <a:lnTo>
                  <a:pt x="12941" y="232295"/>
                </a:lnTo>
                <a:lnTo>
                  <a:pt x="0" y="292481"/>
                </a:lnTo>
                <a:lnTo>
                  <a:pt x="197065" y="292481"/>
                </a:lnTo>
                <a:lnTo>
                  <a:pt x="197065" y="237756"/>
                </a:lnTo>
                <a:lnTo>
                  <a:pt x="197065" y="211340"/>
                </a:lnTo>
                <a:close/>
              </a:path>
              <a:path w="485775" h="292735">
                <a:moveTo>
                  <a:pt x="485292" y="3136"/>
                </a:moveTo>
                <a:lnTo>
                  <a:pt x="374307" y="3136"/>
                </a:lnTo>
                <a:lnTo>
                  <a:pt x="374307" y="53454"/>
                </a:lnTo>
                <a:lnTo>
                  <a:pt x="399237" y="57226"/>
                </a:lnTo>
                <a:lnTo>
                  <a:pt x="399237" y="116992"/>
                </a:lnTo>
                <a:lnTo>
                  <a:pt x="300697" y="116992"/>
                </a:lnTo>
                <a:lnTo>
                  <a:pt x="300697" y="57226"/>
                </a:lnTo>
                <a:lnTo>
                  <a:pt x="325615" y="53454"/>
                </a:lnTo>
                <a:lnTo>
                  <a:pt x="325615" y="3136"/>
                </a:lnTo>
                <a:lnTo>
                  <a:pt x="214617" y="3136"/>
                </a:lnTo>
                <a:lnTo>
                  <a:pt x="214617" y="53454"/>
                </a:lnTo>
                <a:lnTo>
                  <a:pt x="240106" y="57226"/>
                </a:lnTo>
                <a:lnTo>
                  <a:pt x="240106" y="239636"/>
                </a:lnTo>
                <a:lnTo>
                  <a:pt x="214617" y="243408"/>
                </a:lnTo>
                <a:lnTo>
                  <a:pt x="214617" y="292481"/>
                </a:lnTo>
                <a:lnTo>
                  <a:pt x="325615" y="292481"/>
                </a:lnTo>
                <a:lnTo>
                  <a:pt x="325615" y="243408"/>
                </a:lnTo>
                <a:lnTo>
                  <a:pt x="300697" y="239636"/>
                </a:lnTo>
                <a:lnTo>
                  <a:pt x="300697" y="174218"/>
                </a:lnTo>
                <a:lnTo>
                  <a:pt x="399237" y="174218"/>
                </a:lnTo>
                <a:lnTo>
                  <a:pt x="399237" y="239636"/>
                </a:lnTo>
                <a:lnTo>
                  <a:pt x="374307" y="243408"/>
                </a:lnTo>
                <a:lnTo>
                  <a:pt x="374319" y="292481"/>
                </a:lnTo>
                <a:lnTo>
                  <a:pt x="485292" y="292481"/>
                </a:lnTo>
                <a:lnTo>
                  <a:pt x="485292" y="243408"/>
                </a:lnTo>
                <a:lnTo>
                  <a:pt x="459816" y="239636"/>
                </a:lnTo>
                <a:lnTo>
                  <a:pt x="459816" y="57226"/>
                </a:lnTo>
                <a:lnTo>
                  <a:pt x="485292" y="53454"/>
                </a:lnTo>
                <a:lnTo>
                  <a:pt x="485292" y="3136"/>
                </a:lnTo>
                <a:close/>
              </a:path>
            </a:pathLst>
          </a:custGeom>
          <a:solidFill>
            <a:srgbClr val="003050"/>
          </a:solidFill>
        </xdr:spPr>
      </xdr:sp>
      <xdr:pic>
        <xdr:nvPicPr>
          <xdr:cNvPr id="6" name="image8.png">
            <a:extLst>
              <a:ext uri="{FF2B5EF4-FFF2-40B4-BE49-F238E27FC236}">
                <a16:creationId xmlns:a16="http://schemas.microsoft.com/office/drawing/2014/main" id="{A6D4EB71-7D1D-3A55-A29F-5219A781152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11978"/>
            <a:ext cx="488118" cy="107558"/>
          </a:xfrm>
          <a:prstGeom prst="rect">
            <a:avLst/>
          </a:prstGeom>
        </xdr:spPr>
      </xdr:pic>
    </xdr:grpSp>
    <xdr:clientData/>
  </xdr:oneCellAnchor>
  <xdr:oneCellAnchor>
    <xdr:from>
      <xdr:col>28</xdr:col>
      <xdr:colOff>30479</xdr:colOff>
      <xdr:row>52</xdr:row>
      <xdr:rowOff>114832</xdr:rowOff>
    </xdr:from>
    <xdr:ext cx="1653557" cy="314553"/>
    <xdr:pic>
      <xdr:nvPicPr>
        <xdr:cNvPr id="7" name="image9.jpeg">
          <a:extLst>
            <a:ext uri="{FF2B5EF4-FFF2-40B4-BE49-F238E27FC236}">
              <a16:creationId xmlns:a16="http://schemas.microsoft.com/office/drawing/2014/main" id="{A7BE1699-D461-4759-9DDD-B8EF4CBCEFA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059929" y="8077732"/>
          <a:ext cx="1653557" cy="314553"/>
        </a:xfrm>
        <a:prstGeom prst="rect">
          <a:avLst/>
        </a:prstGeom>
      </xdr:spPr>
    </xdr:pic>
    <xdr:clientData/>
  </xdr:oneCellAnchor>
  <xdr:oneCellAnchor>
    <xdr:from>
      <xdr:col>23</xdr:col>
      <xdr:colOff>124205</xdr:colOff>
      <xdr:row>52</xdr:row>
      <xdr:rowOff>98526</xdr:rowOff>
    </xdr:from>
    <xdr:ext cx="453491" cy="352704"/>
    <xdr:pic>
      <xdr:nvPicPr>
        <xdr:cNvPr id="8" name="image3.png">
          <a:extLst>
            <a:ext uri="{FF2B5EF4-FFF2-40B4-BE49-F238E27FC236}">
              <a16:creationId xmlns:a16="http://schemas.microsoft.com/office/drawing/2014/main" id="{F4DAF210-D3C8-4975-AA40-6E05419E6D6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420230" y="8061426"/>
          <a:ext cx="453491" cy="352704"/>
        </a:xfrm>
        <a:prstGeom prst="rect">
          <a:avLst/>
        </a:prstGeom>
      </xdr:spPr>
    </xdr:pic>
    <xdr:clientData/>
  </xdr:oneCellAnchor>
  <xdr:oneCellAnchor>
    <xdr:from>
      <xdr:col>51</xdr:col>
      <xdr:colOff>79446</xdr:colOff>
      <xdr:row>45</xdr:row>
      <xdr:rowOff>16227</xdr:rowOff>
    </xdr:from>
    <xdr:ext cx="95907" cy="64779"/>
    <xdr:pic>
      <xdr:nvPicPr>
        <xdr:cNvPr id="9" name="image4.jpeg">
          <a:extLst>
            <a:ext uri="{FF2B5EF4-FFF2-40B4-BE49-F238E27FC236}">
              <a16:creationId xmlns:a16="http://schemas.microsoft.com/office/drawing/2014/main" id="{BB312890-BA73-4BDE-9529-E59C79A5412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595046" y="6969477"/>
          <a:ext cx="95907" cy="64779"/>
        </a:xfrm>
        <a:prstGeom prst="rect">
          <a:avLst/>
        </a:prstGeom>
      </xdr:spPr>
    </xdr:pic>
    <xdr:clientData/>
  </xdr:oneCellAnchor>
  <xdr:oneCellAnchor>
    <xdr:from>
      <xdr:col>55</xdr:col>
      <xdr:colOff>156065</xdr:colOff>
      <xdr:row>45</xdr:row>
      <xdr:rowOff>22763</xdr:rowOff>
    </xdr:from>
    <xdr:ext cx="82827" cy="60325"/>
    <xdr:pic>
      <xdr:nvPicPr>
        <xdr:cNvPr id="10" name="image5.jpeg">
          <a:extLst>
            <a:ext uri="{FF2B5EF4-FFF2-40B4-BE49-F238E27FC236}">
              <a16:creationId xmlns:a16="http://schemas.microsoft.com/office/drawing/2014/main" id="{B449D1FE-CD43-4557-BC15-C47E176E5F7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309840" y="6976013"/>
          <a:ext cx="82827" cy="60325"/>
        </a:xfrm>
        <a:prstGeom prst="rect">
          <a:avLst/>
        </a:prstGeom>
      </xdr:spPr>
    </xdr:pic>
    <xdr:clientData/>
  </xdr:oneCellAnchor>
  <xdr:oneCellAnchor>
    <xdr:from>
      <xdr:col>46</xdr:col>
      <xdr:colOff>78284</xdr:colOff>
      <xdr:row>45</xdr:row>
      <xdr:rowOff>12465</xdr:rowOff>
    </xdr:from>
    <xdr:ext cx="92233" cy="76192"/>
    <xdr:pic>
      <xdr:nvPicPr>
        <xdr:cNvPr id="11" name="image6.png">
          <a:extLst>
            <a:ext uri="{FF2B5EF4-FFF2-40B4-BE49-F238E27FC236}">
              <a16:creationId xmlns:a16="http://schemas.microsoft.com/office/drawing/2014/main" id="{7BF268CC-2F6B-4594-8721-4FAFE92EF14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803309" y="6965715"/>
          <a:ext cx="92233" cy="76192"/>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19</xdr:col>
      <xdr:colOff>102647</xdr:colOff>
      <xdr:row>55</xdr:row>
      <xdr:rowOff>75918</xdr:rowOff>
    </xdr:from>
    <xdr:ext cx="1047115" cy="452755"/>
    <xdr:grpSp>
      <xdr:nvGrpSpPr>
        <xdr:cNvPr id="2" name="Group 24">
          <a:extLst>
            <a:ext uri="{FF2B5EF4-FFF2-40B4-BE49-F238E27FC236}">
              <a16:creationId xmlns:a16="http://schemas.microsoft.com/office/drawing/2014/main" id="{A64F1372-7571-4D38-BDA5-765B489503FF}"/>
            </a:ext>
          </a:extLst>
        </xdr:cNvPr>
        <xdr:cNvGrpSpPr/>
      </xdr:nvGrpSpPr>
      <xdr:grpSpPr>
        <a:xfrm>
          <a:off x="6520864" y="7504329"/>
          <a:ext cx="1047115" cy="452755"/>
          <a:chOff x="0" y="0"/>
          <a:chExt cx="1047115" cy="452755"/>
        </a:xfrm>
      </xdr:grpSpPr>
      <xdr:sp macro="" textlink="">
        <xdr:nvSpPr>
          <xdr:cNvPr id="3" name="Shape 25">
            <a:extLst>
              <a:ext uri="{FF2B5EF4-FFF2-40B4-BE49-F238E27FC236}">
                <a16:creationId xmlns:a16="http://schemas.microsoft.com/office/drawing/2014/main" id="{DA09FE83-3ECC-F6EF-153D-E7A3752AE90E}"/>
              </a:ext>
            </a:extLst>
          </xdr:cNvPr>
          <xdr:cNvSpPr/>
        </xdr:nvSpPr>
        <xdr:spPr>
          <a:xfrm>
            <a:off x="-5" y="1"/>
            <a:ext cx="526415" cy="452755"/>
          </a:xfrm>
          <a:custGeom>
            <a:avLst/>
            <a:gdLst/>
            <a:ahLst/>
            <a:cxnLst/>
            <a:rect l="0" t="0" r="0" b="0"/>
            <a:pathLst>
              <a:path w="526415" h="452755">
                <a:moveTo>
                  <a:pt x="71450" y="412419"/>
                </a:moveTo>
                <a:lnTo>
                  <a:pt x="70878" y="404152"/>
                </a:lnTo>
                <a:lnTo>
                  <a:pt x="69164" y="396646"/>
                </a:lnTo>
                <a:lnTo>
                  <a:pt x="66344" y="390042"/>
                </a:lnTo>
                <a:lnTo>
                  <a:pt x="66294" y="389915"/>
                </a:lnTo>
                <a:lnTo>
                  <a:pt x="62293" y="383933"/>
                </a:lnTo>
                <a:lnTo>
                  <a:pt x="57150" y="378980"/>
                </a:lnTo>
                <a:lnTo>
                  <a:pt x="51295" y="375564"/>
                </a:lnTo>
                <a:lnTo>
                  <a:pt x="51295" y="412419"/>
                </a:lnTo>
                <a:lnTo>
                  <a:pt x="50368" y="421855"/>
                </a:lnTo>
                <a:lnTo>
                  <a:pt x="47561" y="429387"/>
                </a:lnTo>
                <a:lnTo>
                  <a:pt x="42799" y="434365"/>
                </a:lnTo>
                <a:lnTo>
                  <a:pt x="36029" y="436168"/>
                </a:lnTo>
                <a:lnTo>
                  <a:pt x="29425" y="434454"/>
                </a:lnTo>
                <a:lnTo>
                  <a:pt x="24422" y="429641"/>
                </a:lnTo>
                <a:lnTo>
                  <a:pt x="21259" y="422135"/>
                </a:lnTo>
                <a:lnTo>
                  <a:pt x="20154" y="412419"/>
                </a:lnTo>
                <a:lnTo>
                  <a:pt x="21082" y="403491"/>
                </a:lnTo>
                <a:lnTo>
                  <a:pt x="23888" y="396392"/>
                </a:lnTo>
                <a:lnTo>
                  <a:pt x="28651" y="391718"/>
                </a:lnTo>
                <a:lnTo>
                  <a:pt x="35420" y="390042"/>
                </a:lnTo>
                <a:lnTo>
                  <a:pt x="42278" y="391629"/>
                </a:lnTo>
                <a:lnTo>
                  <a:pt x="47256" y="396138"/>
                </a:lnTo>
                <a:lnTo>
                  <a:pt x="50279" y="403199"/>
                </a:lnTo>
                <a:lnTo>
                  <a:pt x="51295" y="412419"/>
                </a:lnTo>
                <a:lnTo>
                  <a:pt x="51295" y="375564"/>
                </a:lnTo>
                <a:lnTo>
                  <a:pt x="50990" y="375373"/>
                </a:lnTo>
                <a:lnTo>
                  <a:pt x="43916" y="373151"/>
                </a:lnTo>
                <a:lnTo>
                  <a:pt x="36029" y="372402"/>
                </a:lnTo>
                <a:lnTo>
                  <a:pt x="28498" y="373151"/>
                </a:lnTo>
                <a:lnTo>
                  <a:pt x="762" y="404723"/>
                </a:lnTo>
                <a:lnTo>
                  <a:pt x="0" y="413105"/>
                </a:lnTo>
                <a:lnTo>
                  <a:pt x="774" y="421855"/>
                </a:lnTo>
                <a:lnTo>
                  <a:pt x="28613" y="451815"/>
                </a:lnTo>
                <a:lnTo>
                  <a:pt x="36029" y="452437"/>
                </a:lnTo>
                <a:lnTo>
                  <a:pt x="43561" y="451688"/>
                </a:lnTo>
                <a:lnTo>
                  <a:pt x="50457" y="449478"/>
                </a:lnTo>
                <a:lnTo>
                  <a:pt x="56553" y="445858"/>
                </a:lnTo>
                <a:lnTo>
                  <a:pt x="61683" y="440905"/>
                </a:lnTo>
                <a:lnTo>
                  <a:pt x="65252" y="436168"/>
                </a:lnTo>
                <a:lnTo>
                  <a:pt x="66040" y="435127"/>
                </a:lnTo>
                <a:lnTo>
                  <a:pt x="69088" y="428193"/>
                </a:lnTo>
                <a:lnTo>
                  <a:pt x="70866" y="420497"/>
                </a:lnTo>
                <a:lnTo>
                  <a:pt x="71450" y="412419"/>
                </a:lnTo>
                <a:close/>
              </a:path>
              <a:path w="526415" h="452755">
                <a:moveTo>
                  <a:pt x="178320" y="339839"/>
                </a:moveTo>
                <a:lnTo>
                  <a:pt x="173431" y="337121"/>
                </a:lnTo>
                <a:lnTo>
                  <a:pt x="167944" y="336448"/>
                </a:lnTo>
                <a:lnTo>
                  <a:pt x="163664" y="336448"/>
                </a:lnTo>
                <a:lnTo>
                  <a:pt x="155536" y="337566"/>
                </a:lnTo>
                <a:lnTo>
                  <a:pt x="147180" y="341795"/>
                </a:lnTo>
                <a:lnTo>
                  <a:pt x="140652" y="350469"/>
                </a:lnTo>
                <a:lnTo>
                  <a:pt x="138010" y="364934"/>
                </a:lnTo>
                <a:lnTo>
                  <a:pt x="138010" y="374434"/>
                </a:lnTo>
                <a:lnTo>
                  <a:pt x="106260" y="374434"/>
                </a:lnTo>
                <a:lnTo>
                  <a:pt x="106260" y="357479"/>
                </a:lnTo>
                <a:lnTo>
                  <a:pt x="109308" y="353402"/>
                </a:lnTo>
                <a:lnTo>
                  <a:pt x="117246" y="353402"/>
                </a:lnTo>
                <a:lnTo>
                  <a:pt x="123355" y="356120"/>
                </a:lnTo>
                <a:lnTo>
                  <a:pt x="123964" y="353402"/>
                </a:lnTo>
                <a:lnTo>
                  <a:pt x="127025" y="339839"/>
                </a:lnTo>
                <a:lnTo>
                  <a:pt x="122135" y="337121"/>
                </a:lnTo>
                <a:lnTo>
                  <a:pt x="116636" y="336448"/>
                </a:lnTo>
                <a:lnTo>
                  <a:pt x="112369" y="336448"/>
                </a:lnTo>
                <a:lnTo>
                  <a:pt x="104241" y="337566"/>
                </a:lnTo>
                <a:lnTo>
                  <a:pt x="95872" y="341795"/>
                </a:lnTo>
                <a:lnTo>
                  <a:pt x="89344" y="350469"/>
                </a:lnTo>
                <a:lnTo>
                  <a:pt x="86715" y="364934"/>
                </a:lnTo>
                <a:lnTo>
                  <a:pt x="86715" y="374434"/>
                </a:lnTo>
                <a:lnTo>
                  <a:pt x="76339" y="374434"/>
                </a:lnTo>
                <a:lnTo>
                  <a:pt x="76339" y="390715"/>
                </a:lnTo>
                <a:lnTo>
                  <a:pt x="86715" y="390715"/>
                </a:lnTo>
                <a:lnTo>
                  <a:pt x="86715" y="436841"/>
                </a:lnTo>
                <a:lnTo>
                  <a:pt x="75730" y="438200"/>
                </a:lnTo>
                <a:lnTo>
                  <a:pt x="75730" y="451091"/>
                </a:lnTo>
                <a:lnTo>
                  <a:pt x="117856" y="451091"/>
                </a:lnTo>
                <a:lnTo>
                  <a:pt x="117856" y="438200"/>
                </a:lnTo>
                <a:lnTo>
                  <a:pt x="106260" y="436841"/>
                </a:lnTo>
                <a:lnTo>
                  <a:pt x="106260" y="390715"/>
                </a:lnTo>
                <a:lnTo>
                  <a:pt x="138010" y="390715"/>
                </a:lnTo>
                <a:lnTo>
                  <a:pt x="138010" y="436841"/>
                </a:lnTo>
                <a:lnTo>
                  <a:pt x="127025" y="438200"/>
                </a:lnTo>
                <a:lnTo>
                  <a:pt x="127025" y="451091"/>
                </a:lnTo>
                <a:lnTo>
                  <a:pt x="169164" y="451091"/>
                </a:lnTo>
                <a:lnTo>
                  <a:pt x="169164" y="438200"/>
                </a:lnTo>
                <a:lnTo>
                  <a:pt x="157556" y="436841"/>
                </a:lnTo>
                <a:lnTo>
                  <a:pt x="157556" y="390715"/>
                </a:lnTo>
                <a:lnTo>
                  <a:pt x="171602" y="390715"/>
                </a:lnTo>
                <a:lnTo>
                  <a:pt x="175882" y="374434"/>
                </a:lnTo>
                <a:lnTo>
                  <a:pt x="157556" y="374434"/>
                </a:lnTo>
                <a:lnTo>
                  <a:pt x="157556" y="357479"/>
                </a:lnTo>
                <a:lnTo>
                  <a:pt x="160616" y="353402"/>
                </a:lnTo>
                <a:lnTo>
                  <a:pt x="168554" y="353402"/>
                </a:lnTo>
                <a:lnTo>
                  <a:pt x="174663" y="356120"/>
                </a:lnTo>
                <a:lnTo>
                  <a:pt x="175272" y="353402"/>
                </a:lnTo>
                <a:lnTo>
                  <a:pt x="178320" y="339839"/>
                </a:lnTo>
                <a:close/>
              </a:path>
              <a:path w="526415" h="452755">
                <a:moveTo>
                  <a:pt x="212521" y="227914"/>
                </a:moveTo>
                <a:lnTo>
                  <a:pt x="164274" y="227914"/>
                </a:lnTo>
                <a:lnTo>
                  <a:pt x="161226" y="255054"/>
                </a:lnTo>
                <a:lnTo>
                  <a:pt x="83667" y="256413"/>
                </a:lnTo>
                <a:lnTo>
                  <a:pt x="103593" y="225285"/>
                </a:lnTo>
                <a:lnTo>
                  <a:pt x="135216" y="195795"/>
                </a:lnTo>
                <a:lnTo>
                  <a:pt x="169278" y="164833"/>
                </a:lnTo>
                <a:lnTo>
                  <a:pt x="196507" y="129324"/>
                </a:lnTo>
                <a:lnTo>
                  <a:pt x="207632" y="86156"/>
                </a:lnTo>
                <a:lnTo>
                  <a:pt x="203415" y="61036"/>
                </a:lnTo>
                <a:lnTo>
                  <a:pt x="201764" y="51219"/>
                </a:lnTo>
                <a:lnTo>
                  <a:pt x="183972" y="23990"/>
                </a:lnTo>
                <a:lnTo>
                  <a:pt x="154051" y="6311"/>
                </a:lnTo>
                <a:lnTo>
                  <a:pt x="111760" y="0"/>
                </a:lnTo>
                <a:lnTo>
                  <a:pt x="81838" y="2514"/>
                </a:lnTo>
                <a:lnTo>
                  <a:pt x="55194" y="8902"/>
                </a:lnTo>
                <a:lnTo>
                  <a:pt x="31635" y="17462"/>
                </a:lnTo>
                <a:lnTo>
                  <a:pt x="10985" y="26441"/>
                </a:lnTo>
                <a:lnTo>
                  <a:pt x="10375" y="27127"/>
                </a:lnTo>
                <a:lnTo>
                  <a:pt x="10375" y="113944"/>
                </a:lnTo>
                <a:lnTo>
                  <a:pt x="58013" y="113944"/>
                </a:lnTo>
                <a:lnTo>
                  <a:pt x="63512" y="65798"/>
                </a:lnTo>
                <a:lnTo>
                  <a:pt x="67144" y="65062"/>
                </a:lnTo>
                <a:lnTo>
                  <a:pt x="76111" y="63423"/>
                </a:lnTo>
                <a:lnTo>
                  <a:pt x="87477" y="61785"/>
                </a:lnTo>
                <a:lnTo>
                  <a:pt x="98323" y="61036"/>
                </a:lnTo>
                <a:lnTo>
                  <a:pt x="112572" y="62598"/>
                </a:lnTo>
                <a:lnTo>
                  <a:pt x="124879" y="67906"/>
                </a:lnTo>
                <a:lnTo>
                  <a:pt x="133527" y="77927"/>
                </a:lnTo>
                <a:lnTo>
                  <a:pt x="136791" y="93611"/>
                </a:lnTo>
                <a:lnTo>
                  <a:pt x="129794" y="116332"/>
                </a:lnTo>
                <a:lnTo>
                  <a:pt x="111594" y="136639"/>
                </a:lnTo>
                <a:lnTo>
                  <a:pt x="86410" y="157772"/>
                </a:lnTo>
                <a:lnTo>
                  <a:pt x="58458" y="182981"/>
                </a:lnTo>
                <a:lnTo>
                  <a:pt x="31927" y="215493"/>
                </a:lnTo>
                <a:lnTo>
                  <a:pt x="11036" y="258572"/>
                </a:lnTo>
                <a:lnTo>
                  <a:pt x="0" y="315417"/>
                </a:lnTo>
                <a:lnTo>
                  <a:pt x="212521" y="315417"/>
                </a:lnTo>
                <a:lnTo>
                  <a:pt x="212521" y="256413"/>
                </a:lnTo>
                <a:lnTo>
                  <a:pt x="212521" y="227914"/>
                </a:lnTo>
                <a:close/>
              </a:path>
              <a:path w="526415" h="452755">
                <a:moveTo>
                  <a:pt x="233273" y="428028"/>
                </a:moveTo>
                <a:lnTo>
                  <a:pt x="228219" y="413194"/>
                </a:lnTo>
                <a:lnTo>
                  <a:pt x="217093" y="405549"/>
                </a:lnTo>
                <a:lnTo>
                  <a:pt x="205968" y="400837"/>
                </a:lnTo>
                <a:lnTo>
                  <a:pt x="200914" y="394779"/>
                </a:lnTo>
                <a:lnTo>
                  <a:pt x="200914" y="391388"/>
                </a:lnTo>
                <a:lnTo>
                  <a:pt x="203974" y="389356"/>
                </a:lnTo>
                <a:lnTo>
                  <a:pt x="212521" y="389356"/>
                </a:lnTo>
                <a:lnTo>
                  <a:pt x="214960" y="390042"/>
                </a:lnTo>
                <a:lnTo>
                  <a:pt x="218008" y="390042"/>
                </a:lnTo>
                <a:lnTo>
                  <a:pt x="218617" y="398856"/>
                </a:lnTo>
                <a:lnTo>
                  <a:pt x="230225" y="398856"/>
                </a:lnTo>
                <a:lnTo>
                  <a:pt x="230225" y="389356"/>
                </a:lnTo>
                <a:lnTo>
                  <a:pt x="230225" y="376466"/>
                </a:lnTo>
                <a:lnTo>
                  <a:pt x="224129" y="373761"/>
                </a:lnTo>
                <a:lnTo>
                  <a:pt x="217411" y="372402"/>
                </a:lnTo>
                <a:lnTo>
                  <a:pt x="209473" y="372402"/>
                </a:lnTo>
                <a:lnTo>
                  <a:pt x="197954" y="374103"/>
                </a:lnTo>
                <a:lnTo>
                  <a:pt x="189318" y="378929"/>
                </a:lnTo>
                <a:lnTo>
                  <a:pt x="183870" y="386422"/>
                </a:lnTo>
                <a:lnTo>
                  <a:pt x="181978" y="396138"/>
                </a:lnTo>
                <a:lnTo>
                  <a:pt x="186944" y="410489"/>
                </a:lnTo>
                <a:lnTo>
                  <a:pt x="197866" y="417842"/>
                </a:lnTo>
                <a:lnTo>
                  <a:pt x="208775" y="422656"/>
                </a:lnTo>
                <a:lnTo>
                  <a:pt x="213741" y="429374"/>
                </a:lnTo>
                <a:lnTo>
                  <a:pt x="213741" y="433451"/>
                </a:lnTo>
                <a:lnTo>
                  <a:pt x="210070" y="436168"/>
                </a:lnTo>
                <a:lnTo>
                  <a:pt x="200304" y="436168"/>
                </a:lnTo>
                <a:lnTo>
                  <a:pt x="197256" y="435483"/>
                </a:lnTo>
                <a:lnTo>
                  <a:pt x="194805" y="434809"/>
                </a:lnTo>
                <a:lnTo>
                  <a:pt x="192976" y="424637"/>
                </a:lnTo>
                <a:lnTo>
                  <a:pt x="181978" y="424637"/>
                </a:lnTo>
                <a:lnTo>
                  <a:pt x="181978" y="447700"/>
                </a:lnTo>
                <a:lnTo>
                  <a:pt x="188087" y="450405"/>
                </a:lnTo>
                <a:lnTo>
                  <a:pt x="195414" y="452437"/>
                </a:lnTo>
                <a:lnTo>
                  <a:pt x="205193" y="452437"/>
                </a:lnTo>
                <a:lnTo>
                  <a:pt x="215760" y="451104"/>
                </a:lnTo>
                <a:lnTo>
                  <a:pt x="224726" y="446849"/>
                </a:lnTo>
                <a:lnTo>
                  <a:pt x="230949" y="439280"/>
                </a:lnTo>
                <a:lnTo>
                  <a:pt x="231597" y="436168"/>
                </a:lnTo>
                <a:lnTo>
                  <a:pt x="233273" y="428028"/>
                </a:lnTo>
                <a:close/>
              </a:path>
              <a:path w="526415" h="452755">
                <a:moveTo>
                  <a:pt x="326732" y="438200"/>
                </a:moveTo>
                <a:lnTo>
                  <a:pt x="315125" y="436841"/>
                </a:lnTo>
                <a:lnTo>
                  <a:pt x="315125" y="400888"/>
                </a:lnTo>
                <a:lnTo>
                  <a:pt x="313791" y="391388"/>
                </a:lnTo>
                <a:lnTo>
                  <a:pt x="292519" y="372402"/>
                </a:lnTo>
                <a:lnTo>
                  <a:pt x="283959" y="372402"/>
                </a:lnTo>
                <a:lnTo>
                  <a:pt x="276021" y="376466"/>
                </a:lnTo>
                <a:lnTo>
                  <a:pt x="270548" y="382574"/>
                </a:lnTo>
                <a:lnTo>
                  <a:pt x="270548" y="336448"/>
                </a:lnTo>
                <a:lnTo>
                  <a:pt x="238163" y="336448"/>
                </a:lnTo>
                <a:lnTo>
                  <a:pt x="238163" y="350012"/>
                </a:lnTo>
                <a:lnTo>
                  <a:pt x="250380" y="351370"/>
                </a:lnTo>
                <a:lnTo>
                  <a:pt x="250380" y="436841"/>
                </a:lnTo>
                <a:lnTo>
                  <a:pt x="239395" y="438200"/>
                </a:lnTo>
                <a:lnTo>
                  <a:pt x="239395" y="451091"/>
                </a:lnTo>
                <a:lnTo>
                  <a:pt x="281533" y="451091"/>
                </a:lnTo>
                <a:lnTo>
                  <a:pt x="281533" y="438200"/>
                </a:lnTo>
                <a:lnTo>
                  <a:pt x="270548" y="436841"/>
                </a:lnTo>
                <a:lnTo>
                  <a:pt x="270548" y="398183"/>
                </a:lnTo>
                <a:lnTo>
                  <a:pt x="274802" y="394106"/>
                </a:lnTo>
                <a:lnTo>
                  <a:pt x="280314" y="391388"/>
                </a:lnTo>
                <a:lnTo>
                  <a:pt x="294347" y="391388"/>
                </a:lnTo>
                <a:lnTo>
                  <a:pt x="295452" y="398183"/>
                </a:lnTo>
                <a:lnTo>
                  <a:pt x="295567" y="451091"/>
                </a:lnTo>
                <a:lnTo>
                  <a:pt x="326732" y="451091"/>
                </a:lnTo>
                <a:lnTo>
                  <a:pt x="326732" y="438200"/>
                </a:lnTo>
                <a:close/>
              </a:path>
              <a:path w="526415" h="452755">
                <a:moveTo>
                  <a:pt x="398780" y="412419"/>
                </a:moveTo>
                <a:lnTo>
                  <a:pt x="398208" y="404152"/>
                </a:lnTo>
                <a:lnTo>
                  <a:pt x="396494" y="396646"/>
                </a:lnTo>
                <a:lnTo>
                  <a:pt x="393674" y="390042"/>
                </a:lnTo>
                <a:lnTo>
                  <a:pt x="393623" y="389915"/>
                </a:lnTo>
                <a:lnTo>
                  <a:pt x="389610" y="383933"/>
                </a:lnTo>
                <a:lnTo>
                  <a:pt x="384479" y="378980"/>
                </a:lnTo>
                <a:lnTo>
                  <a:pt x="378625" y="375564"/>
                </a:lnTo>
                <a:lnTo>
                  <a:pt x="378625" y="412419"/>
                </a:lnTo>
                <a:lnTo>
                  <a:pt x="377698" y="421855"/>
                </a:lnTo>
                <a:lnTo>
                  <a:pt x="374878" y="429387"/>
                </a:lnTo>
                <a:lnTo>
                  <a:pt x="370116" y="434365"/>
                </a:lnTo>
                <a:lnTo>
                  <a:pt x="363347" y="436168"/>
                </a:lnTo>
                <a:lnTo>
                  <a:pt x="356755" y="434454"/>
                </a:lnTo>
                <a:lnTo>
                  <a:pt x="351751" y="429641"/>
                </a:lnTo>
                <a:lnTo>
                  <a:pt x="348589" y="422135"/>
                </a:lnTo>
                <a:lnTo>
                  <a:pt x="347484" y="412419"/>
                </a:lnTo>
                <a:lnTo>
                  <a:pt x="348411" y="403491"/>
                </a:lnTo>
                <a:lnTo>
                  <a:pt x="351218" y="396392"/>
                </a:lnTo>
                <a:lnTo>
                  <a:pt x="355981" y="391718"/>
                </a:lnTo>
                <a:lnTo>
                  <a:pt x="362750" y="390042"/>
                </a:lnTo>
                <a:lnTo>
                  <a:pt x="369354" y="391629"/>
                </a:lnTo>
                <a:lnTo>
                  <a:pt x="374357" y="396138"/>
                </a:lnTo>
                <a:lnTo>
                  <a:pt x="377520" y="403199"/>
                </a:lnTo>
                <a:lnTo>
                  <a:pt x="378625" y="412419"/>
                </a:lnTo>
                <a:lnTo>
                  <a:pt x="378625" y="375564"/>
                </a:lnTo>
                <a:lnTo>
                  <a:pt x="378320" y="375373"/>
                </a:lnTo>
                <a:lnTo>
                  <a:pt x="371246" y="373151"/>
                </a:lnTo>
                <a:lnTo>
                  <a:pt x="363347" y="372402"/>
                </a:lnTo>
                <a:lnTo>
                  <a:pt x="355828" y="373151"/>
                </a:lnTo>
                <a:lnTo>
                  <a:pt x="328091" y="404723"/>
                </a:lnTo>
                <a:lnTo>
                  <a:pt x="327329" y="413105"/>
                </a:lnTo>
                <a:lnTo>
                  <a:pt x="328104" y="421855"/>
                </a:lnTo>
                <a:lnTo>
                  <a:pt x="355942" y="451815"/>
                </a:lnTo>
                <a:lnTo>
                  <a:pt x="363347" y="452437"/>
                </a:lnTo>
                <a:lnTo>
                  <a:pt x="370878" y="451688"/>
                </a:lnTo>
                <a:lnTo>
                  <a:pt x="398195" y="420497"/>
                </a:lnTo>
                <a:lnTo>
                  <a:pt x="398780" y="412419"/>
                </a:lnTo>
                <a:close/>
              </a:path>
              <a:path w="526415" h="452755">
                <a:moveTo>
                  <a:pt x="461683" y="375793"/>
                </a:moveTo>
                <a:lnTo>
                  <a:pt x="458635" y="373761"/>
                </a:lnTo>
                <a:lnTo>
                  <a:pt x="454964" y="372402"/>
                </a:lnTo>
                <a:lnTo>
                  <a:pt x="443966" y="372402"/>
                </a:lnTo>
                <a:lnTo>
                  <a:pt x="438480" y="375793"/>
                </a:lnTo>
                <a:lnTo>
                  <a:pt x="432358" y="382574"/>
                </a:lnTo>
                <a:lnTo>
                  <a:pt x="430542" y="374434"/>
                </a:lnTo>
                <a:lnTo>
                  <a:pt x="401218" y="374434"/>
                </a:lnTo>
                <a:lnTo>
                  <a:pt x="401218" y="387997"/>
                </a:lnTo>
                <a:lnTo>
                  <a:pt x="413435" y="390042"/>
                </a:lnTo>
                <a:lnTo>
                  <a:pt x="413435" y="436841"/>
                </a:lnTo>
                <a:lnTo>
                  <a:pt x="402450" y="438200"/>
                </a:lnTo>
                <a:lnTo>
                  <a:pt x="402450" y="451091"/>
                </a:lnTo>
                <a:lnTo>
                  <a:pt x="444576" y="451091"/>
                </a:lnTo>
                <a:lnTo>
                  <a:pt x="444576" y="438200"/>
                </a:lnTo>
                <a:lnTo>
                  <a:pt x="433590" y="436841"/>
                </a:lnTo>
                <a:lnTo>
                  <a:pt x="433590" y="397497"/>
                </a:lnTo>
                <a:lnTo>
                  <a:pt x="438480" y="392747"/>
                </a:lnTo>
                <a:lnTo>
                  <a:pt x="442150" y="391388"/>
                </a:lnTo>
                <a:lnTo>
                  <a:pt x="448246" y="391388"/>
                </a:lnTo>
                <a:lnTo>
                  <a:pt x="451294" y="392074"/>
                </a:lnTo>
                <a:lnTo>
                  <a:pt x="454964" y="394106"/>
                </a:lnTo>
                <a:lnTo>
                  <a:pt x="455968" y="391388"/>
                </a:lnTo>
                <a:lnTo>
                  <a:pt x="459193" y="382574"/>
                </a:lnTo>
                <a:lnTo>
                  <a:pt x="461683" y="375793"/>
                </a:lnTo>
                <a:close/>
              </a:path>
              <a:path w="526415" h="452755">
                <a:moveTo>
                  <a:pt x="523354" y="3390"/>
                </a:moveTo>
                <a:lnTo>
                  <a:pt x="403669" y="3390"/>
                </a:lnTo>
                <a:lnTo>
                  <a:pt x="403669" y="57645"/>
                </a:lnTo>
                <a:lnTo>
                  <a:pt x="430542" y="61722"/>
                </a:lnTo>
                <a:lnTo>
                  <a:pt x="430542" y="126174"/>
                </a:lnTo>
                <a:lnTo>
                  <a:pt x="324269" y="126174"/>
                </a:lnTo>
                <a:lnTo>
                  <a:pt x="324269" y="61722"/>
                </a:lnTo>
                <a:lnTo>
                  <a:pt x="351155" y="57645"/>
                </a:lnTo>
                <a:lnTo>
                  <a:pt x="351155" y="3390"/>
                </a:lnTo>
                <a:lnTo>
                  <a:pt x="231444" y="3390"/>
                </a:lnTo>
                <a:lnTo>
                  <a:pt x="231444" y="57645"/>
                </a:lnTo>
                <a:lnTo>
                  <a:pt x="258940" y="61722"/>
                </a:lnTo>
                <a:lnTo>
                  <a:pt x="258940" y="258445"/>
                </a:lnTo>
                <a:lnTo>
                  <a:pt x="231444" y="262509"/>
                </a:lnTo>
                <a:lnTo>
                  <a:pt x="231444" y="315417"/>
                </a:lnTo>
                <a:lnTo>
                  <a:pt x="351155" y="315417"/>
                </a:lnTo>
                <a:lnTo>
                  <a:pt x="351155" y="262509"/>
                </a:lnTo>
                <a:lnTo>
                  <a:pt x="324269" y="258445"/>
                </a:lnTo>
                <a:lnTo>
                  <a:pt x="324269" y="187896"/>
                </a:lnTo>
                <a:lnTo>
                  <a:pt x="430542" y="187896"/>
                </a:lnTo>
                <a:lnTo>
                  <a:pt x="430542" y="258445"/>
                </a:lnTo>
                <a:lnTo>
                  <a:pt x="403669" y="262509"/>
                </a:lnTo>
                <a:lnTo>
                  <a:pt x="403669" y="315417"/>
                </a:lnTo>
                <a:lnTo>
                  <a:pt x="523354" y="315417"/>
                </a:lnTo>
                <a:lnTo>
                  <a:pt x="523354" y="262509"/>
                </a:lnTo>
                <a:lnTo>
                  <a:pt x="495884" y="258445"/>
                </a:lnTo>
                <a:lnTo>
                  <a:pt x="495884" y="61722"/>
                </a:lnTo>
                <a:lnTo>
                  <a:pt x="523354" y="57645"/>
                </a:lnTo>
                <a:lnTo>
                  <a:pt x="523354" y="3390"/>
                </a:lnTo>
                <a:close/>
              </a:path>
              <a:path w="526415" h="452755">
                <a:moveTo>
                  <a:pt x="526402" y="411746"/>
                </a:moveTo>
                <a:lnTo>
                  <a:pt x="507606" y="375208"/>
                </a:lnTo>
                <a:lnTo>
                  <a:pt x="506272" y="374929"/>
                </a:lnTo>
                <a:lnTo>
                  <a:pt x="506272" y="403606"/>
                </a:lnTo>
                <a:lnTo>
                  <a:pt x="481228" y="403606"/>
                </a:lnTo>
                <a:lnTo>
                  <a:pt x="481228" y="396824"/>
                </a:lnTo>
                <a:lnTo>
                  <a:pt x="486105" y="388683"/>
                </a:lnTo>
                <a:lnTo>
                  <a:pt x="501980" y="388683"/>
                </a:lnTo>
                <a:lnTo>
                  <a:pt x="505650" y="396138"/>
                </a:lnTo>
                <a:lnTo>
                  <a:pt x="506272" y="403606"/>
                </a:lnTo>
                <a:lnTo>
                  <a:pt x="506272" y="374929"/>
                </a:lnTo>
                <a:lnTo>
                  <a:pt x="464426" y="397586"/>
                </a:lnTo>
                <a:lnTo>
                  <a:pt x="462280" y="413105"/>
                </a:lnTo>
                <a:lnTo>
                  <a:pt x="464197" y="427837"/>
                </a:lnTo>
                <a:lnTo>
                  <a:pt x="470293" y="440397"/>
                </a:lnTo>
                <a:lnTo>
                  <a:pt x="481088" y="449160"/>
                </a:lnTo>
                <a:lnTo>
                  <a:pt x="497090" y="452437"/>
                </a:lnTo>
                <a:lnTo>
                  <a:pt x="503339" y="452018"/>
                </a:lnTo>
                <a:lnTo>
                  <a:pt x="509993" y="450583"/>
                </a:lnTo>
                <a:lnTo>
                  <a:pt x="516763" y="447865"/>
                </a:lnTo>
                <a:lnTo>
                  <a:pt x="523354" y="443623"/>
                </a:lnTo>
                <a:lnTo>
                  <a:pt x="520420" y="435483"/>
                </a:lnTo>
                <a:lnTo>
                  <a:pt x="518464" y="430060"/>
                </a:lnTo>
                <a:lnTo>
                  <a:pt x="511746" y="433451"/>
                </a:lnTo>
                <a:lnTo>
                  <a:pt x="506869" y="435483"/>
                </a:lnTo>
                <a:lnTo>
                  <a:pt x="490994" y="435483"/>
                </a:lnTo>
                <a:lnTo>
                  <a:pt x="482447" y="429374"/>
                </a:lnTo>
                <a:lnTo>
                  <a:pt x="481825" y="418528"/>
                </a:lnTo>
                <a:lnTo>
                  <a:pt x="526402" y="418528"/>
                </a:lnTo>
                <a:lnTo>
                  <a:pt x="526402" y="411746"/>
                </a:lnTo>
                <a:close/>
              </a:path>
            </a:pathLst>
          </a:custGeom>
          <a:solidFill>
            <a:srgbClr val="003050"/>
          </a:solidFill>
        </xdr:spPr>
      </xdr:sp>
      <xdr:pic>
        <xdr:nvPicPr>
          <xdr:cNvPr id="4" name="image3.png">
            <a:extLst>
              <a:ext uri="{FF2B5EF4-FFF2-40B4-BE49-F238E27FC236}">
                <a16:creationId xmlns:a16="http://schemas.microsoft.com/office/drawing/2014/main" id="{1A45FE9B-81D9-DF5B-1AEC-069F391710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57879" y="36603"/>
            <a:ext cx="489064" cy="380365"/>
          </a:xfrm>
          <a:prstGeom prst="rect">
            <a:avLst/>
          </a:prstGeom>
        </xdr:spPr>
      </xdr:pic>
    </xdr:grpSp>
    <xdr:clientData/>
  </xdr:oneCellAnchor>
  <xdr:oneCellAnchor>
    <xdr:from>
      <xdr:col>26</xdr:col>
      <xdr:colOff>32491</xdr:colOff>
      <xdr:row>55</xdr:row>
      <xdr:rowOff>128731</xdr:rowOff>
    </xdr:from>
    <xdr:ext cx="1748112" cy="331516"/>
    <xdr:pic>
      <xdr:nvPicPr>
        <xdr:cNvPr id="5" name="image2.jpeg">
          <a:extLst>
            <a:ext uri="{FF2B5EF4-FFF2-40B4-BE49-F238E27FC236}">
              <a16:creationId xmlns:a16="http://schemas.microsoft.com/office/drawing/2014/main" id="{B35761B0-01BD-4112-B0C4-8F3E3075CE1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14366" y="8005906"/>
          <a:ext cx="1748112" cy="331516"/>
        </a:xfrm>
        <a:prstGeom prst="rect">
          <a:avLst/>
        </a:prstGeom>
      </xdr:spPr>
    </xdr:pic>
    <xdr:clientData/>
  </xdr:oneCellAnchor>
  <xdr:oneCellAnchor>
    <xdr:from>
      <xdr:col>42</xdr:col>
      <xdr:colOff>153080</xdr:colOff>
      <xdr:row>48</xdr:row>
      <xdr:rowOff>20792</xdr:rowOff>
    </xdr:from>
    <xdr:ext cx="112831" cy="76210"/>
    <xdr:pic>
      <xdr:nvPicPr>
        <xdr:cNvPr id="6" name="image4.jpeg">
          <a:extLst>
            <a:ext uri="{FF2B5EF4-FFF2-40B4-BE49-F238E27FC236}">
              <a16:creationId xmlns:a16="http://schemas.microsoft.com/office/drawing/2014/main" id="{C1940917-423F-45C2-84C8-B7D11A52CA7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83005" y="6983567"/>
          <a:ext cx="112831" cy="76210"/>
        </a:xfrm>
        <a:prstGeom prst="rect">
          <a:avLst/>
        </a:prstGeom>
      </xdr:spPr>
    </xdr:pic>
    <xdr:clientData/>
  </xdr:oneCellAnchor>
  <xdr:oneCellAnchor>
    <xdr:from>
      <xdr:col>45</xdr:col>
      <xdr:colOff>106812</xdr:colOff>
      <xdr:row>48</xdr:row>
      <xdr:rowOff>17599</xdr:rowOff>
    </xdr:from>
    <xdr:ext cx="106077" cy="77258"/>
    <xdr:pic>
      <xdr:nvPicPr>
        <xdr:cNvPr id="7" name="image5.jpeg">
          <a:extLst>
            <a:ext uri="{FF2B5EF4-FFF2-40B4-BE49-F238E27FC236}">
              <a16:creationId xmlns:a16="http://schemas.microsoft.com/office/drawing/2014/main" id="{77457851-3622-4407-A2CF-27DA6E3C175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27287" y="6980374"/>
          <a:ext cx="106077" cy="77258"/>
        </a:xfrm>
        <a:prstGeom prst="rect">
          <a:avLst/>
        </a:prstGeom>
      </xdr:spPr>
    </xdr:pic>
    <xdr:clientData/>
  </xdr:oneCellAnchor>
  <xdr:oneCellAnchor>
    <xdr:from>
      <xdr:col>39</xdr:col>
      <xdr:colOff>143603</xdr:colOff>
      <xdr:row>48</xdr:row>
      <xdr:rowOff>15771</xdr:rowOff>
    </xdr:from>
    <xdr:ext cx="99919" cy="82542"/>
    <xdr:pic>
      <xdr:nvPicPr>
        <xdr:cNvPr id="8" name="image6.png">
          <a:extLst>
            <a:ext uri="{FF2B5EF4-FFF2-40B4-BE49-F238E27FC236}">
              <a16:creationId xmlns:a16="http://schemas.microsoft.com/office/drawing/2014/main" id="{C99F4A09-787C-4E21-8209-ACD4F14869F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363928" y="6978546"/>
          <a:ext cx="99919" cy="82542"/>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1</xdr:col>
      <xdr:colOff>397764</xdr:colOff>
      <xdr:row>23</xdr:row>
      <xdr:rowOff>59435</xdr:rowOff>
    </xdr:from>
    <xdr:ext cx="21590" cy="0"/>
    <xdr:sp macro="" textlink="">
      <xdr:nvSpPr>
        <xdr:cNvPr id="2" name="Shape 31">
          <a:extLst>
            <a:ext uri="{FF2B5EF4-FFF2-40B4-BE49-F238E27FC236}">
              <a16:creationId xmlns:a16="http://schemas.microsoft.com/office/drawing/2014/main" id="{CC33C6CC-0E9B-41B7-BA3D-7E1D39AC2B8C}"/>
            </a:ext>
          </a:extLst>
        </xdr:cNvPr>
        <xdr:cNvSpPr/>
      </xdr:nvSpPr>
      <xdr:spPr>
        <a:xfrm>
          <a:off x="588264" y="5431535"/>
          <a:ext cx="21590" cy="0"/>
        </a:xfrm>
        <a:custGeom>
          <a:avLst/>
          <a:gdLst/>
          <a:ahLst/>
          <a:cxnLst/>
          <a:rect l="0" t="0" r="0" b="0"/>
          <a:pathLst>
            <a:path w="21590">
              <a:moveTo>
                <a:pt x="0" y="0"/>
              </a:moveTo>
              <a:lnTo>
                <a:pt x="21285" y="0"/>
              </a:lnTo>
            </a:path>
          </a:pathLst>
        </a:custGeom>
        <a:ln w="3175">
          <a:solidFill>
            <a:srgbClr val="000000"/>
          </a:solidFill>
        </a:ln>
      </xdr:spPr>
    </xdr:sp>
    <xdr:clientData/>
  </xdr:oneCellAnchor>
  <xdr:oneCellAnchor>
    <xdr:from>
      <xdr:col>1</xdr:col>
      <xdr:colOff>397764</xdr:colOff>
      <xdr:row>24</xdr:row>
      <xdr:rowOff>59435</xdr:rowOff>
    </xdr:from>
    <xdr:ext cx="21590" cy="0"/>
    <xdr:sp macro="" textlink="">
      <xdr:nvSpPr>
        <xdr:cNvPr id="3" name="Shape 32">
          <a:extLst>
            <a:ext uri="{FF2B5EF4-FFF2-40B4-BE49-F238E27FC236}">
              <a16:creationId xmlns:a16="http://schemas.microsoft.com/office/drawing/2014/main" id="{E468496C-93A9-4EE1-8657-46A58D5F4A81}"/>
            </a:ext>
          </a:extLst>
        </xdr:cNvPr>
        <xdr:cNvSpPr/>
      </xdr:nvSpPr>
      <xdr:spPr>
        <a:xfrm>
          <a:off x="588264" y="5536310"/>
          <a:ext cx="21590" cy="0"/>
        </a:xfrm>
        <a:custGeom>
          <a:avLst/>
          <a:gdLst/>
          <a:ahLst/>
          <a:cxnLst/>
          <a:rect l="0" t="0" r="0" b="0"/>
          <a:pathLst>
            <a:path w="21590">
              <a:moveTo>
                <a:pt x="0" y="0"/>
              </a:moveTo>
              <a:lnTo>
                <a:pt x="21285" y="0"/>
              </a:lnTo>
            </a:path>
          </a:pathLst>
        </a:custGeom>
        <a:ln w="3175">
          <a:solidFill>
            <a:srgbClr val="000000"/>
          </a:solidFill>
        </a:ln>
      </xdr:spPr>
    </xdr:sp>
    <xdr:clientData/>
  </xdr:oneCellAnchor>
  <xdr:oneCellAnchor>
    <xdr:from>
      <xdr:col>1</xdr:col>
      <xdr:colOff>397764</xdr:colOff>
      <xdr:row>25</xdr:row>
      <xdr:rowOff>59435</xdr:rowOff>
    </xdr:from>
    <xdr:ext cx="21590" cy="0"/>
    <xdr:sp macro="" textlink="">
      <xdr:nvSpPr>
        <xdr:cNvPr id="4" name="Shape 33">
          <a:extLst>
            <a:ext uri="{FF2B5EF4-FFF2-40B4-BE49-F238E27FC236}">
              <a16:creationId xmlns:a16="http://schemas.microsoft.com/office/drawing/2014/main" id="{16F5D149-A5F0-4A08-A203-99B1B40E32A1}"/>
            </a:ext>
          </a:extLst>
        </xdr:cNvPr>
        <xdr:cNvSpPr/>
      </xdr:nvSpPr>
      <xdr:spPr>
        <a:xfrm>
          <a:off x="588264" y="5641085"/>
          <a:ext cx="21590" cy="0"/>
        </a:xfrm>
        <a:custGeom>
          <a:avLst/>
          <a:gdLst/>
          <a:ahLst/>
          <a:cxnLst/>
          <a:rect l="0" t="0" r="0" b="0"/>
          <a:pathLst>
            <a:path w="21590">
              <a:moveTo>
                <a:pt x="0" y="0"/>
              </a:moveTo>
              <a:lnTo>
                <a:pt x="21285" y="0"/>
              </a:lnTo>
            </a:path>
          </a:pathLst>
        </a:custGeom>
        <a:ln w="3175">
          <a:solidFill>
            <a:srgbClr val="000000"/>
          </a:solidFill>
        </a:ln>
      </xdr:spPr>
    </xdr:sp>
    <xdr:clientData/>
  </xdr:oneCellAnchor>
  <xdr:oneCellAnchor>
    <xdr:from>
      <xdr:col>1</xdr:col>
      <xdr:colOff>397764</xdr:colOff>
      <xdr:row>26</xdr:row>
      <xdr:rowOff>59435</xdr:rowOff>
    </xdr:from>
    <xdr:ext cx="21590" cy="0"/>
    <xdr:sp macro="" textlink="">
      <xdr:nvSpPr>
        <xdr:cNvPr id="5" name="Shape 34">
          <a:extLst>
            <a:ext uri="{FF2B5EF4-FFF2-40B4-BE49-F238E27FC236}">
              <a16:creationId xmlns:a16="http://schemas.microsoft.com/office/drawing/2014/main" id="{8BF036BE-C8E3-4FB3-B836-744FE07212AA}"/>
            </a:ext>
          </a:extLst>
        </xdr:cNvPr>
        <xdr:cNvSpPr/>
      </xdr:nvSpPr>
      <xdr:spPr>
        <a:xfrm>
          <a:off x="588264" y="5745860"/>
          <a:ext cx="21590" cy="0"/>
        </a:xfrm>
        <a:custGeom>
          <a:avLst/>
          <a:gdLst/>
          <a:ahLst/>
          <a:cxnLst/>
          <a:rect l="0" t="0" r="0" b="0"/>
          <a:pathLst>
            <a:path w="21590">
              <a:moveTo>
                <a:pt x="0" y="0"/>
              </a:moveTo>
              <a:lnTo>
                <a:pt x="21285" y="0"/>
              </a:lnTo>
            </a:path>
          </a:pathLst>
        </a:custGeom>
        <a:ln w="3175">
          <a:solidFill>
            <a:srgbClr val="000000"/>
          </a:solidFill>
        </a:ln>
      </xdr:spPr>
    </xdr:sp>
    <xdr:clientData/>
  </xdr:oneCellAnchor>
  <xdr:oneCellAnchor>
    <xdr:from>
      <xdr:col>1</xdr:col>
      <xdr:colOff>397764</xdr:colOff>
      <xdr:row>27</xdr:row>
      <xdr:rowOff>59436</xdr:rowOff>
    </xdr:from>
    <xdr:ext cx="21590" cy="0"/>
    <xdr:sp macro="" textlink="">
      <xdr:nvSpPr>
        <xdr:cNvPr id="6" name="Shape 35">
          <a:extLst>
            <a:ext uri="{FF2B5EF4-FFF2-40B4-BE49-F238E27FC236}">
              <a16:creationId xmlns:a16="http://schemas.microsoft.com/office/drawing/2014/main" id="{FF28D291-05A8-493B-A198-62F1F5EEB259}"/>
            </a:ext>
          </a:extLst>
        </xdr:cNvPr>
        <xdr:cNvSpPr/>
      </xdr:nvSpPr>
      <xdr:spPr>
        <a:xfrm>
          <a:off x="588264" y="5850636"/>
          <a:ext cx="21590" cy="0"/>
        </a:xfrm>
        <a:custGeom>
          <a:avLst/>
          <a:gdLst/>
          <a:ahLst/>
          <a:cxnLst/>
          <a:rect l="0" t="0" r="0" b="0"/>
          <a:pathLst>
            <a:path w="21590">
              <a:moveTo>
                <a:pt x="0" y="0"/>
              </a:moveTo>
              <a:lnTo>
                <a:pt x="21285" y="0"/>
              </a:lnTo>
            </a:path>
          </a:pathLst>
        </a:custGeom>
        <a:ln w="3175">
          <a:solidFill>
            <a:srgbClr val="000000"/>
          </a:solidFill>
        </a:ln>
      </xdr:spPr>
    </xdr:sp>
    <xdr:clientData/>
  </xdr:oneCellAnchor>
  <xdr:oneCellAnchor>
    <xdr:from>
      <xdr:col>1</xdr:col>
      <xdr:colOff>397764</xdr:colOff>
      <xdr:row>28</xdr:row>
      <xdr:rowOff>59435</xdr:rowOff>
    </xdr:from>
    <xdr:ext cx="21590" cy="0"/>
    <xdr:sp macro="" textlink="">
      <xdr:nvSpPr>
        <xdr:cNvPr id="7" name="Shape 36">
          <a:extLst>
            <a:ext uri="{FF2B5EF4-FFF2-40B4-BE49-F238E27FC236}">
              <a16:creationId xmlns:a16="http://schemas.microsoft.com/office/drawing/2014/main" id="{01571559-34B8-4EED-BF97-6DCF12404602}"/>
            </a:ext>
          </a:extLst>
        </xdr:cNvPr>
        <xdr:cNvSpPr/>
      </xdr:nvSpPr>
      <xdr:spPr>
        <a:xfrm>
          <a:off x="588264" y="5955410"/>
          <a:ext cx="21590" cy="0"/>
        </a:xfrm>
        <a:custGeom>
          <a:avLst/>
          <a:gdLst/>
          <a:ahLst/>
          <a:cxnLst/>
          <a:rect l="0" t="0" r="0" b="0"/>
          <a:pathLst>
            <a:path w="21590">
              <a:moveTo>
                <a:pt x="0" y="0"/>
              </a:moveTo>
              <a:lnTo>
                <a:pt x="21285" y="0"/>
              </a:lnTo>
            </a:path>
          </a:pathLst>
        </a:custGeom>
        <a:ln w="3175">
          <a:solidFill>
            <a:srgbClr val="000000"/>
          </a:solidFill>
        </a:ln>
      </xdr:spPr>
    </xdr:sp>
    <xdr:clientData/>
  </xdr:oneCellAnchor>
  <xdr:oneCellAnchor>
    <xdr:from>
      <xdr:col>20</xdr:col>
      <xdr:colOff>103898</xdr:colOff>
      <xdr:row>39</xdr:row>
      <xdr:rowOff>77457</xdr:rowOff>
    </xdr:from>
    <xdr:ext cx="536575" cy="461009"/>
    <xdr:sp macro="" textlink="">
      <xdr:nvSpPr>
        <xdr:cNvPr id="8" name="Shape 42">
          <a:extLst>
            <a:ext uri="{FF2B5EF4-FFF2-40B4-BE49-F238E27FC236}">
              <a16:creationId xmlns:a16="http://schemas.microsoft.com/office/drawing/2014/main" id="{64D571C4-49A7-449E-95BF-75EB22328093}"/>
            </a:ext>
          </a:extLst>
        </xdr:cNvPr>
        <xdr:cNvSpPr/>
      </xdr:nvSpPr>
      <xdr:spPr>
        <a:xfrm>
          <a:off x="7171448" y="7316457"/>
          <a:ext cx="536575" cy="461009"/>
        </a:xfrm>
        <a:custGeom>
          <a:avLst/>
          <a:gdLst/>
          <a:ahLst/>
          <a:cxnLst/>
          <a:rect l="0" t="0" r="0" b="0"/>
          <a:pathLst>
            <a:path w="536575" h="461009">
              <a:moveTo>
                <a:pt x="72745" y="419912"/>
              </a:moveTo>
              <a:lnTo>
                <a:pt x="52235" y="382371"/>
              </a:lnTo>
              <a:lnTo>
                <a:pt x="52235" y="419912"/>
              </a:lnTo>
              <a:lnTo>
                <a:pt x="51295" y="429514"/>
              </a:lnTo>
              <a:lnTo>
                <a:pt x="48425" y="437184"/>
              </a:lnTo>
              <a:lnTo>
                <a:pt x="43573" y="442252"/>
              </a:lnTo>
              <a:lnTo>
                <a:pt x="36690" y="444080"/>
              </a:lnTo>
              <a:lnTo>
                <a:pt x="29959" y="442353"/>
              </a:lnTo>
              <a:lnTo>
                <a:pt x="24879" y="437438"/>
              </a:lnTo>
              <a:lnTo>
                <a:pt x="21653" y="429806"/>
              </a:lnTo>
              <a:lnTo>
                <a:pt x="20523" y="419912"/>
              </a:lnTo>
              <a:lnTo>
                <a:pt x="21463" y="410819"/>
              </a:lnTo>
              <a:lnTo>
                <a:pt x="24333" y="403593"/>
              </a:lnTo>
              <a:lnTo>
                <a:pt x="29171" y="398830"/>
              </a:lnTo>
              <a:lnTo>
                <a:pt x="36068" y="397116"/>
              </a:lnTo>
              <a:lnTo>
                <a:pt x="43053" y="398741"/>
              </a:lnTo>
              <a:lnTo>
                <a:pt x="48107" y="403339"/>
              </a:lnTo>
              <a:lnTo>
                <a:pt x="51193" y="410527"/>
              </a:lnTo>
              <a:lnTo>
                <a:pt x="52235" y="419912"/>
              </a:lnTo>
              <a:lnTo>
                <a:pt x="52235" y="382371"/>
              </a:lnTo>
              <a:lnTo>
                <a:pt x="51917" y="382181"/>
              </a:lnTo>
              <a:lnTo>
                <a:pt x="44716" y="379933"/>
              </a:lnTo>
              <a:lnTo>
                <a:pt x="36690" y="379158"/>
              </a:lnTo>
              <a:lnTo>
                <a:pt x="29019" y="379933"/>
              </a:lnTo>
              <a:lnTo>
                <a:pt x="774" y="412076"/>
              </a:lnTo>
              <a:lnTo>
                <a:pt x="0" y="420598"/>
              </a:lnTo>
              <a:lnTo>
                <a:pt x="787" y="429514"/>
              </a:lnTo>
              <a:lnTo>
                <a:pt x="29133" y="460019"/>
              </a:lnTo>
              <a:lnTo>
                <a:pt x="36690" y="460667"/>
              </a:lnTo>
              <a:lnTo>
                <a:pt x="44348" y="459892"/>
              </a:lnTo>
              <a:lnTo>
                <a:pt x="51371" y="457644"/>
              </a:lnTo>
              <a:lnTo>
                <a:pt x="57581" y="453961"/>
              </a:lnTo>
              <a:lnTo>
                <a:pt x="62801" y="448919"/>
              </a:lnTo>
              <a:lnTo>
                <a:pt x="66446" y="444080"/>
              </a:lnTo>
              <a:lnTo>
                <a:pt x="67246" y="443026"/>
              </a:lnTo>
              <a:lnTo>
                <a:pt x="70345" y="435965"/>
              </a:lnTo>
              <a:lnTo>
                <a:pt x="72161" y="428129"/>
              </a:lnTo>
              <a:lnTo>
                <a:pt x="72745" y="419912"/>
              </a:lnTo>
              <a:close/>
            </a:path>
            <a:path w="536575" h="461009">
              <a:moveTo>
                <a:pt x="181559" y="346011"/>
              </a:moveTo>
              <a:lnTo>
                <a:pt x="176593" y="343242"/>
              </a:lnTo>
              <a:lnTo>
                <a:pt x="170992" y="342557"/>
              </a:lnTo>
              <a:lnTo>
                <a:pt x="166636" y="342557"/>
              </a:lnTo>
              <a:lnTo>
                <a:pt x="158369" y="343687"/>
              </a:lnTo>
              <a:lnTo>
                <a:pt x="149847" y="347992"/>
              </a:lnTo>
              <a:lnTo>
                <a:pt x="143205" y="356831"/>
              </a:lnTo>
              <a:lnTo>
                <a:pt x="140525" y="371563"/>
              </a:lnTo>
              <a:lnTo>
                <a:pt x="140525" y="381228"/>
              </a:lnTo>
              <a:lnTo>
                <a:pt x="108191" y="381228"/>
              </a:lnTo>
              <a:lnTo>
                <a:pt x="108191" y="363969"/>
              </a:lnTo>
              <a:lnTo>
                <a:pt x="111302" y="359829"/>
              </a:lnTo>
              <a:lnTo>
                <a:pt x="119380" y="359829"/>
              </a:lnTo>
              <a:lnTo>
                <a:pt x="125603" y="362585"/>
              </a:lnTo>
              <a:lnTo>
                <a:pt x="126225" y="359829"/>
              </a:lnTo>
              <a:lnTo>
                <a:pt x="129336" y="346011"/>
              </a:lnTo>
              <a:lnTo>
                <a:pt x="124358" y="343242"/>
              </a:lnTo>
              <a:lnTo>
                <a:pt x="118757" y="342557"/>
              </a:lnTo>
              <a:lnTo>
                <a:pt x="114414" y="342557"/>
              </a:lnTo>
              <a:lnTo>
                <a:pt x="106133" y="343687"/>
              </a:lnTo>
              <a:lnTo>
                <a:pt x="97624" y="347992"/>
              </a:lnTo>
              <a:lnTo>
                <a:pt x="90982" y="356831"/>
              </a:lnTo>
              <a:lnTo>
                <a:pt x="88290" y="371563"/>
              </a:lnTo>
              <a:lnTo>
                <a:pt x="88290" y="381228"/>
              </a:lnTo>
              <a:lnTo>
                <a:pt x="77724" y="381228"/>
              </a:lnTo>
              <a:lnTo>
                <a:pt x="77724" y="397814"/>
              </a:lnTo>
              <a:lnTo>
                <a:pt x="88290" y="397814"/>
              </a:lnTo>
              <a:lnTo>
                <a:pt x="88290" y="444779"/>
              </a:lnTo>
              <a:lnTo>
                <a:pt x="77101" y="446163"/>
              </a:lnTo>
              <a:lnTo>
                <a:pt x="77101" y="459282"/>
              </a:lnTo>
              <a:lnTo>
                <a:pt x="120002" y="459282"/>
              </a:lnTo>
              <a:lnTo>
                <a:pt x="120002" y="446163"/>
              </a:lnTo>
              <a:lnTo>
                <a:pt x="108191" y="444779"/>
              </a:lnTo>
              <a:lnTo>
                <a:pt x="108191" y="397814"/>
              </a:lnTo>
              <a:lnTo>
                <a:pt x="140525" y="397814"/>
              </a:lnTo>
              <a:lnTo>
                <a:pt x="140525" y="444779"/>
              </a:lnTo>
              <a:lnTo>
                <a:pt x="129336" y="446163"/>
              </a:lnTo>
              <a:lnTo>
                <a:pt x="129336" y="459282"/>
              </a:lnTo>
              <a:lnTo>
                <a:pt x="172237" y="459282"/>
              </a:lnTo>
              <a:lnTo>
                <a:pt x="172237" y="446163"/>
              </a:lnTo>
              <a:lnTo>
                <a:pt x="160426" y="444779"/>
              </a:lnTo>
              <a:lnTo>
                <a:pt x="160426" y="397814"/>
              </a:lnTo>
              <a:lnTo>
                <a:pt x="174726" y="397814"/>
              </a:lnTo>
              <a:lnTo>
                <a:pt x="179070" y="381228"/>
              </a:lnTo>
              <a:lnTo>
                <a:pt x="160426" y="381228"/>
              </a:lnTo>
              <a:lnTo>
                <a:pt x="160426" y="363969"/>
              </a:lnTo>
              <a:lnTo>
                <a:pt x="163537" y="359829"/>
              </a:lnTo>
              <a:lnTo>
                <a:pt x="171615" y="359829"/>
              </a:lnTo>
              <a:lnTo>
                <a:pt x="177838" y="362585"/>
              </a:lnTo>
              <a:lnTo>
                <a:pt x="178460" y="359829"/>
              </a:lnTo>
              <a:lnTo>
                <a:pt x="181559" y="346011"/>
              </a:lnTo>
              <a:close/>
            </a:path>
            <a:path w="536575" h="461009">
              <a:moveTo>
                <a:pt x="216382" y="232054"/>
              </a:moveTo>
              <a:lnTo>
                <a:pt x="167259" y="232054"/>
              </a:lnTo>
              <a:lnTo>
                <a:pt x="164147" y="259676"/>
              </a:lnTo>
              <a:lnTo>
                <a:pt x="85191" y="261061"/>
              </a:lnTo>
              <a:lnTo>
                <a:pt x="105473" y="229374"/>
              </a:lnTo>
              <a:lnTo>
                <a:pt x="137680" y="199351"/>
              </a:lnTo>
              <a:lnTo>
                <a:pt x="172351" y="167830"/>
              </a:lnTo>
              <a:lnTo>
                <a:pt x="200075" y="131660"/>
              </a:lnTo>
              <a:lnTo>
                <a:pt x="211416" y="87718"/>
              </a:lnTo>
              <a:lnTo>
                <a:pt x="207111" y="62141"/>
              </a:lnTo>
              <a:lnTo>
                <a:pt x="205422" y="52146"/>
              </a:lnTo>
              <a:lnTo>
                <a:pt x="187312" y="24422"/>
              </a:lnTo>
              <a:lnTo>
                <a:pt x="156845" y="6413"/>
              </a:lnTo>
              <a:lnTo>
                <a:pt x="113792" y="0"/>
              </a:lnTo>
              <a:lnTo>
                <a:pt x="83324" y="2552"/>
              </a:lnTo>
              <a:lnTo>
                <a:pt x="56197" y="9067"/>
              </a:lnTo>
              <a:lnTo>
                <a:pt x="32207" y="17767"/>
              </a:lnTo>
              <a:lnTo>
                <a:pt x="11188" y="26924"/>
              </a:lnTo>
              <a:lnTo>
                <a:pt x="10566" y="27622"/>
              </a:lnTo>
              <a:lnTo>
                <a:pt x="10566" y="116014"/>
              </a:lnTo>
              <a:lnTo>
                <a:pt x="59067" y="116014"/>
              </a:lnTo>
              <a:lnTo>
                <a:pt x="64668" y="66992"/>
              </a:lnTo>
              <a:lnTo>
                <a:pt x="68364" y="66230"/>
              </a:lnTo>
              <a:lnTo>
                <a:pt x="77495" y="64566"/>
              </a:lnTo>
              <a:lnTo>
                <a:pt x="89065" y="62903"/>
              </a:lnTo>
              <a:lnTo>
                <a:pt x="100114" y="62141"/>
              </a:lnTo>
              <a:lnTo>
                <a:pt x="114617" y="63728"/>
              </a:lnTo>
              <a:lnTo>
                <a:pt x="127152" y="69138"/>
              </a:lnTo>
              <a:lnTo>
                <a:pt x="135953" y="79336"/>
              </a:lnTo>
              <a:lnTo>
                <a:pt x="139280" y="95313"/>
              </a:lnTo>
              <a:lnTo>
                <a:pt x="132156" y="118440"/>
              </a:lnTo>
              <a:lnTo>
                <a:pt x="113626" y="139115"/>
              </a:lnTo>
              <a:lnTo>
                <a:pt x="87985" y="160642"/>
              </a:lnTo>
              <a:lnTo>
                <a:pt x="59512" y="186309"/>
              </a:lnTo>
              <a:lnTo>
                <a:pt x="32512" y="219405"/>
              </a:lnTo>
              <a:lnTo>
                <a:pt x="11239" y="263258"/>
              </a:lnTo>
              <a:lnTo>
                <a:pt x="0" y="321144"/>
              </a:lnTo>
              <a:lnTo>
                <a:pt x="216382" y="321144"/>
              </a:lnTo>
              <a:lnTo>
                <a:pt x="216382" y="261061"/>
              </a:lnTo>
              <a:lnTo>
                <a:pt x="216382" y="232054"/>
              </a:lnTo>
              <a:close/>
            </a:path>
            <a:path w="536575" h="461009">
              <a:moveTo>
                <a:pt x="237515" y="435800"/>
              </a:moveTo>
              <a:lnTo>
                <a:pt x="232371" y="420700"/>
              </a:lnTo>
              <a:lnTo>
                <a:pt x="221043" y="412915"/>
              </a:lnTo>
              <a:lnTo>
                <a:pt x="209715" y="408114"/>
              </a:lnTo>
              <a:lnTo>
                <a:pt x="204571" y="401955"/>
              </a:lnTo>
              <a:lnTo>
                <a:pt x="204571" y="398500"/>
              </a:lnTo>
              <a:lnTo>
                <a:pt x="207683" y="396430"/>
              </a:lnTo>
              <a:lnTo>
                <a:pt x="216382" y="396430"/>
              </a:lnTo>
              <a:lnTo>
                <a:pt x="218859" y="397116"/>
              </a:lnTo>
              <a:lnTo>
                <a:pt x="221970" y="397116"/>
              </a:lnTo>
              <a:lnTo>
                <a:pt x="222605" y="406095"/>
              </a:lnTo>
              <a:lnTo>
                <a:pt x="234416" y="406095"/>
              </a:lnTo>
              <a:lnTo>
                <a:pt x="234416" y="396430"/>
              </a:lnTo>
              <a:lnTo>
                <a:pt x="234416" y="383311"/>
              </a:lnTo>
              <a:lnTo>
                <a:pt x="228206" y="380542"/>
              </a:lnTo>
              <a:lnTo>
                <a:pt x="221361" y="379158"/>
              </a:lnTo>
              <a:lnTo>
                <a:pt x="213283" y="379158"/>
              </a:lnTo>
              <a:lnTo>
                <a:pt x="201561" y="380898"/>
              </a:lnTo>
              <a:lnTo>
                <a:pt x="192760" y="385813"/>
              </a:lnTo>
              <a:lnTo>
                <a:pt x="187223" y="393446"/>
              </a:lnTo>
              <a:lnTo>
                <a:pt x="185293" y="403339"/>
              </a:lnTo>
              <a:lnTo>
                <a:pt x="190347" y="417944"/>
              </a:lnTo>
              <a:lnTo>
                <a:pt x="201460" y="425437"/>
              </a:lnTo>
              <a:lnTo>
                <a:pt x="212572" y="430339"/>
              </a:lnTo>
              <a:lnTo>
                <a:pt x="217627" y="437172"/>
              </a:lnTo>
              <a:lnTo>
                <a:pt x="217627" y="441325"/>
              </a:lnTo>
              <a:lnTo>
                <a:pt x="213893" y="444080"/>
              </a:lnTo>
              <a:lnTo>
                <a:pt x="203949" y="444080"/>
              </a:lnTo>
              <a:lnTo>
                <a:pt x="200837" y="443395"/>
              </a:lnTo>
              <a:lnTo>
                <a:pt x="198348" y="442709"/>
              </a:lnTo>
              <a:lnTo>
                <a:pt x="196481" y="432346"/>
              </a:lnTo>
              <a:lnTo>
                <a:pt x="185293" y="432346"/>
              </a:lnTo>
              <a:lnTo>
                <a:pt x="185293" y="455828"/>
              </a:lnTo>
              <a:lnTo>
                <a:pt x="191516" y="458584"/>
              </a:lnTo>
              <a:lnTo>
                <a:pt x="198970" y="460667"/>
              </a:lnTo>
              <a:lnTo>
                <a:pt x="208927" y="460667"/>
              </a:lnTo>
              <a:lnTo>
                <a:pt x="219684" y="459295"/>
              </a:lnTo>
              <a:lnTo>
                <a:pt x="228815" y="454964"/>
              </a:lnTo>
              <a:lnTo>
                <a:pt x="235153" y="447255"/>
              </a:lnTo>
              <a:lnTo>
                <a:pt x="235800" y="444080"/>
              </a:lnTo>
              <a:lnTo>
                <a:pt x="237515" y="435800"/>
              </a:lnTo>
              <a:close/>
            </a:path>
            <a:path w="536575" h="461009">
              <a:moveTo>
                <a:pt x="332663" y="446163"/>
              </a:moveTo>
              <a:lnTo>
                <a:pt x="320852" y="444779"/>
              </a:lnTo>
              <a:lnTo>
                <a:pt x="320852" y="408165"/>
              </a:lnTo>
              <a:lnTo>
                <a:pt x="319506" y="398500"/>
              </a:lnTo>
              <a:lnTo>
                <a:pt x="318833" y="393738"/>
              </a:lnTo>
              <a:lnTo>
                <a:pt x="316318" y="389521"/>
              </a:lnTo>
              <a:lnTo>
                <a:pt x="313550" y="384860"/>
              </a:lnTo>
              <a:lnTo>
                <a:pt x="306158" y="380390"/>
              </a:lnTo>
              <a:lnTo>
                <a:pt x="297827" y="379158"/>
              </a:lnTo>
              <a:lnTo>
                <a:pt x="289128" y="379158"/>
              </a:lnTo>
              <a:lnTo>
                <a:pt x="281038" y="383311"/>
              </a:lnTo>
              <a:lnTo>
                <a:pt x="275463" y="389521"/>
              </a:lnTo>
              <a:lnTo>
                <a:pt x="275463" y="342557"/>
              </a:lnTo>
              <a:lnTo>
                <a:pt x="242493" y="342557"/>
              </a:lnTo>
              <a:lnTo>
                <a:pt x="242493" y="356374"/>
              </a:lnTo>
              <a:lnTo>
                <a:pt x="254939" y="357746"/>
              </a:lnTo>
              <a:lnTo>
                <a:pt x="254939" y="444779"/>
              </a:lnTo>
              <a:lnTo>
                <a:pt x="243751" y="446163"/>
              </a:lnTo>
              <a:lnTo>
                <a:pt x="243751" y="459282"/>
              </a:lnTo>
              <a:lnTo>
                <a:pt x="286651" y="459282"/>
              </a:lnTo>
              <a:lnTo>
                <a:pt x="286651" y="446163"/>
              </a:lnTo>
              <a:lnTo>
                <a:pt x="275463" y="444779"/>
              </a:lnTo>
              <a:lnTo>
                <a:pt x="275463" y="405409"/>
              </a:lnTo>
              <a:lnTo>
                <a:pt x="279806" y="401269"/>
              </a:lnTo>
              <a:lnTo>
                <a:pt x="285407" y="398500"/>
              </a:lnTo>
              <a:lnTo>
                <a:pt x="299694" y="398500"/>
              </a:lnTo>
              <a:lnTo>
                <a:pt x="300824" y="405409"/>
              </a:lnTo>
              <a:lnTo>
                <a:pt x="300939" y="459282"/>
              </a:lnTo>
              <a:lnTo>
                <a:pt x="332663" y="459282"/>
              </a:lnTo>
              <a:lnTo>
                <a:pt x="332663" y="446163"/>
              </a:lnTo>
              <a:close/>
            </a:path>
            <a:path w="536575" h="461009">
              <a:moveTo>
                <a:pt x="406031" y="419912"/>
              </a:moveTo>
              <a:lnTo>
                <a:pt x="405447" y="411492"/>
              </a:lnTo>
              <a:lnTo>
                <a:pt x="403707" y="403860"/>
              </a:lnTo>
              <a:lnTo>
                <a:pt x="400837" y="397116"/>
              </a:lnTo>
              <a:lnTo>
                <a:pt x="400786" y="396989"/>
              </a:lnTo>
              <a:lnTo>
                <a:pt x="396697" y="390906"/>
              </a:lnTo>
              <a:lnTo>
                <a:pt x="391477" y="385864"/>
              </a:lnTo>
              <a:lnTo>
                <a:pt x="385508" y="382371"/>
              </a:lnTo>
              <a:lnTo>
                <a:pt x="385508" y="419912"/>
              </a:lnTo>
              <a:lnTo>
                <a:pt x="384568" y="429514"/>
              </a:lnTo>
              <a:lnTo>
                <a:pt x="381698" y="437184"/>
              </a:lnTo>
              <a:lnTo>
                <a:pt x="376847" y="442252"/>
              </a:lnTo>
              <a:lnTo>
                <a:pt x="369963" y="444080"/>
              </a:lnTo>
              <a:lnTo>
                <a:pt x="363232" y="442353"/>
              </a:lnTo>
              <a:lnTo>
                <a:pt x="358152" y="437438"/>
              </a:lnTo>
              <a:lnTo>
                <a:pt x="354926" y="429806"/>
              </a:lnTo>
              <a:lnTo>
                <a:pt x="353796" y="419912"/>
              </a:lnTo>
              <a:lnTo>
                <a:pt x="354749" y="410819"/>
              </a:lnTo>
              <a:lnTo>
                <a:pt x="357606" y="403593"/>
              </a:lnTo>
              <a:lnTo>
                <a:pt x="362458" y="398830"/>
              </a:lnTo>
              <a:lnTo>
                <a:pt x="369354" y="397116"/>
              </a:lnTo>
              <a:lnTo>
                <a:pt x="376072" y="398741"/>
              </a:lnTo>
              <a:lnTo>
                <a:pt x="381165" y="403339"/>
              </a:lnTo>
              <a:lnTo>
                <a:pt x="384378" y="410527"/>
              </a:lnTo>
              <a:lnTo>
                <a:pt x="385508" y="419912"/>
              </a:lnTo>
              <a:lnTo>
                <a:pt x="385508" y="382371"/>
              </a:lnTo>
              <a:lnTo>
                <a:pt x="385203" y="382181"/>
              </a:lnTo>
              <a:lnTo>
                <a:pt x="377990" y="379933"/>
              </a:lnTo>
              <a:lnTo>
                <a:pt x="369963" y="379158"/>
              </a:lnTo>
              <a:lnTo>
                <a:pt x="362305" y="379933"/>
              </a:lnTo>
              <a:lnTo>
                <a:pt x="334060" y="412076"/>
              </a:lnTo>
              <a:lnTo>
                <a:pt x="333273" y="420598"/>
              </a:lnTo>
              <a:lnTo>
                <a:pt x="334060" y="429514"/>
              </a:lnTo>
              <a:lnTo>
                <a:pt x="362407" y="460019"/>
              </a:lnTo>
              <a:lnTo>
                <a:pt x="369963" y="460667"/>
              </a:lnTo>
              <a:lnTo>
                <a:pt x="377621" y="459892"/>
              </a:lnTo>
              <a:lnTo>
                <a:pt x="384657" y="457644"/>
              </a:lnTo>
              <a:lnTo>
                <a:pt x="390867" y="453961"/>
              </a:lnTo>
              <a:lnTo>
                <a:pt x="396087" y="448919"/>
              </a:lnTo>
              <a:lnTo>
                <a:pt x="399732" y="444080"/>
              </a:lnTo>
              <a:lnTo>
                <a:pt x="400532" y="443026"/>
              </a:lnTo>
              <a:lnTo>
                <a:pt x="403631" y="435965"/>
              </a:lnTo>
              <a:lnTo>
                <a:pt x="405447" y="428142"/>
              </a:lnTo>
              <a:lnTo>
                <a:pt x="406031" y="419912"/>
              </a:lnTo>
              <a:close/>
            </a:path>
            <a:path w="536575" h="461009">
              <a:moveTo>
                <a:pt x="470077" y="382612"/>
              </a:moveTo>
              <a:lnTo>
                <a:pt x="466979" y="380542"/>
              </a:lnTo>
              <a:lnTo>
                <a:pt x="463245" y="379158"/>
              </a:lnTo>
              <a:lnTo>
                <a:pt x="452031" y="379158"/>
              </a:lnTo>
              <a:lnTo>
                <a:pt x="446455" y="382612"/>
              </a:lnTo>
              <a:lnTo>
                <a:pt x="440220" y="389521"/>
              </a:lnTo>
              <a:lnTo>
                <a:pt x="438378" y="381228"/>
              </a:lnTo>
              <a:lnTo>
                <a:pt x="408508" y="381228"/>
              </a:lnTo>
              <a:lnTo>
                <a:pt x="408508" y="395046"/>
              </a:lnTo>
              <a:lnTo>
                <a:pt x="420954" y="397116"/>
              </a:lnTo>
              <a:lnTo>
                <a:pt x="420954" y="444779"/>
              </a:lnTo>
              <a:lnTo>
                <a:pt x="409765" y="446163"/>
              </a:lnTo>
              <a:lnTo>
                <a:pt x="409765" y="459282"/>
              </a:lnTo>
              <a:lnTo>
                <a:pt x="452666" y="459282"/>
              </a:lnTo>
              <a:lnTo>
                <a:pt x="452666" y="446163"/>
              </a:lnTo>
              <a:lnTo>
                <a:pt x="441477" y="444779"/>
              </a:lnTo>
              <a:lnTo>
                <a:pt x="441477" y="404710"/>
              </a:lnTo>
              <a:lnTo>
                <a:pt x="446455" y="399884"/>
              </a:lnTo>
              <a:lnTo>
                <a:pt x="450189" y="398500"/>
              </a:lnTo>
              <a:lnTo>
                <a:pt x="456399" y="398500"/>
              </a:lnTo>
              <a:lnTo>
                <a:pt x="459498" y="399186"/>
              </a:lnTo>
              <a:lnTo>
                <a:pt x="463245" y="401269"/>
              </a:lnTo>
              <a:lnTo>
                <a:pt x="464248" y="398500"/>
              </a:lnTo>
              <a:lnTo>
                <a:pt x="467550" y="389521"/>
              </a:lnTo>
              <a:lnTo>
                <a:pt x="470077" y="382612"/>
              </a:lnTo>
              <a:close/>
            </a:path>
            <a:path w="536575" h="461009">
              <a:moveTo>
                <a:pt x="532866" y="3454"/>
              </a:moveTo>
              <a:lnTo>
                <a:pt x="411010" y="3454"/>
              </a:lnTo>
              <a:lnTo>
                <a:pt x="411010" y="58686"/>
              </a:lnTo>
              <a:lnTo>
                <a:pt x="438365" y="62839"/>
              </a:lnTo>
              <a:lnTo>
                <a:pt x="438365" y="128460"/>
              </a:lnTo>
              <a:lnTo>
                <a:pt x="330174" y="128460"/>
              </a:lnTo>
              <a:lnTo>
                <a:pt x="330174" y="62839"/>
              </a:lnTo>
              <a:lnTo>
                <a:pt x="357530" y="58686"/>
              </a:lnTo>
              <a:lnTo>
                <a:pt x="357530" y="3454"/>
              </a:lnTo>
              <a:lnTo>
                <a:pt x="235648" y="3454"/>
              </a:lnTo>
              <a:lnTo>
                <a:pt x="235648" y="58686"/>
              </a:lnTo>
              <a:lnTo>
                <a:pt x="263652" y="62839"/>
              </a:lnTo>
              <a:lnTo>
                <a:pt x="263652" y="263131"/>
              </a:lnTo>
              <a:lnTo>
                <a:pt x="235648" y="267271"/>
              </a:lnTo>
              <a:lnTo>
                <a:pt x="235648" y="321144"/>
              </a:lnTo>
              <a:lnTo>
                <a:pt x="357530" y="321144"/>
              </a:lnTo>
              <a:lnTo>
                <a:pt x="357530" y="267271"/>
              </a:lnTo>
              <a:lnTo>
                <a:pt x="330174" y="263131"/>
              </a:lnTo>
              <a:lnTo>
                <a:pt x="330174" y="191300"/>
              </a:lnTo>
              <a:lnTo>
                <a:pt x="438365" y="191300"/>
              </a:lnTo>
              <a:lnTo>
                <a:pt x="438365" y="263131"/>
              </a:lnTo>
              <a:lnTo>
                <a:pt x="411010" y="267271"/>
              </a:lnTo>
              <a:lnTo>
                <a:pt x="411010" y="321144"/>
              </a:lnTo>
              <a:lnTo>
                <a:pt x="532866" y="321144"/>
              </a:lnTo>
              <a:lnTo>
                <a:pt x="532866" y="267271"/>
              </a:lnTo>
              <a:lnTo>
                <a:pt x="504901" y="263131"/>
              </a:lnTo>
              <a:lnTo>
                <a:pt x="504901" y="62839"/>
              </a:lnTo>
              <a:lnTo>
                <a:pt x="532866" y="58686"/>
              </a:lnTo>
              <a:lnTo>
                <a:pt x="532866" y="3454"/>
              </a:lnTo>
              <a:close/>
            </a:path>
            <a:path w="536575" h="461009">
              <a:moveTo>
                <a:pt x="535978" y="419227"/>
              </a:moveTo>
              <a:lnTo>
                <a:pt x="534797" y="410933"/>
              </a:lnTo>
              <a:lnTo>
                <a:pt x="533641" y="402767"/>
              </a:lnTo>
              <a:lnTo>
                <a:pt x="529971" y="395744"/>
              </a:lnTo>
              <a:lnTo>
                <a:pt x="527037" y="390131"/>
              </a:lnTo>
              <a:lnTo>
                <a:pt x="516839" y="382028"/>
              </a:lnTo>
              <a:lnTo>
                <a:pt x="515467" y="381736"/>
              </a:lnTo>
              <a:lnTo>
                <a:pt x="515467" y="410933"/>
              </a:lnTo>
              <a:lnTo>
                <a:pt x="489978" y="410933"/>
              </a:lnTo>
              <a:lnTo>
                <a:pt x="489978" y="404025"/>
              </a:lnTo>
              <a:lnTo>
                <a:pt x="494944" y="395744"/>
              </a:lnTo>
              <a:lnTo>
                <a:pt x="511111" y="395744"/>
              </a:lnTo>
              <a:lnTo>
                <a:pt x="514845" y="403339"/>
              </a:lnTo>
              <a:lnTo>
                <a:pt x="515467" y="410933"/>
              </a:lnTo>
              <a:lnTo>
                <a:pt x="515467" y="381736"/>
              </a:lnTo>
              <a:lnTo>
                <a:pt x="472871" y="404799"/>
              </a:lnTo>
              <a:lnTo>
                <a:pt x="470687" y="420598"/>
              </a:lnTo>
              <a:lnTo>
                <a:pt x="472643" y="435597"/>
              </a:lnTo>
              <a:lnTo>
                <a:pt x="478853" y="448398"/>
              </a:lnTo>
              <a:lnTo>
                <a:pt x="489839" y="457314"/>
              </a:lnTo>
              <a:lnTo>
                <a:pt x="506133" y="460667"/>
              </a:lnTo>
              <a:lnTo>
                <a:pt x="512495" y="460235"/>
              </a:lnTo>
              <a:lnTo>
                <a:pt x="519264" y="458762"/>
              </a:lnTo>
              <a:lnTo>
                <a:pt x="526148" y="455993"/>
              </a:lnTo>
              <a:lnTo>
                <a:pt x="532866" y="451688"/>
              </a:lnTo>
              <a:lnTo>
                <a:pt x="529882" y="443395"/>
              </a:lnTo>
              <a:lnTo>
                <a:pt x="527900" y="437870"/>
              </a:lnTo>
              <a:lnTo>
                <a:pt x="521055" y="441325"/>
              </a:lnTo>
              <a:lnTo>
                <a:pt x="516077" y="443395"/>
              </a:lnTo>
              <a:lnTo>
                <a:pt x="509244" y="443395"/>
              </a:lnTo>
              <a:lnTo>
                <a:pt x="502488" y="442252"/>
              </a:lnTo>
              <a:lnTo>
                <a:pt x="496658" y="438899"/>
              </a:lnTo>
              <a:lnTo>
                <a:pt x="492455" y="433489"/>
              </a:lnTo>
              <a:lnTo>
                <a:pt x="490588" y="426135"/>
              </a:lnTo>
              <a:lnTo>
                <a:pt x="535978" y="426135"/>
              </a:lnTo>
              <a:lnTo>
                <a:pt x="535978" y="419227"/>
              </a:lnTo>
              <a:close/>
            </a:path>
          </a:pathLst>
        </a:custGeom>
        <a:solidFill>
          <a:srgbClr val="003050"/>
        </a:solidFill>
      </xdr:spPr>
    </xdr:sp>
    <xdr:clientData/>
  </xdr:oneCellAnchor>
  <xdr:oneCellAnchor>
    <xdr:from>
      <xdr:col>42</xdr:col>
      <xdr:colOff>168512</xdr:colOff>
      <xdr:row>32</xdr:row>
      <xdr:rowOff>18448</xdr:rowOff>
    </xdr:from>
    <xdr:ext cx="107189" cy="72400"/>
    <xdr:pic>
      <xdr:nvPicPr>
        <xdr:cNvPr id="9" name="image4.jpeg">
          <a:extLst>
            <a:ext uri="{FF2B5EF4-FFF2-40B4-BE49-F238E27FC236}">
              <a16:creationId xmlns:a16="http://schemas.microsoft.com/office/drawing/2014/main" id="{817E6A85-E60E-4108-81E3-7A503D64700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60437" y="6333523"/>
          <a:ext cx="107189" cy="72400"/>
        </a:xfrm>
        <a:prstGeom prst="rect">
          <a:avLst/>
        </a:prstGeom>
      </xdr:spPr>
    </xdr:pic>
    <xdr:clientData/>
  </xdr:oneCellAnchor>
  <xdr:oneCellAnchor>
    <xdr:from>
      <xdr:col>45</xdr:col>
      <xdr:colOff>103231</xdr:colOff>
      <xdr:row>32</xdr:row>
      <xdr:rowOff>14676</xdr:rowOff>
    </xdr:from>
    <xdr:ext cx="106077" cy="77258"/>
    <xdr:pic>
      <xdr:nvPicPr>
        <xdr:cNvPr id="10" name="image5.jpeg">
          <a:extLst>
            <a:ext uri="{FF2B5EF4-FFF2-40B4-BE49-F238E27FC236}">
              <a16:creationId xmlns:a16="http://schemas.microsoft.com/office/drawing/2014/main" id="{B974C097-236B-4C6A-9461-C32E65A8856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285706" y="6329751"/>
          <a:ext cx="106077" cy="77258"/>
        </a:xfrm>
        <a:prstGeom prst="rect">
          <a:avLst/>
        </a:prstGeom>
      </xdr:spPr>
    </xdr:pic>
    <xdr:clientData/>
  </xdr:oneCellAnchor>
  <xdr:oneCellAnchor>
    <xdr:from>
      <xdr:col>39</xdr:col>
      <xdr:colOff>151621</xdr:colOff>
      <xdr:row>32</xdr:row>
      <xdr:rowOff>13982</xdr:rowOff>
    </xdr:from>
    <xdr:ext cx="103778" cy="85729"/>
    <xdr:pic>
      <xdr:nvPicPr>
        <xdr:cNvPr id="11" name="image6.png">
          <a:extLst>
            <a:ext uri="{FF2B5EF4-FFF2-40B4-BE49-F238E27FC236}">
              <a16:creationId xmlns:a16="http://schemas.microsoft.com/office/drawing/2014/main" id="{3F662568-2EA0-4150-9D4F-8659D20298D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143471" y="6329057"/>
          <a:ext cx="103778" cy="85729"/>
        </a:xfrm>
        <a:prstGeom prst="rect">
          <a:avLst/>
        </a:prstGeom>
      </xdr:spPr>
    </xdr:pic>
    <xdr:clientData/>
  </xdr:oneCellAnchor>
  <xdr:oneCellAnchor>
    <xdr:from>
      <xdr:col>27</xdr:col>
      <xdr:colOff>60385</xdr:colOff>
      <xdr:row>39</xdr:row>
      <xdr:rowOff>100991</xdr:rowOff>
    </xdr:from>
    <xdr:ext cx="1586154" cy="337539"/>
    <xdr:pic>
      <xdr:nvPicPr>
        <xdr:cNvPr id="12" name="image2.jpeg">
          <a:extLst>
            <a:ext uri="{FF2B5EF4-FFF2-40B4-BE49-F238E27FC236}">
              <a16:creationId xmlns:a16="http://schemas.microsoft.com/office/drawing/2014/main" id="{8CE562FC-9409-4C13-8673-17ACA7F4D8B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680510" y="7339991"/>
          <a:ext cx="1586154" cy="337539"/>
        </a:xfrm>
        <a:prstGeom prst="rect">
          <a:avLst/>
        </a:prstGeom>
      </xdr:spPr>
    </xdr:pic>
    <xdr:clientData/>
  </xdr:oneCellAnchor>
  <xdr:oneCellAnchor>
    <xdr:from>
      <xdr:col>23</xdr:col>
      <xdr:colOff>233806</xdr:colOff>
      <xdr:row>39</xdr:row>
      <xdr:rowOff>114744</xdr:rowOff>
    </xdr:from>
    <xdr:ext cx="497954" cy="387286"/>
    <xdr:pic>
      <xdr:nvPicPr>
        <xdr:cNvPr id="13" name="image3.png">
          <a:extLst>
            <a:ext uri="{FF2B5EF4-FFF2-40B4-BE49-F238E27FC236}">
              <a16:creationId xmlns:a16="http://schemas.microsoft.com/office/drawing/2014/main" id="{DD27822A-8182-41E3-B567-6970FA09B95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82381" y="7353744"/>
          <a:ext cx="497954" cy="387286"/>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oneCellAnchor>
    <xdr:from>
      <xdr:col>19</xdr:col>
      <xdr:colOff>102641</xdr:colOff>
      <xdr:row>45</xdr:row>
      <xdr:rowOff>75920</xdr:rowOff>
    </xdr:from>
    <xdr:ext cx="526415" cy="452755"/>
    <xdr:sp macro="" textlink="">
      <xdr:nvSpPr>
        <xdr:cNvPr id="2" name="Shape 53">
          <a:extLst>
            <a:ext uri="{FF2B5EF4-FFF2-40B4-BE49-F238E27FC236}">
              <a16:creationId xmlns:a16="http://schemas.microsoft.com/office/drawing/2014/main" id="{26175557-74C4-4ED3-B3CD-E4F71B2C8144}"/>
            </a:ext>
          </a:extLst>
        </xdr:cNvPr>
        <xdr:cNvSpPr/>
      </xdr:nvSpPr>
      <xdr:spPr>
        <a:xfrm>
          <a:off x="6808241" y="7867370"/>
          <a:ext cx="526415" cy="452755"/>
        </a:xfrm>
        <a:custGeom>
          <a:avLst/>
          <a:gdLst/>
          <a:ahLst/>
          <a:cxnLst/>
          <a:rect l="0" t="0" r="0" b="0"/>
          <a:pathLst>
            <a:path w="526415" h="452755">
              <a:moveTo>
                <a:pt x="71450" y="412419"/>
              </a:moveTo>
              <a:lnTo>
                <a:pt x="70878" y="404152"/>
              </a:lnTo>
              <a:lnTo>
                <a:pt x="69164" y="396646"/>
              </a:lnTo>
              <a:lnTo>
                <a:pt x="66344" y="390042"/>
              </a:lnTo>
              <a:lnTo>
                <a:pt x="66294" y="389915"/>
              </a:lnTo>
              <a:lnTo>
                <a:pt x="62293" y="383933"/>
              </a:lnTo>
              <a:lnTo>
                <a:pt x="57150" y="378980"/>
              </a:lnTo>
              <a:lnTo>
                <a:pt x="51295" y="375564"/>
              </a:lnTo>
              <a:lnTo>
                <a:pt x="51295" y="412419"/>
              </a:lnTo>
              <a:lnTo>
                <a:pt x="50368" y="421855"/>
              </a:lnTo>
              <a:lnTo>
                <a:pt x="47561" y="429387"/>
              </a:lnTo>
              <a:lnTo>
                <a:pt x="42799" y="434365"/>
              </a:lnTo>
              <a:lnTo>
                <a:pt x="36029" y="436168"/>
              </a:lnTo>
              <a:lnTo>
                <a:pt x="29425" y="434454"/>
              </a:lnTo>
              <a:lnTo>
                <a:pt x="24422" y="429641"/>
              </a:lnTo>
              <a:lnTo>
                <a:pt x="21259" y="422135"/>
              </a:lnTo>
              <a:lnTo>
                <a:pt x="20154" y="412419"/>
              </a:lnTo>
              <a:lnTo>
                <a:pt x="21082" y="403491"/>
              </a:lnTo>
              <a:lnTo>
                <a:pt x="23888" y="396392"/>
              </a:lnTo>
              <a:lnTo>
                <a:pt x="28651" y="391718"/>
              </a:lnTo>
              <a:lnTo>
                <a:pt x="35420" y="390042"/>
              </a:lnTo>
              <a:lnTo>
                <a:pt x="42278" y="391629"/>
              </a:lnTo>
              <a:lnTo>
                <a:pt x="47256" y="396138"/>
              </a:lnTo>
              <a:lnTo>
                <a:pt x="50279" y="403199"/>
              </a:lnTo>
              <a:lnTo>
                <a:pt x="51295" y="412419"/>
              </a:lnTo>
              <a:lnTo>
                <a:pt x="51295" y="375564"/>
              </a:lnTo>
              <a:lnTo>
                <a:pt x="50990" y="375373"/>
              </a:lnTo>
              <a:lnTo>
                <a:pt x="43916" y="373151"/>
              </a:lnTo>
              <a:lnTo>
                <a:pt x="36029" y="372402"/>
              </a:lnTo>
              <a:lnTo>
                <a:pt x="28498" y="373151"/>
              </a:lnTo>
              <a:lnTo>
                <a:pt x="762" y="404723"/>
              </a:lnTo>
              <a:lnTo>
                <a:pt x="0" y="413105"/>
              </a:lnTo>
              <a:lnTo>
                <a:pt x="774" y="421855"/>
              </a:lnTo>
              <a:lnTo>
                <a:pt x="28613" y="451815"/>
              </a:lnTo>
              <a:lnTo>
                <a:pt x="36029" y="452437"/>
              </a:lnTo>
              <a:lnTo>
                <a:pt x="43561" y="451688"/>
              </a:lnTo>
              <a:lnTo>
                <a:pt x="50457" y="449478"/>
              </a:lnTo>
              <a:lnTo>
                <a:pt x="56553" y="445858"/>
              </a:lnTo>
              <a:lnTo>
                <a:pt x="61683" y="440905"/>
              </a:lnTo>
              <a:lnTo>
                <a:pt x="65252" y="436168"/>
              </a:lnTo>
              <a:lnTo>
                <a:pt x="66040" y="435127"/>
              </a:lnTo>
              <a:lnTo>
                <a:pt x="69088" y="428193"/>
              </a:lnTo>
              <a:lnTo>
                <a:pt x="70866" y="420497"/>
              </a:lnTo>
              <a:lnTo>
                <a:pt x="71450" y="412419"/>
              </a:lnTo>
              <a:close/>
            </a:path>
            <a:path w="526415" h="452755">
              <a:moveTo>
                <a:pt x="178320" y="339839"/>
              </a:moveTo>
              <a:lnTo>
                <a:pt x="173431" y="337121"/>
              </a:lnTo>
              <a:lnTo>
                <a:pt x="167944" y="336448"/>
              </a:lnTo>
              <a:lnTo>
                <a:pt x="163664" y="336448"/>
              </a:lnTo>
              <a:lnTo>
                <a:pt x="155536" y="337566"/>
              </a:lnTo>
              <a:lnTo>
                <a:pt x="147180" y="341795"/>
              </a:lnTo>
              <a:lnTo>
                <a:pt x="140652" y="350469"/>
              </a:lnTo>
              <a:lnTo>
                <a:pt x="138010" y="364934"/>
              </a:lnTo>
              <a:lnTo>
                <a:pt x="138010" y="374434"/>
              </a:lnTo>
              <a:lnTo>
                <a:pt x="106260" y="374434"/>
              </a:lnTo>
              <a:lnTo>
                <a:pt x="106260" y="357479"/>
              </a:lnTo>
              <a:lnTo>
                <a:pt x="109308" y="353402"/>
              </a:lnTo>
              <a:lnTo>
                <a:pt x="117246" y="353402"/>
              </a:lnTo>
              <a:lnTo>
                <a:pt x="123355" y="356120"/>
              </a:lnTo>
              <a:lnTo>
                <a:pt x="123964" y="353402"/>
              </a:lnTo>
              <a:lnTo>
                <a:pt x="127025" y="339839"/>
              </a:lnTo>
              <a:lnTo>
                <a:pt x="122135" y="337121"/>
              </a:lnTo>
              <a:lnTo>
                <a:pt x="116636" y="336448"/>
              </a:lnTo>
              <a:lnTo>
                <a:pt x="112369" y="336448"/>
              </a:lnTo>
              <a:lnTo>
                <a:pt x="104241" y="337566"/>
              </a:lnTo>
              <a:lnTo>
                <a:pt x="95872" y="341795"/>
              </a:lnTo>
              <a:lnTo>
                <a:pt x="89344" y="350469"/>
              </a:lnTo>
              <a:lnTo>
                <a:pt x="86715" y="364934"/>
              </a:lnTo>
              <a:lnTo>
                <a:pt x="86715" y="374434"/>
              </a:lnTo>
              <a:lnTo>
                <a:pt x="76339" y="374434"/>
              </a:lnTo>
              <a:lnTo>
                <a:pt x="76339" y="390715"/>
              </a:lnTo>
              <a:lnTo>
                <a:pt x="86715" y="390715"/>
              </a:lnTo>
              <a:lnTo>
                <a:pt x="86715" y="436841"/>
              </a:lnTo>
              <a:lnTo>
                <a:pt x="75730" y="438200"/>
              </a:lnTo>
              <a:lnTo>
                <a:pt x="75730" y="451091"/>
              </a:lnTo>
              <a:lnTo>
                <a:pt x="117856" y="451091"/>
              </a:lnTo>
              <a:lnTo>
                <a:pt x="117856" y="438200"/>
              </a:lnTo>
              <a:lnTo>
                <a:pt x="106260" y="436841"/>
              </a:lnTo>
              <a:lnTo>
                <a:pt x="106260" y="390715"/>
              </a:lnTo>
              <a:lnTo>
                <a:pt x="138010" y="390715"/>
              </a:lnTo>
              <a:lnTo>
                <a:pt x="138010" y="436841"/>
              </a:lnTo>
              <a:lnTo>
                <a:pt x="127025" y="438200"/>
              </a:lnTo>
              <a:lnTo>
                <a:pt x="127025" y="451091"/>
              </a:lnTo>
              <a:lnTo>
                <a:pt x="169164" y="451091"/>
              </a:lnTo>
              <a:lnTo>
                <a:pt x="169164" y="438200"/>
              </a:lnTo>
              <a:lnTo>
                <a:pt x="157556" y="436841"/>
              </a:lnTo>
              <a:lnTo>
                <a:pt x="157556" y="390715"/>
              </a:lnTo>
              <a:lnTo>
                <a:pt x="171602" y="390715"/>
              </a:lnTo>
              <a:lnTo>
                <a:pt x="175882" y="374434"/>
              </a:lnTo>
              <a:lnTo>
                <a:pt x="157556" y="374434"/>
              </a:lnTo>
              <a:lnTo>
                <a:pt x="157556" y="357479"/>
              </a:lnTo>
              <a:lnTo>
                <a:pt x="160616" y="353402"/>
              </a:lnTo>
              <a:lnTo>
                <a:pt x="168554" y="353402"/>
              </a:lnTo>
              <a:lnTo>
                <a:pt x="174663" y="356120"/>
              </a:lnTo>
              <a:lnTo>
                <a:pt x="175272" y="353402"/>
              </a:lnTo>
              <a:lnTo>
                <a:pt x="178320" y="339839"/>
              </a:lnTo>
              <a:close/>
            </a:path>
            <a:path w="526415" h="452755">
              <a:moveTo>
                <a:pt x="212521" y="227914"/>
              </a:moveTo>
              <a:lnTo>
                <a:pt x="164274" y="227914"/>
              </a:lnTo>
              <a:lnTo>
                <a:pt x="161226" y="255054"/>
              </a:lnTo>
              <a:lnTo>
                <a:pt x="83667" y="256413"/>
              </a:lnTo>
              <a:lnTo>
                <a:pt x="103593" y="225285"/>
              </a:lnTo>
              <a:lnTo>
                <a:pt x="135216" y="195795"/>
              </a:lnTo>
              <a:lnTo>
                <a:pt x="169278" y="164833"/>
              </a:lnTo>
              <a:lnTo>
                <a:pt x="196507" y="129324"/>
              </a:lnTo>
              <a:lnTo>
                <a:pt x="207632" y="86156"/>
              </a:lnTo>
              <a:lnTo>
                <a:pt x="203415" y="61036"/>
              </a:lnTo>
              <a:lnTo>
                <a:pt x="201764" y="51219"/>
              </a:lnTo>
              <a:lnTo>
                <a:pt x="183972" y="23990"/>
              </a:lnTo>
              <a:lnTo>
                <a:pt x="154051" y="6311"/>
              </a:lnTo>
              <a:lnTo>
                <a:pt x="111760" y="0"/>
              </a:lnTo>
              <a:lnTo>
                <a:pt x="81838" y="2514"/>
              </a:lnTo>
              <a:lnTo>
                <a:pt x="55194" y="8902"/>
              </a:lnTo>
              <a:lnTo>
                <a:pt x="31635" y="17462"/>
              </a:lnTo>
              <a:lnTo>
                <a:pt x="10985" y="26441"/>
              </a:lnTo>
              <a:lnTo>
                <a:pt x="10375" y="27127"/>
              </a:lnTo>
              <a:lnTo>
                <a:pt x="10375" y="113944"/>
              </a:lnTo>
              <a:lnTo>
                <a:pt x="58013" y="113944"/>
              </a:lnTo>
              <a:lnTo>
                <a:pt x="63512" y="65798"/>
              </a:lnTo>
              <a:lnTo>
                <a:pt x="67144" y="65062"/>
              </a:lnTo>
              <a:lnTo>
                <a:pt x="76111" y="63423"/>
              </a:lnTo>
              <a:lnTo>
                <a:pt x="87477" y="61785"/>
              </a:lnTo>
              <a:lnTo>
                <a:pt x="98323" y="61036"/>
              </a:lnTo>
              <a:lnTo>
                <a:pt x="112572" y="62598"/>
              </a:lnTo>
              <a:lnTo>
                <a:pt x="124879" y="67906"/>
              </a:lnTo>
              <a:lnTo>
                <a:pt x="133527" y="77927"/>
              </a:lnTo>
              <a:lnTo>
                <a:pt x="136791" y="93611"/>
              </a:lnTo>
              <a:lnTo>
                <a:pt x="129794" y="116332"/>
              </a:lnTo>
              <a:lnTo>
                <a:pt x="111594" y="136639"/>
              </a:lnTo>
              <a:lnTo>
                <a:pt x="86410" y="157772"/>
              </a:lnTo>
              <a:lnTo>
                <a:pt x="58458" y="182981"/>
              </a:lnTo>
              <a:lnTo>
                <a:pt x="31927" y="215493"/>
              </a:lnTo>
              <a:lnTo>
                <a:pt x="11036" y="258572"/>
              </a:lnTo>
              <a:lnTo>
                <a:pt x="0" y="315417"/>
              </a:lnTo>
              <a:lnTo>
                <a:pt x="212521" y="315417"/>
              </a:lnTo>
              <a:lnTo>
                <a:pt x="212521" y="256413"/>
              </a:lnTo>
              <a:lnTo>
                <a:pt x="212521" y="227914"/>
              </a:lnTo>
              <a:close/>
            </a:path>
            <a:path w="526415" h="452755">
              <a:moveTo>
                <a:pt x="233273" y="428028"/>
              </a:moveTo>
              <a:lnTo>
                <a:pt x="228219" y="413194"/>
              </a:lnTo>
              <a:lnTo>
                <a:pt x="217093" y="405549"/>
              </a:lnTo>
              <a:lnTo>
                <a:pt x="205968" y="400837"/>
              </a:lnTo>
              <a:lnTo>
                <a:pt x="200914" y="394779"/>
              </a:lnTo>
              <a:lnTo>
                <a:pt x="200914" y="391388"/>
              </a:lnTo>
              <a:lnTo>
                <a:pt x="203974" y="389356"/>
              </a:lnTo>
              <a:lnTo>
                <a:pt x="212521" y="389356"/>
              </a:lnTo>
              <a:lnTo>
                <a:pt x="214960" y="390042"/>
              </a:lnTo>
              <a:lnTo>
                <a:pt x="218008" y="390042"/>
              </a:lnTo>
              <a:lnTo>
                <a:pt x="218617" y="398856"/>
              </a:lnTo>
              <a:lnTo>
                <a:pt x="230225" y="398856"/>
              </a:lnTo>
              <a:lnTo>
                <a:pt x="230225" y="389356"/>
              </a:lnTo>
              <a:lnTo>
                <a:pt x="230225" y="376466"/>
              </a:lnTo>
              <a:lnTo>
                <a:pt x="224129" y="373761"/>
              </a:lnTo>
              <a:lnTo>
                <a:pt x="217411" y="372402"/>
              </a:lnTo>
              <a:lnTo>
                <a:pt x="209473" y="372402"/>
              </a:lnTo>
              <a:lnTo>
                <a:pt x="197954" y="374103"/>
              </a:lnTo>
              <a:lnTo>
                <a:pt x="189318" y="378929"/>
              </a:lnTo>
              <a:lnTo>
                <a:pt x="183870" y="386422"/>
              </a:lnTo>
              <a:lnTo>
                <a:pt x="181978" y="396138"/>
              </a:lnTo>
              <a:lnTo>
                <a:pt x="186944" y="410489"/>
              </a:lnTo>
              <a:lnTo>
                <a:pt x="197866" y="417842"/>
              </a:lnTo>
              <a:lnTo>
                <a:pt x="208775" y="422656"/>
              </a:lnTo>
              <a:lnTo>
                <a:pt x="213741" y="429374"/>
              </a:lnTo>
              <a:lnTo>
                <a:pt x="213741" y="433451"/>
              </a:lnTo>
              <a:lnTo>
                <a:pt x="210070" y="436168"/>
              </a:lnTo>
              <a:lnTo>
                <a:pt x="200304" y="436168"/>
              </a:lnTo>
              <a:lnTo>
                <a:pt x="197256" y="435483"/>
              </a:lnTo>
              <a:lnTo>
                <a:pt x="194805" y="434809"/>
              </a:lnTo>
              <a:lnTo>
                <a:pt x="192976" y="424637"/>
              </a:lnTo>
              <a:lnTo>
                <a:pt x="181978" y="424637"/>
              </a:lnTo>
              <a:lnTo>
                <a:pt x="181978" y="447700"/>
              </a:lnTo>
              <a:lnTo>
                <a:pt x="188087" y="450405"/>
              </a:lnTo>
              <a:lnTo>
                <a:pt x="195414" y="452437"/>
              </a:lnTo>
              <a:lnTo>
                <a:pt x="205193" y="452437"/>
              </a:lnTo>
              <a:lnTo>
                <a:pt x="215760" y="451104"/>
              </a:lnTo>
              <a:lnTo>
                <a:pt x="224726" y="446849"/>
              </a:lnTo>
              <a:lnTo>
                <a:pt x="230949" y="439280"/>
              </a:lnTo>
              <a:lnTo>
                <a:pt x="231597" y="436168"/>
              </a:lnTo>
              <a:lnTo>
                <a:pt x="233273" y="428028"/>
              </a:lnTo>
              <a:close/>
            </a:path>
            <a:path w="526415" h="452755">
              <a:moveTo>
                <a:pt x="326732" y="438200"/>
              </a:moveTo>
              <a:lnTo>
                <a:pt x="315125" y="436841"/>
              </a:lnTo>
              <a:lnTo>
                <a:pt x="315125" y="400888"/>
              </a:lnTo>
              <a:lnTo>
                <a:pt x="313791" y="391388"/>
              </a:lnTo>
              <a:lnTo>
                <a:pt x="292519" y="372402"/>
              </a:lnTo>
              <a:lnTo>
                <a:pt x="283959" y="372402"/>
              </a:lnTo>
              <a:lnTo>
                <a:pt x="276021" y="376466"/>
              </a:lnTo>
              <a:lnTo>
                <a:pt x="270548" y="382574"/>
              </a:lnTo>
              <a:lnTo>
                <a:pt x="270548" y="336448"/>
              </a:lnTo>
              <a:lnTo>
                <a:pt x="238163" y="336448"/>
              </a:lnTo>
              <a:lnTo>
                <a:pt x="238163" y="350012"/>
              </a:lnTo>
              <a:lnTo>
                <a:pt x="250380" y="351370"/>
              </a:lnTo>
              <a:lnTo>
                <a:pt x="250380" y="436841"/>
              </a:lnTo>
              <a:lnTo>
                <a:pt x="239395" y="438200"/>
              </a:lnTo>
              <a:lnTo>
                <a:pt x="239395" y="451091"/>
              </a:lnTo>
              <a:lnTo>
                <a:pt x="281533" y="451091"/>
              </a:lnTo>
              <a:lnTo>
                <a:pt x="281533" y="438200"/>
              </a:lnTo>
              <a:lnTo>
                <a:pt x="270548" y="436841"/>
              </a:lnTo>
              <a:lnTo>
                <a:pt x="270548" y="398183"/>
              </a:lnTo>
              <a:lnTo>
                <a:pt x="274802" y="394106"/>
              </a:lnTo>
              <a:lnTo>
                <a:pt x="280314" y="391388"/>
              </a:lnTo>
              <a:lnTo>
                <a:pt x="294347" y="391388"/>
              </a:lnTo>
              <a:lnTo>
                <a:pt x="295452" y="398183"/>
              </a:lnTo>
              <a:lnTo>
                <a:pt x="295567" y="451091"/>
              </a:lnTo>
              <a:lnTo>
                <a:pt x="326732" y="451091"/>
              </a:lnTo>
              <a:lnTo>
                <a:pt x="326732" y="438200"/>
              </a:lnTo>
              <a:close/>
            </a:path>
            <a:path w="526415" h="452755">
              <a:moveTo>
                <a:pt x="398780" y="412419"/>
              </a:moveTo>
              <a:lnTo>
                <a:pt x="398208" y="404152"/>
              </a:lnTo>
              <a:lnTo>
                <a:pt x="396494" y="396646"/>
              </a:lnTo>
              <a:lnTo>
                <a:pt x="393674" y="390042"/>
              </a:lnTo>
              <a:lnTo>
                <a:pt x="393623" y="389915"/>
              </a:lnTo>
              <a:lnTo>
                <a:pt x="389610" y="383933"/>
              </a:lnTo>
              <a:lnTo>
                <a:pt x="384479" y="378980"/>
              </a:lnTo>
              <a:lnTo>
                <a:pt x="378625" y="375564"/>
              </a:lnTo>
              <a:lnTo>
                <a:pt x="378625" y="412419"/>
              </a:lnTo>
              <a:lnTo>
                <a:pt x="377698" y="421855"/>
              </a:lnTo>
              <a:lnTo>
                <a:pt x="374878" y="429387"/>
              </a:lnTo>
              <a:lnTo>
                <a:pt x="370116" y="434365"/>
              </a:lnTo>
              <a:lnTo>
                <a:pt x="363347" y="436168"/>
              </a:lnTo>
              <a:lnTo>
                <a:pt x="356755" y="434454"/>
              </a:lnTo>
              <a:lnTo>
                <a:pt x="351751" y="429641"/>
              </a:lnTo>
              <a:lnTo>
                <a:pt x="348589" y="422135"/>
              </a:lnTo>
              <a:lnTo>
                <a:pt x="347484" y="412419"/>
              </a:lnTo>
              <a:lnTo>
                <a:pt x="348411" y="403491"/>
              </a:lnTo>
              <a:lnTo>
                <a:pt x="351218" y="396392"/>
              </a:lnTo>
              <a:lnTo>
                <a:pt x="355981" y="391718"/>
              </a:lnTo>
              <a:lnTo>
                <a:pt x="362750" y="390042"/>
              </a:lnTo>
              <a:lnTo>
                <a:pt x="369354" y="391629"/>
              </a:lnTo>
              <a:lnTo>
                <a:pt x="374357" y="396138"/>
              </a:lnTo>
              <a:lnTo>
                <a:pt x="377520" y="403199"/>
              </a:lnTo>
              <a:lnTo>
                <a:pt x="378625" y="412419"/>
              </a:lnTo>
              <a:lnTo>
                <a:pt x="378625" y="375564"/>
              </a:lnTo>
              <a:lnTo>
                <a:pt x="378320" y="375373"/>
              </a:lnTo>
              <a:lnTo>
                <a:pt x="371246" y="373151"/>
              </a:lnTo>
              <a:lnTo>
                <a:pt x="363347" y="372402"/>
              </a:lnTo>
              <a:lnTo>
                <a:pt x="355828" y="373151"/>
              </a:lnTo>
              <a:lnTo>
                <a:pt x="328091" y="404723"/>
              </a:lnTo>
              <a:lnTo>
                <a:pt x="327329" y="413105"/>
              </a:lnTo>
              <a:lnTo>
                <a:pt x="328104" y="421855"/>
              </a:lnTo>
              <a:lnTo>
                <a:pt x="355942" y="451815"/>
              </a:lnTo>
              <a:lnTo>
                <a:pt x="363347" y="452437"/>
              </a:lnTo>
              <a:lnTo>
                <a:pt x="370878" y="451688"/>
              </a:lnTo>
              <a:lnTo>
                <a:pt x="398195" y="420497"/>
              </a:lnTo>
              <a:lnTo>
                <a:pt x="398780" y="412419"/>
              </a:lnTo>
              <a:close/>
            </a:path>
            <a:path w="526415" h="452755">
              <a:moveTo>
                <a:pt x="461683" y="375793"/>
              </a:moveTo>
              <a:lnTo>
                <a:pt x="458635" y="373761"/>
              </a:lnTo>
              <a:lnTo>
                <a:pt x="454964" y="372402"/>
              </a:lnTo>
              <a:lnTo>
                <a:pt x="443966" y="372402"/>
              </a:lnTo>
              <a:lnTo>
                <a:pt x="438480" y="375793"/>
              </a:lnTo>
              <a:lnTo>
                <a:pt x="432358" y="382574"/>
              </a:lnTo>
              <a:lnTo>
                <a:pt x="430542" y="374434"/>
              </a:lnTo>
              <a:lnTo>
                <a:pt x="401218" y="374434"/>
              </a:lnTo>
              <a:lnTo>
                <a:pt x="401218" y="387997"/>
              </a:lnTo>
              <a:lnTo>
                <a:pt x="413435" y="390042"/>
              </a:lnTo>
              <a:lnTo>
                <a:pt x="413435" y="436841"/>
              </a:lnTo>
              <a:lnTo>
                <a:pt x="402450" y="438200"/>
              </a:lnTo>
              <a:lnTo>
                <a:pt x="402450" y="451091"/>
              </a:lnTo>
              <a:lnTo>
                <a:pt x="444576" y="451091"/>
              </a:lnTo>
              <a:lnTo>
                <a:pt x="444576" y="438200"/>
              </a:lnTo>
              <a:lnTo>
                <a:pt x="433590" y="436841"/>
              </a:lnTo>
              <a:lnTo>
                <a:pt x="433590" y="397497"/>
              </a:lnTo>
              <a:lnTo>
                <a:pt x="438480" y="392747"/>
              </a:lnTo>
              <a:lnTo>
                <a:pt x="442150" y="391388"/>
              </a:lnTo>
              <a:lnTo>
                <a:pt x="448246" y="391388"/>
              </a:lnTo>
              <a:lnTo>
                <a:pt x="451294" y="392074"/>
              </a:lnTo>
              <a:lnTo>
                <a:pt x="454964" y="394106"/>
              </a:lnTo>
              <a:lnTo>
                <a:pt x="455968" y="391388"/>
              </a:lnTo>
              <a:lnTo>
                <a:pt x="459193" y="382574"/>
              </a:lnTo>
              <a:lnTo>
                <a:pt x="461683" y="375793"/>
              </a:lnTo>
              <a:close/>
            </a:path>
            <a:path w="526415" h="452755">
              <a:moveTo>
                <a:pt x="523354" y="3390"/>
              </a:moveTo>
              <a:lnTo>
                <a:pt x="403669" y="3390"/>
              </a:lnTo>
              <a:lnTo>
                <a:pt x="403669" y="57645"/>
              </a:lnTo>
              <a:lnTo>
                <a:pt x="430542" y="61722"/>
              </a:lnTo>
              <a:lnTo>
                <a:pt x="430542" y="126174"/>
              </a:lnTo>
              <a:lnTo>
                <a:pt x="324269" y="126174"/>
              </a:lnTo>
              <a:lnTo>
                <a:pt x="324269" y="61722"/>
              </a:lnTo>
              <a:lnTo>
                <a:pt x="351155" y="57645"/>
              </a:lnTo>
              <a:lnTo>
                <a:pt x="351155" y="3390"/>
              </a:lnTo>
              <a:lnTo>
                <a:pt x="231444" y="3390"/>
              </a:lnTo>
              <a:lnTo>
                <a:pt x="231444" y="57645"/>
              </a:lnTo>
              <a:lnTo>
                <a:pt x="258940" y="61722"/>
              </a:lnTo>
              <a:lnTo>
                <a:pt x="258940" y="258445"/>
              </a:lnTo>
              <a:lnTo>
                <a:pt x="231444" y="262509"/>
              </a:lnTo>
              <a:lnTo>
                <a:pt x="231444" y="315417"/>
              </a:lnTo>
              <a:lnTo>
                <a:pt x="351155" y="315417"/>
              </a:lnTo>
              <a:lnTo>
                <a:pt x="351155" y="262509"/>
              </a:lnTo>
              <a:lnTo>
                <a:pt x="324269" y="258445"/>
              </a:lnTo>
              <a:lnTo>
                <a:pt x="324269" y="187896"/>
              </a:lnTo>
              <a:lnTo>
                <a:pt x="430542" y="187896"/>
              </a:lnTo>
              <a:lnTo>
                <a:pt x="430542" y="258445"/>
              </a:lnTo>
              <a:lnTo>
                <a:pt x="403669" y="262509"/>
              </a:lnTo>
              <a:lnTo>
                <a:pt x="403669" y="315417"/>
              </a:lnTo>
              <a:lnTo>
                <a:pt x="523354" y="315417"/>
              </a:lnTo>
              <a:lnTo>
                <a:pt x="523354" y="262509"/>
              </a:lnTo>
              <a:lnTo>
                <a:pt x="495884" y="258445"/>
              </a:lnTo>
              <a:lnTo>
                <a:pt x="495884" y="61722"/>
              </a:lnTo>
              <a:lnTo>
                <a:pt x="523354" y="57645"/>
              </a:lnTo>
              <a:lnTo>
                <a:pt x="523354" y="3390"/>
              </a:lnTo>
              <a:close/>
            </a:path>
            <a:path w="526415" h="452755">
              <a:moveTo>
                <a:pt x="526402" y="411746"/>
              </a:moveTo>
              <a:lnTo>
                <a:pt x="507606" y="375208"/>
              </a:lnTo>
              <a:lnTo>
                <a:pt x="506272" y="374929"/>
              </a:lnTo>
              <a:lnTo>
                <a:pt x="506272" y="403606"/>
              </a:lnTo>
              <a:lnTo>
                <a:pt x="481228" y="403606"/>
              </a:lnTo>
              <a:lnTo>
                <a:pt x="481228" y="396824"/>
              </a:lnTo>
              <a:lnTo>
                <a:pt x="486105" y="388683"/>
              </a:lnTo>
              <a:lnTo>
                <a:pt x="501980" y="388683"/>
              </a:lnTo>
              <a:lnTo>
                <a:pt x="505650" y="396138"/>
              </a:lnTo>
              <a:lnTo>
                <a:pt x="506272" y="403606"/>
              </a:lnTo>
              <a:lnTo>
                <a:pt x="506272" y="374929"/>
              </a:lnTo>
              <a:lnTo>
                <a:pt x="464426" y="397586"/>
              </a:lnTo>
              <a:lnTo>
                <a:pt x="462280" y="413105"/>
              </a:lnTo>
              <a:lnTo>
                <a:pt x="464197" y="427837"/>
              </a:lnTo>
              <a:lnTo>
                <a:pt x="470293" y="440397"/>
              </a:lnTo>
              <a:lnTo>
                <a:pt x="481088" y="449160"/>
              </a:lnTo>
              <a:lnTo>
                <a:pt x="497090" y="452437"/>
              </a:lnTo>
              <a:lnTo>
                <a:pt x="503339" y="452018"/>
              </a:lnTo>
              <a:lnTo>
                <a:pt x="509993" y="450583"/>
              </a:lnTo>
              <a:lnTo>
                <a:pt x="516763" y="447865"/>
              </a:lnTo>
              <a:lnTo>
                <a:pt x="523354" y="443623"/>
              </a:lnTo>
              <a:lnTo>
                <a:pt x="520420" y="435483"/>
              </a:lnTo>
              <a:lnTo>
                <a:pt x="518464" y="430060"/>
              </a:lnTo>
              <a:lnTo>
                <a:pt x="511746" y="433451"/>
              </a:lnTo>
              <a:lnTo>
                <a:pt x="506869" y="435483"/>
              </a:lnTo>
              <a:lnTo>
                <a:pt x="490994" y="435483"/>
              </a:lnTo>
              <a:lnTo>
                <a:pt x="482447" y="429374"/>
              </a:lnTo>
              <a:lnTo>
                <a:pt x="481825" y="418528"/>
              </a:lnTo>
              <a:lnTo>
                <a:pt x="526402" y="418528"/>
              </a:lnTo>
              <a:lnTo>
                <a:pt x="526402" y="411746"/>
              </a:lnTo>
              <a:close/>
            </a:path>
          </a:pathLst>
        </a:custGeom>
        <a:solidFill>
          <a:srgbClr val="003050"/>
        </a:solidFill>
      </xdr:spPr>
    </xdr:sp>
    <xdr:clientData/>
  </xdr:oneCellAnchor>
  <xdr:oneCellAnchor>
    <xdr:from>
      <xdr:col>26</xdr:col>
      <xdr:colOff>37317</xdr:colOff>
      <xdr:row>45</xdr:row>
      <xdr:rowOff>128731</xdr:rowOff>
    </xdr:from>
    <xdr:ext cx="1748112" cy="331516"/>
    <xdr:pic>
      <xdr:nvPicPr>
        <xdr:cNvPr id="3" name="image2.jpeg">
          <a:extLst>
            <a:ext uri="{FF2B5EF4-FFF2-40B4-BE49-F238E27FC236}">
              <a16:creationId xmlns:a16="http://schemas.microsoft.com/office/drawing/2014/main" id="{04896760-5E89-4D8A-8650-9A08A645081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114517" y="7920181"/>
          <a:ext cx="1748112" cy="331516"/>
        </a:xfrm>
        <a:prstGeom prst="rect">
          <a:avLst/>
        </a:prstGeom>
      </xdr:spPr>
    </xdr:pic>
    <xdr:clientData/>
  </xdr:oneCellAnchor>
  <xdr:oneCellAnchor>
    <xdr:from>
      <xdr:col>22</xdr:col>
      <xdr:colOff>191896</xdr:colOff>
      <xdr:row>45</xdr:row>
      <xdr:rowOff>112521</xdr:rowOff>
    </xdr:from>
    <xdr:ext cx="489064" cy="380364"/>
    <xdr:pic>
      <xdr:nvPicPr>
        <xdr:cNvPr id="4" name="image10.jpeg">
          <a:extLst>
            <a:ext uri="{FF2B5EF4-FFF2-40B4-BE49-F238E27FC236}">
              <a16:creationId xmlns:a16="http://schemas.microsoft.com/office/drawing/2014/main" id="{AE61425F-1CBA-4CE3-A3B8-883CF1FD525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88046" y="7903971"/>
          <a:ext cx="489064" cy="380364"/>
        </a:xfrm>
        <a:prstGeom prst="rect">
          <a:avLst/>
        </a:prstGeom>
      </xdr:spPr>
    </xdr:pic>
    <xdr:clientData/>
  </xdr:oneCellAnchor>
  <xdr:oneCellAnchor>
    <xdr:from>
      <xdr:col>44</xdr:col>
      <xdr:colOff>155194</xdr:colOff>
      <xdr:row>38</xdr:row>
      <xdr:rowOff>26117</xdr:rowOff>
    </xdr:from>
    <xdr:ext cx="101548" cy="68589"/>
    <xdr:pic>
      <xdr:nvPicPr>
        <xdr:cNvPr id="5" name="image4.jpeg">
          <a:extLst>
            <a:ext uri="{FF2B5EF4-FFF2-40B4-BE49-F238E27FC236}">
              <a16:creationId xmlns:a16="http://schemas.microsoft.com/office/drawing/2014/main" id="{EA2B52B6-F9A5-47AC-BB92-8B681BC118B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661394" y="6836492"/>
          <a:ext cx="101548" cy="68589"/>
        </a:xfrm>
        <a:prstGeom prst="rect">
          <a:avLst/>
        </a:prstGeom>
      </xdr:spPr>
    </xdr:pic>
    <xdr:clientData/>
  </xdr:oneCellAnchor>
  <xdr:oneCellAnchor>
    <xdr:from>
      <xdr:col>47</xdr:col>
      <xdr:colOff>110499</xdr:colOff>
      <xdr:row>38</xdr:row>
      <xdr:rowOff>21027</xdr:rowOff>
    </xdr:from>
    <xdr:ext cx="100264" cy="73025"/>
    <xdr:pic>
      <xdr:nvPicPr>
        <xdr:cNvPr id="6" name="image5.jpeg">
          <a:extLst>
            <a:ext uri="{FF2B5EF4-FFF2-40B4-BE49-F238E27FC236}">
              <a16:creationId xmlns:a16="http://schemas.microsoft.com/office/drawing/2014/main" id="{2040965A-E76F-4383-91B9-A335E478CF8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207249" y="6831402"/>
          <a:ext cx="100264" cy="73025"/>
        </a:xfrm>
        <a:prstGeom prst="rect">
          <a:avLst/>
        </a:prstGeom>
      </xdr:spPr>
    </xdr:pic>
    <xdr:clientData/>
  </xdr:oneCellAnchor>
  <xdr:oneCellAnchor>
    <xdr:from>
      <xdr:col>41</xdr:col>
      <xdr:colOff>148129</xdr:colOff>
      <xdr:row>38</xdr:row>
      <xdr:rowOff>16382</xdr:rowOff>
    </xdr:from>
    <xdr:ext cx="95129" cy="78585"/>
    <xdr:pic>
      <xdr:nvPicPr>
        <xdr:cNvPr id="7" name="image6.png">
          <a:extLst>
            <a:ext uri="{FF2B5EF4-FFF2-40B4-BE49-F238E27FC236}">
              <a16:creationId xmlns:a16="http://schemas.microsoft.com/office/drawing/2014/main" id="{ADEB2EB0-B848-484E-8CAE-59A8A9EE85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073304" y="6826757"/>
          <a:ext cx="95129" cy="78585"/>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oneCellAnchor>
    <xdr:from>
      <xdr:col>12</xdr:col>
      <xdr:colOff>66014</xdr:colOff>
      <xdr:row>52</xdr:row>
      <xdr:rowOff>47899</xdr:rowOff>
    </xdr:from>
    <xdr:ext cx="1847850" cy="304800"/>
    <xdr:grpSp>
      <xdr:nvGrpSpPr>
        <xdr:cNvPr id="2" name="Group 10">
          <a:extLst>
            <a:ext uri="{FF2B5EF4-FFF2-40B4-BE49-F238E27FC236}">
              <a16:creationId xmlns:a16="http://schemas.microsoft.com/office/drawing/2014/main" id="{7588358E-845D-4E9E-80DF-77C8D25AEB4F}"/>
            </a:ext>
          </a:extLst>
        </xdr:cNvPr>
        <xdr:cNvGrpSpPr/>
      </xdr:nvGrpSpPr>
      <xdr:grpSpPr>
        <a:xfrm>
          <a:off x="7975048" y="8151375"/>
          <a:ext cx="1847850" cy="304800"/>
          <a:chOff x="0" y="0"/>
          <a:chExt cx="1847850" cy="304800"/>
        </a:xfrm>
      </xdr:grpSpPr>
      <xdr:pic>
        <xdr:nvPicPr>
          <xdr:cNvPr id="3" name="image7.png">
            <a:extLst>
              <a:ext uri="{FF2B5EF4-FFF2-40B4-BE49-F238E27FC236}">
                <a16:creationId xmlns:a16="http://schemas.microsoft.com/office/drawing/2014/main" id="{BD89351E-51DA-3918-8C93-260A90D595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4129" cy="304373"/>
          </a:xfrm>
          <a:prstGeom prst="rect">
            <a:avLst/>
          </a:prstGeom>
        </xdr:spPr>
      </xdr:pic>
      <xdr:pic>
        <xdr:nvPicPr>
          <xdr:cNvPr id="4" name="image2.jpeg">
            <a:extLst>
              <a:ext uri="{FF2B5EF4-FFF2-40B4-BE49-F238E27FC236}">
                <a16:creationId xmlns:a16="http://schemas.microsoft.com/office/drawing/2014/main" id="{700C6491-1017-7095-CC2B-0D0010FE08E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71162" y="39734"/>
            <a:ext cx="1176203" cy="223135"/>
          </a:xfrm>
          <a:prstGeom prst="rect">
            <a:avLst/>
          </a:prstGeom>
        </xdr:spPr>
      </xdr:pic>
      <xdr:pic>
        <xdr:nvPicPr>
          <xdr:cNvPr id="5" name="image3.jpeg">
            <a:extLst>
              <a:ext uri="{FF2B5EF4-FFF2-40B4-BE49-F238E27FC236}">
                <a16:creationId xmlns:a16="http://schemas.microsoft.com/office/drawing/2014/main" id="{CB9FCD8A-9B7D-5156-3A7B-565D26AEB36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2163" y="11562"/>
            <a:ext cx="329006" cy="255879"/>
          </a:xfrm>
          <a:prstGeom prst="rect">
            <a:avLst/>
          </a:prstGeom>
        </xdr:spPr>
      </xdr:pic>
    </xdr:grpSp>
    <xdr:clientData/>
  </xdr:oneCellAnchor>
  <xdr:oneCellAnchor>
    <xdr:from>
      <xdr:col>21</xdr:col>
      <xdr:colOff>22606</xdr:colOff>
      <xdr:row>46</xdr:row>
      <xdr:rowOff>9801</xdr:rowOff>
    </xdr:from>
    <xdr:ext cx="129756" cy="87642"/>
    <xdr:pic>
      <xdr:nvPicPr>
        <xdr:cNvPr id="6" name="image4.jpeg">
          <a:extLst>
            <a:ext uri="{FF2B5EF4-FFF2-40B4-BE49-F238E27FC236}">
              <a16:creationId xmlns:a16="http://schemas.microsoft.com/office/drawing/2014/main" id="{FB0FCDC7-6385-4355-894C-1E9A4F4E1DC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576306" y="7525026"/>
          <a:ext cx="129756" cy="87642"/>
        </a:xfrm>
        <a:prstGeom prst="rect">
          <a:avLst/>
        </a:prstGeom>
      </xdr:spPr>
    </xdr:pic>
    <xdr:clientData/>
  </xdr:oneCellAnchor>
  <xdr:oneCellAnchor>
    <xdr:from>
      <xdr:col>22</xdr:col>
      <xdr:colOff>50307</xdr:colOff>
      <xdr:row>46</xdr:row>
      <xdr:rowOff>17991</xdr:rowOff>
    </xdr:from>
    <xdr:ext cx="113340" cy="82548"/>
    <xdr:pic>
      <xdr:nvPicPr>
        <xdr:cNvPr id="7" name="image5.jpeg">
          <a:extLst>
            <a:ext uri="{FF2B5EF4-FFF2-40B4-BE49-F238E27FC236}">
              <a16:creationId xmlns:a16="http://schemas.microsoft.com/office/drawing/2014/main" id="{8BCC15E1-6C01-4228-B844-20847594168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937382" y="7533216"/>
          <a:ext cx="113340" cy="82548"/>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oneCellAnchor>
    <xdr:from>
      <xdr:col>10</xdr:col>
      <xdr:colOff>69930</xdr:colOff>
      <xdr:row>46</xdr:row>
      <xdr:rowOff>50834</xdr:rowOff>
    </xdr:from>
    <xdr:ext cx="749300" cy="321310"/>
    <xdr:grpSp>
      <xdr:nvGrpSpPr>
        <xdr:cNvPr id="2" name="Group 16">
          <a:extLst>
            <a:ext uri="{FF2B5EF4-FFF2-40B4-BE49-F238E27FC236}">
              <a16:creationId xmlns:a16="http://schemas.microsoft.com/office/drawing/2014/main" id="{8E29C02E-5333-4F37-A807-17B556399D77}"/>
            </a:ext>
          </a:extLst>
        </xdr:cNvPr>
        <xdr:cNvGrpSpPr/>
      </xdr:nvGrpSpPr>
      <xdr:grpSpPr>
        <a:xfrm>
          <a:off x="7964250" y="7879840"/>
          <a:ext cx="749300" cy="321310"/>
          <a:chOff x="0" y="0"/>
          <a:chExt cx="749300" cy="321310"/>
        </a:xfrm>
      </xdr:grpSpPr>
      <xdr:pic>
        <xdr:nvPicPr>
          <xdr:cNvPr id="3" name="image8.png">
            <a:extLst>
              <a:ext uri="{FF2B5EF4-FFF2-40B4-BE49-F238E27FC236}">
                <a16:creationId xmlns:a16="http://schemas.microsoft.com/office/drawing/2014/main" id="{EB97F47B-FC52-B913-76D2-C0EE4A648FF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73268" cy="320820"/>
          </a:xfrm>
          <a:prstGeom prst="rect">
            <a:avLst/>
          </a:prstGeom>
        </xdr:spPr>
      </xdr:pic>
      <xdr:pic>
        <xdr:nvPicPr>
          <xdr:cNvPr id="4" name="image3.jpeg">
            <a:extLst>
              <a:ext uri="{FF2B5EF4-FFF2-40B4-BE49-F238E27FC236}">
                <a16:creationId xmlns:a16="http://schemas.microsoft.com/office/drawing/2014/main" id="{742F8507-D4D4-1E82-C773-E4C8298FA82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510" y="12310"/>
            <a:ext cx="346786" cy="269722"/>
          </a:xfrm>
          <a:prstGeom prst="rect">
            <a:avLst/>
          </a:prstGeom>
        </xdr:spPr>
      </xdr:pic>
    </xdr:grpSp>
    <xdr:clientData/>
  </xdr:oneCellAnchor>
  <xdr:oneCellAnchor>
    <xdr:from>
      <xdr:col>12</xdr:col>
      <xdr:colOff>111537</xdr:colOff>
      <xdr:row>46</xdr:row>
      <xdr:rowOff>92848</xdr:rowOff>
    </xdr:from>
    <xdr:ext cx="1239765" cy="235192"/>
    <xdr:pic>
      <xdr:nvPicPr>
        <xdr:cNvPr id="5" name="image2.jpeg">
          <a:extLst>
            <a:ext uri="{FF2B5EF4-FFF2-40B4-BE49-F238E27FC236}">
              <a16:creationId xmlns:a16="http://schemas.microsoft.com/office/drawing/2014/main" id="{3EEB3D8F-BCC2-4E11-A9C7-3056EC5CE3F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617362" y="7798573"/>
          <a:ext cx="1239765" cy="235192"/>
        </a:xfrm>
        <a:prstGeom prst="rect">
          <a:avLst/>
        </a:prstGeom>
      </xdr:spPr>
    </xdr:pic>
    <xdr:clientData/>
  </xdr:oneCellAnchor>
  <xdr:oneCellAnchor>
    <xdr:from>
      <xdr:col>20</xdr:col>
      <xdr:colOff>82727</xdr:colOff>
      <xdr:row>41</xdr:row>
      <xdr:rowOff>16633</xdr:rowOff>
    </xdr:from>
    <xdr:ext cx="129756" cy="87642"/>
    <xdr:pic>
      <xdr:nvPicPr>
        <xdr:cNvPr id="6" name="image4.jpeg">
          <a:extLst>
            <a:ext uri="{FF2B5EF4-FFF2-40B4-BE49-F238E27FC236}">
              <a16:creationId xmlns:a16="http://schemas.microsoft.com/office/drawing/2014/main" id="{1157729B-58F9-4C30-8952-560252AA900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217452" y="7093708"/>
          <a:ext cx="129756" cy="87642"/>
        </a:xfrm>
        <a:prstGeom prst="rect">
          <a:avLst/>
        </a:prstGeom>
      </xdr:spPr>
    </xdr:pic>
    <xdr:clientData/>
  </xdr:oneCellAnchor>
  <xdr:oneCellAnchor>
    <xdr:from>
      <xdr:col>21</xdr:col>
      <xdr:colOff>61214</xdr:colOff>
      <xdr:row>41</xdr:row>
      <xdr:rowOff>18779</xdr:rowOff>
    </xdr:from>
    <xdr:ext cx="115528" cy="84141"/>
    <xdr:pic>
      <xdr:nvPicPr>
        <xdr:cNvPr id="7" name="image5.jpeg">
          <a:extLst>
            <a:ext uri="{FF2B5EF4-FFF2-40B4-BE49-F238E27FC236}">
              <a16:creationId xmlns:a16="http://schemas.microsoft.com/office/drawing/2014/main" id="{B42E225A-9392-4184-ADE1-14528E616F5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776964" y="7095854"/>
          <a:ext cx="115528" cy="84141"/>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oneCellAnchor>
    <xdr:from>
      <xdr:col>10</xdr:col>
      <xdr:colOff>69929</xdr:colOff>
      <xdr:row>42</xdr:row>
      <xdr:rowOff>50834</xdr:rowOff>
    </xdr:from>
    <xdr:ext cx="2012314" cy="321310"/>
    <xdr:grpSp>
      <xdr:nvGrpSpPr>
        <xdr:cNvPr id="2" name="Group 22">
          <a:extLst>
            <a:ext uri="{FF2B5EF4-FFF2-40B4-BE49-F238E27FC236}">
              <a16:creationId xmlns:a16="http://schemas.microsoft.com/office/drawing/2014/main" id="{1B493BF8-9605-4478-9F7F-511BBB1A74EF}"/>
            </a:ext>
          </a:extLst>
        </xdr:cNvPr>
        <xdr:cNvGrpSpPr/>
      </xdr:nvGrpSpPr>
      <xdr:grpSpPr>
        <a:xfrm>
          <a:off x="8399175" y="9616865"/>
          <a:ext cx="2012314" cy="321310"/>
          <a:chOff x="0" y="0"/>
          <a:chExt cx="2012314" cy="321310"/>
        </a:xfrm>
      </xdr:grpSpPr>
      <xdr:pic>
        <xdr:nvPicPr>
          <xdr:cNvPr id="3" name="image9.png">
            <a:extLst>
              <a:ext uri="{FF2B5EF4-FFF2-40B4-BE49-F238E27FC236}">
                <a16:creationId xmlns:a16="http://schemas.microsoft.com/office/drawing/2014/main" id="{A9ACA9A3-02D5-9B7D-D2DC-BBAC7D668E1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73268" cy="320820"/>
          </a:xfrm>
          <a:prstGeom prst="rect">
            <a:avLst/>
          </a:prstGeom>
        </xdr:spPr>
      </xdr:pic>
      <xdr:pic>
        <xdr:nvPicPr>
          <xdr:cNvPr id="4" name="image2.jpeg">
            <a:extLst>
              <a:ext uri="{FF2B5EF4-FFF2-40B4-BE49-F238E27FC236}">
                <a16:creationId xmlns:a16="http://schemas.microsoft.com/office/drawing/2014/main" id="{C09CCCD5-5A8F-42AE-842F-6480CBDED87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2365" y="42014"/>
            <a:ext cx="1239765" cy="235192"/>
          </a:xfrm>
          <a:prstGeom prst="rect">
            <a:avLst/>
          </a:prstGeom>
        </xdr:spPr>
      </xdr:pic>
      <xdr:pic>
        <xdr:nvPicPr>
          <xdr:cNvPr id="5" name="image3.jpeg">
            <a:extLst>
              <a:ext uri="{FF2B5EF4-FFF2-40B4-BE49-F238E27FC236}">
                <a16:creationId xmlns:a16="http://schemas.microsoft.com/office/drawing/2014/main" id="{D71C7F14-FAC2-5690-B9F6-41B8D64BE91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02510" y="12310"/>
            <a:ext cx="346786" cy="269722"/>
          </a:xfrm>
          <a:prstGeom prst="rect">
            <a:avLst/>
          </a:prstGeom>
        </xdr:spPr>
      </xdr:pic>
    </xdr:grpSp>
    <xdr:clientData/>
  </xdr:oneCellAnchor>
  <xdr:oneCellAnchor>
    <xdr:from>
      <xdr:col>20</xdr:col>
      <xdr:colOff>72459</xdr:colOff>
      <xdr:row>37</xdr:row>
      <xdr:rowOff>27301</xdr:rowOff>
    </xdr:from>
    <xdr:ext cx="78982" cy="53347"/>
    <xdr:pic>
      <xdr:nvPicPr>
        <xdr:cNvPr id="6" name="image4.jpeg">
          <a:extLst>
            <a:ext uri="{FF2B5EF4-FFF2-40B4-BE49-F238E27FC236}">
              <a16:creationId xmlns:a16="http://schemas.microsoft.com/office/drawing/2014/main" id="{81AF7846-E711-406F-9DE4-D35361C104F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0559" y="7132951"/>
          <a:ext cx="78982" cy="53347"/>
        </a:xfrm>
        <a:prstGeom prst="rect">
          <a:avLst/>
        </a:prstGeom>
      </xdr:spPr>
    </xdr:pic>
    <xdr:clientData/>
  </xdr:oneCellAnchor>
  <xdr:oneCellAnchor>
    <xdr:from>
      <xdr:col>21</xdr:col>
      <xdr:colOff>75937</xdr:colOff>
      <xdr:row>37</xdr:row>
      <xdr:rowOff>24555</xdr:rowOff>
    </xdr:from>
    <xdr:ext cx="104613" cy="76192"/>
    <xdr:pic>
      <xdr:nvPicPr>
        <xdr:cNvPr id="7" name="image5.jpeg">
          <a:extLst>
            <a:ext uri="{FF2B5EF4-FFF2-40B4-BE49-F238E27FC236}">
              <a16:creationId xmlns:a16="http://schemas.microsoft.com/office/drawing/2014/main" id="{6C0F3015-6EEC-4EED-B76E-91E662BDE93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125062" y="7130205"/>
          <a:ext cx="104613" cy="76192"/>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oham/OneDrive/Desktop/MISC/2101%20and%202151%20Honeywell%20costing%20R10%20With%20BOM_2101%20COM%20BOM%20000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oham/Desktop/Projects/2101/Server%20Folder/Execution/IO%20Database/WEB_DataBase_R4.3%20241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 Material"/>
      <sheetName val="Consolidated"/>
      <sheetName val="Master BOM"/>
      <sheetName val="Client BOM"/>
      <sheetName val="Packing List"/>
      <sheetName val="BOM"/>
      <sheetName val="Power Calculation"/>
      <sheetName val="IO Count"/>
      <sheetName val="WEB DCS IOs "/>
      <sheetName val="WEB _ ESD F&amp;G Ios"/>
      <sheetName val="Payprus IOs"/>
      <sheetName val="Rack PS Calculator"/>
    </sheetNames>
    <sheetDataSet>
      <sheetData sheetId="0">
        <row r="2">
          <cell r="B2" t="str">
            <v>50008930-008</v>
          </cell>
          <cell r="C2" t="str">
            <v>Ethernet Switching Hub, 16 ports, Multi-Mode, G3</v>
          </cell>
          <cell r="D2" t="str">
            <v>WDDM</v>
          </cell>
          <cell r="E2">
            <v>2</v>
          </cell>
          <cell r="F2">
            <v>2</v>
          </cell>
        </row>
        <row r="3">
          <cell r="B3" t="str">
            <v>EP-HSBRD1</v>
          </cell>
          <cell r="C3" t="str">
            <v>Experion HS Bundle Regular Red</v>
          </cell>
          <cell r="D3" t="str">
            <v>WDDM</v>
          </cell>
          <cell r="E3">
            <v>1</v>
          </cell>
          <cell r="F3">
            <v>1</v>
          </cell>
        </row>
        <row r="4">
          <cell r="B4" t="str">
            <v>MS-OSLW19</v>
          </cell>
          <cell r="C4" t="str">
            <v>Windows 10 Enterprise LTSC 2019</v>
          </cell>
          <cell r="D4" t="str">
            <v>WDDM</v>
          </cell>
          <cell r="E4">
            <v>2</v>
          </cell>
          <cell r="F4">
            <v>2</v>
          </cell>
        </row>
        <row r="5">
          <cell r="B5" t="str">
            <v>MZ-SQLCL4</v>
          </cell>
          <cell r="C5" t="str">
            <v>SQL Server 2019 CAL</v>
          </cell>
          <cell r="D5" t="str">
            <v>WDDM</v>
          </cell>
          <cell r="E5">
            <v>2</v>
          </cell>
          <cell r="F5">
            <v>2</v>
          </cell>
        </row>
        <row r="6">
          <cell r="B6" t="str">
            <v>EP-HME520-ESD</v>
          </cell>
          <cell r="C6" t="str">
            <v>Experion HS Media Kit - Electronic Download</v>
          </cell>
          <cell r="D6" t="str">
            <v>WDDM</v>
          </cell>
          <cell r="E6">
            <v>1</v>
          </cell>
          <cell r="F6">
            <v>1</v>
          </cell>
        </row>
        <row r="7">
          <cell r="B7" t="str">
            <v>6EP1332-2BA20</v>
          </cell>
          <cell r="C7" t="str">
            <v>SITOP PSU100S 24 V/2.5 A power supply input: 120/230 V AC output: 24 V DC/2.5 A</v>
          </cell>
          <cell r="D7" t="str">
            <v>WDDM</v>
          </cell>
          <cell r="E7">
            <v>2</v>
          </cell>
          <cell r="F7">
            <v>2</v>
          </cell>
        </row>
        <row r="8">
          <cell r="B8" t="str">
            <v>HC-DSGRSW</v>
          </cell>
          <cell r="C8" t="str">
            <v>ControlEdge HC900 Designer</v>
          </cell>
          <cell r="D8" t="str">
            <v>PCS</v>
          </cell>
          <cell r="E8">
            <v>1</v>
          </cell>
          <cell r="F8">
            <v>1</v>
          </cell>
        </row>
        <row r="9">
          <cell r="B9" t="str">
            <v>HC-EMD730-ESD</v>
          </cell>
          <cell r="C9" t="str">
            <v>ControlEdge HC900 R730, Media Kit ESD</v>
          </cell>
          <cell r="D9" t="str">
            <v>PCS</v>
          </cell>
          <cell r="E9">
            <v>1</v>
          </cell>
          <cell r="F9">
            <v>1</v>
          </cell>
        </row>
        <row r="10">
          <cell r="B10" t="str">
            <v>MZ-SQLCL4</v>
          </cell>
          <cell r="C10" t="str">
            <v>SQL Server 2019 CAL</v>
          </cell>
          <cell r="D10" t="str">
            <v>PCS</v>
          </cell>
          <cell r="E10">
            <v>1</v>
          </cell>
          <cell r="F10">
            <v>1</v>
          </cell>
        </row>
        <row r="11">
          <cell r="B11" t="str">
            <v>EP-HROEMT</v>
          </cell>
          <cell r="C11" t="str">
            <v>Experion HS Bundle Package Runtime</v>
          </cell>
          <cell r="D11" t="str">
            <v>PCS</v>
          </cell>
          <cell r="E11">
            <v>1</v>
          </cell>
          <cell r="F11">
            <v>1</v>
          </cell>
        </row>
        <row r="12">
          <cell r="B12" t="str">
            <v>MS-OSLW19</v>
          </cell>
          <cell r="C12" t="str">
            <v>Windows 10 Enterprise LTSC 2019</v>
          </cell>
          <cell r="D12" t="str">
            <v>PCS</v>
          </cell>
          <cell r="E12">
            <v>2</v>
          </cell>
          <cell r="F12">
            <v>2</v>
          </cell>
        </row>
        <row r="13">
          <cell r="B13" t="str">
            <v>MZ-PPCT02</v>
          </cell>
          <cell r="C13" t="str">
            <v>Experion Panel PC STD ADV</v>
          </cell>
          <cell r="D13" t="str">
            <v>PCS</v>
          </cell>
          <cell r="E13">
            <v>1</v>
          </cell>
          <cell r="F13">
            <v>1</v>
          </cell>
        </row>
        <row r="14">
          <cell r="B14" t="str">
            <v>50008930-008</v>
          </cell>
          <cell r="C14" t="str">
            <v>Ethernet Switching Hub, 16 ports, Multi-Mode, G3</v>
          </cell>
          <cell r="D14" t="str">
            <v>PCS</v>
          </cell>
          <cell r="E14">
            <v>4</v>
          </cell>
          <cell r="F14">
            <v>4</v>
          </cell>
        </row>
        <row r="15">
          <cell r="B15" t="str">
            <v>900RR0-0300</v>
          </cell>
          <cell r="C15" t="str">
            <v>Redundant Controller rack (Assembly)</v>
          </cell>
          <cell r="D15" t="str">
            <v>PCS</v>
          </cell>
          <cell r="E15">
            <v>1</v>
          </cell>
          <cell r="F15">
            <v>1</v>
          </cell>
        </row>
        <row r="16">
          <cell r="B16">
            <v>2904616</v>
          </cell>
          <cell r="C16" t="str">
            <v>QUINT POWER supply protective coating, input: 1-phase, output: 24 V DC / 10 A</v>
          </cell>
          <cell r="D16" t="str">
            <v>PCS</v>
          </cell>
          <cell r="E16">
            <v>2</v>
          </cell>
          <cell r="F16">
            <v>2</v>
          </cell>
        </row>
        <row r="17">
          <cell r="B17">
            <v>2320173</v>
          </cell>
          <cell r="C17" t="str">
            <v>QUINT redundancy module input: 24 V DC/2x 20 A, output: 24 V DC/1 x 20 A</v>
          </cell>
          <cell r="D17" t="str">
            <v>PCS</v>
          </cell>
          <cell r="E17">
            <v>1</v>
          </cell>
          <cell r="F17">
            <v>1</v>
          </cell>
        </row>
        <row r="18">
          <cell r="B18" t="str">
            <v>900R08R-0300</v>
          </cell>
          <cell r="C18" t="str">
            <v>8 I/O slot rack -redundant power (Assembly)</v>
          </cell>
          <cell r="D18" t="str">
            <v>PCS</v>
          </cell>
          <cell r="E18">
            <v>2</v>
          </cell>
          <cell r="F18">
            <v>2</v>
          </cell>
        </row>
        <row r="19">
          <cell r="B19" t="str">
            <v>900C75-0560</v>
          </cell>
          <cell r="C19" t="str">
            <v>Redundant Controller C75 CPU</v>
          </cell>
          <cell r="D19" t="str">
            <v>PCS</v>
          </cell>
          <cell r="E19">
            <v>2</v>
          </cell>
          <cell r="F19">
            <v>2</v>
          </cell>
        </row>
        <row r="20">
          <cell r="B20" t="str">
            <v>900RSM-0200</v>
          </cell>
          <cell r="C20" t="str">
            <v>Redundant Switch Module</v>
          </cell>
          <cell r="D20" t="str">
            <v>PCS</v>
          </cell>
          <cell r="E20">
            <v>1</v>
          </cell>
          <cell r="F20">
            <v>1</v>
          </cell>
        </row>
        <row r="21">
          <cell r="B21" t="str">
            <v>900S75-0460</v>
          </cell>
          <cell r="C21" t="str">
            <v>I/O Scanner - 2 Port (1 per I/O rack)</v>
          </cell>
          <cell r="D21" t="str">
            <v>PCS</v>
          </cell>
          <cell r="E21">
            <v>2</v>
          </cell>
          <cell r="F21">
            <v>2</v>
          </cell>
        </row>
        <row r="22">
          <cell r="B22" t="str">
            <v>900P01-0501</v>
          </cell>
          <cell r="C22" t="str">
            <v>Power Supply 120/240VAC, 60W (ROHS G3 Coated)</v>
          </cell>
          <cell r="D22" t="str">
            <v>PCS</v>
          </cell>
          <cell r="E22">
            <v>6</v>
          </cell>
          <cell r="F22">
            <v>6</v>
          </cell>
        </row>
        <row r="23">
          <cell r="B23" t="str">
            <v>900PSM-0200</v>
          </cell>
          <cell r="C23" t="str">
            <v>Redundant Power Status Module</v>
          </cell>
          <cell r="D23" t="str">
            <v>PCS</v>
          </cell>
          <cell r="E23">
            <v>2</v>
          </cell>
          <cell r="F23">
            <v>2</v>
          </cell>
        </row>
        <row r="24">
          <cell r="B24" t="str">
            <v>900U02-0100</v>
          </cell>
          <cell r="C24" t="str">
            <v>SIL Universal IO Module</v>
          </cell>
          <cell r="D24" t="str">
            <v>PCS</v>
          </cell>
          <cell r="E24">
            <v>7</v>
          </cell>
          <cell r="F24">
            <v>6</v>
          </cell>
        </row>
        <row r="25">
          <cell r="B25" t="str">
            <v>900G32-0301</v>
          </cell>
          <cell r="C25" t="str">
            <v xml:space="preserve">Digital Input, 24VDC (32 channel) </v>
          </cell>
          <cell r="D25" t="str">
            <v>PCS</v>
          </cell>
          <cell r="E25">
            <v>2</v>
          </cell>
          <cell r="F25">
            <v>2</v>
          </cell>
        </row>
        <row r="26">
          <cell r="B26" t="str">
            <v>900H32-0302</v>
          </cell>
          <cell r="C26" t="str">
            <v xml:space="preserve">Digital Output, 24VDC (32 channel) </v>
          </cell>
          <cell r="D26" t="str">
            <v>PCS</v>
          </cell>
          <cell r="E26">
            <v>3</v>
          </cell>
          <cell r="F26">
            <v>2</v>
          </cell>
        </row>
        <row r="27">
          <cell r="B27" t="str">
            <v>900TCK-0200</v>
          </cell>
          <cell r="C27" t="str">
            <v>VoltageTerminal Block (36 channel)</v>
          </cell>
          <cell r="D27" t="str">
            <v>PCS</v>
          </cell>
          <cell r="E27">
            <v>5</v>
          </cell>
          <cell r="F27">
            <v>4</v>
          </cell>
        </row>
        <row r="28">
          <cell r="B28" t="str">
            <v>900TEK-0200</v>
          </cell>
          <cell r="C28" t="str">
            <v>VoltageTerminal Block (20 channel)</v>
          </cell>
          <cell r="D28" t="str">
            <v>PCS</v>
          </cell>
          <cell r="E28">
            <v>7</v>
          </cell>
          <cell r="F28">
            <v>6</v>
          </cell>
        </row>
        <row r="29">
          <cell r="B29" t="str">
            <v>900TSS-0001</v>
          </cell>
          <cell r="C29" t="str">
            <v>Shield Terminal Strip (package of 2)</v>
          </cell>
          <cell r="D29" t="str">
            <v>PCS</v>
          </cell>
          <cell r="E29">
            <v>2</v>
          </cell>
          <cell r="F29">
            <v>2</v>
          </cell>
        </row>
        <row r="30">
          <cell r="B30" t="str">
            <v>900TNF-0200</v>
          </cell>
          <cell r="C30" t="str">
            <v>Filler Block Terminal Cover</v>
          </cell>
          <cell r="D30" t="str">
            <v>PCS</v>
          </cell>
          <cell r="E30">
            <v>4</v>
          </cell>
          <cell r="F30">
            <v>6</v>
          </cell>
        </row>
        <row r="31">
          <cell r="B31" t="str">
            <v>HC-EMD730-ESD</v>
          </cell>
          <cell r="C31" t="str">
            <v>ControlEdge HC900 R730, Media Kit</v>
          </cell>
          <cell r="D31" t="str">
            <v>SIS and F&amp;G</v>
          </cell>
          <cell r="E31">
            <v>1</v>
          </cell>
          <cell r="F31">
            <v>1</v>
          </cell>
        </row>
        <row r="32">
          <cell r="B32" t="str">
            <v>50008930-008</v>
          </cell>
          <cell r="C32" t="str">
            <v>Ethernet Switching Hub, 16 ports, Multi-Mode, G3</v>
          </cell>
          <cell r="D32" t="str">
            <v>SIS and F&amp;G</v>
          </cell>
          <cell r="E32">
            <v>2</v>
          </cell>
          <cell r="F32">
            <v>2</v>
          </cell>
        </row>
        <row r="33">
          <cell r="B33" t="str">
            <v>900RR0-0300</v>
          </cell>
          <cell r="C33" t="str">
            <v>Redundant Controller rack (Assembly)</v>
          </cell>
          <cell r="D33" t="str">
            <v>SIS and F&amp;G</v>
          </cell>
          <cell r="E33">
            <v>1</v>
          </cell>
          <cell r="F33">
            <v>1</v>
          </cell>
        </row>
        <row r="34">
          <cell r="B34">
            <v>2904617</v>
          </cell>
          <cell r="C34" t="str">
            <v>QUINT POWER supply protective coating, input: 1-phase, output: 24 V DC / 20 A</v>
          </cell>
          <cell r="D34" t="str">
            <v>SIS and F&amp;G</v>
          </cell>
          <cell r="E34">
            <v>2</v>
          </cell>
          <cell r="F34">
            <v>2</v>
          </cell>
        </row>
        <row r="35">
          <cell r="B35">
            <v>2320186</v>
          </cell>
          <cell r="C35" t="str">
            <v>QUINT redundancy module input: 24 V DC/2x 20 A, output: 24 V DC/1 x 40 A</v>
          </cell>
          <cell r="D35" t="str">
            <v>SIS and F&amp;G</v>
          </cell>
          <cell r="E35">
            <v>1</v>
          </cell>
          <cell r="F35">
            <v>1</v>
          </cell>
        </row>
        <row r="36">
          <cell r="B36" t="str">
            <v>900R08R-0300</v>
          </cell>
          <cell r="C36" t="str">
            <v>8 I/O slot rack -redundant power (Assembly)</v>
          </cell>
          <cell r="D36" t="str">
            <v>SIS and F&amp;G</v>
          </cell>
          <cell r="E36">
            <v>4</v>
          </cell>
          <cell r="F36">
            <v>4</v>
          </cell>
        </row>
        <row r="37">
          <cell r="B37" t="str">
            <v>900R12R-0300</v>
          </cell>
          <cell r="C37" t="str">
            <v>12 I/O slot rack -redundant power (Assembly)</v>
          </cell>
          <cell r="D37" t="str">
            <v>SIS and F&amp;G</v>
          </cell>
          <cell r="E37">
            <v>1</v>
          </cell>
          <cell r="F37">
            <v>1</v>
          </cell>
        </row>
        <row r="38">
          <cell r="B38" t="str">
            <v>900C75S-0560</v>
          </cell>
          <cell r="C38" t="str">
            <v>Redundant Controller C75 CPU - SIL2</v>
          </cell>
          <cell r="D38" t="str">
            <v>SIS and F&amp;G</v>
          </cell>
          <cell r="E38">
            <v>2</v>
          </cell>
          <cell r="F38">
            <v>2</v>
          </cell>
        </row>
        <row r="39">
          <cell r="B39" t="str">
            <v>900RSM-0200</v>
          </cell>
          <cell r="C39" t="str">
            <v>Redundant Switch Module</v>
          </cell>
          <cell r="D39" t="str">
            <v>SIS and F&amp;G</v>
          </cell>
          <cell r="E39">
            <v>1</v>
          </cell>
          <cell r="F39">
            <v>1</v>
          </cell>
        </row>
        <row r="40">
          <cell r="B40" t="str">
            <v>900S75S-0460</v>
          </cell>
          <cell r="C40" t="str">
            <v>I/O Scanner - 2 Port (1 per I/O rack) - SIL</v>
          </cell>
          <cell r="D40" t="str">
            <v>SIS and F&amp;G</v>
          </cell>
          <cell r="E40">
            <v>5</v>
          </cell>
          <cell r="F40">
            <v>5</v>
          </cell>
        </row>
        <row r="41">
          <cell r="B41" t="str">
            <v>900P01-0601</v>
          </cell>
          <cell r="C41" t="str">
            <v>SIL - Power Supply 120/240VAC, 60W (ROHS G3 Coated)</v>
          </cell>
          <cell r="D41" t="str">
            <v>SIS and F&amp;G</v>
          </cell>
          <cell r="E41">
            <v>12</v>
          </cell>
          <cell r="F41">
            <v>12</v>
          </cell>
        </row>
        <row r="42">
          <cell r="B42" t="str">
            <v>900PSM-0200</v>
          </cell>
          <cell r="C42" t="str">
            <v>Redundant Power Status Module</v>
          </cell>
          <cell r="D42" t="str">
            <v>SIS and F&amp;G</v>
          </cell>
          <cell r="E42">
            <v>5</v>
          </cell>
          <cell r="F42">
            <v>5</v>
          </cell>
        </row>
        <row r="43">
          <cell r="B43" t="str">
            <v>900U02-0100</v>
          </cell>
          <cell r="C43" t="str">
            <v>SIL Universal IO Module</v>
          </cell>
          <cell r="D43" t="str">
            <v>SIS and F&amp;G</v>
          </cell>
          <cell r="E43">
            <v>40</v>
          </cell>
          <cell r="F43">
            <v>40</v>
          </cell>
        </row>
        <row r="44">
          <cell r="B44" t="str">
            <v>900RTI-0100</v>
          </cell>
          <cell r="C44" t="str">
            <v>Redundant SIL UIO Remote Terminal Panel</v>
          </cell>
          <cell r="D44" t="str">
            <v>SIS and F&amp;G</v>
          </cell>
          <cell r="E44">
            <v>20</v>
          </cell>
          <cell r="F44">
            <v>20</v>
          </cell>
        </row>
        <row r="45">
          <cell r="B45" t="str">
            <v>900RTC-H250</v>
          </cell>
          <cell r="C45" t="str">
            <v>High Votage RTP Cable (5.0M, 16.4ft.)</v>
          </cell>
          <cell r="D45" t="str">
            <v>SIS and F&amp;G</v>
          </cell>
          <cell r="E45">
            <v>40</v>
          </cell>
          <cell r="F45">
            <v>40</v>
          </cell>
        </row>
        <row r="46">
          <cell r="B46" t="str">
            <v>900TSS-0001</v>
          </cell>
          <cell r="C46" t="str">
            <v>Shield Terminal Strip (package of 2)</v>
          </cell>
          <cell r="D46" t="str">
            <v>SIS and F&amp;G</v>
          </cell>
          <cell r="E46">
            <v>5</v>
          </cell>
          <cell r="F46">
            <v>5</v>
          </cell>
        </row>
        <row r="47">
          <cell r="B47" t="str">
            <v>900TNF-0200</v>
          </cell>
          <cell r="C47" t="str">
            <v>Filler Block Terminal Cover</v>
          </cell>
          <cell r="D47" t="str">
            <v>SIS and F&amp;G</v>
          </cell>
          <cell r="E47">
            <v>4</v>
          </cell>
          <cell r="F47">
            <v>4</v>
          </cell>
        </row>
      </sheetData>
      <sheetData sheetId="1" refreshError="1"/>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gand"/>
      <sheetName val="WEB_Database"/>
      <sheetName val="Cable Schedule"/>
      <sheetName val="WEB_240805"/>
      <sheetName val="IO Recieved on 17-9-2024"/>
      <sheetName val="Statistics"/>
      <sheetName val="Rack Analysis"/>
      <sheetName val="Racks"/>
      <sheetName val="WEB DCS OLD IOs "/>
      <sheetName val="WEB _ ESD F&amp;G Ios"/>
      <sheetName val="PCS_CEM(1)"/>
      <sheetName val="PCS_CEM(2)"/>
      <sheetName val="PCS_CEM(3)"/>
      <sheetName val="PCS_CEM(4)"/>
      <sheetName val="SIS_CEM(1)"/>
      <sheetName val="SIS_CEM(2)"/>
      <sheetName val="SIS_CEM(3)"/>
      <sheetName val="Missings Sheet"/>
    </sheetNames>
    <sheetDataSet>
      <sheetData sheetId="0"/>
      <sheetData sheetId="1"/>
      <sheetData sheetId="2">
        <row r="2">
          <cell r="B2" t="str">
            <v>100-AJBB-001</v>
          </cell>
          <cell r="C2" t="str">
            <v>M32</v>
          </cell>
          <cell r="D2" t="str">
            <v>PCS SYSTEM/MARSHALLING CABINET 100-PCS-001</v>
          </cell>
          <cell r="E2" t="str">
            <v>M32</v>
          </cell>
          <cell r="F2" t="str">
            <v>TYPE I1 (NON I.S) - 12PR</v>
          </cell>
          <cell r="G2" t="str">
            <v>0.75mm2</v>
          </cell>
          <cell r="H2" t="str">
            <v>28.75 mm</v>
          </cell>
          <cell r="I2">
            <v>35</v>
          </cell>
          <cell r="J2" t="str">
            <v>IC-100AJBB001</v>
          </cell>
        </row>
        <row r="3">
          <cell r="B3" t="str">
            <v>100-PIT-214A</v>
          </cell>
          <cell r="C3" t="str">
            <v>M20</v>
          </cell>
          <cell r="D3" t="str">
            <v>100-AJBB-001</v>
          </cell>
          <cell r="E3" t="str">
            <v>M20</v>
          </cell>
          <cell r="F3" t="str">
            <v>TYPE I1 (NON I.S) -1PR</v>
          </cell>
          <cell r="G3" t="str">
            <v>1.5mm2</v>
          </cell>
          <cell r="H3" t="str">
            <v>13.90 mm</v>
          </cell>
          <cell r="I3">
            <v>15</v>
          </cell>
          <cell r="J3" t="str">
            <v>IC-100PIT214A</v>
          </cell>
        </row>
        <row r="4">
          <cell r="B4" t="str">
            <v>100-PIT-214B</v>
          </cell>
          <cell r="C4" t="str">
            <v>M20</v>
          </cell>
          <cell r="D4" t="str">
            <v>100-AJBB-001</v>
          </cell>
          <cell r="E4" t="str">
            <v>M20</v>
          </cell>
          <cell r="F4" t="str">
            <v>TYPE I1 (NON I.S) -1PR</v>
          </cell>
          <cell r="G4" t="str">
            <v>1.5mm2</v>
          </cell>
          <cell r="H4" t="str">
            <v>13.90 mm</v>
          </cell>
          <cell r="I4">
            <v>15</v>
          </cell>
          <cell r="J4" t="str">
            <v>IC-100PIT214B</v>
          </cell>
        </row>
        <row r="5">
          <cell r="B5" t="str">
            <v>100-PIT-215</v>
          </cell>
          <cell r="C5" t="str">
            <v>M20</v>
          </cell>
          <cell r="D5" t="str">
            <v>100-AJBB-001</v>
          </cell>
          <cell r="E5" t="str">
            <v>M20</v>
          </cell>
          <cell r="F5" t="str">
            <v>TYPE I1 (NON I.S) -1PR</v>
          </cell>
          <cell r="G5" t="str">
            <v>1.5mm2</v>
          </cell>
          <cell r="H5" t="str">
            <v>13.90 mm</v>
          </cell>
          <cell r="I5">
            <v>15</v>
          </cell>
          <cell r="J5" t="str">
            <v>IC-100PIT215</v>
          </cell>
        </row>
        <row r="6">
          <cell r="B6" t="str">
            <v>100-LIT-608</v>
          </cell>
          <cell r="C6" t="str">
            <v>M20</v>
          </cell>
          <cell r="D6" t="str">
            <v>100-AJBB-001</v>
          </cell>
          <cell r="E6" t="str">
            <v>M20</v>
          </cell>
          <cell r="F6" t="str">
            <v>TYPE I1 (NON I.S) -1PR</v>
          </cell>
          <cell r="G6" t="str">
            <v>1.5mm2</v>
          </cell>
          <cell r="H6" t="str">
            <v>13.90 mm</v>
          </cell>
          <cell r="I6">
            <v>10</v>
          </cell>
          <cell r="J6" t="str">
            <v>IC-100LIT608</v>
          </cell>
        </row>
        <row r="7">
          <cell r="B7" t="str">
            <v>100-PIT-218</v>
          </cell>
          <cell r="C7" t="str">
            <v>M20</v>
          </cell>
          <cell r="D7" t="str">
            <v>100-AJBB-001</v>
          </cell>
          <cell r="E7" t="str">
            <v>M20</v>
          </cell>
          <cell r="F7" t="str">
            <v>TYPE I1 (NON I.S) -1PR</v>
          </cell>
          <cell r="G7" t="str">
            <v>1.5mm2</v>
          </cell>
          <cell r="H7" t="str">
            <v>13.90 mm</v>
          </cell>
          <cell r="I7">
            <v>30</v>
          </cell>
          <cell r="J7" t="str">
            <v>IC-100PIT218</v>
          </cell>
        </row>
        <row r="8">
          <cell r="B8" t="str">
            <v>100-PIT-W204A</v>
          </cell>
          <cell r="C8" t="str">
            <v>M20</v>
          </cell>
          <cell r="D8" t="str">
            <v>100-AJBB-001</v>
          </cell>
          <cell r="E8" t="str">
            <v>M20</v>
          </cell>
          <cell r="F8" t="str">
            <v>TYPE I1 (NON I.S) -1PR</v>
          </cell>
          <cell r="G8" t="str">
            <v>1.5mm2</v>
          </cell>
          <cell r="H8" t="str">
            <v>13.90 mm</v>
          </cell>
          <cell r="I8">
            <v>15</v>
          </cell>
          <cell r="J8" t="str">
            <v>IC-100PITW204A</v>
          </cell>
        </row>
        <row r="9">
          <cell r="B9" t="str">
            <v>100-PIT-W204B</v>
          </cell>
          <cell r="C9" t="str">
            <v>M20</v>
          </cell>
          <cell r="D9" t="str">
            <v>100-AJBB-001</v>
          </cell>
          <cell r="E9" t="str">
            <v>M20</v>
          </cell>
          <cell r="F9" t="str">
            <v>TYPE I1 (NON I.S) -1PR</v>
          </cell>
          <cell r="G9" t="str">
            <v>1.5mm2</v>
          </cell>
          <cell r="H9" t="str">
            <v>13.90 mm</v>
          </cell>
          <cell r="I9">
            <v>15</v>
          </cell>
          <cell r="J9" t="str">
            <v>IC-100PITW204B</v>
          </cell>
        </row>
        <row r="10">
          <cell r="B10" t="str">
            <v>100-PIT-W204C</v>
          </cell>
          <cell r="C10" t="str">
            <v>M20</v>
          </cell>
          <cell r="D10" t="str">
            <v>100-AJBB-001</v>
          </cell>
          <cell r="E10" t="str">
            <v>M20</v>
          </cell>
          <cell r="F10" t="str">
            <v>TYPE I1 (NON I.S) -1PR</v>
          </cell>
          <cell r="G10" t="str">
            <v>1.5mm2</v>
          </cell>
          <cell r="H10" t="str">
            <v>13.90 mm</v>
          </cell>
          <cell r="I10">
            <v>10</v>
          </cell>
          <cell r="J10" t="str">
            <v>IC-100PITW204C</v>
          </cell>
        </row>
        <row r="11">
          <cell r="B11" t="str">
            <v>100-PIT-W204D</v>
          </cell>
          <cell r="C11" t="str">
            <v>M20</v>
          </cell>
          <cell r="D11" t="str">
            <v>100-AJBB-001</v>
          </cell>
          <cell r="E11" t="str">
            <v>M20</v>
          </cell>
          <cell r="F11" t="str">
            <v>TYPE I1 (NON I.S) -1PR</v>
          </cell>
          <cell r="G11" t="str">
            <v>1.5mm2</v>
          </cell>
          <cell r="H11" t="str">
            <v>13.90 mm</v>
          </cell>
          <cell r="I11">
            <v>15</v>
          </cell>
          <cell r="J11" t="str">
            <v>IC-100PITW204D</v>
          </cell>
        </row>
        <row r="13">
          <cell r="B13" t="str">
            <v>100-LI-603A</v>
          </cell>
          <cell r="C13" t="str">
            <v>M20</v>
          </cell>
          <cell r="D13" t="str">
            <v>PCS SYSTEM/MARSHALLING CABINET 100-PCS-001</v>
          </cell>
          <cell r="E13" t="str">
            <v>M20</v>
          </cell>
          <cell r="F13" t="str">
            <v>TYPE I1 (NON I.S) -1PR</v>
          </cell>
          <cell r="G13" t="str">
            <v>1.5mm2</v>
          </cell>
          <cell r="H13" t="str">
            <v>13.90 mm</v>
          </cell>
          <cell r="I13">
            <v>30</v>
          </cell>
          <cell r="J13" t="str">
            <v>IC-100LI603A</v>
          </cell>
          <cell r="K13" t="str">
            <v>DIESEL GENERATOR PACKAGE</v>
          </cell>
        </row>
        <row r="15">
          <cell r="B15" t="str">
            <v>100-LI-603B</v>
          </cell>
          <cell r="C15" t="str">
            <v>M20</v>
          </cell>
          <cell r="D15" t="str">
            <v>PCS SYSTEM/MARSHALLING CABINET 100-PCS-001</v>
          </cell>
          <cell r="E15" t="str">
            <v>M20</v>
          </cell>
          <cell r="F15" t="str">
            <v>TYPE I1 (NON I.S) -1PR</v>
          </cell>
          <cell r="G15" t="str">
            <v>1.5mm2</v>
          </cell>
          <cell r="H15" t="str">
            <v>13.90 mm</v>
          </cell>
          <cell r="I15">
            <v>30</v>
          </cell>
          <cell r="J15" t="str">
            <v>IC-100LI603B</v>
          </cell>
          <cell r="K15" t="str">
            <v>DIESEL GENERATOR PACKAGE</v>
          </cell>
        </row>
        <row r="17">
          <cell r="B17" t="str">
            <v>PANEL-100-PK-003A</v>
          </cell>
          <cell r="C17" t="str">
            <v>M32</v>
          </cell>
          <cell r="D17" t="str">
            <v>PCS SYSTEM/MARSHALLING CABINET 100-PCS-001</v>
          </cell>
          <cell r="E17" t="str">
            <v>M32</v>
          </cell>
          <cell r="F17" t="str">
            <v>TYPE I3 (NON I.S) - 6PR</v>
          </cell>
          <cell r="G17" t="str">
            <v>2.5mm2</v>
          </cell>
          <cell r="H17" t="str">
            <v>30.7 mm</v>
          </cell>
          <cell r="I17">
            <v>30</v>
          </cell>
          <cell r="J17" t="str">
            <v>IC-100PK003A11</v>
          </cell>
          <cell r="K17" t="str">
            <v>DIESEL GENERATOR PACKAGE
in IO Databse without any subcables</v>
          </cell>
        </row>
        <row r="19">
          <cell r="B19" t="str">
            <v>PANEL-100-PK-003A</v>
          </cell>
          <cell r="C19" t="str">
            <v>M20</v>
          </cell>
          <cell r="D19" t="str">
            <v>PCS SYSTEM/MARSHALLING CABINET 100-PCS-001</v>
          </cell>
          <cell r="E19" t="str">
            <v>M20</v>
          </cell>
          <cell r="F19" t="str">
            <v>TYPE I3 (NON I.S) -1PR</v>
          </cell>
          <cell r="G19" t="str">
            <v>1.5mm2</v>
          </cell>
          <cell r="H19" t="str">
            <v>13.90 mm</v>
          </cell>
          <cell r="I19">
            <v>30</v>
          </cell>
          <cell r="J19" t="str">
            <v>IC-100PK003A12</v>
          </cell>
          <cell r="K19" t="str">
            <v>DIESEL GENERATOR PACKAGE
in IO Databse without any subcables</v>
          </cell>
        </row>
        <row r="21">
          <cell r="B21" t="str">
            <v>PANEL-100-PK-003B</v>
          </cell>
          <cell r="C21" t="str">
            <v>M32</v>
          </cell>
          <cell r="D21" t="str">
            <v>PCS SYSTEM/MARSHALLING CABINET 100-PCS-001</v>
          </cell>
          <cell r="E21" t="str">
            <v>M32</v>
          </cell>
          <cell r="F21" t="str">
            <v>TYPE I3 (NON I.S) - 6PR</v>
          </cell>
          <cell r="G21" t="str">
            <v>2.5mm2</v>
          </cell>
          <cell r="H21" t="str">
            <v>30.7 mm</v>
          </cell>
          <cell r="I21">
            <v>30</v>
          </cell>
          <cell r="J21" t="str">
            <v>IC-100PK003B11</v>
          </cell>
          <cell r="K21" t="str">
            <v>DIESEL GENERATOR PACKAGE
in IO Databse without any subcables</v>
          </cell>
        </row>
        <row r="23">
          <cell r="B23" t="str">
            <v>PANEL-100-PK-003B</v>
          </cell>
          <cell r="C23" t="str">
            <v>M20</v>
          </cell>
          <cell r="D23" t="str">
            <v>PCS SYSTEM/MARSHALLING CABINET 100-PCS-001</v>
          </cell>
          <cell r="E23" t="str">
            <v>M20</v>
          </cell>
          <cell r="F23" t="str">
            <v>TYPE I3 (NON I.S) -1PR</v>
          </cell>
          <cell r="G23" t="str">
            <v>1.5mm2</v>
          </cell>
          <cell r="H23" t="str">
            <v>13.90 mm</v>
          </cell>
          <cell r="I23">
            <v>30</v>
          </cell>
          <cell r="J23" t="str">
            <v>IC-100PK003B12</v>
          </cell>
          <cell r="K23" t="str">
            <v>DIESEL GENERATOR PACKAGE
in IO Databse without any subcables</v>
          </cell>
        </row>
        <row r="25">
          <cell r="B25" t="str">
            <v>100-AJBB-002</v>
          </cell>
          <cell r="C25" t="str">
            <v>M32</v>
          </cell>
          <cell r="D25" t="str">
            <v>PCS SYSTEM/MARSHALLING CABINET 100-PCS-001</v>
          </cell>
          <cell r="E25" t="str">
            <v>M32</v>
          </cell>
          <cell r="F25" t="str">
            <v>TYPE I1 (NON I.S) - 12PR</v>
          </cell>
          <cell r="G25" t="str">
            <v>0.75mm2</v>
          </cell>
          <cell r="H25" t="str">
            <v>28.75 mm</v>
          </cell>
          <cell r="I25">
            <v>35</v>
          </cell>
          <cell r="J25" t="str">
            <v>IC-100AJBB002</v>
          </cell>
        </row>
        <row r="26">
          <cell r="B26" t="str">
            <v>100-TIT-W401A</v>
          </cell>
          <cell r="C26" t="str">
            <v>M20</v>
          </cell>
          <cell r="D26" t="str">
            <v>100-AJBB-002</v>
          </cell>
          <cell r="E26" t="str">
            <v>M20</v>
          </cell>
          <cell r="F26" t="str">
            <v>TYPE I1 (NON I.S) -1PR</v>
          </cell>
          <cell r="G26" t="str">
            <v>1.5mm2</v>
          </cell>
          <cell r="H26" t="str">
            <v>13.90 mm</v>
          </cell>
          <cell r="I26">
            <v>25</v>
          </cell>
          <cell r="J26" t="str">
            <v>IC-100TITW401A</v>
          </cell>
        </row>
        <row r="27">
          <cell r="B27" t="str">
            <v>100-TIT-W401D</v>
          </cell>
          <cell r="C27" t="str">
            <v>M20</v>
          </cell>
          <cell r="D27" t="str">
            <v>100-AJBB-002</v>
          </cell>
          <cell r="E27" t="str">
            <v>M20</v>
          </cell>
          <cell r="F27" t="str">
            <v>TYPE I1 (NON I.S) -1PR</v>
          </cell>
          <cell r="G27" t="str">
            <v>1.5mm2</v>
          </cell>
          <cell r="H27" t="str">
            <v>13.90 mm</v>
          </cell>
          <cell r="I27">
            <v>30</v>
          </cell>
          <cell r="J27" t="str">
            <v>IC-100TITW401D</v>
          </cell>
        </row>
        <row r="28">
          <cell r="B28" t="str">
            <v>100-XZT-W904A</v>
          </cell>
          <cell r="C28" t="str">
            <v>M20</v>
          </cell>
          <cell r="D28" t="str">
            <v>100-AJBB-002</v>
          </cell>
          <cell r="E28" t="str">
            <v>M20</v>
          </cell>
          <cell r="F28" t="str">
            <v>TYPE I1 (NON I.S) -1PR</v>
          </cell>
          <cell r="G28" t="str">
            <v>1.5mm2</v>
          </cell>
          <cell r="H28" t="str">
            <v>13.90 mm</v>
          </cell>
          <cell r="I28">
            <v>20</v>
          </cell>
          <cell r="J28" t="str">
            <v>IC-100XZTW904A</v>
          </cell>
        </row>
        <row r="29">
          <cell r="B29" t="str">
            <v>100-TIT-W401B</v>
          </cell>
          <cell r="C29" t="str">
            <v>M20</v>
          </cell>
          <cell r="D29" t="str">
            <v>100-AJBB-002</v>
          </cell>
          <cell r="E29" t="str">
            <v>M20</v>
          </cell>
          <cell r="F29" t="str">
            <v>TYPE I1 (NON I.S) -1PR</v>
          </cell>
          <cell r="G29" t="str">
            <v>1.5mm2</v>
          </cell>
          <cell r="H29" t="str">
            <v>13.90 mm</v>
          </cell>
          <cell r="I29">
            <v>15</v>
          </cell>
          <cell r="J29" t="str">
            <v>IC-100TITW401B</v>
          </cell>
        </row>
        <row r="30">
          <cell r="B30" t="str">
            <v>100-XZT-W904D</v>
          </cell>
          <cell r="C30" t="str">
            <v>M20</v>
          </cell>
          <cell r="D30" t="str">
            <v>100-AJBB-002</v>
          </cell>
          <cell r="E30" t="str">
            <v>M20</v>
          </cell>
          <cell r="F30" t="str">
            <v>TYPE I1 (NON I.S) -1PR</v>
          </cell>
          <cell r="G30" t="str">
            <v>1.5mm2</v>
          </cell>
          <cell r="H30" t="str">
            <v>13.90 mm</v>
          </cell>
          <cell r="I30">
            <v>20</v>
          </cell>
          <cell r="J30" t="str">
            <v>IC-100XZTW904D</v>
          </cell>
        </row>
        <row r="31">
          <cell r="B31" t="str">
            <v>100-XZT-W904B</v>
          </cell>
          <cell r="C31" t="str">
            <v>M20</v>
          </cell>
          <cell r="D31" t="str">
            <v>100-AJBB-002</v>
          </cell>
          <cell r="E31" t="str">
            <v>M20</v>
          </cell>
          <cell r="F31" t="str">
            <v>TYPE I1 (NON I.S) -1PR</v>
          </cell>
          <cell r="G31" t="str">
            <v>1.5mm2</v>
          </cell>
          <cell r="H31" t="str">
            <v>13.90 mm</v>
          </cell>
          <cell r="I31">
            <v>15</v>
          </cell>
          <cell r="J31" t="str">
            <v>IC-100XZTW904B</v>
          </cell>
        </row>
        <row r="32">
          <cell r="B32" t="str">
            <v>100-TIT-W401C</v>
          </cell>
          <cell r="C32" t="str">
            <v>M20</v>
          </cell>
          <cell r="D32" t="str">
            <v>100-AJBB-002</v>
          </cell>
          <cell r="E32" t="str">
            <v>M20</v>
          </cell>
          <cell r="F32" t="str">
            <v>TYPE I1 (NON I.S) -1PR</v>
          </cell>
          <cell r="G32" t="str">
            <v>1.5mm2</v>
          </cell>
          <cell r="H32" t="str">
            <v>13.90 mm</v>
          </cell>
          <cell r="I32">
            <v>25</v>
          </cell>
          <cell r="J32" t="str">
            <v>IC-100TITW401C</v>
          </cell>
        </row>
        <row r="33">
          <cell r="B33" t="str">
            <v>100-XZT-W904C</v>
          </cell>
          <cell r="C33" t="str">
            <v>M20</v>
          </cell>
          <cell r="D33" t="str">
            <v>100-AJBB-002</v>
          </cell>
          <cell r="E33" t="str">
            <v>M20</v>
          </cell>
          <cell r="F33" t="str">
            <v>TYPE I1 (NON I.S) -1PR</v>
          </cell>
          <cell r="G33" t="str">
            <v>1.5mm2</v>
          </cell>
          <cell r="H33" t="str">
            <v>13.90 mm</v>
          </cell>
          <cell r="I33">
            <v>25</v>
          </cell>
          <cell r="J33" t="str">
            <v>IC-100XZTW904C</v>
          </cell>
        </row>
        <row r="35">
          <cell r="B35" t="str">
            <v>100-SJBB-001</v>
          </cell>
          <cell r="C35" t="str">
            <v>M40</v>
          </cell>
          <cell r="D35" t="str">
            <v>PCS SYSTEM/MARSHALLING CABINET 100-PCS-001</v>
          </cell>
          <cell r="E35" t="str">
            <v>M40</v>
          </cell>
          <cell r="F35" t="str">
            <v>TYPE I3 (NON I.S) - 12PR</v>
          </cell>
          <cell r="G35" t="str">
            <v>2.5mm2</v>
          </cell>
          <cell r="H35" t="str">
            <v>33.95 mm</v>
          </cell>
          <cell r="I35">
            <v>35</v>
          </cell>
          <cell r="J35" t="str">
            <v>IC-100SJBB001</v>
          </cell>
        </row>
        <row r="36">
          <cell r="B36" t="str">
            <v>100-HY-W904-1A</v>
          </cell>
          <cell r="C36" t="str">
            <v>M20</v>
          </cell>
          <cell r="D36" t="str">
            <v>100-SJBB-001</v>
          </cell>
          <cell r="E36" t="str">
            <v>M20</v>
          </cell>
          <cell r="F36" t="str">
            <v>TYPE I3 (NON I.S) -1PR</v>
          </cell>
          <cell r="G36" t="str">
            <v>2.5mm2</v>
          </cell>
          <cell r="H36" t="str">
            <v>15.20 mm</v>
          </cell>
          <cell r="I36">
            <v>20</v>
          </cell>
          <cell r="J36" t="str">
            <v>IC-100HYW9041A</v>
          </cell>
        </row>
        <row r="37">
          <cell r="B37" t="str">
            <v>100-HY-W904-1B</v>
          </cell>
          <cell r="C37" t="str">
            <v>M20</v>
          </cell>
          <cell r="D37" t="str">
            <v>100-SJBB-001</v>
          </cell>
          <cell r="E37" t="str">
            <v>M20</v>
          </cell>
          <cell r="F37" t="str">
            <v>TYPE I3 (NON I.S) -1PR</v>
          </cell>
          <cell r="G37" t="str">
            <v>2.5mm2</v>
          </cell>
          <cell r="H37" t="str">
            <v>15.20 mm</v>
          </cell>
          <cell r="I37">
            <v>15</v>
          </cell>
          <cell r="J37" t="str">
            <v>IC-100HYW9041B</v>
          </cell>
        </row>
        <row r="38">
          <cell r="B38" t="str">
            <v>100-HY-W904-1C</v>
          </cell>
          <cell r="C38" t="str">
            <v>M20</v>
          </cell>
          <cell r="D38" t="str">
            <v>100-SJBB-001</v>
          </cell>
          <cell r="E38" t="str">
            <v>M20</v>
          </cell>
          <cell r="F38" t="str">
            <v>TYPE I3 (NON I.S) -1PR</v>
          </cell>
          <cell r="G38" t="str">
            <v>2.5mm2</v>
          </cell>
          <cell r="H38" t="str">
            <v>15.20 mm</v>
          </cell>
          <cell r="I38">
            <v>25</v>
          </cell>
          <cell r="J38" t="str">
            <v>IC-100HYW9041C</v>
          </cell>
        </row>
        <row r="39">
          <cell r="B39" t="str">
            <v>100-HY-W904-1D</v>
          </cell>
          <cell r="C39" t="str">
            <v>M20</v>
          </cell>
          <cell r="D39" t="str">
            <v>100-SJBB-001</v>
          </cell>
          <cell r="E39" t="str">
            <v>M20</v>
          </cell>
          <cell r="F39" t="str">
            <v>TYPE I3 (NON I.S) -1PR</v>
          </cell>
          <cell r="G39" t="str">
            <v>2.5mm2</v>
          </cell>
          <cell r="H39" t="str">
            <v>15.20 mm</v>
          </cell>
          <cell r="I39">
            <v>20</v>
          </cell>
          <cell r="J39" t="str">
            <v>IC-100HYW9041D</v>
          </cell>
        </row>
        <row r="40">
          <cell r="B40" t="str">
            <v>100-HY-W904-2A</v>
          </cell>
          <cell r="C40" t="str">
            <v>M20</v>
          </cell>
          <cell r="D40" t="str">
            <v>100-SJBB-001</v>
          </cell>
          <cell r="E40" t="str">
            <v>M20</v>
          </cell>
          <cell r="F40" t="str">
            <v>TYPE I3 (NON I.S) -1PR</v>
          </cell>
          <cell r="G40" t="str">
            <v>2.5mm2</v>
          </cell>
          <cell r="H40" t="str">
            <v>15.20 mm</v>
          </cell>
          <cell r="I40">
            <v>20</v>
          </cell>
          <cell r="J40" t="str">
            <v>IC-100HYW9042A</v>
          </cell>
        </row>
        <row r="41">
          <cell r="B41" t="str">
            <v>100-HY-W904-2B</v>
          </cell>
          <cell r="C41" t="str">
            <v>M20</v>
          </cell>
          <cell r="D41" t="str">
            <v>100-SJBB-001</v>
          </cell>
          <cell r="E41" t="str">
            <v>M20</v>
          </cell>
          <cell r="F41" t="str">
            <v>TYPE I3 (NON I.S) -1PR</v>
          </cell>
          <cell r="G41" t="str">
            <v>2.5mm2</v>
          </cell>
          <cell r="H41" t="str">
            <v>15.20 mm</v>
          </cell>
          <cell r="I41">
            <v>15</v>
          </cell>
          <cell r="J41" t="str">
            <v>IC-100HYW9042B</v>
          </cell>
        </row>
        <row r="42">
          <cell r="B42" t="str">
            <v>100-HY-W904-2C</v>
          </cell>
          <cell r="C42" t="str">
            <v>M20</v>
          </cell>
          <cell r="D42" t="str">
            <v>100-SJBB-001</v>
          </cell>
          <cell r="E42" t="str">
            <v>M20</v>
          </cell>
          <cell r="F42" t="str">
            <v>TYPE I3 (NON I.S) -1PR</v>
          </cell>
          <cell r="G42" t="str">
            <v>2.5mm2</v>
          </cell>
          <cell r="H42" t="str">
            <v>15.20 mm</v>
          </cell>
          <cell r="I42">
            <v>25</v>
          </cell>
          <cell r="J42" t="str">
            <v>IC-100HYW9042C</v>
          </cell>
        </row>
        <row r="43">
          <cell r="B43" t="str">
            <v>100-HY-W904-2D</v>
          </cell>
          <cell r="C43" t="str">
            <v>M20</v>
          </cell>
          <cell r="D43" t="str">
            <v>100-SJBB-001</v>
          </cell>
          <cell r="E43" t="str">
            <v>M20</v>
          </cell>
          <cell r="F43" t="str">
            <v>TYPE I3 (NON I.S) -1PR</v>
          </cell>
          <cell r="G43" t="str">
            <v>2.5mm2</v>
          </cell>
          <cell r="H43" t="str">
            <v>15.20 mm</v>
          </cell>
          <cell r="I43">
            <v>20</v>
          </cell>
          <cell r="J43" t="str">
            <v>IC-100HYW9042D</v>
          </cell>
        </row>
        <row r="45">
          <cell r="B45" t="str">
            <v>100-DJBB-001</v>
          </cell>
          <cell r="C45" t="str">
            <v>M40</v>
          </cell>
          <cell r="D45" t="str">
            <v>PCS SYSTEM/MARSHALLING CABINET 100-PCS-001</v>
          </cell>
          <cell r="E45" t="str">
            <v>M40</v>
          </cell>
          <cell r="F45" t="str">
            <v>TYPE I3 (NON I.S) -12 PR</v>
          </cell>
          <cell r="G45" t="str">
            <v>1.5mm2</v>
          </cell>
          <cell r="H45" t="str">
            <v>30.60 mm</v>
          </cell>
          <cell r="I45">
            <v>35</v>
          </cell>
          <cell r="J45" t="str">
            <v>IC-100DJBB001</v>
          </cell>
        </row>
        <row r="46">
          <cell r="B46" t="str">
            <v>100-ZSO-W904A</v>
          </cell>
          <cell r="C46" t="str">
            <v>M25</v>
          </cell>
          <cell r="D46" t="str">
            <v>100-DJBB-001</v>
          </cell>
          <cell r="E46" t="str">
            <v>M25</v>
          </cell>
          <cell r="F46" t="str">
            <v>TYPE I3 (NON I.S) -2PR</v>
          </cell>
          <cell r="G46" t="str">
            <v>1.5mm2</v>
          </cell>
          <cell r="H46" t="str">
            <v>17.65 mm</v>
          </cell>
          <cell r="I46">
            <v>20</v>
          </cell>
          <cell r="J46" t="str">
            <v>IC-100ZSC/OW904A</v>
          </cell>
          <cell r="K46" t="str">
            <v>2 signals open &amp; Close</v>
          </cell>
        </row>
        <row r="47">
          <cell r="B47" t="str">
            <v>100-ZSO-W904D</v>
          </cell>
          <cell r="C47" t="str">
            <v>M25</v>
          </cell>
          <cell r="D47" t="str">
            <v>100-DJBB-001</v>
          </cell>
          <cell r="E47" t="str">
            <v>M25</v>
          </cell>
          <cell r="F47" t="str">
            <v>TYPE I3 (NON I.S) -2PR</v>
          </cell>
          <cell r="G47" t="str">
            <v>1.5mm2</v>
          </cell>
          <cell r="H47" t="str">
            <v>17.65 mm</v>
          </cell>
          <cell r="I47">
            <v>20</v>
          </cell>
          <cell r="J47" t="str">
            <v>IC-100ZSC/OW904D</v>
          </cell>
          <cell r="K47" t="str">
            <v>2 signals open &amp; Close</v>
          </cell>
        </row>
        <row r="48">
          <cell r="B48" t="str">
            <v>100-ZSO-W905A</v>
          </cell>
          <cell r="C48" t="str">
            <v>M25</v>
          </cell>
          <cell r="D48" t="str">
            <v>100-DJBB-001</v>
          </cell>
          <cell r="E48" t="str">
            <v>M25</v>
          </cell>
          <cell r="F48" t="str">
            <v>TYPE I3 (NON I.S) -2PR</v>
          </cell>
          <cell r="G48" t="str">
            <v>1.5mm2</v>
          </cell>
          <cell r="H48" t="str">
            <v>17.65 mm</v>
          </cell>
          <cell r="I48">
            <v>20</v>
          </cell>
          <cell r="J48" t="str">
            <v>IC-100ZSC/OW905A</v>
          </cell>
          <cell r="K48" t="str">
            <v>2 signals open &amp; Close</v>
          </cell>
        </row>
        <row r="49">
          <cell r="B49" t="str">
            <v>100-ZSO-W905D</v>
          </cell>
          <cell r="C49" t="str">
            <v>M25</v>
          </cell>
          <cell r="D49" t="str">
            <v>100-DJBB-001</v>
          </cell>
          <cell r="E49" t="str">
            <v>M25</v>
          </cell>
          <cell r="F49" t="str">
            <v>TYPE I3 (NON I.S) -2PR</v>
          </cell>
          <cell r="G49" t="str">
            <v>1.5mm2</v>
          </cell>
          <cell r="H49" t="str">
            <v>17.65 mm</v>
          </cell>
          <cell r="I49">
            <v>20</v>
          </cell>
          <cell r="J49" t="str">
            <v>IC-100ZSC/OW905D</v>
          </cell>
          <cell r="K49" t="str">
            <v>2 signals open &amp; Close</v>
          </cell>
        </row>
        <row r="50">
          <cell r="B50" t="str">
            <v>100-ZSC-W904A</v>
          </cell>
          <cell r="C50" t="str">
            <v>M25</v>
          </cell>
          <cell r="D50" t="str">
            <v>100-DJBB-001</v>
          </cell>
          <cell r="E50" t="str">
            <v>M25</v>
          </cell>
          <cell r="F50" t="str">
            <v>TYPE I3 (NON I.S) -2PR</v>
          </cell>
          <cell r="G50" t="str">
            <v>1.5mm2</v>
          </cell>
          <cell r="H50" t="str">
            <v>17.65 mm</v>
          </cell>
          <cell r="I50">
            <v>20</v>
          </cell>
          <cell r="J50" t="str">
            <v>IC-100ZSC/OW904A</v>
          </cell>
          <cell r="K50" t="str">
            <v>2 signals open &amp; Close</v>
          </cell>
        </row>
        <row r="51">
          <cell r="B51" t="str">
            <v>100-ZSC-W904D</v>
          </cell>
          <cell r="C51" t="str">
            <v>M25</v>
          </cell>
          <cell r="D51" t="str">
            <v>100-DJBB-001</v>
          </cell>
          <cell r="E51" t="str">
            <v>M25</v>
          </cell>
          <cell r="F51" t="str">
            <v>TYPE I3 (NON I.S) -2PR</v>
          </cell>
          <cell r="G51" t="str">
            <v>1.5mm2</v>
          </cell>
          <cell r="H51" t="str">
            <v>17.65 mm</v>
          </cell>
          <cell r="I51">
            <v>20</v>
          </cell>
          <cell r="J51" t="str">
            <v>IC-100ZSC/OW904D</v>
          </cell>
          <cell r="K51" t="str">
            <v>2 signals open &amp; Close</v>
          </cell>
        </row>
        <row r="52">
          <cell r="B52" t="str">
            <v>100-ZSC-W905A</v>
          </cell>
          <cell r="C52" t="str">
            <v>M25</v>
          </cell>
          <cell r="D52" t="str">
            <v>100-DJBB-001</v>
          </cell>
          <cell r="E52" t="str">
            <v>M25</v>
          </cell>
          <cell r="F52" t="str">
            <v>TYPE I3 (NON I.S) -2PR</v>
          </cell>
          <cell r="G52" t="str">
            <v>1.5mm2</v>
          </cell>
          <cell r="H52" t="str">
            <v>17.65 mm</v>
          </cell>
          <cell r="I52">
            <v>20</v>
          </cell>
          <cell r="J52" t="str">
            <v>IC-100ZSC/OW905A</v>
          </cell>
          <cell r="K52" t="str">
            <v>2 signals open &amp; Close</v>
          </cell>
        </row>
        <row r="53">
          <cell r="B53" t="str">
            <v>100-ZSC-W905D</v>
          </cell>
          <cell r="C53" t="str">
            <v>M25</v>
          </cell>
          <cell r="D53" t="str">
            <v>100-DJBB-001</v>
          </cell>
          <cell r="E53" t="str">
            <v>M25</v>
          </cell>
          <cell r="F53" t="str">
            <v>TYPE I3 (NON I.S) -2PR</v>
          </cell>
          <cell r="G53" t="str">
            <v>1.5mm2</v>
          </cell>
          <cell r="H53" t="str">
            <v>17.65 mm</v>
          </cell>
          <cell r="I53">
            <v>20</v>
          </cell>
          <cell r="J53" t="str">
            <v>IC-100ZSC/OW905D</v>
          </cell>
          <cell r="K53" t="str">
            <v>2 signals open &amp; Close</v>
          </cell>
        </row>
        <row r="55">
          <cell r="B55" t="str">
            <v>100-AJBB-003</v>
          </cell>
          <cell r="C55" t="str">
            <v>M32</v>
          </cell>
          <cell r="D55" t="str">
            <v>PCS SYSTEM/MARSHALLING CABINET 100-PCS-001</v>
          </cell>
          <cell r="E55" t="str">
            <v>M32</v>
          </cell>
          <cell r="F55" t="str">
            <v>TYPE I1 (NON I.S) - 12PR</v>
          </cell>
          <cell r="G55" t="str">
            <v>0.75mm2</v>
          </cell>
          <cell r="H55" t="str">
            <v>28.75 mm</v>
          </cell>
          <cell r="I55">
            <v>35</v>
          </cell>
          <cell r="J55" t="str">
            <v>IC-100AJBB003</v>
          </cell>
        </row>
        <row r="56">
          <cell r="B56" t="str">
            <v>100-PIT-W217A</v>
          </cell>
          <cell r="C56" t="str">
            <v>M20</v>
          </cell>
          <cell r="D56" t="str">
            <v>100-AJBB-003</v>
          </cell>
          <cell r="E56" t="str">
            <v>M20</v>
          </cell>
          <cell r="F56" t="str">
            <v>TYPE I1 (NON I.S) -1PR</v>
          </cell>
          <cell r="G56" t="str">
            <v>1.5mm2</v>
          </cell>
          <cell r="H56" t="str">
            <v>13.90 mm</v>
          </cell>
          <cell r="I56">
            <v>20</v>
          </cell>
          <cell r="J56" t="str">
            <v>IC-100PITW217A</v>
          </cell>
        </row>
        <row r="57">
          <cell r="B57" t="str">
            <v>100-PIT-W206A</v>
          </cell>
          <cell r="C57" t="str">
            <v>M20</v>
          </cell>
          <cell r="D57" t="str">
            <v>100-AJBB-003</v>
          </cell>
          <cell r="E57" t="str">
            <v>M20</v>
          </cell>
          <cell r="F57" t="str">
            <v>TYPE I1 (NON I.S) -1PR</v>
          </cell>
          <cell r="G57" t="str">
            <v>1.5mm2</v>
          </cell>
          <cell r="H57" t="str">
            <v>13.90 mm</v>
          </cell>
          <cell r="I57">
            <v>20</v>
          </cell>
          <cell r="J57" t="str">
            <v>IC-100PITW206A</v>
          </cell>
        </row>
        <row r="58">
          <cell r="B58" t="str">
            <v>100-PIT-W209A</v>
          </cell>
          <cell r="C58" t="str">
            <v>M20</v>
          </cell>
          <cell r="D58" t="str">
            <v>100-AJBB-003</v>
          </cell>
          <cell r="E58" t="str">
            <v>M20</v>
          </cell>
          <cell r="F58" t="str">
            <v>TYPE I1 (NON I.S) -1PR</v>
          </cell>
          <cell r="G58" t="str">
            <v>1.5mm2</v>
          </cell>
          <cell r="H58" t="str">
            <v>13.90 mm</v>
          </cell>
          <cell r="I58">
            <v>20</v>
          </cell>
          <cell r="J58" t="str">
            <v>IC-100PITW209A</v>
          </cell>
        </row>
        <row r="59">
          <cell r="B59" t="str">
            <v>100-PIT-W217B</v>
          </cell>
          <cell r="C59" t="str">
            <v>M20</v>
          </cell>
          <cell r="D59" t="str">
            <v>100-AJBB-003</v>
          </cell>
          <cell r="E59" t="str">
            <v>M20</v>
          </cell>
          <cell r="F59" t="str">
            <v>TYPE I1 (NON I.S) -1PR</v>
          </cell>
          <cell r="G59" t="str">
            <v>1.5mm2</v>
          </cell>
          <cell r="H59" t="str">
            <v>13.90 mm</v>
          </cell>
          <cell r="I59">
            <v>20</v>
          </cell>
          <cell r="J59" t="str">
            <v>IC-100PITW217B</v>
          </cell>
        </row>
        <row r="60">
          <cell r="B60" t="str">
            <v>100-PIT-W206B</v>
          </cell>
          <cell r="C60" t="str">
            <v>M20</v>
          </cell>
          <cell r="D60" t="str">
            <v>100-AJBB-003</v>
          </cell>
          <cell r="E60" t="str">
            <v>M20</v>
          </cell>
          <cell r="F60" t="str">
            <v>TYPE I1 (NON I.S) -1PR</v>
          </cell>
          <cell r="G60" t="str">
            <v>1.5mm2</v>
          </cell>
          <cell r="H60" t="str">
            <v>13.90 mm</v>
          </cell>
          <cell r="I60">
            <v>20</v>
          </cell>
          <cell r="J60" t="str">
            <v>IC-100PITW206B</v>
          </cell>
        </row>
        <row r="61">
          <cell r="B61" t="str">
            <v>100-PIT-W209B</v>
          </cell>
          <cell r="C61" t="str">
            <v>M20</v>
          </cell>
          <cell r="D61" t="str">
            <v>100-AJBB-003</v>
          </cell>
          <cell r="E61" t="str">
            <v>M20</v>
          </cell>
          <cell r="F61" t="str">
            <v>TYPE I1 (NON I.S) -1PR</v>
          </cell>
          <cell r="G61" t="str">
            <v>1.5mm2</v>
          </cell>
          <cell r="H61" t="str">
            <v>13.90 mm</v>
          </cell>
          <cell r="I61">
            <v>20</v>
          </cell>
          <cell r="J61" t="str">
            <v>IC-100PITW209B</v>
          </cell>
        </row>
        <row r="62">
          <cell r="B62" t="str">
            <v>100-PIT-W217C</v>
          </cell>
          <cell r="C62" t="str">
            <v>M20</v>
          </cell>
          <cell r="D62" t="str">
            <v>100-AJBB-003</v>
          </cell>
          <cell r="E62" t="str">
            <v>M20</v>
          </cell>
          <cell r="F62" t="str">
            <v>TYPE I1 (NON I.S) -1PR</v>
          </cell>
          <cell r="G62" t="str">
            <v>1.5mm2</v>
          </cell>
          <cell r="H62" t="str">
            <v>13.90 mm</v>
          </cell>
          <cell r="I62">
            <v>20</v>
          </cell>
          <cell r="J62" t="str">
            <v>IC-100PITW217C</v>
          </cell>
        </row>
        <row r="63">
          <cell r="B63" t="str">
            <v>100-PIT-W206C</v>
          </cell>
          <cell r="C63" t="str">
            <v>M20</v>
          </cell>
          <cell r="D63" t="str">
            <v>100-AJBB-003</v>
          </cell>
          <cell r="E63" t="str">
            <v>M20</v>
          </cell>
          <cell r="F63" t="str">
            <v>TYPE I1 (NON I.S) -1PR</v>
          </cell>
          <cell r="G63" t="str">
            <v>1.5mm2</v>
          </cell>
          <cell r="H63" t="str">
            <v>13.90 mm</v>
          </cell>
          <cell r="I63">
            <v>20</v>
          </cell>
          <cell r="J63" t="str">
            <v>IC-100PITW206C</v>
          </cell>
        </row>
        <row r="64">
          <cell r="B64" t="str">
            <v>100-PIT-W209C</v>
          </cell>
          <cell r="C64" t="str">
            <v>M20</v>
          </cell>
          <cell r="D64" t="str">
            <v>100-AJBB-003</v>
          </cell>
          <cell r="E64" t="str">
            <v>M20</v>
          </cell>
          <cell r="F64" t="str">
            <v>TYPE I1 (NON I.S) -1PR</v>
          </cell>
          <cell r="G64" t="str">
            <v>1.5mm2</v>
          </cell>
          <cell r="H64" t="str">
            <v>13.90 mm</v>
          </cell>
          <cell r="I64">
            <v>20</v>
          </cell>
          <cell r="J64" t="str">
            <v>IC-100PITW209C</v>
          </cell>
        </row>
        <row r="66">
          <cell r="B66" t="str">
            <v>100-AJBB-004</v>
          </cell>
          <cell r="C66" t="str">
            <v>M32</v>
          </cell>
          <cell r="D66" t="str">
            <v>PCS SYSTEM/MARSHALLING CABINET 100-PCS-001</v>
          </cell>
          <cell r="E66" t="str">
            <v>M32</v>
          </cell>
          <cell r="F66" t="str">
            <v>TYPE I1 (NON I.S) - 6PR</v>
          </cell>
          <cell r="G66" t="str">
            <v>0.75mm2</v>
          </cell>
          <cell r="H66" t="str">
            <v>25.10 mm</v>
          </cell>
          <cell r="I66">
            <v>35</v>
          </cell>
          <cell r="J66" t="str">
            <v>IC-100AJBB004</v>
          </cell>
        </row>
        <row r="67">
          <cell r="B67" t="str">
            <v>100-PIT-W217D</v>
          </cell>
          <cell r="C67" t="str">
            <v>M20</v>
          </cell>
          <cell r="D67" t="str">
            <v>100-AJBB-004</v>
          </cell>
          <cell r="E67" t="str">
            <v>M20</v>
          </cell>
          <cell r="F67" t="str">
            <v>TYPE I1 (NON I.S) -1PR</v>
          </cell>
          <cell r="G67" t="str">
            <v>1.5mm2</v>
          </cell>
          <cell r="H67" t="str">
            <v>13.90 mm</v>
          </cell>
          <cell r="I67">
            <v>15</v>
          </cell>
          <cell r="J67" t="str">
            <v>IC-100PITW217D</v>
          </cell>
        </row>
        <row r="68">
          <cell r="B68" t="str">
            <v>100-PIT-W206D</v>
          </cell>
          <cell r="C68" t="str">
            <v>M20</v>
          </cell>
          <cell r="D68" t="str">
            <v>100-AJBB-004</v>
          </cell>
          <cell r="E68" t="str">
            <v>M20</v>
          </cell>
          <cell r="F68" t="str">
            <v>TYPE I1 (NON I.S) -1PR</v>
          </cell>
          <cell r="G68" t="str">
            <v>1.5mm2</v>
          </cell>
          <cell r="H68" t="str">
            <v>13.90 mm</v>
          </cell>
          <cell r="I68">
            <v>20</v>
          </cell>
          <cell r="J68" t="str">
            <v>IC-100PITW206D</v>
          </cell>
        </row>
        <row r="69">
          <cell r="B69" t="str">
            <v>100-PIT-W209D</v>
          </cell>
          <cell r="C69" t="str">
            <v>M20</v>
          </cell>
          <cell r="D69" t="str">
            <v>100-AJBB-004</v>
          </cell>
          <cell r="E69" t="str">
            <v>M20</v>
          </cell>
          <cell r="F69" t="str">
            <v>TYPE I1 (NON I.S) -1PR</v>
          </cell>
          <cell r="G69" t="str">
            <v>1.5mm2</v>
          </cell>
          <cell r="H69" t="str">
            <v>13.90 mm</v>
          </cell>
          <cell r="I69">
            <v>20</v>
          </cell>
          <cell r="J69" t="str">
            <v>IC-100PITW209D</v>
          </cell>
        </row>
        <row r="71">
          <cell r="B71" t="str">
            <v>100-AJBB-005</v>
          </cell>
          <cell r="C71" t="str">
            <v>M32</v>
          </cell>
          <cell r="D71" t="str">
            <v>PCS SYSTEM/MARSHALLING CABINET 100-PCS-001</v>
          </cell>
          <cell r="E71" t="str">
            <v>M32</v>
          </cell>
          <cell r="F71" t="str">
            <v>TYPE I1 (NON I.S) - 12PR</v>
          </cell>
          <cell r="G71" t="str">
            <v>0.75mm2</v>
          </cell>
          <cell r="H71" t="str">
            <v>28.75 mm</v>
          </cell>
          <cell r="I71">
            <v>65</v>
          </cell>
          <cell r="J71" t="str">
            <v>IC-100AJBB005</v>
          </cell>
        </row>
        <row r="72">
          <cell r="B72" t="str">
            <v>100-SIT-W901A</v>
          </cell>
          <cell r="C72" t="str">
            <v>M20</v>
          </cell>
          <cell r="D72" t="str">
            <v>100-AJBB-005</v>
          </cell>
          <cell r="E72" t="str">
            <v>M20</v>
          </cell>
          <cell r="F72" t="str">
            <v>TYPE I1 (NON I.S) -1PR</v>
          </cell>
          <cell r="G72" t="str">
            <v>1.5mm2</v>
          </cell>
          <cell r="H72" t="str">
            <v>13.90 mm</v>
          </cell>
          <cell r="I72">
            <v>20</v>
          </cell>
          <cell r="J72" t="str">
            <v>IC-100SITW901A</v>
          </cell>
        </row>
        <row r="73">
          <cell r="B73" t="str">
            <v>100-FIT-W101A</v>
          </cell>
          <cell r="C73" t="str">
            <v>M20</v>
          </cell>
          <cell r="D73" t="str">
            <v>100-AJBB-005</v>
          </cell>
          <cell r="E73" t="str">
            <v>M20</v>
          </cell>
          <cell r="F73" t="str">
            <v>TYPE I1 (NON I.S) -1PR</v>
          </cell>
          <cell r="G73" t="str">
            <v>1.5mm2</v>
          </cell>
          <cell r="H73" t="str">
            <v>13.90 mm</v>
          </cell>
          <cell r="I73">
            <v>20</v>
          </cell>
          <cell r="J73" t="str">
            <v>IC-100FITW101A</v>
          </cell>
        </row>
        <row r="74">
          <cell r="B74" t="str">
            <v>100-PIT-W205A</v>
          </cell>
          <cell r="C74" t="str">
            <v>M20</v>
          </cell>
          <cell r="D74" t="str">
            <v>100-AJBB-005</v>
          </cell>
          <cell r="E74" t="str">
            <v>M20</v>
          </cell>
          <cell r="F74" t="str">
            <v>TYPE I1 (NON I.S) -1PR</v>
          </cell>
          <cell r="G74" t="str">
            <v>1.5mm2</v>
          </cell>
          <cell r="H74" t="str">
            <v>13.90 mm</v>
          </cell>
          <cell r="I74">
            <v>20</v>
          </cell>
          <cell r="J74" t="str">
            <v>IC-100PITW205A</v>
          </cell>
        </row>
        <row r="75">
          <cell r="B75" t="str">
            <v>100-TIT-W402A</v>
          </cell>
          <cell r="C75" t="str">
            <v>M20</v>
          </cell>
          <cell r="D75" t="str">
            <v>100-AJBB-005</v>
          </cell>
          <cell r="E75" t="str">
            <v>M20</v>
          </cell>
          <cell r="F75" t="str">
            <v>TYPE I1 (NON I.S) -1PR</v>
          </cell>
          <cell r="G75" t="str">
            <v>1.5mm2</v>
          </cell>
          <cell r="H75" t="str">
            <v>13.90 mm</v>
          </cell>
          <cell r="I75">
            <v>20</v>
          </cell>
          <cell r="J75" t="str">
            <v>IC-100TITW402A</v>
          </cell>
        </row>
        <row r="76">
          <cell r="B76" t="str">
            <v>100-SIT-W901B</v>
          </cell>
          <cell r="C76" t="str">
            <v>M20</v>
          </cell>
          <cell r="D76" t="str">
            <v>100-AJBB-005</v>
          </cell>
          <cell r="E76" t="str">
            <v>M20</v>
          </cell>
          <cell r="F76" t="str">
            <v>TYPE I1 (NON I.S) -1PR</v>
          </cell>
          <cell r="G76" t="str">
            <v>1.5mm2</v>
          </cell>
          <cell r="H76" t="str">
            <v>13.90 mm</v>
          </cell>
          <cell r="I76">
            <v>20</v>
          </cell>
          <cell r="J76" t="str">
            <v>IC-100SITW901B</v>
          </cell>
        </row>
        <row r="77">
          <cell r="B77" t="str">
            <v>100-PIT-W205B</v>
          </cell>
          <cell r="C77" t="str">
            <v>M20</v>
          </cell>
          <cell r="D77" t="str">
            <v>100-AJBB-005</v>
          </cell>
          <cell r="E77" t="str">
            <v>M20</v>
          </cell>
          <cell r="F77" t="str">
            <v>TYPE I1 (NON I.S) -1PR</v>
          </cell>
          <cell r="G77" t="str">
            <v>1.5mm2</v>
          </cell>
          <cell r="H77" t="str">
            <v>13.90 mm</v>
          </cell>
          <cell r="I77">
            <v>20</v>
          </cell>
          <cell r="J77" t="str">
            <v>IC-100PITW205B</v>
          </cell>
        </row>
        <row r="78">
          <cell r="B78" t="str">
            <v>100-FIT-W101B</v>
          </cell>
          <cell r="C78" t="str">
            <v>M20</v>
          </cell>
          <cell r="D78" t="str">
            <v>100-AJBB-005</v>
          </cell>
          <cell r="E78" t="str">
            <v>M20</v>
          </cell>
          <cell r="F78" t="str">
            <v>TYPE I1 (NON I.S) -1PR</v>
          </cell>
          <cell r="G78" t="str">
            <v>1.5mm2</v>
          </cell>
          <cell r="H78" t="str">
            <v>13.90 mm</v>
          </cell>
          <cell r="I78">
            <v>20</v>
          </cell>
          <cell r="J78" t="str">
            <v>IC-100FITW101B</v>
          </cell>
        </row>
        <row r="79">
          <cell r="B79" t="str">
            <v>100-TIT-W402B</v>
          </cell>
          <cell r="C79" t="str">
            <v>M20</v>
          </cell>
          <cell r="D79" t="str">
            <v>100-AJBB-005</v>
          </cell>
          <cell r="E79" t="str">
            <v>M20</v>
          </cell>
          <cell r="F79" t="str">
            <v>TYPE I1 (NON I.S) -1PR</v>
          </cell>
          <cell r="G79" t="str">
            <v>1.5mm2</v>
          </cell>
          <cell r="H79" t="str">
            <v>13.90 mm</v>
          </cell>
          <cell r="I79">
            <v>20</v>
          </cell>
          <cell r="J79" t="str">
            <v>IC-100TITW402B</v>
          </cell>
        </row>
        <row r="81">
          <cell r="B81" t="str">
            <v>100-AJBB-006</v>
          </cell>
          <cell r="C81" t="str">
            <v>M32</v>
          </cell>
          <cell r="D81" t="str">
            <v>PCS SYSTEM/MARSHALLING CABINET 100-PCS-001</v>
          </cell>
          <cell r="E81" t="str">
            <v>M32</v>
          </cell>
          <cell r="F81" t="str">
            <v>TYPE I1 (NON I.S) - 12PR</v>
          </cell>
          <cell r="G81" t="str">
            <v>0.75mm2</v>
          </cell>
          <cell r="H81" t="str">
            <v>28.75 mm</v>
          </cell>
          <cell r="I81">
            <v>65</v>
          </cell>
          <cell r="J81" t="str">
            <v>IC-100AJBB006</v>
          </cell>
        </row>
        <row r="82">
          <cell r="B82" t="str">
            <v>100-SIT-W901C</v>
          </cell>
          <cell r="C82" t="str">
            <v>M20</v>
          </cell>
          <cell r="D82" t="str">
            <v>100-AJBB-006</v>
          </cell>
          <cell r="E82" t="str">
            <v>M20</v>
          </cell>
          <cell r="F82" t="str">
            <v>TYPE I1 (NON I.S) -1PR</v>
          </cell>
          <cell r="G82" t="str">
            <v>1.5mm2</v>
          </cell>
          <cell r="H82" t="str">
            <v>13.90 mm</v>
          </cell>
          <cell r="I82">
            <v>20</v>
          </cell>
          <cell r="J82" t="str">
            <v>IC-100SITW901C</v>
          </cell>
        </row>
        <row r="83">
          <cell r="B83" t="str">
            <v>100-FIT-W101C</v>
          </cell>
          <cell r="C83" t="str">
            <v>M20</v>
          </cell>
          <cell r="D83" t="str">
            <v>100-AJBB-006</v>
          </cell>
          <cell r="E83" t="str">
            <v>M20</v>
          </cell>
          <cell r="F83" t="str">
            <v>TYPE I1 (NON I.S) -1PR</v>
          </cell>
          <cell r="G83" t="str">
            <v>1.5mm2</v>
          </cell>
          <cell r="H83" t="str">
            <v>13.90 mm</v>
          </cell>
          <cell r="I83">
            <v>20</v>
          </cell>
          <cell r="J83" t="str">
            <v>IC-100FITW101C</v>
          </cell>
        </row>
        <row r="84">
          <cell r="B84" t="str">
            <v>100-PIT-W205C</v>
          </cell>
          <cell r="C84" t="str">
            <v>M20</v>
          </cell>
          <cell r="D84" t="str">
            <v>100-AJBB-006</v>
          </cell>
          <cell r="E84" t="str">
            <v>M20</v>
          </cell>
          <cell r="F84" t="str">
            <v>TYPE I1 (NON I.S) -1PR</v>
          </cell>
          <cell r="G84" t="str">
            <v>1.5mm2</v>
          </cell>
          <cell r="H84" t="str">
            <v>13.90 mm</v>
          </cell>
          <cell r="I84">
            <v>20</v>
          </cell>
          <cell r="J84" t="str">
            <v>IC-100PITW205C</v>
          </cell>
        </row>
        <row r="85">
          <cell r="B85" t="str">
            <v>100-TIT-W402C</v>
          </cell>
          <cell r="C85" t="str">
            <v>M20</v>
          </cell>
          <cell r="D85" t="str">
            <v>100-AJBB-006</v>
          </cell>
          <cell r="E85" t="str">
            <v>M20</v>
          </cell>
          <cell r="F85" t="str">
            <v>TYPE I1 (NON I.S) -1PR</v>
          </cell>
          <cell r="G85" t="str">
            <v>1.5mm2</v>
          </cell>
          <cell r="H85" t="str">
            <v>13.90 mm</v>
          </cell>
          <cell r="I85">
            <v>20</v>
          </cell>
          <cell r="J85" t="str">
            <v>IC-100TITW402C</v>
          </cell>
        </row>
        <row r="86">
          <cell r="B86" t="str">
            <v>100-SIT-W901D</v>
          </cell>
          <cell r="C86" t="str">
            <v>M20</v>
          </cell>
          <cell r="D86" t="str">
            <v>100-AJBB-006</v>
          </cell>
          <cell r="E86" t="str">
            <v>M20</v>
          </cell>
          <cell r="F86" t="str">
            <v>TYPE I1 (NON I.S) -1PR</v>
          </cell>
          <cell r="G86" t="str">
            <v>1.5mm2</v>
          </cell>
          <cell r="H86" t="str">
            <v>13.90 mm</v>
          </cell>
          <cell r="I86">
            <v>20</v>
          </cell>
          <cell r="J86" t="str">
            <v>IC-100SITW901D</v>
          </cell>
        </row>
        <row r="87">
          <cell r="B87" t="str">
            <v>100-FIT-W101D</v>
          </cell>
          <cell r="C87" t="str">
            <v>M20</v>
          </cell>
          <cell r="D87" t="str">
            <v>100-AJBB-006</v>
          </cell>
          <cell r="E87" t="str">
            <v>M20</v>
          </cell>
          <cell r="F87" t="str">
            <v>TYPE I1 (NON I.S) -1PR</v>
          </cell>
          <cell r="G87" t="str">
            <v>1.5mm2</v>
          </cell>
          <cell r="H87" t="str">
            <v>13.90 mm</v>
          </cell>
          <cell r="I87">
            <v>20</v>
          </cell>
          <cell r="J87" t="str">
            <v>IC-100FITW101D</v>
          </cell>
        </row>
        <row r="88">
          <cell r="B88" t="str">
            <v>100-PIT-W205D</v>
          </cell>
          <cell r="C88" t="str">
            <v>M20</v>
          </cell>
          <cell r="D88" t="str">
            <v>100-AJBB-006</v>
          </cell>
          <cell r="E88" t="str">
            <v>M20</v>
          </cell>
          <cell r="F88" t="str">
            <v>TYPE I1 (NON I.S) -1PR</v>
          </cell>
          <cell r="G88" t="str">
            <v>1.5mm2</v>
          </cell>
          <cell r="H88" t="str">
            <v>13.90 mm</v>
          </cell>
          <cell r="I88">
            <v>20</v>
          </cell>
          <cell r="J88" t="str">
            <v>IC-100PITW205D</v>
          </cell>
        </row>
        <row r="89">
          <cell r="B89" t="str">
            <v>100-TIT-W402D</v>
          </cell>
          <cell r="C89" t="str">
            <v>M20</v>
          </cell>
          <cell r="D89" t="str">
            <v>100-AJBB-006</v>
          </cell>
          <cell r="E89" t="str">
            <v>M20</v>
          </cell>
          <cell r="F89" t="str">
            <v>TYPE I1 (NON I.S) -1PR</v>
          </cell>
          <cell r="G89" t="str">
            <v>1.5mm2</v>
          </cell>
          <cell r="H89" t="str">
            <v>13.90 mm</v>
          </cell>
          <cell r="I89">
            <v>20</v>
          </cell>
          <cell r="J89" t="str">
            <v>IC-100TITW402D</v>
          </cell>
        </row>
        <row r="90">
          <cell r="B90" t="str">
            <v>100-DJBB-002</v>
          </cell>
          <cell r="C90" t="str">
            <v>M40</v>
          </cell>
          <cell r="D90" t="str">
            <v>PCS SYSTEM/MARSHALLING CABINET 100-PCS-001</v>
          </cell>
          <cell r="E90" t="str">
            <v>M40</v>
          </cell>
          <cell r="F90" t="str">
            <v>TYPE I3 (NON I.S) - 12 PR</v>
          </cell>
          <cell r="G90" t="str">
            <v>1.5mm2</v>
          </cell>
          <cell r="H90" t="str">
            <v>30.60 mm</v>
          </cell>
          <cell r="I90">
            <v>60</v>
          </cell>
          <cell r="J90" t="str">
            <v>IC-100DJBB002</v>
          </cell>
        </row>
        <row r="91">
          <cell r="B91" t="str">
            <v>100-ZSO-W904C</v>
          </cell>
          <cell r="C91" t="str">
            <v>M25</v>
          </cell>
          <cell r="D91" t="str">
            <v>100-DJBB-002</v>
          </cell>
          <cell r="E91" t="str">
            <v>M25</v>
          </cell>
          <cell r="F91" t="str">
            <v>TYPE I3 (NON I.S) -2PR</v>
          </cell>
          <cell r="G91" t="str">
            <v>1.5mm2</v>
          </cell>
          <cell r="H91" t="str">
            <v>17.65 mm</v>
          </cell>
          <cell r="I91">
            <v>20</v>
          </cell>
          <cell r="J91" t="str">
            <v>IC-100ZSC/OW904C</v>
          </cell>
          <cell r="K91" t="str">
            <v>2 signals open &amp; Close</v>
          </cell>
        </row>
        <row r="92">
          <cell r="B92" t="str">
            <v>100-ZSO-W904B</v>
          </cell>
          <cell r="C92" t="str">
            <v>M25</v>
          </cell>
          <cell r="D92" t="str">
            <v>100-DJBB-002</v>
          </cell>
          <cell r="E92" t="str">
            <v>M25</v>
          </cell>
          <cell r="F92" t="str">
            <v>TYPE I3 (NON I.S) -2PR</v>
          </cell>
          <cell r="G92" t="str">
            <v>1.5mm2</v>
          </cell>
          <cell r="H92" t="str">
            <v>17.65 mm</v>
          </cell>
          <cell r="I92">
            <v>20</v>
          </cell>
          <cell r="J92" t="str">
            <v>IC-100ZSC/OW904B</v>
          </cell>
          <cell r="K92" t="str">
            <v>2 signals open &amp; Close</v>
          </cell>
        </row>
        <row r="93">
          <cell r="B93" t="str">
            <v>100-ZSO-W905C</v>
          </cell>
          <cell r="C93" t="str">
            <v>M25</v>
          </cell>
          <cell r="D93" t="str">
            <v>100-DJBB-002</v>
          </cell>
          <cell r="E93" t="str">
            <v>M25</v>
          </cell>
          <cell r="F93" t="str">
            <v>TYPE I3 (NON I.S) -2PR</v>
          </cell>
          <cell r="G93" t="str">
            <v>1.5mm2</v>
          </cell>
          <cell r="H93" t="str">
            <v>17.65 mm</v>
          </cell>
          <cell r="I93">
            <v>20</v>
          </cell>
          <cell r="J93" t="str">
            <v>IC-100ZSC/OW905C</v>
          </cell>
          <cell r="K93" t="str">
            <v>2 signals open &amp; Close</v>
          </cell>
        </row>
        <row r="94">
          <cell r="B94" t="str">
            <v>100-ZSO-W905B</v>
          </cell>
          <cell r="C94" t="str">
            <v>M25</v>
          </cell>
          <cell r="D94" t="str">
            <v>100-DJBB-002</v>
          </cell>
          <cell r="E94" t="str">
            <v>M25</v>
          </cell>
          <cell r="F94" t="str">
            <v>TYPE I3 (NON I.S) -2PR</v>
          </cell>
          <cell r="G94" t="str">
            <v>1.5mm2</v>
          </cell>
          <cell r="H94" t="str">
            <v>17.65 mm</v>
          </cell>
          <cell r="I94">
            <v>20</v>
          </cell>
          <cell r="J94" t="str">
            <v>IC-100ZSC/OW905B</v>
          </cell>
          <cell r="K94" t="str">
            <v>2 signals open &amp; Close</v>
          </cell>
        </row>
        <row r="95">
          <cell r="B95" t="str">
            <v>100-ZSC-W904C</v>
          </cell>
          <cell r="C95" t="str">
            <v>M25</v>
          </cell>
          <cell r="D95" t="str">
            <v>100-DJBB-002</v>
          </cell>
          <cell r="E95" t="str">
            <v>M25</v>
          </cell>
          <cell r="F95" t="str">
            <v>TYPE I3 (NON I.S) -2PR</v>
          </cell>
          <cell r="G95" t="str">
            <v>1.5mm2</v>
          </cell>
          <cell r="H95" t="str">
            <v>17.65 mm</v>
          </cell>
          <cell r="I95">
            <v>20</v>
          </cell>
          <cell r="J95" t="str">
            <v>IC-100ZSC/OW904C</v>
          </cell>
          <cell r="K95" t="str">
            <v>2 signals open &amp; Close</v>
          </cell>
        </row>
        <row r="96">
          <cell r="B96" t="str">
            <v>100-ZSC-W904B</v>
          </cell>
          <cell r="C96" t="str">
            <v>M25</v>
          </cell>
          <cell r="D96" t="str">
            <v>100-DJBB-002</v>
          </cell>
          <cell r="E96" t="str">
            <v>M25</v>
          </cell>
          <cell r="F96" t="str">
            <v>TYPE I3 (NON I.S) -2PR</v>
          </cell>
          <cell r="G96" t="str">
            <v>1.5mm2</v>
          </cell>
          <cell r="H96" t="str">
            <v>17.65 mm</v>
          </cell>
          <cell r="I96">
            <v>20</v>
          </cell>
          <cell r="J96" t="str">
            <v>IC-100ZSC/OW904B</v>
          </cell>
          <cell r="K96" t="str">
            <v>2 signals open &amp; Close</v>
          </cell>
        </row>
        <row r="97">
          <cell r="B97" t="str">
            <v>100-ZSC-W905C</v>
          </cell>
          <cell r="C97" t="str">
            <v>M25</v>
          </cell>
          <cell r="D97" t="str">
            <v>100-DJBB-002</v>
          </cell>
          <cell r="E97" t="str">
            <v>M25</v>
          </cell>
          <cell r="F97" t="str">
            <v>TYPE I3 (NON I.S) -2PR</v>
          </cell>
          <cell r="G97" t="str">
            <v>1.5mm2</v>
          </cell>
          <cell r="H97" t="str">
            <v>17.65 mm</v>
          </cell>
          <cell r="I97">
            <v>20</v>
          </cell>
          <cell r="J97" t="str">
            <v>IC-100ZSC/OW905C</v>
          </cell>
          <cell r="K97" t="str">
            <v>2 signals open &amp; Close</v>
          </cell>
        </row>
        <row r="98">
          <cell r="B98" t="str">
            <v>100-ZSC-W905B</v>
          </cell>
          <cell r="C98" t="str">
            <v>M25</v>
          </cell>
          <cell r="D98" t="str">
            <v>100-DJBB-002</v>
          </cell>
          <cell r="E98" t="str">
            <v>M25</v>
          </cell>
          <cell r="F98" t="str">
            <v>TYPE I3 (NON I.S) -2PR</v>
          </cell>
          <cell r="G98" t="str">
            <v>1.5mm2</v>
          </cell>
          <cell r="H98" t="str">
            <v>17.65 mm</v>
          </cell>
          <cell r="I98">
            <v>20</v>
          </cell>
          <cell r="J98" t="str">
            <v>IC-100ZSC/OW905B</v>
          </cell>
          <cell r="K98" t="str">
            <v>2 signals open &amp; Close</v>
          </cell>
        </row>
        <row r="100">
          <cell r="B100" t="str">
            <v>100-AJBB-007</v>
          </cell>
          <cell r="C100" t="str">
            <v>M32</v>
          </cell>
          <cell r="D100" t="str">
            <v>PCS SYSTEM/MARSHALLING CABINET 100-PCS-001</v>
          </cell>
          <cell r="E100" t="str">
            <v>M32</v>
          </cell>
          <cell r="F100" t="str">
            <v>TYPE I1 (NON I.S) - 6PR</v>
          </cell>
          <cell r="G100" t="str">
            <v>0.75mm2</v>
          </cell>
          <cell r="H100" t="str">
            <v>25.10 mm</v>
          </cell>
          <cell r="I100">
            <v>70</v>
          </cell>
          <cell r="J100" t="str">
            <v>IC-100AJBB007</v>
          </cell>
        </row>
        <row r="101">
          <cell r="B101" t="str">
            <v>100-PIT-210</v>
          </cell>
          <cell r="C101" t="str">
            <v>M20</v>
          </cell>
          <cell r="D101" t="str">
            <v>100-AJBB-007</v>
          </cell>
          <cell r="E101" t="str">
            <v>M20</v>
          </cell>
          <cell r="F101" t="str">
            <v>TYPE I1 (NON I.S) -1PR</v>
          </cell>
          <cell r="G101" t="str">
            <v>1.5mm2</v>
          </cell>
          <cell r="H101" t="str">
            <v>13.90 mm</v>
          </cell>
          <cell r="I101">
            <v>25</v>
          </cell>
          <cell r="J101" t="str">
            <v>IC-100PIT210</v>
          </cell>
        </row>
        <row r="102">
          <cell r="B102" t="str">
            <v>100-TIT-404</v>
          </cell>
          <cell r="C102" t="str">
            <v>M20</v>
          </cell>
          <cell r="D102" t="str">
            <v>100-AJBB-007</v>
          </cell>
          <cell r="E102" t="str">
            <v>M20</v>
          </cell>
          <cell r="F102" t="str">
            <v>TYPE I1 (NON I.S) -1PR</v>
          </cell>
          <cell r="G102" t="str">
            <v>1.5mm2</v>
          </cell>
          <cell r="H102" t="str">
            <v>13.90 mm</v>
          </cell>
          <cell r="I102">
            <v>25</v>
          </cell>
          <cell r="J102" t="str">
            <v>IC-100TIT404</v>
          </cell>
        </row>
        <row r="103">
          <cell r="B103" t="str">
            <v>100-TIT-407</v>
          </cell>
          <cell r="C103" t="str">
            <v>M20</v>
          </cell>
          <cell r="D103" t="str">
            <v>100-AJBB-007</v>
          </cell>
          <cell r="E103" t="str">
            <v>M20</v>
          </cell>
          <cell r="F103" t="str">
            <v>TYPE I1 (NON I.S) -1PR</v>
          </cell>
          <cell r="G103" t="str">
            <v>1.5mm2</v>
          </cell>
          <cell r="H103" t="str">
            <v>13.90 mm</v>
          </cell>
          <cell r="I103">
            <v>30</v>
          </cell>
          <cell r="J103" t="str">
            <v>IC-100TIT407</v>
          </cell>
        </row>
        <row r="104">
          <cell r="B104" t="str">
            <v>100-PIT-216</v>
          </cell>
          <cell r="C104" t="str">
            <v>M20</v>
          </cell>
          <cell r="D104" t="str">
            <v>100-AJBB-007</v>
          </cell>
          <cell r="E104" t="str">
            <v>M20</v>
          </cell>
          <cell r="F104" t="str">
            <v>TYPE I1 (NON I.S) -1PR</v>
          </cell>
          <cell r="G104" t="str">
            <v>1.5mm2</v>
          </cell>
          <cell r="H104" t="str">
            <v>13.90 mm</v>
          </cell>
          <cell r="I104">
            <v>30</v>
          </cell>
          <cell r="J104" t="str">
            <v>IC-100PIT216</v>
          </cell>
        </row>
        <row r="105">
          <cell r="B105" t="str">
            <v>100-LIT-604</v>
          </cell>
          <cell r="C105" t="str">
            <v>M20</v>
          </cell>
          <cell r="D105" t="str">
            <v>100-AJBB-007</v>
          </cell>
          <cell r="E105" t="str">
            <v>M20</v>
          </cell>
          <cell r="F105" t="str">
            <v>TYPE I1 (NON I.S) -1PR</v>
          </cell>
          <cell r="G105" t="str">
            <v>1.5mm2</v>
          </cell>
          <cell r="H105" t="str">
            <v>13.90 mm</v>
          </cell>
          <cell r="I105">
            <v>15</v>
          </cell>
          <cell r="J105" t="str">
            <v>IC-100LIT604</v>
          </cell>
        </row>
        <row r="107">
          <cell r="B107" t="str">
            <v>100-SIT-W901A-P</v>
          </cell>
          <cell r="C107" t="str">
            <v>M20</v>
          </cell>
          <cell r="D107" t="str">
            <v>PCS SYSTEM/MARSHALLING CABINET 100-PCS-001</v>
          </cell>
          <cell r="E107" t="str">
            <v>M20</v>
          </cell>
          <cell r="F107" t="str">
            <v>TYPE I3 (NON I.S) - 1PR</v>
          </cell>
          <cell r="G107" t="str">
            <v>2.5mm2</v>
          </cell>
          <cell r="H107" t="str">
            <v>15.20 mm</v>
          </cell>
          <cell r="I107">
            <v>70</v>
          </cell>
          <cell r="J107" t="str">
            <v>IC-100SITW901AP</v>
          </cell>
          <cell r="K107" t="str">
            <v>EXTERNAL POWER CABLE TO 100-SIT-W901A</v>
          </cell>
        </row>
        <row r="109">
          <cell r="B109" t="str">
            <v>100-SIT-W901B-P</v>
          </cell>
          <cell r="C109" t="str">
            <v>M20</v>
          </cell>
          <cell r="D109" t="str">
            <v>PCS SYSTEM/MARSHALLING CABINET 100-PCS-001</v>
          </cell>
          <cell r="E109" t="str">
            <v>M20</v>
          </cell>
          <cell r="F109" t="str">
            <v>TYPE I3 (NON I.S) - 1PR</v>
          </cell>
          <cell r="G109" t="str">
            <v>2.5mm2</v>
          </cell>
          <cell r="H109" t="str">
            <v>15.20 mm</v>
          </cell>
          <cell r="I109">
            <v>70</v>
          </cell>
          <cell r="J109" t="str">
            <v>IC-100SITW901BP</v>
          </cell>
          <cell r="K109" t="str">
            <v>EXTERNAL POWER CABLE TO 100-SIT-W901B</v>
          </cell>
        </row>
        <row r="111">
          <cell r="B111" t="str">
            <v>100-SIT-W901C-P</v>
          </cell>
          <cell r="C111" t="str">
            <v>M20</v>
          </cell>
          <cell r="D111" t="str">
            <v>PCS SYSTEM/MARSHALLING CABINET 100-PCS-001</v>
          </cell>
          <cell r="E111" t="str">
            <v>M20</v>
          </cell>
          <cell r="F111" t="str">
            <v>TYPE I3 (NON I.S) - 1PR</v>
          </cell>
          <cell r="G111" t="str">
            <v>2.5mm2</v>
          </cell>
          <cell r="H111" t="str">
            <v>15.20 mm</v>
          </cell>
          <cell r="I111">
            <v>60</v>
          </cell>
          <cell r="J111" t="str">
            <v>IC-100SITW901CP</v>
          </cell>
          <cell r="K111" t="str">
            <v>EXTERNAL POWER CABLE TO 100-SIT-W901C</v>
          </cell>
        </row>
        <row r="113">
          <cell r="B113" t="str">
            <v>100-SIT-W901D-P</v>
          </cell>
          <cell r="C113" t="str">
            <v>M20</v>
          </cell>
          <cell r="D113" t="str">
            <v>PCS SYSTEM/MARSHALLING CABINET 100-PCS-001</v>
          </cell>
          <cell r="E113" t="str">
            <v>M20</v>
          </cell>
          <cell r="F113" t="str">
            <v>TYPE I3 (NON I.S) - 1PR</v>
          </cell>
          <cell r="G113" t="str">
            <v>2.5mm2</v>
          </cell>
          <cell r="H113" t="str">
            <v>15.20 mm</v>
          </cell>
          <cell r="I113">
            <v>60</v>
          </cell>
          <cell r="J113" t="str">
            <v>IC-100SITW901DP</v>
          </cell>
          <cell r="K113" t="str">
            <v>EXTERNAL POWER CABLE TO 100-SIT-W901D</v>
          </cell>
        </row>
        <row r="115">
          <cell r="B115" t="str">
            <v>100-AJBB-106</v>
          </cell>
          <cell r="C115" t="str">
            <v>M32</v>
          </cell>
          <cell r="D115" t="str">
            <v>PCS SYSTEM/MARSHALLING CABINET 100-PCS-001</v>
          </cell>
          <cell r="E115" t="str">
            <v>M32</v>
          </cell>
          <cell r="F115" t="str">
            <v>TYPE I1 (NON I.S) - 6PR</v>
          </cell>
          <cell r="G115" t="str">
            <v>0.75mm2</v>
          </cell>
          <cell r="H115" t="str">
            <v>25.10 mm</v>
          </cell>
          <cell r="I115">
            <v>70</v>
          </cell>
          <cell r="J115" t="str">
            <v>IC-100AJBB106</v>
          </cell>
          <cell r="K115" t="str">
            <v>DIESEL FILTERATION SKID
in IO Data base without any subcable</v>
          </cell>
        </row>
        <row r="117">
          <cell r="B117" t="str">
            <v>100-AJBB-102</v>
          </cell>
          <cell r="C117" t="str">
            <v>M32</v>
          </cell>
          <cell r="D117" t="str">
            <v>PCS SYSTEM/MARSHALLING CABINET 100-PCS-001</v>
          </cell>
          <cell r="E117" t="str">
            <v>M32</v>
          </cell>
          <cell r="F117" t="str">
            <v>TYPE I1 (NON I.S) - 6PR</v>
          </cell>
          <cell r="G117" t="str">
            <v>0.75mm2</v>
          </cell>
          <cell r="H117" t="str">
            <v>25.10 mm</v>
          </cell>
          <cell r="I117">
            <v>65</v>
          </cell>
          <cell r="J117" t="str">
            <v>IC-100AJBB102</v>
          </cell>
          <cell r="K117" t="str">
            <v>CORROSION INHIBITOR INJECTION SKID
in IO Data base without any subcable</v>
          </cell>
        </row>
        <row r="119">
          <cell r="B119" t="str">
            <v>100-AJBB-103</v>
          </cell>
          <cell r="C119" t="str">
            <v>M32</v>
          </cell>
          <cell r="D119" t="str">
            <v>PCS SYSTEM/MARSHALLING CABINET 100-PCS-001</v>
          </cell>
          <cell r="E119" t="str">
            <v>M32</v>
          </cell>
          <cell r="F119" t="str">
            <v>TYPE I1 (NON I.S) - 6PR</v>
          </cell>
          <cell r="G119" t="str">
            <v>0.75mm2</v>
          </cell>
          <cell r="H119" t="str">
            <v>25.10 mm</v>
          </cell>
          <cell r="I119">
            <v>65</v>
          </cell>
          <cell r="J119" t="str">
            <v>IC-100AJBB103</v>
          </cell>
          <cell r="K119" t="str">
            <v>KHI INJECTION SKID
in IO Data base without any subcable</v>
          </cell>
        </row>
        <row r="121">
          <cell r="B121" t="str">
            <v>100-AJBB-104</v>
          </cell>
          <cell r="C121" t="str">
            <v>M32</v>
          </cell>
          <cell r="D121" t="str">
            <v>PCS SYSTEM/MARSHALLING CABINET 100-PCS-001</v>
          </cell>
          <cell r="E121" t="str">
            <v>M32</v>
          </cell>
          <cell r="F121" t="str">
            <v>TYPE I1 (NON I.S) - 6PR</v>
          </cell>
          <cell r="G121" t="str">
            <v>0.75mm2</v>
          </cell>
          <cell r="H121" t="str">
            <v>25.10 mm</v>
          </cell>
          <cell r="I121">
            <v>65</v>
          </cell>
          <cell r="J121" t="str">
            <v>IC-100AJBB104</v>
          </cell>
          <cell r="K121" t="str">
            <v>METHANOL INJECTION SKID
in IO Data base without any subcable</v>
          </cell>
        </row>
        <row r="122">
          <cell r="B122" t="str">
            <v>100-AJBB-105</v>
          </cell>
          <cell r="C122" t="str">
            <v>M32</v>
          </cell>
          <cell r="D122" t="str">
            <v>PCS SYSTEM/MARSHALLING CABINET 100-PCS-001</v>
          </cell>
          <cell r="E122" t="str">
            <v>M32</v>
          </cell>
          <cell r="F122" t="str">
            <v>TYPE I1 (NON I.S) - 6PR</v>
          </cell>
          <cell r="G122" t="str">
            <v>0.75mm2</v>
          </cell>
          <cell r="H122" t="str">
            <v>25.10 mm</v>
          </cell>
          <cell r="I122">
            <v>70</v>
          </cell>
          <cell r="J122" t="str">
            <v>IC-100AJBB105</v>
          </cell>
          <cell r="K122" t="str">
            <v>SCALE INHIBITOR INJECTION SKID
In IO Data base without any subcable</v>
          </cell>
        </row>
        <row r="124">
          <cell r="B124" t="str">
            <v>100-FIT-110-P</v>
          </cell>
          <cell r="C124" t="str">
            <v>M20</v>
          </cell>
          <cell r="D124" t="str">
            <v>PCS SYSTEM/MARSHLLING CABINET 100-PCS-001</v>
          </cell>
          <cell r="E124" t="str">
            <v>M20</v>
          </cell>
          <cell r="F124" t="str">
            <v>TYPE I3 (NON I.S) - 1PR</v>
          </cell>
          <cell r="G124" t="str">
            <v>2.5mm2</v>
          </cell>
          <cell r="H124" t="str">
            <v>15.20 mm</v>
          </cell>
          <cell r="I124">
            <v>50</v>
          </cell>
          <cell r="J124" t="str">
            <v>IC-100FIT110P</v>
          </cell>
          <cell r="K124" t="str">
            <v>EXTERNAL POWER CABLE TO 100-FIT-110</v>
          </cell>
        </row>
        <row r="126">
          <cell r="B126" t="str">
            <v>100-AJBB-008</v>
          </cell>
          <cell r="C126" t="str">
            <v>M32</v>
          </cell>
          <cell r="D126" t="str">
            <v>PCS SYSTEM/MARSHALLING CABINET 100-PCS-001</v>
          </cell>
          <cell r="E126" t="str">
            <v>M32</v>
          </cell>
          <cell r="F126" t="str">
            <v>TYPE I1 (NON I.S) - 6PR</v>
          </cell>
          <cell r="G126" t="str">
            <v>0.75mm2</v>
          </cell>
          <cell r="H126" t="str">
            <v>25.10 mm</v>
          </cell>
          <cell r="I126">
            <v>30</v>
          </cell>
          <cell r="J126" t="str">
            <v>IC-100AJBB008</v>
          </cell>
        </row>
        <row r="127">
          <cell r="B127" t="str">
            <v>100-LIT-633</v>
          </cell>
          <cell r="C127" t="str">
            <v>M20</v>
          </cell>
          <cell r="D127" t="str">
            <v>100-AJBB-008</v>
          </cell>
          <cell r="E127" t="str">
            <v>M20</v>
          </cell>
          <cell r="F127" t="str">
            <v>TYPE I1 (NON I.S) -1PR</v>
          </cell>
          <cell r="G127" t="str">
            <v>1.5mm2</v>
          </cell>
          <cell r="H127" t="str">
            <v>13.90 mm</v>
          </cell>
          <cell r="I127">
            <v>40</v>
          </cell>
          <cell r="J127" t="str">
            <v>IC-100LIT633</v>
          </cell>
        </row>
        <row r="128">
          <cell r="B128" t="str">
            <v>100-LG/LIT-703</v>
          </cell>
          <cell r="C128" t="str">
            <v>M20</v>
          </cell>
          <cell r="D128" t="str">
            <v>100-AJBB-008</v>
          </cell>
          <cell r="E128" t="str">
            <v>M20</v>
          </cell>
          <cell r="F128" t="str">
            <v>TYPE I1 (NON I.S) -1PR</v>
          </cell>
          <cell r="G128" t="str">
            <v>1.5mm2</v>
          </cell>
          <cell r="H128" t="str">
            <v>13.90 mm</v>
          </cell>
          <cell r="I128">
            <v>40</v>
          </cell>
          <cell r="J128" t="str">
            <v>IC-100LG/LIT703</v>
          </cell>
        </row>
        <row r="129">
          <cell r="B129" t="str">
            <v>100-TIT-408</v>
          </cell>
          <cell r="C129" t="str">
            <v>M20</v>
          </cell>
          <cell r="D129" t="str">
            <v>100-AJBB-008</v>
          </cell>
          <cell r="E129" t="str">
            <v>M20</v>
          </cell>
          <cell r="F129" t="str">
            <v>TYPE I1 (NON I.S) -1PR</v>
          </cell>
          <cell r="G129" t="str">
            <v>1.5mm2</v>
          </cell>
          <cell r="H129" t="str">
            <v>13.90 mm</v>
          </cell>
          <cell r="I129">
            <v>40</v>
          </cell>
          <cell r="J129" t="str">
            <v>IC-100TIT408</v>
          </cell>
        </row>
        <row r="130">
          <cell r="B130" t="str">
            <v>100-FIT-110</v>
          </cell>
          <cell r="C130" t="str">
            <v>M20</v>
          </cell>
          <cell r="D130" t="str">
            <v>100-AJBB-008</v>
          </cell>
          <cell r="E130" t="str">
            <v>M20</v>
          </cell>
          <cell r="F130" t="str">
            <v>TYPE I1 (NON I.S) -1PR</v>
          </cell>
          <cell r="G130" t="str">
            <v>1.5mm2</v>
          </cell>
          <cell r="H130" t="str">
            <v>13.90 mm</v>
          </cell>
          <cell r="I130">
            <v>40</v>
          </cell>
          <cell r="J130" t="str">
            <v>IC-100FIT110</v>
          </cell>
        </row>
        <row r="131">
          <cell r="B131" t="str">
            <v>100-PIT-230</v>
          </cell>
          <cell r="C131" t="str">
            <v>M20</v>
          </cell>
          <cell r="D131" t="str">
            <v>100-AJBB-008</v>
          </cell>
          <cell r="E131" t="str">
            <v>M20</v>
          </cell>
          <cell r="F131" t="str">
            <v>TYPE I1 (NON I.S) -1PR</v>
          </cell>
          <cell r="G131" t="str">
            <v>1.5mm2</v>
          </cell>
          <cell r="H131" t="str">
            <v>13.90 mm</v>
          </cell>
          <cell r="I131">
            <v>30</v>
          </cell>
          <cell r="J131" t="str">
            <v>IC-100PIT230</v>
          </cell>
        </row>
        <row r="133">
          <cell r="B133" t="str">
            <v>100-HRN-001</v>
          </cell>
          <cell r="C133" t="str">
            <v>M20</v>
          </cell>
          <cell r="D133" t="str">
            <v>PCS SYSTEM/MARSHALLING CABINET 100-PCS-001</v>
          </cell>
          <cell r="E133" t="str">
            <v>M20</v>
          </cell>
          <cell r="F133" t="str">
            <v>TYPE I3 (NON I.S) - 1PR</v>
          </cell>
          <cell r="G133" t="str">
            <v>2.5mm2</v>
          </cell>
          <cell r="H133" t="str">
            <v>15.20 mm</v>
          </cell>
          <cell r="I133">
            <v>75</v>
          </cell>
          <cell r="J133" t="str">
            <v>IC-100HRN001</v>
          </cell>
        </row>
        <row r="135">
          <cell r="B135" t="str">
            <v>100-HRN-002</v>
          </cell>
          <cell r="C135" t="str">
            <v>M20</v>
          </cell>
          <cell r="D135" t="str">
            <v>PCS SYSTEM/MARSHALLING CABINET 100-PCS-001</v>
          </cell>
          <cell r="E135" t="str">
            <v>M20</v>
          </cell>
          <cell r="F135" t="str">
            <v>TYPE I3 (NON I.S) - 1PR</v>
          </cell>
          <cell r="G135" t="str">
            <v>2.5mm2</v>
          </cell>
          <cell r="H135" t="str">
            <v>15.20 mm</v>
          </cell>
          <cell r="I135">
            <v>75</v>
          </cell>
          <cell r="J135" t="str">
            <v>IC-100HRN002</v>
          </cell>
        </row>
        <row r="137">
          <cell r="B137" t="str">
            <v>100-HRN-003</v>
          </cell>
          <cell r="C137" t="str">
            <v>M20</v>
          </cell>
          <cell r="D137" t="str">
            <v>PCS SYSTEM/MARSHALLING CABINET 100-PCS-001</v>
          </cell>
          <cell r="E137" t="str">
            <v>M20</v>
          </cell>
          <cell r="F137" t="str">
            <v>TYPE I3 (NON I.S) - 1PR</v>
          </cell>
          <cell r="G137" t="str">
            <v>2.5mm2</v>
          </cell>
          <cell r="H137" t="str">
            <v>15.20 mm</v>
          </cell>
          <cell r="I137">
            <v>75</v>
          </cell>
          <cell r="J137" t="str">
            <v>IC-100HRN003</v>
          </cell>
          <cell r="K137" t="str">
            <v>is it direct run cable in the io data base</v>
          </cell>
        </row>
        <row r="138">
          <cell r="B138" t="str">
            <v>100-AJBZ-001</v>
          </cell>
          <cell r="C138" t="str">
            <v>M32</v>
          </cell>
          <cell r="D138" t="str">
            <v>SIS MARSHALLING CABINET 100-SIS-001B</v>
          </cell>
          <cell r="E138" t="str">
            <v>M32</v>
          </cell>
          <cell r="F138" t="str">
            <v>TYPE I2 (NON I.S) - 6PR</v>
          </cell>
          <cell r="G138" t="str">
            <v>0.75mm2</v>
          </cell>
          <cell r="H138" t="str">
            <v>29.50 mm</v>
          </cell>
          <cell r="I138">
            <v>35</v>
          </cell>
          <cell r="J138" t="str">
            <v>IC-100AJBZ001</v>
          </cell>
        </row>
        <row r="139">
          <cell r="B139" t="str">
            <v>100-LZIT-607</v>
          </cell>
          <cell r="C139" t="str">
            <v>M20</v>
          </cell>
          <cell r="D139" t="str">
            <v>100-AJBZ-001</v>
          </cell>
          <cell r="E139" t="str">
            <v>M20</v>
          </cell>
          <cell r="F139" t="str">
            <v>TYPE I2 (NON I.S) -1PR</v>
          </cell>
          <cell r="G139" t="str">
            <v>1.5mm2</v>
          </cell>
          <cell r="H139" t="str">
            <v>15.00 mm</v>
          </cell>
          <cell r="I139">
            <v>10</v>
          </cell>
          <cell r="J139" t="str">
            <v>IC-100LZIT607</v>
          </cell>
        </row>
        <row r="140">
          <cell r="B140" t="str">
            <v>100-FZIT-104</v>
          </cell>
          <cell r="C140" t="str">
            <v>M20</v>
          </cell>
          <cell r="D140" t="str">
            <v>100-AJBZ-001</v>
          </cell>
          <cell r="E140" t="str">
            <v>M20</v>
          </cell>
          <cell r="F140" t="str">
            <v>TYPE I2 (NON I.S) -1PR</v>
          </cell>
          <cell r="G140" t="str">
            <v>1.5mm2</v>
          </cell>
          <cell r="H140" t="str">
            <v>15.00 mm</v>
          </cell>
          <cell r="I140">
            <v>15</v>
          </cell>
          <cell r="J140" t="str">
            <v>IC-100FZIT104</v>
          </cell>
        </row>
        <row r="142">
          <cell r="B142" t="str">
            <v>100-DJBZ-001</v>
          </cell>
          <cell r="C142" t="str">
            <v>M40</v>
          </cell>
          <cell r="D142" t="str">
            <v>SIS MARSHALLING CABINET 100-SIS-001B</v>
          </cell>
          <cell r="E142" t="str">
            <v>M40</v>
          </cell>
          <cell r="F142" t="str">
            <v>TYPE I4 (NON I.S) - 12PR</v>
          </cell>
          <cell r="G142" t="str">
            <v>1.5mm2</v>
          </cell>
          <cell r="H142" t="str">
            <v>36.50 mm</v>
          </cell>
          <cell r="I142">
            <v>25</v>
          </cell>
          <cell r="J142" t="str">
            <v>IC-100DJBZ001</v>
          </cell>
        </row>
        <row r="143">
          <cell r="B143" t="str">
            <v>100-HS-ESD-001</v>
          </cell>
          <cell r="C143" t="str">
            <v>M20</v>
          </cell>
          <cell r="D143" t="str">
            <v>100-DJBZ-001</v>
          </cell>
          <cell r="E143" t="str">
            <v>M20</v>
          </cell>
          <cell r="F143" t="str">
            <v>TYPE I4 (NON I.S) -1PR</v>
          </cell>
          <cell r="G143" t="str">
            <v>1.5mm2</v>
          </cell>
          <cell r="H143" t="str">
            <v>15.00 mm</v>
          </cell>
          <cell r="I143">
            <v>40</v>
          </cell>
          <cell r="J143" t="str">
            <v>IC-100HSESD001</v>
          </cell>
          <cell r="K143" t="str">
            <v>HELI DECK</v>
          </cell>
        </row>
        <row r="144">
          <cell r="B144" t="str">
            <v>100-HS-ESD-002</v>
          </cell>
          <cell r="C144" t="str">
            <v>M20</v>
          </cell>
          <cell r="D144" t="str">
            <v>100-DJBZ-001</v>
          </cell>
          <cell r="E144" t="str">
            <v>M20</v>
          </cell>
          <cell r="F144" t="str">
            <v>TYPE I4 (NON I.S) -1PR</v>
          </cell>
          <cell r="G144" t="str">
            <v>1.5mm2</v>
          </cell>
          <cell r="H144" t="str">
            <v>15.00 mm</v>
          </cell>
          <cell r="I144">
            <v>20</v>
          </cell>
          <cell r="J144" t="str">
            <v>IC-100HSESD002</v>
          </cell>
          <cell r="K144" t="str">
            <v>HELI DECK</v>
          </cell>
        </row>
        <row r="145">
          <cell r="B145" t="str">
            <v>100-HS-ESD-003</v>
          </cell>
          <cell r="C145" t="str">
            <v>M20</v>
          </cell>
          <cell r="D145" t="str">
            <v>100-DJBZ-001</v>
          </cell>
          <cell r="E145" t="str">
            <v>M20</v>
          </cell>
          <cell r="F145" t="str">
            <v>TYPE I4 (NON I.S) -1PR</v>
          </cell>
          <cell r="G145" t="str">
            <v>1.5mm2</v>
          </cell>
          <cell r="H145" t="str">
            <v>15.00 mm</v>
          </cell>
          <cell r="I145">
            <v>45</v>
          </cell>
          <cell r="J145" t="str">
            <v>IC-100HSESD003</v>
          </cell>
          <cell r="K145" t="str">
            <v>MAIN DECK</v>
          </cell>
        </row>
        <row r="146">
          <cell r="B146" t="str">
            <v>100-HS-ESD-004</v>
          </cell>
          <cell r="C146" t="str">
            <v>M20</v>
          </cell>
          <cell r="D146" t="str">
            <v>100-DJBZ-001</v>
          </cell>
          <cell r="E146" t="str">
            <v>M20</v>
          </cell>
          <cell r="F146" t="str">
            <v>TYPE I4 (NON I.S) -1PR</v>
          </cell>
          <cell r="G146" t="str">
            <v>1.5mm2</v>
          </cell>
          <cell r="H146" t="str">
            <v>15.00 mm</v>
          </cell>
          <cell r="I146">
            <v>15</v>
          </cell>
          <cell r="J146" t="str">
            <v>IC-100HSESD004</v>
          </cell>
          <cell r="K146" t="str">
            <v>MAIN DECK</v>
          </cell>
        </row>
        <row r="147">
          <cell r="B147" t="str">
            <v>100-HS-ESD-007</v>
          </cell>
          <cell r="C147" t="str">
            <v>M20</v>
          </cell>
          <cell r="D147" t="str">
            <v>100-DJBZ-001</v>
          </cell>
          <cell r="E147" t="str">
            <v>M20</v>
          </cell>
          <cell r="F147" t="str">
            <v>TYPE I4 (NON I.S) -1PR</v>
          </cell>
          <cell r="G147" t="str">
            <v>1.5mm2</v>
          </cell>
          <cell r="H147" t="str">
            <v>15.00 mm</v>
          </cell>
          <cell r="I147">
            <v>30</v>
          </cell>
          <cell r="J147" t="str">
            <v>IC-100HSESD007</v>
          </cell>
          <cell r="K147" t="str">
            <v>MEZZANINE DECK</v>
          </cell>
        </row>
        <row r="148">
          <cell r="B148" t="str">
            <v>100-HS-ESD-008</v>
          </cell>
          <cell r="C148" t="str">
            <v>M20</v>
          </cell>
          <cell r="D148" t="str">
            <v>100-DJBZ-001</v>
          </cell>
          <cell r="E148" t="str">
            <v>M20</v>
          </cell>
          <cell r="F148" t="str">
            <v>TYPE I4 (NON I.S) -1PR</v>
          </cell>
          <cell r="G148" t="str">
            <v>1.5mm2</v>
          </cell>
          <cell r="H148" t="str">
            <v>15.00 mm</v>
          </cell>
          <cell r="I148">
            <v>35</v>
          </cell>
          <cell r="J148" t="str">
            <v>IC-100HSESD008</v>
          </cell>
          <cell r="K148" t="str">
            <v>MEZZANINE DECK</v>
          </cell>
        </row>
        <row r="150">
          <cell r="B150" t="str">
            <v>PANEL-100-PK-003A</v>
          </cell>
          <cell r="C150" t="str">
            <v>M20</v>
          </cell>
          <cell r="D150" t="str">
            <v>SIS MARSHALLING CABINET 100-SIS-001B</v>
          </cell>
          <cell r="E150" t="str">
            <v>M20</v>
          </cell>
          <cell r="F150" t="str">
            <v>TYPE I4 (NON I.S) - 1PR</v>
          </cell>
          <cell r="G150" t="str">
            <v>2.5mm2</v>
          </cell>
          <cell r="H150" t="str">
            <v>16.50 mm</v>
          </cell>
          <cell r="I150">
            <v>30</v>
          </cell>
          <cell r="J150" t="str">
            <v>IC-100PK003A2</v>
          </cell>
          <cell r="K150" t="str">
            <v>DIESEL GENERATOR PACKAGE</v>
          </cell>
        </row>
        <row r="152">
          <cell r="B152" t="str">
            <v>PANEL-100-PK-003B</v>
          </cell>
          <cell r="C152" t="str">
            <v>M20</v>
          </cell>
          <cell r="D152" t="str">
            <v>SIS MARSHALLING CABINET 100-SIS-001B</v>
          </cell>
          <cell r="E152" t="str">
            <v>M20</v>
          </cell>
          <cell r="F152" t="str">
            <v>TYPE I4 (NON I.S) - 1PR</v>
          </cell>
          <cell r="G152" t="str">
            <v>2.5mm2</v>
          </cell>
          <cell r="H152" t="str">
            <v>16.50 mm</v>
          </cell>
          <cell r="I152">
            <v>30</v>
          </cell>
          <cell r="J152" t="str">
            <v>IC-100PK003B2</v>
          </cell>
          <cell r="K152" t="str">
            <v>DIESEL GENERATOR PACKAGE</v>
          </cell>
        </row>
        <row r="154">
          <cell r="B154" t="str">
            <v>100-AJBZ-002</v>
          </cell>
          <cell r="C154" t="str">
            <v>M40</v>
          </cell>
          <cell r="D154" t="str">
            <v>SIS MARSHALLING CABINET 100-SIS-001B</v>
          </cell>
          <cell r="E154" t="str">
            <v>M40</v>
          </cell>
          <cell r="F154" t="str">
            <v>TYPE I2 (NON I.S) - 12PR</v>
          </cell>
          <cell r="G154" t="str">
            <v>0.75mm2</v>
          </cell>
          <cell r="H154" t="str">
            <v>33.50 mm</v>
          </cell>
          <cell r="I154">
            <v>35</v>
          </cell>
          <cell r="J154" t="str">
            <v>IC-100AJBZ002</v>
          </cell>
        </row>
        <row r="155">
          <cell r="B155" t="str">
            <v>100-PZIT-W208A</v>
          </cell>
          <cell r="C155" t="str">
            <v>M20</v>
          </cell>
          <cell r="D155" t="str">
            <v>100-AJBZ-002</v>
          </cell>
          <cell r="E155" t="str">
            <v>M20</v>
          </cell>
          <cell r="F155" t="str">
            <v>TYPE I2 (NON I.S) -1PR</v>
          </cell>
          <cell r="G155" t="str">
            <v>1.5mm2</v>
          </cell>
          <cell r="H155" t="str">
            <v>15.00 mm</v>
          </cell>
          <cell r="I155">
            <v>20</v>
          </cell>
          <cell r="J155" t="str">
            <v>IC-100PZITW208A</v>
          </cell>
        </row>
        <row r="156">
          <cell r="B156" t="str">
            <v>100-PZIT-W208B</v>
          </cell>
          <cell r="C156" t="str">
            <v>M20</v>
          </cell>
          <cell r="D156" t="str">
            <v>100-AJBZ-002</v>
          </cell>
          <cell r="E156" t="str">
            <v>M20</v>
          </cell>
          <cell r="F156" t="str">
            <v>TYPE I2 (NON I.S) -1PR</v>
          </cell>
          <cell r="G156" t="str">
            <v>1.5mm2</v>
          </cell>
          <cell r="H156" t="str">
            <v>15.00 mm</v>
          </cell>
          <cell r="I156">
            <v>30</v>
          </cell>
          <cell r="J156" t="str">
            <v>IC-100PZITW208B</v>
          </cell>
        </row>
        <row r="157">
          <cell r="B157" t="str">
            <v>100-PZIT-W208C</v>
          </cell>
          <cell r="C157" t="str">
            <v>M20</v>
          </cell>
          <cell r="D157" t="str">
            <v>100-AJBZ-002</v>
          </cell>
          <cell r="E157" t="str">
            <v>M20</v>
          </cell>
          <cell r="F157" t="str">
            <v>TYPE I2 (NON I.S) -1PR</v>
          </cell>
          <cell r="G157" t="str">
            <v>1.5mm2</v>
          </cell>
          <cell r="H157" t="str">
            <v>15.00 mm</v>
          </cell>
          <cell r="I157">
            <v>30</v>
          </cell>
          <cell r="J157" t="str">
            <v>IC-100PZITW208C</v>
          </cell>
          <cell r="K157" t="str">
            <v>CELLAR DECK</v>
          </cell>
        </row>
        <row r="158">
          <cell r="B158" t="str">
            <v>100-PZIT-W208D</v>
          </cell>
          <cell r="C158" t="str">
            <v>M20</v>
          </cell>
          <cell r="D158" t="str">
            <v>100-AJBZ-002</v>
          </cell>
          <cell r="E158" t="str">
            <v>M20</v>
          </cell>
          <cell r="F158" t="str">
            <v>TYPE I2 (NON I.S) -1PR</v>
          </cell>
          <cell r="G158" t="str">
            <v>1.5mm2</v>
          </cell>
          <cell r="H158" t="str">
            <v>15.00 mm</v>
          </cell>
          <cell r="I158">
            <v>30</v>
          </cell>
          <cell r="J158" t="str">
            <v>IC-100PZITW208D</v>
          </cell>
        </row>
        <row r="159">
          <cell r="B159" t="str">
            <v>100-PZIT-W207A</v>
          </cell>
          <cell r="C159" t="str">
            <v>M20</v>
          </cell>
          <cell r="D159" t="str">
            <v>100-AJBZ-002</v>
          </cell>
          <cell r="E159" t="str">
            <v>M20</v>
          </cell>
          <cell r="F159" t="str">
            <v>TYPE I2 (NON I.S) -1PR</v>
          </cell>
          <cell r="G159" t="str">
            <v>1.5mm2</v>
          </cell>
          <cell r="H159" t="str">
            <v>15.00 mm</v>
          </cell>
          <cell r="I159">
            <v>20</v>
          </cell>
          <cell r="J159" t="str">
            <v>IC-100PZITW207A</v>
          </cell>
        </row>
        <row r="160">
          <cell r="B160" t="str">
            <v>100-PZIT-W207B</v>
          </cell>
          <cell r="C160" t="str">
            <v>M20</v>
          </cell>
          <cell r="D160" t="str">
            <v>100-AJBZ-002</v>
          </cell>
          <cell r="E160" t="str">
            <v>M20</v>
          </cell>
          <cell r="F160" t="str">
            <v>TYPE I2 (NON I.S) -1PR</v>
          </cell>
          <cell r="G160" t="str">
            <v>1.5mm2</v>
          </cell>
          <cell r="H160" t="str">
            <v>15.00 mm</v>
          </cell>
          <cell r="I160">
            <v>30</v>
          </cell>
          <cell r="J160" t="str">
            <v>IC-100PZITW207B</v>
          </cell>
        </row>
        <row r="161">
          <cell r="B161" t="str">
            <v>100-PZIT-W207C</v>
          </cell>
          <cell r="C161" t="str">
            <v>M20</v>
          </cell>
          <cell r="D161" t="str">
            <v>100-AJBZ-002</v>
          </cell>
          <cell r="E161" t="str">
            <v>M20</v>
          </cell>
          <cell r="F161" t="str">
            <v>TYPE I2 (NON I.S) -1PR</v>
          </cell>
          <cell r="G161" t="str">
            <v>1.5mm2</v>
          </cell>
          <cell r="H161" t="str">
            <v>15.00 mm</v>
          </cell>
          <cell r="I161">
            <v>30</v>
          </cell>
          <cell r="J161" t="str">
            <v>IC-100PZITW207C</v>
          </cell>
          <cell r="K161" t="str">
            <v>CELLAR DECK</v>
          </cell>
        </row>
        <row r="162">
          <cell r="B162" t="str">
            <v>100-PZIT-W207D</v>
          </cell>
          <cell r="C162" t="str">
            <v>M20</v>
          </cell>
          <cell r="D162" t="str">
            <v>100-AJBZ-002</v>
          </cell>
          <cell r="E162" t="str">
            <v>M20</v>
          </cell>
          <cell r="F162" t="str">
            <v>TYPE I2 (NON I.S) -1PR</v>
          </cell>
          <cell r="G162" t="str">
            <v>1.5mm2</v>
          </cell>
          <cell r="H162" t="str">
            <v>15.00 mm</v>
          </cell>
          <cell r="I162">
            <v>30</v>
          </cell>
          <cell r="J162" t="str">
            <v>IC-100PZITW207D</v>
          </cell>
        </row>
        <row r="163">
          <cell r="B163" t="str">
            <v>100-SJBZ-001</v>
          </cell>
          <cell r="C163" t="str">
            <v>M40</v>
          </cell>
          <cell r="D163" t="str">
            <v>SIS MARSHALLING CABINET 100-SIS-001B</v>
          </cell>
          <cell r="E163" t="str">
            <v>M40</v>
          </cell>
          <cell r="F163" t="str">
            <v>TYPE I4 (NON I.S) - 6PR</v>
          </cell>
          <cell r="G163" t="str">
            <v>2.5mm2</v>
          </cell>
          <cell r="H163" t="str">
            <v>32.20 mm</v>
          </cell>
          <cell r="I163">
            <v>65</v>
          </cell>
          <cell r="J163" t="str">
            <v>IC-100SJBZ001</v>
          </cell>
        </row>
        <row r="164">
          <cell r="B164" t="str">
            <v>100-SY-908</v>
          </cell>
          <cell r="C164" t="str">
            <v>M20</v>
          </cell>
          <cell r="D164" t="str">
            <v>100-SJBZ-001</v>
          </cell>
          <cell r="E164" t="str">
            <v>M20</v>
          </cell>
          <cell r="F164" t="str">
            <v>TYPE I4 (NON I.S) -1PR</v>
          </cell>
          <cell r="G164" t="str">
            <v>2.5mm2</v>
          </cell>
          <cell r="H164" t="str">
            <v>16.50 mm</v>
          </cell>
          <cell r="I164">
            <v>45</v>
          </cell>
          <cell r="J164" t="str">
            <v>IC-100SY908</v>
          </cell>
        </row>
        <row r="165">
          <cell r="B165" t="str">
            <v>100-SY-906A</v>
          </cell>
          <cell r="C165" t="str">
            <v>M20</v>
          </cell>
          <cell r="D165" t="str">
            <v>100-SJBZ-001</v>
          </cell>
          <cell r="E165" t="str">
            <v>M20</v>
          </cell>
          <cell r="F165" t="str">
            <v>TYPE I4 (NON I.S) -1PR</v>
          </cell>
          <cell r="G165" t="str">
            <v>2.5mm2</v>
          </cell>
          <cell r="H165" t="str">
            <v>16.50 mm</v>
          </cell>
          <cell r="I165">
            <v>10</v>
          </cell>
          <cell r="J165" t="str">
            <v>IC-100SY906A</v>
          </cell>
        </row>
        <row r="166">
          <cell r="B166" t="str">
            <v>100-SY-906B</v>
          </cell>
          <cell r="C166" t="str">
            <v>M20</v>
          </cell>
          <cell r="D166" t="str">
            <v>100-SJBZ-001</v>
          </cell>
          <cell r="E166" t="str">
            <v>M20</v>
          </cell>
          <cell r="F166" t="str">
            <v>TYPE I4 (NON I.S) -1PR</v>
          </cell>
          <cell r="G166" t="str">
            <v>2.5mm2</v>
          </cell>
          <cell r="H166" t="str">
            <v>16.50 mm</v>
          </cell>
          <cell r="I166">
            <v>10</v>
          </cell>
          <cell r="J166" t="str">
            <v>IC-100SY906B</v>
          </cell>
        </row>
        <row r="167">
          <cell r="B167" t="str">
            <v>100-SY-907A</v>
          </cell>
          <cell r="C167" t="str">
            <v>M20</v>
          </cell>
          <cell r="D167" t="str">
            <v>100-SJBZ-001</v>
          </cell>
          <cell r="E167" t="str">
            <v>M20</v>
          </cell>
          <cell r="F167" t="str">
            <v>TYPE I4 (NON I.S) -1PR</v>
          </cell>
          <cell r="G167" t="str">
            <v>2.5mm2</v>
          </cell>
          <cell r="H167" t="str">
            <v>16.50 mm</v>
          </cell>
          <cell r="I167">
            <v>15</v>
          </cell>
          <cell r="J167" t="str">
            <v>IC-100SY907A</v>
          </cell>
        </row>
        <row r="168">
          <cell r="B168" t="str">
            <v>100-SY-907B</v>
          </cell>
          <cell r="C168" t="str">
            <v>M20</v>
          </cell>
          <cell r="D168" t="str">
            <v>100-SJBZ-001</v>
          </cell>
          <cell r="E168" t="str">
            <v>M20</v>
          </cell>
          <cell r="F168" t="str">
            <v>TYPE I4 (NON I.S) -1PR</v>
          </cell>
          <cell r="G168" t="str">
            <v>2.5mm2</v>
          </cell>
          <cell r="H168" t="str">
            <v>16.50 mm</v>
          </cell>
          <cell r="I168">
            <v>15</v>
          </cell>
          <cell r="J168" t="str">
            <v>IC-100SY907B</v>
          </cell>
        </row>
        <row r="170">
          <cell r="B170" t="str">
            <v>100-DJBZ-002</v>
          </cell>
          <cell r="C170" t="str">
            <v>M40</v>
          </cell>
          <cell r="D170" t="str">
            <v>SIS MARSHALLING CABINET 100-SIS-001B</v>
          </cell>
          <cell r="E170" t="str">
            <v>M40</v>
          </cell>
          <cell r="F170" t="str">
            <v>TYPE I4 (NON I.S) - 6PR</v>
          </cell>
          <cell r="G170" t="str">
            <v>2.5mm2</v>
          </cell>
          <cell r="H170" t="str">
            <v>36.50 mm</v>
          </cell>
          <cell r="I170">
            <v>40</v>
          </cell>
          <cell r="J170" t="str">
            <v>IC-100DJBZ002</v>
          </cell>
        </row>
        <row r="171">
          <cell r="B171" t="str">
            <v>100-HS-ESD-005</v>
          </cell>
          <cell r="C171" t="str">
            <v>M20</v>
          </cell>
          <cell r="D171" t="str">
            <v>100-DJBZ-002</v>
          </cell>
          <cell r="E171" t="str">
            <v>M20</v>
          </cell>
          <cell r="F171" t="str">
            <v>TYPE I4 (NON I.S) -1PR</v>
          </cell>
          <cell r="G171" t="str">
            <v>1.5mm2</v>
          </cell>
          <cell r="H171" t="str">
            <v>15.00 mm</v>
          </cell>
          <cell r="I171">
            <v>20</v>
          </cell>
          <cell r="J171" t="str">
            <v>IC-100HSESD005</v>
          </cell>
        </row>
        <row r="172">
          <cell r="B172" t="str">
            <v>100-HS-ESD-006</v>
          </cell>
          <cell r="C172" t="str">
            <v>M20</v>
          </cell>
          <cell r="D172" t="str">
            <v>100-DJBZ-002</v>
          </cell>
          <cell r="E172" t="str">
            <v>M20</v>
          </cell>
          <cell r="F172" t="str">
            <v>TYPE I4 (NON I.S) -1PR</v>
          </cell>
          <cell r="G172" t="str">
            <v>1.5mm2</v>
          </cell>
          <cell r="H172" t="str">
            <v>15.00 mm</v>
          </cell>
          <cell r="I172">
            <v>30</v>
          </cell>
          <cell r="J172" t="str">
            <v>IC-100HSESD006</v>
          </cell>
          <cell r="K172" t="str">
            <v>SUB CELLAR DECK</v>
          </cell>
        </row>
        <row r="173">
          <cell r="B173" t="str">
            <v>100-PS-906</v>
          </cell>
          <cell r="C173" t="str">
            <v>M20</v>
          </cell>
          <cell r="D173" t="str">
            <v>100-DJBZ-002</v>
          </cell>
          <cell r="E173" t="str">
            <v>M20</v>
          </cell>
          <cell r="F173" t="str">
            <v>TYPE I4 (NON I.S) -1PR</v>
          </cell>
          <cell r="G173" t="str">
            <v>1.5mm2</v>
          </cell>
          <cell r="H173" t="str">
            <v>15.00 mm</v>
          </cell>
          <cell r="I173">
            <v>20</v>
          </cell>
          <cell r="J173" t="str">
            <v>IC-100PS906</v>
          </cell>
        </row>
        <row r="174">
          <cell r="B174" t="str">
            <v>100-PS-907</v>
          </cell>
          <cell r="C174" t="str">
            <v>M20</v>
          </cell>
          <cell r="D174" t="str">
            <v>100-DJBZ-002</v>
          </cell>
          <cell r="E174" t="str">
            <v>M20</v>
          </cell>
          <cell r="F174" t="str">
            <v>TYPE I4 (NON I.S) -1PR</v>
          </cell>
          <cell r="G174" t="str">
            <v>1.5mm2</v>
          </cell>
          <cell r="H174" t="str">
            <v>15.00 mm</v>
          </cell>
          <cell r="I174">
            <v>30</v>
          </cell>
          <cell r="J174" t="str">
            <v>IC-100PS907</v>
          </cell>
        </row>
        <row r="176">
          <cell r="B176" t="str">
            <v>100-SJBZ-103</v>
          </cell>
          <cell r="C176" t="str">
            <v>M40</v>
          </cell>
          <cell r="D176" t="str">
            <v>SIS MARSHALLING CABINET 100-SIS-001B</v>
          </cell>
          <cell r="E176" t="str">
            <v>M40</v>
          </cell>
          <cell r="F176" t="str">
            <v>TYPE I4 (NON I.S) - 6PR</v>
          </cell>
          <cell r="G176" t="str">
            <v>2.5mm2</v>
          </cell>
          <cell r="H176" t="str">
            <v>32.20 mm</v>
          </cell>
          <cell r="I176">
            <v>65</v>
          </cell>
          <cell r="J176" t="str">
            <v>IC-100SJBZ103</v>
          </cell>
          <cell r="K176" t="str">
            <v>CORROSION INHIBITOR INJECTION SKID
in IO Data base without any subcables</v>
          </cell>
        </row>
        <row r="178">
          <cell r="B178" t="str">
            <v>100-SJBZ-104</v>
          </cell>
          <cell r="C178" t="str">
            <v>M40</v>
          </cell>
          <cell r="D178" t="str">
            <v>SIS MARSHALLING CABINET 100-SIS-001B</v>
          </cell>
          <cell r="E178" t="str">
            <v>M40</v>
          </cell>
          <cell r="F178" t="str">
            <v>TYPE I4 (NON I.S) - 6PR</v>
          </cell>
          <cell r="G178" t="str">
            <v>2.5mm2</v>
          </cell>
          <cell r="H178" t="str">
            <v>32.20 mm</v>
          </cell>
          <cell r="I178">
            <v>65</v>
          </cell>
          <cell r="J178" t="str">
            <v>IC-100SJBZ104</v>
          </cell>
          <cell r="K178" t="str">
            <v>KHI INJECTION SKID
in IO Data base without any subcables</v>
          </cell>
        </row>
        <row r="180">
          <cell r="B180" t="str">
            <v>100-SJBZ-105</v>
          </cell>
          <cell r="C180" t="str">
            <v>M40</v>
          </cell>
          <cell r="D180" t="str">
            <v>SIS MARSHALLING CABINET 100-SIS-001B</v>
          </cell>
          <cell r="E180" t="str">
            <v>M40</v>
          </cell>
          <cell r="F180" t="str">
            <v>TYPE I4 (NON I.S) - 6PR</v>
          </cell>
          <cell r="G180" t="str">
            <v>2.5mm2</v>
          </cell>
          <cell r="H180" t="str">
            <v>32.20 mm</v>
          </cell>
          <cell r="I180">
            <v>65</v>
          </cell>
          <cell r="J180" t="str">
            <v>IC-100SJBZ105</v>
          </cell>
          <cell r="K180" t="str">
            <v>METHANOL INJECTION SKID
in IO Data base without any subcables</v>
          </cell>
        </row>
        <row r="182">
          <cell r="B182" t="str">
            <v>100-SV-912</v>
          </cell>
          <cell r="C182" t="str">
            <v>M20</v>
          </cell>
          <cell r="D182" t="str">
            <v>SIS MARSHALLING CABINET 100-SIS-001B</v>
          </cell>
          <cell r="E182" t="str">
            <v>M20</v>
          </cell>
          <cell r="F182" t="str">
            <v>TYPE I4 (NON I.S) - 1PR</v>
          </cell>
          <cell r="G182" t="str">
            <v>2.5mm2</v>
          </cell>
          <cell r="H182" t="str">
            <v>16.50 mm</v>
          </cell>
          <cell r="I182">
            <v>70</v>
          </cell>
          <cell r="J182" t="str">
            <v>IC-100SV912</v>
          </cell>
          <cell r="K182" t="str">
            <v>SCALE INHIBITOR INJECTION SKID
is it direct run cable ?</v>
          </cell>
        </row>
        <row r="183">
          <cell r="B183" t="str">
            <v>sw</v>
          </cell>
        </row>
        <row r="184">
          <cell r="B184" t="str">
            <v>100-AJBZ-104</v>
          </cell>
          <cell r="C184" t="str">
            <v>M32</v>
          </cell>
          <cell r="D184" t="str">
            <v>SIS MARSHALLING CABINET 100-SIS-001B</v>
          </cell>
          <cell r="E184" t="str">
            <v>M32</v>
          </cell>
          <cell r="F184" t="str">
            <v>TYPE I2 (NON I.S) - 6PR</v>
          </cell>
          <cell r="G184" t="str">
            <v>0.75mm2</v>
          </cell>
          <cell r="H184" t="str">
            <v>29.50 mm</v>
          </cell>
          <cell r="I184">
            <v>65</v>
          </cell>
          <cell r="J184" t="str">
            <v>IC-100AJBZ104</v>
          </cell>
          <cell r="K184" t="str">
            <v>CORROSION INHIBITOR INJECTION SKID
in IO Database without any subcable</v>
          </cell>
        </row>
        <row r="186">
          <cell r="B186" t="str">
            <v>100-AJBZ-105</v>
          </cell>
          <cell r="C186" t="str">
            <v>M32</v>
          </cell>
          <cell r="D186" t="str">
            <v>SIS MARSHALLING CABINET 100-SIS-001B</v>
          </cell>
          <cell r="E186" t="str">
            <v>M32</v>
          </cell>
          <cell r="F186" t="str">
            <v>TYPE I2 (NON I.S) - 6PR</v>
          </cell>
          <cell r="G186" t="str">
            <v>0.75mm2</v>
          </cell>
          <cell r="H186" t="str">
            <v>29.50 mm</v>
          </cell>
          <cell r="I186">
            <v>65</v>
          </cell>
          <cell r="J186" t="str">
            <v>IC-100AJBZ105</v>
          </cell>
          <cell r="K186" t="str">
            <v>KHI INJECTION SKID
in IO database without any subcable</v>
          </cell>
        </row>
        <row r="188">
          <cell r="B188" t="str">
            <v>100-AJBZ-106</v>
          </cell>
          <cell r="C188" t="str">
            <v>M32</v>
          </cell>
          <cell r="D188" t="str">
            <v>SIS MARSHALLING CABINET 100-SIS-001B</v>
          </cell>
          <cell r="E188" t="str">
            <v>M32</v>
          </cell>
          <cell r="F188" t="str">
            <v>TYPE I2 (NON I.S) - 6PR</v>
          </cell>
          <cell r="G188" t="str">
            <v>0.75mm2</v>
          </cell>
          <cell r="H188" t="str">
            <v>29.50 mm</v>
          </cell>
          <cell r="I188">
            <v>65</v>
          </cell>
          <cell r="J188" t="str">
            <v>IC-100AJBZ106</v>
          </cell>
          <cell r="K188" t="str">
            <v>METHANOL INJECTION SKID
In IO Database without any subcable</v>
          </cell>
        </row>
        <row r="190">
          <cell r="B190" t="str">
            <v>100-AJBZ-103</v>
          </cell>
          <cell r="C190" t="str">
            <v>M32</v>
          </cell>
          <cell r="D190" t="str">
            <v>SIS MARSHALLING CABINET 100-SIS-001B</v>
          </cell>
          <cell r="E190" t="str">
            <v>M32</v>
          </cell>
          <cell r="F190" t="str">
            <v>TYPE I2 (NON I.S) - 6PR</v>
          </cell>
          <cell r="G190" t="str">
            <v>0.75mm2</v>
          </cell>
          <cell r="H190" t="str">
            <v>29.50 mm</v>
          </cell>
          <cell r="I190">
            <v>70</v>
          </cell>
          <cell r="J190" t="str">
            <v>IC-100AJBZ103</v>
          </cell>
          <cell r="K190" t="str">
            <v>SCALE INHIBITOR INJECTION SKID
in IO Data base wiothout any subcables</v>
          </cell>
        </row>
        <row r="191">
          <cell r="B191" t="str">
            <v>100-AJBZ-003</v>
          </cell>
          <cell r="C191" t="str">
            <v>M40</v>
          </cell>
          <cell r="D191" t="str">
            <v>SIS MARSHALLING CABINET 100-SIS-001B</v>
          </cell>
          <cell r="E191" t="str">
            <v>M40</v>
          </cell>
          <cell r="F191" t="str">
            <v>TYPE I2 (NON I.S) - 12PR</v>
          </cell>
          <cell r="G191" t="str">
            <v>0.75mm2</v>
          </cell>
          <cell r="H191" t="str">
            <v>33.50 mm</v>
          </cell>
          <cell r="I191">
            <v>70</v>
          </cell>
          <cell r="J191" t="str">
            <v>IC-100AJBZ003</v>
          </cell>
        </row>
        <row r="192">
          <cell r="B192" t="str">
            <v>100-ZZT-906</v>
          </cell>
          <cell r="C192" t="str">
            <v>M20</v>
          </cell>
          <cell r="D192" t="str">
            <v>100-AJBZ-003</v>
          </cell>
          <cell r="E192" t="str">
            <v>M20</v>
          </cell>
          <cell r="F192" t="str">
            <v>TYPE I2 (NON I.S) -1PR</v>
          </cell>
          <cell r="G192" t="str">
            <v>1.5mm2</v>
          </cell>
          <cell r="H192" t="str">
            <v>15.00 mm</v>
          </cell>
          <cell r="I192">
            <v>15</v>
          </cell>
          <cell r="J192" t="str">
            <v>IC-100ZZT906</v>
          </cell>
        </row>
        <row r="193">
          <cell r="B193" t="str">
            <v>100-PZIT-219-1</v>
          </cell>
          <cell r="C193" t="str">
            <v>M20</v>
          </cell>
          <cell r="D193" t="str">
            <v>100-AJBZ-003</v>
          </cell>
          <cell r="E193" t="str">
            <v>M20</v>
          </cell>
          <cell r="F193" t="str">
            <v>TYPE I2 (NON I.S) -1PR</v>
          </cell>
          <cell r="G193" t="str">
            <v>1.5mm2</v>
          </cell>
          <cell r="H193" t="str">
            <v>15.00 mm</v>
          </cell>
          <cell r="I193">
            <v>15</v>
          </cell>
          <cell r="J193" t="str">
            <v>IC-100PZIT219-1</v>
          </cell>
        </row>
        <row r="194">
          <cell r="B194" t="str">
            <v>100-PZIT-219-2</v>
          </cell>
          <cell r="C194" t="str">
            <v>M20</v>
          </cell>
          <cell r="D194" t="str">
            <v>100-AJBZ-003</v>
          </cell>
          <cell r="E194" t="str">
            <v>M20</v>
          </cell>
          <cell r="F194" t="str">
            <v>TYPE I2 (NON I.S) -1PR</v>
          </cell>
          <cell r="G194" t="str">
            <v>1.5mm2</v>
          </cell>
          <cell r="H194" t="str">
            <v>15.00 mm</v>
          </cell>
          <cell r="I194">
            <v>15</v>
          </cell>
          <cell r="J194" t="str">
            <v>IC-100PZIT219-2</v>
          </cell>
        </row>
        <row r="196">
          <cell r="B196" t="str">
            <v>100-PZIT-230-1</v>
          </cell>
          <cell r="C196" t="str">
            <v>M20</v>
          </cell>
          <cell r="D196" t="str">
            <v>100-AJBZ-003</v>
          </cell>
          <cell r="E196" t="str">
            <v>M20</v>
          </cell>
          <cell r="F196" t="str">
            <v>TYPE I2 (NON I.S) -1PR</v>
          </cell>
          <cell r="G196" t="str">
            <v>1.5mm2</v>
          </cell>
          <cell r="H196" t="str">
            <v>15.00 mm</v>
          </cell>
          <cell r="I196">
            <v>15</v>
          </cell>
          <cell r="J196" t="str">
            <v>IC-100PZIT230-1</v>
          </cell>
        </row>
        <row r="197">
          <cell r="B197" t="str">
            <v>100-PZIT-230-2</v>
          </cell>
          <cell r="C197" t="str">
            <v>M20</v>
          </cell>
          <cell r="D197" t="str">
            <v>100-AJBZ-003</v>
          </cell>
          <cell r="E197" t="str">
            <v>M20</v>
          </cell>
          <cell r="F197" t="str">
            <v>TYPE I2 (NON I.S) -1PR</v>
          </cell>
          <cell r="G197" t="str">
            <v>1.5mm2</v>
          </cell>
          <cell r="H197" t="str">
            <v>15.00 mm</v>
          </cell>
          <cell r="I197">
            <v>15</v>
          </cell>
          <cell r="J197" t="str">
            <v>IC-100PZIT230-2</v>
          </cell>
        </row>
        <row r="198">
          <cell r="B198" t="str">
            <v>100-ZZT-907</v>
          </cell>
          <cell r="C198" t="str">
            <v>M20</v>
          </cell>
          <cell r="D198" t="str">
            <v>100-AJBZ-003</v>
          </cell>
          <cell r="E198" t="str">
            <v>M20</v>
          </cell>
          <cell r="F198" t="str">
            <v>TYPE I2 (NON I.S) -1PR</v>
          </cell>
          <cell r="G198" t="str">
            <v>1.5mm2</v>
          </cell>
          <cell r="H198" t="str">
            <v>15.00 mm</v>
          </cell>
          <cell r="I198">
            <v>25</v>
          </cell>
          <cell r="J198" t="str">
            <v>IC-100ZZT907</v>
          </cell>
        </row>
        <row r="199">
          <cell r="B199" t="str">
            <v>100-LZIT-602</v>
          </cell>
          <cell r="C199" t="str">
            <v>M20</v>
          </cell>
          <cell r="D199" t="str">
            <v>100-AJBZ-003</v>
          </cell>
          <cell r="E199" t="str">
            <v>M20</v>
          </cell>
          <cell r="F199" t="str">
            <v>TYPE I2 (NON I.S) -1PR</v>
          </cell>
          <cell r="G199" t="str">
            <v>1.5mm2</v>
          </cell>
          <cell r="H199" t="str">
            <v>15.00 mm</v>
          </cell>
          <cell r="I199">
            <v>15</v>
          </cell>
          <cell r="J199" t="str">
            <v>IC-100LZIT602</v>
          </cell>
        </row>
        <row r="200">
          <cell r="B200" t="str">
            <v>100-FZIT-103</v>
          </cell>
          <cell r="C200" t="str">
            <v>M20</v>
          </cell>
          <cell r="D200" t="str">
            <v>100-AJBZ-003</v>
          </cell>
          <cell r="E200" t="str">
            <v>M20</v>
          </cell>
          <cell r="F200" t="str">
            <v>TYPE I2 (NON I.S) -1PR</v>
          </cell>
          <cell r="G200" t="str">
            <v>1.5mm2</v>
          </cell>
          <cell r="H200" t="str">
            <v>15.00 mm</v>
          </cell>
          <cell r="I200">
            <v>15</v>
          </cell>
          <cell r="J200" t="str">
            <v>IC-100FZIT103</v>
          </cell>
          <cell r="K200" t="str">
            <v>DIESEL FILTERATION SKID</v>
          </cell>
        </row>
        <row r="201">
          <cell r="B201" t="str">
            <v>100-ZZT-908</v>
          </cell>
          <cell r="C201" t="str">
            <v>M20</v>
          </cell>
          <cell r="D201" t="str">
            <v>100-AJBZ-003</v>
          </cell>
          <cell r="E201" t="str">
            <v>M20</v>
          </cell>
          <cell r="F201" t="str">
            <v>TYPE I2 (NON I.S) -1PR</v>
          </cell>
          <cell r="G201" t="str">
            <v>1.5mm2</v>
          </cell>
          <cell r="H201" t="str">
            <v>15.00 mm</v>
          </cell>
          <cell r="I201">
            <v>45</v>
          </cell>
          <cell r="J201" t="str">
            <v>IC-100ZZT908</v>
          </cell>
        </row>
        <row r="203">
          <cell r="B203" t="str">
            <v>100-AJBZ-004</v>
          </cell>
          <cell r="C203" t="str">
            <v>M32</v>
          </cell>
          <cell r="D203" t="str">
            <v>SIS MARSHALLING CABINET 100-SIS-001B</v>
          </cell>
          <cell r="E203" t="str">
            <v>M32</v>
          </cell>
          <cell r="F203" t="str">
            <v>TYPE I2 (NON I.S) - 6PR</v>
          </cell>
          <cell r="G203" t="str">
            <v>0.75mm2</v>
          </cell>
          <cell r="H203" t="str">
            <v>29.50 mm</v>
          </cell>
          <cell r="I203">
            <v>30</v>
          </cell>
          <cell r="J203" t="str">
            <v>IC-100AJBZ004</v>
          </cell>
        </row>
        <row r="204">
          <cell r="B204" t="str">
            <v>100-LZIT-605A</v>
          </cell>
          <cell r="C204" t="str">
            <v>M20</v>
          </cell>
          <cell r="D204" t="str">
            <v>100-AJBZ-004</v>
          </cell>
          <cell r="E204" t="str">
            <v>M20</v>
          </cell>
          <cell r="F204" t="str">
            <v>TYPE I2 (NON I.S) -1PR</v>
          </cell>
          <cell r="G204" t="str">
            <v>1.5mm2</v>
          </cell>
          <cell r="H204" t="str">
            <v>15.00 mm</v>
          </cell>
          <cell r="I204">
            <v>40</v>
          </cell>
          <cell r="J204" t="str">
            <v>IC-100LZIT605A</v>
          </cell>
        </row>
        <row r="205">
          <cell r="B205" t="str">
            <v>100-LZIT-605B</v>
          </cell>
          <cell r="C205" t="str">
            <v>M20</v>
          </cell>
          <cell r="D205" t="str">
            <v>100-AJBZ-004</v>
          </cell>
          <cell r="E205" t="str">
            <v>M20</v>
          </cell>
          <cell r="F205" t="str">
            <v>TYPE I2 (NON I.S) -1PR</v>
          </cell>
          <cell r="G205" t="str">
            <v>1.5mm2</v>
          </cell>
          <cell r="H205" t="str">
            <v>15.00 mm</v>
          </cell>
          <cell r="I205">
            <v>40</v>
          </cell>
          <cell r="J205" t="str">
            <v>IC-100LZIT605B</v>
          </cell>
        </row>
        <row r="206">
          <cell r="B206" t="str">
            <v>100-LZIT-605C</v>
          </cell>
          <cell r="C206" t="str">
            <v>M20</v>
          </cell>
          <cell r="D206" t="str">
            <v>100-AJBZ-004</v>
          </cell>
          <cell r="E206" t="str">
            <v>M20</v>
          </cell>
          <cell r="F206" t="str">
            <v>TYPE I2 (NON I.S) -1PR</v>
          </cell>
          <cell r="G206" t="str">
            <v>1.5mm2</v>
          </cell>
          <cell r="H206" t="str">
            <v>15.00 mm</v>
          </cell>
          <cell r="I206">
            <v>40</v>
          </cell>
          <cell r="J206" t="str">
            <v>IC-100LZIT605C</v>
          </cell>
        </row>
        <row r="208">
          <cell r="B208" t="str">
            <v>100-AJBZ-101</v>
          </cell>
          <cell r="C208" t="str">
            <v>M40</v>
          </cell>
          <cell r="D208" t="str">
            <v>SIS MARSHALLING CABINET 100-SIS-001B</v>
          </cell>
          <cell r="E208" t="str">
            <v>M40</v>
          </cell>
          <cell r="F208" t="str">
            <v>TYPE I2 (NON I.S) - 12PR</v>
          </cell>
          <cell r="G208" t="str">
            <v>0.75mm2</v>
          </cell>
          <cell r="H208" t="str">
            <v>33.50 mm</v>
          </cell>
          <cell r="I208">
            <v>35</v>
          </cell>
          <cell r="J208" t="str">
            <v>IC-100AJBZ101</v>
          </cell>
          <cell r="K208" t="str">
            <v>in IO Data base wiothout any subcables</v>
          </cell>
        </row>
        <row r="210">
          <cell r="B210" t="str">
            <v>100-AJBZ-102</v>
          </cell>
          <cell r="C210" t="str">
            <v>M40</v>
          </cell>
          <cell r="D210" t="str">
            <v>SIS MARSHALLING CABINET 100-SIS-001B</v>
          </cell>
          <cell r="E210" t="str">
            <v>M40</v>
          </cell>
          <cell r="F210" t="str">
            <v>TYPE I2 (NON I.S) - 12PR</v>
          </cell>
          <cell r="G210" t="str">
            <v>0.75mm2</v>
          </cell>
          <cell r="H210" t="str">
            <v>33.50 mm</v>
          </cell>
          <cell r="I210">
            <v>35</v>
          </cell>
          <cell r="J210" t="str">
            <v>IC-100AJBZ102</v>
          </cell>
          <cell r="K210" t="str">
            <v>in IO Data base wiothout any subcables</v>
          </cell>
        </row>
        <row r="212">
          <cell r="B212" t="str">
            <v>100-SJBZ-101</v>
          </cell>
          <cell r="C212" t="str">
            <v>M50</v>
          </cell>
          <cell r="D212" t="str">
            <v>SIS MARSHALLING CABINET 100-SIS-001B</v>
          </cell>
          <cell r="E212" t="str">
            <v>M50</v>
          </cell>
          <cell r="F212" t="str">
            <v>TYPE I4 (NON I.S) - 12PR</v>
          </cell>
          <cell r="G212" t="str">
            <v>2.5mm2</v>
          </cell>
          <cell r="H212" t="str">
            <v>42.2 mm</v>
          </cell>
          <cell r="I212">
            <v>35</v>
          </cell>
          <cell r="J212" t="str">
            <v>IC-100SJBZ101</v>
          </cell>
          <cell r="K212" t="str">
            <v>in IO Data base wiothout any subcables</v>
          </cell>
        </row>
        <row r="214">
          <cell r="B214" t="str">
            <v>100-SJBZ-102</v>
          </cell>
          <cell r="C214" t="str">
            <v>M50</v>
          </cell>
          <cell r="D214" t="str">
            <v>SIS MARSHALLING CABINET 100-SIS-001B</v>
          </cell>
          <cell r="E214" t="str">
            <v>M50</v>
          </cell>
          <cell r="F214" t="str">
            <v>TYPE I4 (NON I.S) - 6PR</v>
          </cell>
          <cell r="G214" t="str">
            <v>2.5mm2</v>
          </cell>
          <cell r="H214" t="str">
            <v>32.2 mm</v>
          </cell>
          <cell r="I214">
            <v>35</v>
          </cell>
          <cell r="J214" t="str">
            <v>IC-100SJBZ102</v>
          </cell>
          <cell r="K214" t="str">
            <v>in IO Data base wiothout any subcables</v>
          </cell>
        </row>
        <row r="216">
          <cell r="B216" t="str">
            <v>100-AJBB-101</v>
          </cell>
          <cell r="C216" t="str">
            <v>M32</v>
          </cell>
          <cell r="D216" t="str">
            <v>PCS SYSTEM/MARSHALLING CABINET 100-PCS-
001</v>
          </cell>
          <cell r="E216" t="str">
            <v>M32</v>
          </cell>
          <cell r="F216" t="str">
            <v>TYPE I1 (NON I.S) - 12PR</v>
          </cell>
          <cell r="G216" t="str">
            <v>0.75mm2</v>
          </cell>
          <cell r="H216" t="str">
            <v>28.75 mm</v>
          </cell>
          <cell r="I216">
            <v>35</v>
          </cell>
          <cell r="J216" t="str">
            <v>IC-100AJBB101</v>
          </cell>
          <cell r="K216" t="str">
            <v>in Io Data base, no Subcable</v>
          </cell>
        </row>
        <row r="218">
          <cell r="B218" t="str">
            <v>PUMP PANEL 101</v>
          </cell>
          <cell r="C218" t="str">
            <v>M40</v>
          </cell>
          <cell r="D218" t="str">
            <v>PCS SYSTEM/MARSHALLING CABINET 100-PCS-
001</v>
          </cell>
          <cell r="E218" t="str">
            <v>M40</v>
          </cell>
          <cell r="F218" t="str">
            <v>TYPE I3 (NON I.S) - 12PR</v>
          </cell>
          <cell r="G218" t="str">
            <v>2.5mm2</v>
          </cell>
          <cell r="H218" t="str">
            <v>33.95 mm</v>
          </cell>
          <cell r="I218">
            <v>35</v>
          </cell>
          <cell r="J218" t="str">
            <v>IC-1001011</v>
          </cell>
          <cell r="K218" t="str">
            <v>HP/LP HYDRAULIC RESERVOIR PUMP PANEL
in IO Database without any subcables</v>
          </cell>
        </row>
        <row r="220">
          <cell r="B220" t="str">
            <v>PUMP PANEL 101</v>
          </cell>
          <cell r="C220" t="str">
            <v>M40</v>
          </cell>
          <cell r="D220" t="str">
            <v>PCS SYSTEM/MARSHALLING CABINET 100-PCS-
001</v>
          </cell>
          <cell r="E220" t="str">
            <v>M40</v>
          </cell>
          <cell r="F220" t="str">
            <v>TYPE I3 (NON I.S) - 12PR</v>
          </cell>
          <cell r="G220" t="str">
            <v>1.5mm2</v>
          </cell>
          <cell r="H220" t="str">
            <v>30.6 mm</v>
          </cell>
          <cell r="I220">
            <v>35</v>
          </cell>
          <cell r="J220" t="str">
            <v>IC-1001012</v>
          </cell>
          <cell r="K220" t="str">
            <v>HP/LP HYDRAULIC RESERVOIR PUMP PANEL
in IO Database without any subcables</v>
          </cell>
        </row>
        <row r="222">
          <cell r="B222" t="str">
            <v>PUMP PANEL 101</v>
          </cell>
          <cell r="C222" t="str">
            <v>M40</v>
          </cell>
          <cell r="D222" t="str">
            <v>SIS MARSHALLING CABINET 100-SIS-001B</v>
          </cell>
          <cell r="E222" t="str">
            <v>M40</v>
          </cell>
          <cell r="F222" t="str">
            <v>TYPE I4 (NON I.S) - 6PR</v>
          </cell>
          <cell r="G222" t="str">
            <v>2.5mm2</v>
          </cell>
          <cell r="H222" t="str">
            <v>32.2 mm</v>
          </cell>
          <cell r="I222">
            <v>35</v>
          </cell>
          <cell r="J222" t="str">
            <v>IC-1001013</v>
          </cell>
          <cell r="K222" t="str">
            <v>HP/LP HYDRAULIC RESERVOIR PUMP PANEL
in IO Database without any subcables</v>
          </cell>
        </row>
        <row r="223">
          <cell r="B223" t="str">
            <v>100-SWGR-001</v>
          </cell>
          <cell r="C223" t="str">
            <v>M40</v>
          </cell>
          <cell r="D223" t="str">
            <v xml:space="preserve"> </v>
          </cell>
          <cell r="E223" t="str">
            <v>M40</v>
          </cell>
          <cell r="F223" t="str">
            <v>TYPE I3 (NON I.S) - 12PR</v>
          </cell>
          <cell r="G223" t="str">
            <v>2.5mm2</v>
          </cell>
          <cell r="H223" t="str">
            <v>33.95 mm</v>
          </cell>
          <cell r="I223">
            <v>15</v>
          </cell>
          <cell r="J223" t="str">
            <v>IC-100SWGR00111</v>
          </cell>
          <cell r="K223" t="str">
            <v>in IO Data base wiothout any subcables</v>
          </cell>
        </row>
        <row r="225">
          <cell r="B225" t="str">
            <v>100-SWGR-001</v>
          </cell>
          <cell r="C225" t="str">
            <v>M40</v>
          </cell>
          <cell r="D225" t="str">
            <v>PCS SYSTEM/MARSHALLING CABINET 100-PCS-001</v>
          </cell>
          <cell r="E225" t="str">
            <v>M40</v>
          </cell>
          <cell r="F225" t="str">
            <v>TYPE I3 (NON I.S) - 12PR</v>
          </cell>
          <cell r="G225" t="str">
            <v>2.5mm2</v>
          </cell>
          <cell r="H225" t="str">
            <v>33.95 mm</v>
          </cell>
          <cell r="I225">
            <v>15</v>
          </cell>
          <cell r="J225" t="str">
            <v>IC-100SWGR00112</v>
          </cell>
          <cell r="K225" t="str">
            <v>in IO Data base wiothout any subcables</v>
          </cell>
        </row>
        <row r="227">
          <cell r="B227" t="str">
            <v>100-SWGR-001</v>
          </cell>
          <cell r="C227" t="str">
            <v>M40</v>
          </cell>
          <cell r="D227" t="str">
            <v>PCS SYSTEM/MARSHALLING CABINET 100-PCS-001</v>
          </cell>
          <cell r="E227" t="str">
            <v>M40</v>
          </cell>
          <cell r="F227" t="str">
            <v>TYPE I3 (NON I.S) - 12PR</v>
          </cell>
          <cell r="G227" t="str">
            <v>2.5mm2</v>
          </cell>
          <cell r="H227" t="str">
            <v>33.95 mm</v>
          </cell>
          <cell r="I227">
            <v>15</v>
          </cell>
          <cell r="J227" t="str">
            <v>IC-100SWGR00113</v>
          </cell>
          <cell r="K227" t="str">
            <v>in IO Data base wiothout any subcables</v>
          </cell>
        </row>
        <row r="229">
          <cell r="B229" t="str">
            <v>100-NAV-001</v>
          </cell>
          <cell r="C229" t="str">
            <v>M20</v>
          </cell>
          <cell r="D229" t="str">
            <v>PCS SYSTEM/MARSHALLING CABINET 100-PCS-001</v>
          </cell>
          <cell r="E229" t="str">
            <v>M20</v>
          </cell>
          <cell r="F229" t="str">
            <v>TYPE I3 (NON I.S) - 1PR</v>
          </cell>
          <cell r="G229" t="str">
            <v>1.5mm2</v>
          </cell>
          <cell r="H229" t="str">
            <v>13.90 mm</v>
          </cell>
          <cell r="I229">
            <v>15</v>
          </cell>
          <cell r="J229" t="str">
            <v>IC-100NAV0011</v>
          </cell>
          <cell r="K229" t="str">
            <v>NAV AID PANEL
in io data base without subcable</v>
          </cell>
        </row>
        <row r="231">
          <cell r="B231" t="str">
            <v>100-PAGA-001</v>
          </cell>
          <cell r="C231" t="str">
            <v>M32</v>
          </cell>
          <cell r="D231" t="str">
            <v>PCS SYSTEM/MARSHALLING CABINET 100-PCS-001</v>
          </cell>
          <cell r="E231" t="str">
            <v>M32</v>
          </cell>
          <cell r="F231" t="str">
            <v>TYPE I3 (NON I.S) - 6PR</v>
          </cell>
          <cell r="G231" t="str">
            <v>1.5mm2</v>
          </cell>
          <cell r="H231" t="str">
            <v>27.35 mm</v>
          </cell>
          <cell r="I231">
            <v>15</v>
          </cell>
          <cell r="J231" t="str">
            <v>IC-100PAGA0011</v>
          </cell>
          <cell r="K231" t="str">
            <v>PAGA CABINET
in io data base without subcable</v>
          </cell>
        </row>
        <row r="233">
          <cell r="B233" t="str">
            <v>100-LTG-001</v>
          </cell>
          <cell r="C233" t="str">
            <v>M20</v>
          </cell>
          <cell r="D233" t="str">
            <v>PCS SYSTEM/MARSHALLING CABINET 100-PCS-001</v>
          </cell>
          <cell r="E233" t="str">
            <v>M20</v>
          </cell>
          <cell r="F233" t="str">
            <v>TYPE I3 (NON I.S) - 1PR</v>
          </cell>
          <cell r="G233" t="str">
            <v>2.5mm2</v>
          </cell>
          <cell r="H233" t="str">
            <v>15.20 mm</v>
          </cell>
          <cell r="I233">
            <v>15</v>
          </cell>
          <cell r="J233" t="str">
            <v>IC-100LTG001</v>
          </cell>
          <cell r="K233" t="str">
            <v>LIGHTING DB PANEL.
in io data base without subcable</v>
          </cell>
        </row>
        <row r="235">
          <cell r="B235" t="str">
            <v>100-SWGR-001</v>
          </cell>
          <cell r="C235" t="str">
            <v>M20</v>
          </cell>
          <cell r="D235" t="str">
            <v>PCS SYSTEM/MARSHALLING CABINET 100-PCS-001</v>
          </cell>
          <cell r="E235" t="str">
            <v>M20</v>
          </cell>
          <cell r="F235" t="str">
            <v>Ethernet TCP/IP-4PR</v>
          </cell>
          <cell r="G235" t="str">
            <v>24 AWG</v>
          </cell>
          <cell r="H235" t="str">
            <v>14.50 mm</v>
          </cell>
          <cell r="I235">
            <v>15</v>
          </cell>
          <cell r="J235" t="str">
            <v>IC-100SWGR001</v>
          </cell>
          <cell r="K235" t="str">
            <v>Redudant cable , Note 09.
there is hard wired signal , no cable no assigned here</v>
          </cell>
        </row>
        <row r="237">
          <cell r="B237" t="str">
            <v>100-UPS-001</v>
          </cell>
          <cell r="C237" t="str">
            <v>M20</v>
          </cell>
          <cell r="D237" t="str">
            <v>PCS SYSTEM/MARSHALLING CABINET 100-PCS-001</v>
          </cell>
          <cell r="E237" t="str">
            <v>M20</v>
          </cell>
          <cell r="F237" t="str">
            <v>Ethernet TCP/IP-4PR</v>
          </cell>
          <cell r="G237" t="str">
            <v>24 AWG</v>
          </cell>
          <cell r="H237" t="str">
            <v>14.50 mm</v>
          </cell>
          <cell r="I237">
            <v>15</v>
          </cell>
          <cell r="J237" t="str">
            <v>IC-100UPS001</v>
          </cell>
          <cell r="K237" t="str">
            <v>Redudant cable , Note 09.
there is hard wired signal , no cable no assigned here</v>
          </cell>
        </row>
        <row r="239">
          <cell r="B239" t="str">
            <v>100-SIS-001A</v>
          </cell>
          <cell r="C239" t="str">
            <v>M20</v>
          </cell>
          <cell r="D239" t="str">
            <v>PCS SYSTEM/MARSHALLING CABINET 100-PCS-001</v>
          </cell>
          <cell r="E239" t="str">
            <v>M20</v>
          </cell>
          <cell r="F239" t="str">
            <v>Ethernet TCP/IP-4PR</v>
          </cell>
          <cell r="G239" t="str">
            <v>24 AWG</v>
          </cell>
          <cell r="H239" t="str">
            <v>14.50 mm</v>
          </cell>
          <cell r="I239">
            <v>15</v>
          </cell>
          <cell r="J239" t="str">
            <v>IC-100SIS001A</v>
          </cell>
          <cell r="K239" t="str">
            <v>Redudant cable , Note 09.
there is hard wired signal , no cable no assigned here</v>
          </cell>
        </row>
        <row r="241">
          <cell r="B241" t="str">
            <v>100-HVAC-001</v>
          </cell>
          <cell r="C241" t="str">
            <v>M20</v>
          </cell>
          <cell r="D241" t="str">
            <v>PCS SYSTEM/MARSHALLING CABINET 100-PCS-001</v>
          </cell>
          <cell r="E241" t="str">
            <v>M20</v>
          </cell>
          <cell r="F241" t="str">
            <v>Ethernet TCP/IP-4PR</v>
          </cell>
          <cell r="G241" t="str">
            <v>24 AWG</v>
          </cell>
          <cell r="H241" t="str">
            <v>14.50 mm</v>
          </cell>
          <cell r="I241">
            <v>15</v>
          </cell>
          <cell r="J241" t="str">
            <v>IC-100HVAC001</v>
          </cell>
          <cell r="K241" t="str">
            <v>Redudant cable , Note 09.
there is hard wired signal , no cable no assigned here</v>
          </cell>
        </row>
        <row r="243">
          <cell r="B243" t="str">
            <v>100-NAV-001</v>
          </cell>
          <cell r="C243" t="str">
            <v>M20</v>
          </cell>
          <cell r="D243" t="str">
            <v>PCS SYSTEM/MARSHALLING CABINET 100-PCS-001</v>
          </cell>
          <cell r="E243" t="str">
            <v>M20</v>
          </cell>
          <cell r="F243" t="str">
            <v>Ethernet TCP/IP-4PR</v>
          </cell>
          <cell r="G243" t="str">
            <v>24 AWG</v>
          </cell>
          <cell r="H243" t="str">
            <v>14.50 mm</v>
          </cell>
          <cell r="I243">
            <v>15</v>
          </cell>
          <cell r="J243" t="str">
            <v>IC-100NAV001</v>
          </cell>
          <cell r="K243" t="str">
            <v>Redudant cable , Note 09.
there is hard wired signal , no cable no assigned here</v>
          </cell>
        </row>
        <row r="245">
          <cell r="B245" t="str">
            <v>100-TEL-001</v>
          </cell>
          <cell r="C245" t="str">
            <v>M20</v>
          </cell>
          <cell r="D245" t="str">
            <v>PCS SYSTEM/MARSHALLING CABINET 100-PCS-001</v>
          </cell>
          <cell r="E245" t="str">
            <v>M20</v>
          </cell>
          <cell r="F245" t="str">
            <v>Ethernet TCP/IP-4PR</v>
          </cell>
          <cell r="G245" t="str">
            <v>24 AWG</v>
          </cell>
          <cell r="H245" t="str">
            <v>14.50 mm</v>
          </cell>
          <cell r="I245">
            <v>15</v>
          </cell>
          <cell r="J245" t="str">
            <v>IC-100TEL001</v>
          </cell>
          <cell r="K245" t="str">
            <v>Redudant cable , Note 09.
there is hard wired signal , no cable no assigned here</v>
          </cell>
        </row>
        <row r="247">
          <cell r="B247" t="str">
            <v>PANEL 100-PK-003A</v>
          </cell>
          <cell r="C247" t="str">
            <v>M20</v>
          </cell>
          <cell r="D247" t="str">
            <v>PCS SYSTEM/MARSHALLING CABINET 100-PCS-001</v>
          </cell>
          <cell r="E247" t="str">
            <v>M20</v>
          </cell>
          <cell r="F247" t="str">
            <v>Ethernet TCP/IP-4PR</v>
          </cell>
          <cell r="G247" t="str">
            <v>24 AWG</v>
          </cell>
          <cell r="H247" t="str">
            <v>14.50 mm</v>
          </cell>
          <cell r="I247">
            <v>30</v>
          </cell>
          <cell r="J247" t="str">
            <v>IC-100PK003A</v>
          </cell>
          <cell r="K247" t="str">
            <v>DIESEL GENERATOR PACKAGE
hard wired cable not having nay subcable names
Redudant cable , Note 09.</v>
          </cell>
        </row>
        <row r="249">
          <cell r="B249" t="str">
            <v>PANEL 100-PK-003B</v>
          </cell>
          <cell r="C249" t="str">
            <v>M20</v>
          </cell>
          <cell r="D249" t="str">
            <v>PCS SYSTEM/MARSHALLING CABINET 100-PCS-001</v>
          </cell>
          <cell r="E249" t="str">
            <v>M20</v>
          </cell>
          <cell r="F249" t="str">
            <v>Ethernet TCP/IP-4PR</v>
          </cell>
          <cell r="G249" t="str">
            <v>24 AWG</v>
          </cell>
          <cell r="H249" t="str">
            <v>14.50 mm</v>
          </cell>
          <cell r="I249">
            <v>30</v>
          </cell>
          <cell r="J249" t="str">
            <v>IC-100PK003B</v>
          </cell>
          <cell r="K249" t="str">
            <v>DIESEL GENERATOR PACKAGE
hard wired cable not having nay subcable names
Redudant cable , Note 09.</v>
          </cell>
        </row>
        <row r="250">
          <cell r="B250" t="str">
            <v>100-PAGA-001</v>
          </cell>
          <cell r="C250" t="str">
            <v>M40</v>
          </cell>
          <cell r="D250" t="str">
            <v>SIS MARSHALLING CABINET 100-SIS-001B</v>
          </cell>
          <cell r="E250" t="str">
            <v>M40</v>
          </cell>
          <cell r="F250" t="str">
            <v>TYPE I4 (NON I.S) - 6PR</v>
          </cell>
          <cell r="G250" t="str">
            <v>2.5 mm2</v>
          </cell>
          <cell r="H250" t="str">
            <v>32.2 mm</v>
          </cell>
          <cell r="I250">
            <v>15</v>
          </cell>
          <cell r="J250" t="str">
            <v>IC-100PAGA0012</v>
          </cell>
          <cell r="K250" t="str">
            <v>PAGA CABINET
in io data base without subcable</v>
          </cell>
        </row>
        <row r="252">
          <cell r="B252" t="str">
            <v>100-SWGR-001</v>
          </cell>
          <cell r="C252" t="str">
            <v>M50</v>
          </cell>
          <cell r="D252" t="str">
            <v>SIS MARSHALLING CABINET 100-SIS-001B</v>
          </cell>
          <cell r="E252" t="str">
            <v>M50</v>
          </cell>
          <cell r="F252" t="str">
            <v>TYPE I4 (NON I.S) - 12PR</v>
          </cell>
          <cell r="G252" t="str">
            <v>2.5 mm2</v>
          </cell>
          <cell r="H252" t="str">
            <v>42.2 mm</v>
          </cell>
          <cell r="I252">
            <v>15</v>
          </cell>
          <cell r="J252" t="str">
            <v>IC-100SWGR00121</v>
          </cell>
          <cell r="K252" t="str">
            <v>in IO Data base wiothout any subcables</v>
          </cell>
        </row>
        <row r="254">
          <cell r="B254" t="str">
            <v>100-SWGR-001</v>
          </cell>
          <cell r="C254" t="str">
            <v>M50</v>
          </cell>
          <cell r="D254" t="str">
            <v>SIS MARSHALLING CABINET 100-SIS-001B</v>
          </cell>
          <cell r="E254" t="str">
            <v>M50</v>
          </cell>
          <cell r="F254" t="str">
            <v>TYPE I4 (NON I.S) - 12PR</v>
          </cell>
          <cell r="G254" t="str">
            <v>2.5 mm2</v>
          </cell>
          <cell r="H254" t="str">
            <v>42.2 mm</v>
          </cell>
          <cell r="I254">
            <v>15</v>
          </cell>
          <cell r="J254" t="str">
            <v>IC-100SWGR00122</v>
          </cell>
          <cell r="K254" t="str">
            <v>in IO Data base wiothout any subcables</v>
          </cell>
        </row>
        <row r="256">
          <cell r="B256" t="str">
            <v>100-SWGR-001</v>
          </cell>
          <cell r="C256" t="str">
            <v>M20</v>
          </cell>
          <cell r="D256" t="str">
            <v>SIS MARSHALLING CABINET 100-SIS-001B</v>
          </cell>
          <cell r="E256" t="str">
            <v>M20</v>
          </cell>
          <cell r="F256" t="str">
            <v>TYPE I4 (NON I.S) - 1PR</v>
          </cell>
          <cell r="G256" t="str">
            <v>1.5 mm2</v>
          </cell>
          <cell r="H256" t="str">
            <v>15.00 mm</v>
          </cell>
          <cell r="I256">
            <v>15</v>
          </cell>
          <cell r="J256" t="str">
            <v>IC-100SWGR00123</v>
          </cell>
          <cell r="K256" t="str">
            <v>TOTAL POWER LOSS STATUS</v>
          </cell>
        </row>
        <row r="258">
          <cell r="B258" t="str">
            <v>100-TEL-001</v>
          </cell>
          <cell r="C258" t="str">
            <v>M20</v>
          </cell>
          <cell r="D258" t="str">
            <v>SIS MARSHALLING CABINET 100-SIS-001B</v>
          </cell>
          <cell r="E258" t="str">
            <v>M20</v>
          </cell>
          <cell r="F258" t="str">
            <v>TYPE I4 (NON I.S) - 1PR</v>
          </cell>
          <cell r="G258" t="str">
            <v>1.5 mm2</v>
          </cell>
          <cell r="H258" t="str">
            <v>15.00 mm</v>
          </cell>
          <cell r="I258">
            <v>15</v>
          </cell>
          <cell r="J258" t="str">
            <v>IC-100TEL0012</v>
          </cell>
          <cell r="K258" t="str">
            <v>COMMUNICATION LOSS IN WDDM STATUS</v>
          </cell>
        </row>
        <row r="259">
          <cell r="B259" t="str">
            <v>100-DJBBFG-101</v>
          </cell>
          <cell r="C259" t="str">
            <v>M40</v>
          </cell>
          <cell r="D259" t="str">
            <v>PCS SYSTEM/MARSHALLING CABINET 100-PCS-001</v>
          </cell>
          <cell r="E259" t="str">
            <v>M40</v>
          </cell>
          <cell r="F259" t="str">
            <v>TYPE F1 (NON I.S) - 12PR</v>
          </cell>
          <cell r="G259" t="str">
            <v>1.5 mm2</v>
          </cell>
          <cell r="H259" t="str">
            <v>36.50 mm</v>
          </cell>
          <cell r="I259">
            <v>25</v>
          </cell>
          <cell r="J259" t="str">
            <v>IC-100DJBBFG101</v>
          </cell>
          <cell r="K259" t="str">
            <v>FIRE FIGHTING SYSTEM</v>
          </cell>
        </row>
        <row r="261">
          <cell r="B261" t="str">
            <v>100-PT-332</v>
          </cell>
          <cell r="C261" t="str">
            <v>M20</v>
          </cell>
          <cell r="D261" t="str">
            <v>PCS SYSTEM/MARSHALLING CABINET 100-PCS-001</v>
          </cell>
          <cell r="E261" t="str">
            <v>M20</v>
          </cell>
          <cell r="F261" t="str">
            <v>TYPE F3 (NON I.S) - 1PR</v>
          </cell>
          <cell r="G261" t="str">
            <v>1.5mm2</v>
          </cell>
          <cell r="H261" t="str">
            <v>15.00 mm</v>
          </cell>
          <cell r="I261">
            <v>25</v>
          </cell>
          <cell r="J261" t="str">
            <v>IC-100PT332</v>
          </cell>
          <cell r="K261" t="str">
            <v>FIRE FIGHTING SYSTEM</v>
          </cell>
        </row>
        <row r="263">
          <cell r="B263" t="str">
            <v>100-PIT-228</v>
          </cell>
          <cell r="C263" t="str">
            <v>M20</v>
          </cell>
          <cell r="D263" t="str">
            <v>PCS SYSTEM/MARSHALLING CABINET 100-PCS-001</v>
          </cell>
          <cell r="E263" t="str">
            <v>M20</v>
          </cell>
          <cell r="F263" t="str">
            <v>TYPE F3 (NON I.S) - 1PR</v>
          </cell>
          <cell r="G263" t="str">
            <v>1.5mm2</v>
          </cell>
          <cell r="H263" t="str">
            <v>15.00 mm</v>
          </cell>
          <cell r="I263">
            <v>30</v>
          </cell>
          <cell r="J263" t="str">
            <v>IC-100PIT228</v>
          </cell>
          <cell r="K263" t="str">
            <v>COLD VENT PACKAGE</v>
          </cell>
        </row>
        <row r="265">
          <cell r="B265" t="str">
            <v>100-CASP-001</v>
          </cell>
          <cell r="C265" t="str">
            <v>M32</v>
          </cell>
          <cell r="D265" t="str">
            <v>PCS SYSTEM/MARSHALLING CABINET 100-PCS-001</v>
          </cell>
          <cell r="E265" t="str">
            <v>M32</v>
          </cell>
          <cell r="F265" t="str">
            <v>TYPE F1 (NON I.S) - 6PR</v>
          </cell>
          <cell r="G265" t="str">
            <v>1.5 mm2</v>
          </cell>
          <cell r="H265" t="str">
            <v>28.00 mm</v>
          </cell>
          <cell r="I265">
            <v>25</v>
          </cell>
          <cell r="J265" t="str">
            <v>IC-100CASP0011</v>
          </cell>
          <cell r="K265" t="str">
            <v>CLEAN AGENT PANEL</v>
          </cell>
        </row>
        <row r="267">
          <cell r="B267" t="str">
            <v>100-PIT-301</v>
          </cell>
          <cell r="C267" t="str">
            <v>M20</v>
          </cell>
          <cell r="D267" t="str">
            <v>PCS SYSTEM/MARSHALLING CABINET 100-PCS-001</v>
          </cell>
          <cell r="E267" t="str">
            <v>M20</v>
          </cell>
          <cell r="F267" t="str">
            <v>TYPE F3  (NON I.S) -1PR</v>
          </cell>
          <cell r="G267" t="str">
            <v>1.5mm2</v>
          </cell>
          <cell r="H267" t="str">
            <v>15.00 mm</v>
          </cell>
          <cell r="I267">
            <v>25</v>
          </cell>
          <cell r="J267" t="str">
            <v>IC-100PIT301</v>
          </cell>
          <cell r="K267" t="str">
            <v>CLEAN AGENT SYSTEM</v>
          </cell>
        </row>
        <row r="269">
          <cell r="B269" t="str">
            <v>100-PS-301</v>
          </cell>
          <cell r="C269" t="str">
            <v>M20</v>
          </cell>
          <cell r="D269" t="str">
            <v>PCS SYSTEM/MARSHALLING CABINET 100-PCS-001</v>
          </cell>
          <cell r="E269" t="str">
            <v>M20</v>
          </cell>
          <cell r="F269" t="str">
            <v>TYPE F1  (NON I.S) -1PR</v>
          </cell>
          <cell r="G269" t="str">
            <v>1.5mm2</v>
          </cell>
          <cell r="H269" t="str">
            <v>15.00 mm</v>
          </cell>
          <cell r="I269">
            <v>25</v>
          </cell>
          <cell r="J269" t="str">
            <v>IC-100PS301</v>
          </cell>
          <cell r="K269" t="str">
            <v>CLEAN AGENT SYSTEM</v>
          </cell>
        </row>
        <row r="271">
          <cell r="B271" t="str">
            <v>100-DJBZFG-001</v>
          </cell>
          <cell r="C271" t="str">
            <v>M40</v>
          </cell>
          <cell r="D271" t="str">
            <v>SIS MARSHALLING CABINET 100-SIS-001B</v>
          </cell>
          <cell r="E271" t="str">
            <v>M40</v>
          </cell>
          <cell r="F271" t="str">
            <v>TYPE F1 (NON I.S) - 12PR</v>
          </cell>
          <cell r="G271" t="str">
            <v>1.5 mm2</v>
          </cell>
          <cell r="H271" t="str">
            <v>36.50 mm</v>
          </cell>
          <cell r="I271">
            <v>30</v>
          </cell>
          <cell r="J271" t="str">
            <v>IC-100DJBZFG001</v>
          </cell>
        </row>
        <row r="272">
          <cell r="B272" t="str">
            <v>100-MCP-001</v>
          </cell>
          <cell r="C272" t="str">
            <v>M20</v>
          </cell>
          <cell r="D272" t="str">
            <v>100-DJBZFG-001</v>
          </cell>
          <cell r="E272" t="str">
            <v>M20</v>
          </cell>
          <cell r="F272" t="str">
            <v>TYPE F1 (NON I.S) - 1PR</v>
          </cell>
          <cell r="G272" t="str">
            <v>1.5 mm2</v>
          </cell>
          <cell r="H272" t="str">
            <v>15.00 mm</v>
          </cell>
          <cell r="I272">
            <v>45</v>
          </cell>
          <cell r="J272" t="str">
            <v>IC-100MCP001</v>
          </cell>
          <cell r="K272" t="str">
            <v>HELI DECK</v>
          </cell>
        </row>
        <row r="273">
          <cell r="B273" t="str">
            <v>100-MCP-002</v>
          </cell>
          <cell r="C273" t="str">
            <v>M20</v>
          </cell>
          <cell r="D273" t="str">
            <v>100-DJBZFG-001</v>
          </cell>
          <cell r="E273" t="str">
            <v>M20</v>
          </cell>
          <cell r="F273" t="str">
            <v>TYPE F1 (NON I.S) - 1PR</v>
          </cell>
          <cell r="G273" t="str">
            <v>1.5 mm2</v>
          </cell>
          <cell r="H273" t="str">
            <v>15.00 mm</v>
          </cell>
          <cell r="I273">
            <v>15</v>
          </cell>
          <cell r="J273" t="str">
            <v>IC-100MCP002</v>
          </cell>
          <cell r="K273" t="str">
            <v>HELI DECK</v>
          </cell>
        </row>
        <row r="274">
          <cell r="B274" t="str">
            <v>100-MCP-005</v>
          </cell>
          <cell r="C274" t="str">
            <v>M20</v>
          </cell>
          <cell r="D274" t="str">
            <v>100-DJBZFG-001</v>
          </cell>
          <cell r="E274" t="str">
            <v>M20</v>
          </cell>
          <cell r="F274" t="str">
            <v>TYPE F1 (NON I.S) - 1PR</v>
          </cell>
          <cell r="G274" t="str">
            <v>1.5 mm2</v>
          </cell>
          <cell r="H274" t="str">
            <v>15.00 mm</v>
          </cell>
          <cell r="I274">
            <v>35</v>
          </cell>
          <cell r="J274" t="str">
            <v>IC-100MCP005</v>
          </cell>
          <cell r="K274" t="str">
            <v>CELLAR DECK</v>
          </cell>
        </row>
        <row r="275">
          <cell r="B275" t="str">
            <v>100-MCP-006</v>
          </cell>
          <cell r="C275" t="str">
            <v>M20</v>
          </cell>
          <cell r="D275" t="str">
            <v>100-DJBZFG-001</v>
          </cell>
          <cell r="E275" t="str">
            <v>M20</v>
          </cell>
          <cell r="F275" t="str">
            <v>TYPE F1 (NON I.S) - 1PR</v>
          </cell>
          <cell r="G275" t="str">
            <v>1.5 mm2</v>
          </cell>
          <cell r="H275" t="str">
            <v>15.00 mm</v>
          </cell>
          <cell r="I275">
            <v>40</v>
          </cell>
          <cell r="J275" t="str">
            <v>IC-100MCP006</v>
          </cell>
          <cell r="K275" t="str">
            <v>SUB-CELLAR DECK</v>
          </cell>
        </row>
        <row r="276">
          <cell r="B276" t="str">
            <v>100-MCP-003</v>
          </cell>
          <cell r="C276" t="str">
            <v>M20</v>
          </cell>
          <cell r="D276" t="str">
            <v>100-DJBZFG-001</v>
          </cell>
          <cell r="E276" t="str">
            <v>M20</v>
          </cell>
          <cell r="F276" t="str">
            <v>TYPE F1 (NON I.S) - 1PR</v>
          </cell>
          <cell r="G276" t="str">
            <v>1.5 mm2</v>
          </cell>
          <cell r="H276" t="str">
            <v>15.00 mm</v>
          </cell>
          <cell r="I276">
            <v>40</v>
          </cell>
          <cell r="J276" t="str">
            <v>IC-100MCP003</v>
          </cell>
          <cell r="K276" t="str">
            <v>MAIN DECK</v>
          </cell>
        </row>
        <row r="277">
          <cell r="B277" t="str">
            <v>100-MCP-004</v>
          </cell>
          <cell r="C277" t="str">
            <v>M20</v>
          </cell>
          <cell r="D277" t="str">
            <v>100-DJBZFG-001</v>
          </cell>
          <cell r="E277" t="str">
            <v>M20</v>
          </cell>
          <cell r="F277" t="str">
            <v>TYPE F1 (NON I.S) - 1PR</v>
          </cell>
          <cell r="G277" t="str">
            <v>1.5 mm2</v>
          </cell>
          <cell r="H277" t="str">
            <v>15.00 mm</v>
          </cell>
          <cell r="I277">
            <v>30</v>
          </cell>
          <cell r="J277" t="str">
            <v>IC-100MCP004</v>
          </cell>
          <cell r="K277" t="str">
            <v>MAIN DECK</v>
          </cell>
        </row>
        <row r="278">
          <cell r="B278" t="str">
            <v>100-MCP-007</v>
          </cell>
          <cell r="C278" t="str">
            <v>M20</v>
          </cell>
          <cell r="D278" t="str">
            <v>100-DJBZFG-001</v>
          </cell>
          <cell r="E278" t="str">
            <v>M20</v>
          </cell>
          <cell r="F278" t="str">
            <v>TYPE F1 (NON I.S) - 1PR</v>
          </cell>
          <cell r="G278" t="str">
            <v>1.5 mm2</v>
          </cell>
          <cell r="H278" t="str">
            <v>15.00 mm</v>
          </cell>
          <cell r="I278">
            <v>25</v>
          </cell>
          <cell r="J278" t="str">
            <v>IC-100MCP007</v>
          </cell>
          <cell r="K278" t="str">
            <v>MEZZANINE DECK</v>
          </cell>
        </row>
        <row r="279">
          <cell r="B279" t="str">
            <v>100-MCP-008</v>
          </cell>
          <cell r="C279" t="str">
            <v>M20</v>
          </cell>
          <cell r="D279" t="str">
            <v>100-DJBZFG-001</v>
          </cell>
          <cell r="E279" t="str">
            <v>M20</v>
          </cell>
          <cell r="F279" t="str">
            <v>TYPE F1 (NON I.S) - 1PR</v>
          </cell>
          <cell r="G279" t="str">
            <v>1.5 mm2</v>
          </cell>
          <cell r="H279" t="str">
            <v>15.00 mm</v>
          </cell>
          <cell r="I279">
            <v>35</v>
          </cell>
          <cell r="J279" t="str">
            <v>IC-100MCP008</v>
          </cell>
          <cell r="K279" t="str">
            <v>MEZZANINE DECK</v>
          </cell>
        </row>
        <row r="281">
          <cell r="B281" t="str">
            <v>100-DJBZFG-002</v>
          </cell>
          <cell r="C281" t="str">
            <v>M32</v>
          </cell>
          <cell r="D281" t="str">
            <v>SIS MARSHALLING CABINET 100-SIS-001B</v>
          </cell>
          <cell r="E281" t="str">
            <v>M32</v>
          </cell>
          <cell r="F281" t="str">
            <v>TYPE F1 (NON I.S) - 6PR</v>
          </cell>
          <cell r="G281" t="str">
            <v>1.5 mm2</v>
          </cell>
          <cell r="H281" t="str">
            <v>28.00 mm</v>
          </cell>
          <cell r="I281">
            <v>30</v>
          </cell>
          <cell r="J281" t="str">
            <v>IC-100DJBZFG002</v>
          </cell>
        </row>
        <row r="282">
          <cell r="B282" t="str">
            <v>100-MR-001</v>
          </cell>
          <cell r="C282" t="str">
            <v>M20</v>
          </cell>
          <cell r="D282" t="str">
            <v>100-DJBZFG-002</v>
          </cell>
          <cell r="E282" t="str">
            <v>M20</v>
          </cell>
          <cell r="F282" t="str">
            <v>TYPE F1 (NON I.S) - 1PR</v>
          </cell>
          <cell r="G282" t="str">
            <v>1.5 mm2</v>
          </cell>
          <cell r="H282" t="str">
            <v>15.00 mm</v>
          </cell>
          <cell r="I282">
            <v>45</v>
          </cell>
          <cell r="J282" t="str">
            <v>IC-100MR001</v>
          </cell>
          <cell r="K282" t="str">
            <v>HELI DECK</v>
          </cell>
        </row>
        <row r="283">
          <cell r="B283" t="str">
            <v>100-MR-002</v>
          </cell>
          <cell r="C283" t="str">
            <v>M20</v>
          </cell>
          <cell r="D283" t="str">
            <v>100-DJBZFG-002</v>
          </cell>
          <cell r="E283" t="str">
            <v>M20</v>
          </cell>
          <cell r="F283" t="str">
            <v>TYPE F1 (NON I.S) - 1PR</v>
          </cell>
          <cell r="G283" t="str">
            <v>1.5 mm2</v>
          </cell>
          <cell r="H283" t="str">
            <v>15.00 mm</v>
          </cell>
          <cell r="I283">
            <v>15</v>
          </cell>
          <cell r="J283" t="str">
            <v>IC-100MR002</v>
          </cell>
          <cell r="K283" t="str">
            <v>HELI DECK</v>
          </cell>
        </row>
        <row r="285">
          <cell r="B285" t="str">
            <v>100-H2-001</v>
          </cell>
          <cell r="C285" t="str">
            <v>M20</v>
          </cell>
          <cell r="D285" t="str">
            <v>SIS MARSHALLING CABINET 100-SIS-001B</v>
          </cell>
          <cell r="E285" t="str">
            <v>M20</v>
          </cell>
          <cell r="F285" t="str">
            <v>TYPE F2 (NON I.S) - 1TR</v>
          </cell>
          <cell r="G285" t="str">
            <v>1.5 mm2</v>
          </cell>
          <cell r="H285" t="str">
            <v>16.00 mm</v>
          </cell>
          <cell r="I285">
            <v>20</v>
          </cell>
          <cell r="J285" t="str">
            <v>IC-100H2001</v>
          </cell>
          <cell r="K285" t="str">
            <v>INSIDE BATTERY ROOM</v>
          </cell>
        </row>
        <row r="287">
          <cell r="B287" t="str">
            <v>100-H2-002</v>
          </cell>
          <cell r="C287" t="str">
            <v>M20</v>
          </cell>
          <cell r="D287" t="str">
            <v>SIS MARSHALLING CABINET 100-SIS-001B</v>
          </cell>
          <cell r="E287" t="str">
            <v>M20</v>
          </cell>
          <cell r="F287" t="str">
            <v>TYPE F2 (NON I.S) - 1TR</v>
          </cell>
          <cell r="G287" t="str">
            <v>1.5 mm2</v>
          </cell>
          <cell r="H287" t="str">
            <v>16.00 mm</v>
          </cell>
          <cell r="I287">
            <v>20</v>
          </cell>
          <cell r="J287" t="str">
            <v>IC-100H2002</v>
          </cell>
          <cell r="K287" t="str">
            <v>INSIDE BATTERY ROOM</v>
          </cell>
        </row>
        <row r="289">
          <cell r="B289" t="str">
            <v>100-SD-001</v>
          </cell>
          <cell r="C289" t="str">
            <v>M20</v>
          </cell>
          <cell r="D289" t="str">
            <v>SIS MARSHALLING CABINET 100-SIS-001B</v>
          </cell>
          <cell r="E289" t="str">
            <v>M20</v>
          </cell>
          <cell r="F289" t="str">
            <v>TYPE F1 (NON I.S) - 1PR</v>
          </cell>
          <cell r="G289" t="str">
            <v>1.5 mm2</v>
          </cell>
          <cell r="H289" t="str">
            <v>15.00 mm</v>
          </cell>
          <cell r="I289">
            <v>25</v>
          </cell>
          <cell r="J289" t="str">
            <v>IC-100SD001</v>
          </cell>
          <cell r="K289" t="str">
            <v>ELECTRICAL &amp; INSTRUMENT ROOM</v>
          </cell>
        </row>
        <row r="291">
          <cell r="B291" t="str">
            <v>100-SD-002</v>
          </cell>
          <cell r="C291" t="str">
            <v>M20</v>
          </cell>
          <cell r="D291" t="str">
            <v>SIS MARSHALLING CABINET 100-SIS-001B</v>
          </cell>
          <cell r="E291" t="str">
            <v>M20</v>
          </cell>
          <cell r="F291" t="str">
            <v>TYPE F1 (NON I.S) - 1PR</v>
          </cell>
          <cell r="G291" t="str">
            <v>1.5 mm2</v>
          </cell>
          <cell r="H291" t="str">
            <v>15.00 mm</v>
          </cell>
          <cell r="I291">
            <v>25</v>
          </cell>
          <cell r="J291" t="str">
            <v>IC-100SD002</v>
          </cell>
          <cell r="K291" t="str">
            <v>ELECTRICAL &amp; INSTRUMENT ROOM</v>
          </cell>
        </row>
        <row r="293">
          <cell r="B293" t="str">
            <v>100-SD-007</v>
          </cell>
          <cell r="C293" t="str">
            <v>M20</v>
          </cell>
          <cell r="D293" t="str">
            <v>SIS MARSHALLING CABINET 100-SIS-001B</v>
          </cell>
          <cell r="E293" t="str">
            <v>M20</v>
          </cell>
          <cell r="F293" t="str">
            <v>TYPE F1 (NON I.S) - 1PR</v>
          </cell>
          <cell r="G293" t="str">
            <v>1.5 mm2</v>
          </cell>
          <cell r="H293" t="str">
            <v>15.00 mm</v>
          </cell>
          <cell r="I293">
            <v>25</v>
          </cell>
          <cell r="J293" t="str">
            <v>IC-100SD007</v>
          </cell>
          <cell r="K293" t="str">
            <v>VENDOR SCOPE (HVAC)</v>
          </cell>
        </row>
        <row r="295">
          <cell r="B295" t="str">
            <v>100-SD-005</v>
          </cell>
          <cell r="C295" t="str">
            <v>M20</v>
          </cell>
          <cell r="D295" t="str">
            <v>SIS MARSHALLING CABINET 100-SIS-001B</v>
          </cell>
          <cell r="E295" t="str">
            <v>M20</v>
          </cell>
          <cell r="F295" t="str">
            <v>TYPE F1 (NON I.S) - 1PR</v>
          </cell>
          <cell r="G295" t="str">
            <v>1.5 mm2</v>
          </cell>
          <cell r="H295" t="str">
            <v>15.00 mm</v>
          </cell>
          <cell r="I295">
            <v>25</v>
          </cell>
          <cell r="J295" t="str">
            <v>IC-100SD005</v>
          </cell>
          <cell r="K295" t="str">
            <v>ACCOMMODATION ROOM</v>
          </cell>
        </row>
        <row r="297">
          <cell r="B297" t="str">
            <v>100-SD-006</v>
          </cell>
          <cell r="C297" t="str">
            <v>M20</v>
          </cell>
          <cell r="D297" t="str">
            <v>SIS MARSHALLING CABINET 100-SIS-001B</v>
          </cell>
          <cell r="E297" t="str">
            <v>M20</v>
          </cell>
          <cell r="F297" t="str">
            <v>TYPE F1 (NON I.S) - 1PR</v>
          </cell>
          <cell r="G297" t="str">
            <v>1.5 mm2</v>
          </cell>
          <cell r="H297" t="str">
            <v>15.00 mm</v>
          </cell>
          <cell r="I297">
            <v>25</v>
          </cell>
          <cell r="J297" t="str">
            <v>IC-100SD006</v>
          </cell>
          <cell r="K297" t="str">
            <v>ACCOMMODATION ROOM</v>
          </cell>
        </row>
        <row r="299">
          <cell r="B299" t="str">
            <v>100-SD-003</v>
          </cell>
          <cell r="C299" t="str">
            <v>M20</v>
          </cell>
          <cell r="D299" t="str">
            <v>SIS MARSHALLING CABINET 100-SIS-001B</v>
          </cell>
          <cell r="E299" t="str">
            <v>M20</v>
          </cell>
          <cell r="F299" t="str">
            <v>TYPE F1 (NON I.S) - 1PR</v>
          </cell>
          <cell r="G299" t="str">
            <v>1.5 mm2</v>
          </cell>
          <cell r="H299" t="str">
            <v>15.00 mm</v>
          </cell>
          <cell r="I299">
            <v>30</v>
          </cell>
          <cell r="J299" t="str">
            <v>IC-100SD003</v>
          </cell>
          <cell r="K299" t="str">
            <v>ELECTRICAL &amp; INSTRUMENT ROOM BELOW
RAISED FLOOR</v>
          </cell>
        </row>
        <row r="300">
          <cell r="B300" t="str">
            <v>100-LED-003</v>
          </cell>
          <cell r="C300" t="str">
            <v>M20</v>
          </cell>
          <cell r="D300" t="str">
            <v>100-SD-003</v>
          </cell>
          <cell r="E300" t="str">
            <v>M20</v>
          </cell>
          <cell r="F300" t="str">
            <v>TYPE F1 (NON I.S) - 1PR</v>
          </cell>
          <cell r="G300" t="str">
            <v>1.5  mm2</v>
          </cell>
          <cell r="H300" t="str">
            <v>15.00 mm</v>
          </cell>
          <cell r="I300">
            <v>20</v>
          </cell>
          <cell r="J300" t="str">
            <v>IC-100LED003</v>
          </cell>
          <cell r="K300" t="str">
            <v>REMOTE LED FOR 100-SD-003 IN ELECTRICAL &amp; INSTRUMENT ROOM</v>
          </cell>
        </row>
        <row r="302">
          <cell r="B302" t="str">
            <v>100-SD-004</v>
          </cell>
          <cell r="C302" t="str">
            <v>M20</v>
          </cell>
          <cell r="D302" t="str">
            <v>SIS MARSHALLING CABINET 100-SIS-001B</v>
          </cell>
          <cell r="E302" t="str">
            <v>M20</v>
          </cell>
          <cell r="F302" t="str">
            <v>TYPE F1 (NON I.S) - 1PR</v>
          </cell>
          <cell r="G302" t="str">
            <v>1.5 mm2</v>
          </cell>
          <cell r="H302" t="str">
            <v>15.00 mm</v>
          </cell>
          <cell r="I302">
            <v>30</v>
          </cell>
          <cell r="J302" t="str">
            <v>IC-100SD004</v>
          </cell>
          <cell r="K302" t="str">
            <v>ELECTRICAL &amp; INSTRUMENT ROOM BELOW
RAISED FLOOR</v>
          </cell>
        </row>
        <row r="303">
          <cell r="B303" t="str">
            <v>100-LED-004</v>
          </cell>
          <cell r="C303" t="str">
            <v>M20</v>
          </cell>
          <cell r="D303" t="str">
            <v>100-SD-004</v>
          </cell>
          <cell r="E303" t="str">
            <v>M20</v>
          </cell>
          <cell r="F303" t="str">
            <v>TYPE F1 (NON I.S) - 1PR</v>
          </cell>
          <cell r="G303" t="str">
            <v>1.5 mm2</v>
          </cell>
          <cell r="H303" t="str">
            <v>15.00 mm</v>
          </cell>
          <cell r="I303">
            <v>20</v>
          </cell>
          <cell r="J303" t="str">
            <v>IC-100LED004</v>
          </cell>
          <cell r="K303" t="str">
            <v>REMOTE LED FOR 100-SD-004 IN ELECTRICAL &amp; INSTRUMENT ROOM</v>
          </cell>
        </row>
        <row r="305">
          <cell r="B305" t="str">
            <v>PANEL 100-PK-003A</v>
          </cell>
          <cell r="C305" t="str">
            <v>M20</v>
          </cell>
          <cell r="D305" t="str">
            <v>SIS MARSHALLING CABINET 100-SIS-001B</v>
          </cell>
          <cell r="E305" t="str">
            <v>M20</v>
          </cell>
          <cell r="F305" t="str">
            <v>TYPE F1 (NON I.S) - 1PR</v>
          </cell>
          <cell r="G305" t="str">
            <v>1.5 mm2</v>
          </cell>
          <cell r="H305" t="str">
            <v>15.00 mm</v>
          </cell>
          <cell r="I305">
            <v>35</v>
          </cell>
          <cell r="J305" t="str">
            <v>IC-100PK003A3</v>
          </cell>
          <cell r="K305" t="str">
            <v>DIESEL GENERATOR PACKAGE</v>
          </cell>
        </row>
        <row r="307">
          <cell r="B307" t="str">
            <v>PANEL 100-PK-003B</v>
          </cell>
          <cell r="C307" t="str">
            <v>M20</v>
          </cell>
          <cell r="D307" t="str">
            <v>SIS MARSHALLING CABINET 100-SIS-001B</v>
          </cell>
          <cell r="E307" t="str">
            <v>M20</v>
          </cell>
          <cell r="F307" t="str">
            <v>TYPE F1 (NON I.S) - 1PR</v>
          </cell>
          <cell r="G307" t="str">
            <v>1.5 mm2</v>
          </cell>
          <cell r="H307" t="str">
            <v>15.00 mm</v>
          </cell>
          <cell r="I307">
            <v>35</v>
          </cell>
          <cell r="J307" t="str">
            <v>IC-100PK003B3</v>
          </cell>
          <cell r="K307" t="str">
            <v>DIESEL GENERATOR PACKAGE</v>
          </cell>
        </row>
        <row r="309">
          <cell r="B309" t="str">
            <v>100-GD-001</v>
          </cell>
          <cell r="C309" t="str">
            <v>M20</v>
          </cell>
          <cell r="D309" t="str">
            <v>SIS MARSHALLING CABINET 100-SIS-001B</v>
          </cell>
          <cell r="E309" t="str">
            <v>M20</v>
          </cell>
          <cell r="F309" t="str">
            <v>TYPE F2 (NON I.S) - 1TR</v>
          </cell>
          <cell r="G309" t="str">
            <v>1.5 mm2</v>
          </cell>
          <cell r="H309" t="str">
            <v>16.00 mm</v>
          </cell>
          <cell r="I309">
            <v>20</v>
          </cell>
          <cell r="J309" t="str">
            <v>IC-100GD001</v>
          </cell>
          <cell r="K309" t="str">
            <v>HVAC AIR INTAKE</v>
          </cell>
        </row>
        <row r="311">
          <cell r="B311" t="str">
            <v>100-GD-002</v>
          </cell>
          <cell r="C311" t="str">
            <v>M20</v>
          </cell>
          <cell r="D311" t="str">
            <v>SIS MARSHALLING CABINET 100-SIS-001B</v>
          </cell>
          <cell r="E311" t="str">
            <v>M20</v>
          </cell>
          <cell r="F311" t="str">
            <v>TYPE F2 (NON I.S) - 1TR</v>
          </cell>
          <cell r="G311" t="str">
            <v>1.5 mm2</v>
          </cell>
          <cell r="H311" t="str">
            <v>16.00 mm</v>
          </cell>
          <cell r="I311">
            <v>20</v>
          </cell>
          <cell r="J311" t="str">
            <v>IC-100GD002</v>
          </cell>
          <cell r="K311" t="str">
            <v>HVAC AIR INTAKE</v>
          </cell>
        </row>
        <row r="313">
          <cell r="B313" t="str">
            <v>100-GD-003</v>
          </cell>
          <cell r="C313" t="str">
            <v>M20</v>
          </cell>
          <cell r="D313" t="str">
            <v>SIS MARSHALLING CABINET 100-SIS-001B</v>
          </cell>
          <cell r="E313" t="str">
            <v>M20</v>
          </cell>
          <cell r="F313" t="str">
            <v>TYPE F2 (NON I.S) - 1TR</v>
          </cell>
          <cell r="G313" t="str">
            <v>1.5 mm2</v>
          </cell>
          <cell r="H313" t="str">
            <v>16.00 mm</v>
          </cell>
          <cell r="I313">
            <v>20</v>
          </cell>
          <cell r="J313" t="str">
            <v>IC-100GD003</v>
          </cell>
          <cell r="K313" t="str">
            <v>HVAC AIR INTAKE</v>
          </cell>
        </row>
        <row r="315">
          <cell r="B315" t="str">
            <v>100-SV-323</v>
          </cell>
          <cell r="C315" t="str">
            <v>M20</v>
          </cell>
          <cell r="D315" t="str">
            <v>SIS MARSHALLING CABINET 100-SIS-001B</v>
          </cell>
          <cell r="E315" t="str">
            <v>M20</v>
          </cell>
          <cell r="F315" t="str">
            <v>TYPE F1 (NON I.S) - 1PR</v>
          </cell>
          <cell r="G315" t="str">
            <v>2.5 mm2</v>
          </cell>
          <cell r="H315" t="str">
            <v>16.50 mm</v>
          </cell>
          <cell r="I315">
            <v>25</v>
          </cell>
          <cell r="J315" t="str">
            <v>IC-100SV323</v>
          </cell>
          <cell r="K315" t="str">
            <v>FIRE FIGHTING SYSTEM</v>
          </cell>
        </row>
        <row r="317">
          <cell r="B317" t="str">
            <v>100-AJBZFG-001</v>
          </cell>
          <cell r="C317" t="str">
            <v>M40</v>
          </cell>
          <cell r="D317" t="str">
            <v>SIS MARSHALLING CABINET 100-SIS-001B</v>
          </cell>
          <cell r="E317" t="str">
            <v>M40</v>
          </cell>
          <cell r="F317" t="str">
            <v>TYPE F2 (NON I.S) - 6TR</v>
          </cell>
          <cell r="G317" t="str">
            <v>1.5 mm2</v>
          </cell>
          <cell r="H317" t="str">
            <v>37.15 mm</v>
          </cell>
          <cell r="I317">
            <v>35</v>
          </cell>
          <cell r="J317" t="str">
            <v>IC-100AJBZFG001</v>
          </cell>
        </row>
        <row r="318">
          <cell r="B318" t="str">
            <v>100-FD-009</v>
          </cell>
          <cell r="C318" t="str">
            <v>M20</v>
          </cell>
          <cell r="D318" t="str">
            <v>100-AJBZFG-001</v>
          </cell>
          <cell r="E318" t="str">
            <v>M20</v>
          </cell>
          <cell r="F318" t="str">
            <v>TYPE F2 (NON I.S) - 1TR</v>
          </cell>
          <cell r="G318" t="str">
            <v>1.5 mm2</v>
          </cell>
          <cell r="H318" t="str">
            <v>16.00 mm</v>
          </cell>
          <cell r="I318">
            <v>30</v>
          </cell>
          <cell r="J318" t="str">
            <v>IC-100FD009</v>
          </cell>
        </row>
        <row r="319">
          <cell r="B319" t="str">
            <v>100-FD-010</v>
          </cell>
          <cell r="C319" t="str">
            <v>M20</v>
          </cell>
          <cell r="D319" t="str">
            <v>100-AJBZFG-001</v>
          </cell>
          <cell r="E319" t="str">
            <v>M20</v>
          </cell>
          <cell r="F319" t="str">
            <v>TYPE F2 (NON I.S) - 1TR</v>
          </cell>
          <cell r="G319" t="str">
            <v>1.5 mm2</v>
          </cell>
          <cell r="H319" t="str">
            <v>16.00 mm</v>
          </cell>
          <cell r="I319">
            <v>10</v>
          </cell>
          <cell r="J319" t="str">
            <v>IC-100FD010</v>
          </cell>
        </row>
        <row r="321">
          <cell r="B321" t="str">
            <v>100-AJBZFG-101</v>
          </cell>
          <cell r="C321" t="str">
            <v>M32</v>
          </cell>
          <cell r="D321" t="str">
            <v>SIS MARSHALLING CABINET 100-SIS-001B</v>
          </cell>
          <cell r="E321" t="str">
            <v>M32</v>
          </cell>
          <cell r="F321" t="str">
            <v>TYPE F3 (NON I.S) - 6PR</v>
          </cell>
          <cell r="G321" t="str">
            <v>0.75 mm2</v>
          </cell>
          <cell r="H321" t="str">
            <v>29.5 mm</v>
          </cell>
          <cell r="I321">
            <v>30</v>
          </cell>
          <cell r="J321" t="str">
            <v>IC-100AJBZFG101</v>
          </cell>
          <cell r="K321" t="str">
            <v>COLD VENT PACKAGE</v>
          </cell>
        </row>
        <row r="323">
          <cell r="B323" t="str">
            <v>100-SV-910</v>
          </cell>
          <cell r="C323" t="str">
            <v>M20</v>
          </cell>
          <cell r="D323" t="str">
            <v>SIS MARSHALLING CABINET 100-SIS-001B</v>
          </cell>
          <cell r="E323" t="str">
            <v>M20</v>
          </cell>
          <cell r="F323" t="str">
            <v>TYPE F1 (NON I.S) - 1PR</v>
          </cell>
          <cell r="G323" t="str">
            <v>2.5 mm2</v>
          </cell>
          <cell r="H323" t="str">
            <v>16.5mm</v>
          </cell>
          <cell r="I323">
            <v>30</v>
          </cell>
          <cell r="J323" t="str">
            <v>IC-100SV910</v>
          </cell>
          <cell r="K323" t="str">
            <v>COLD VENT PACKAGE</v>
          </cell>
        </row>
        <row r="325">
          <cell r="B325" t="str">
            <v>100-PS-401</v>
          </cell>
          <cell r="C325" t="str">
            <v>M20</v>
          </cell>
          <cell r="D325" t="str">
            <v>SIS MARSHALLING CABINET 100-SIS-001B</v>
          </cell>
          <cell r="E325" t="str">
            <v>M20</v>
          </cell>
          <cell r="F325" t="str">
            <v>TYPE F1 (NON I.S) - 1PR</v>
          </cell>
          <cell r="G325" t="str">
            <v>1.5 mm2</v>
          </cell>
          <cell r="H325" t="str">
            <v>15.00 mm</v>
          </cell>
          <cell r="I325">
            <v>30</v>
          </cell>
          <cell r="J325" t="str">
            <v>IC-100PS401</v>
          </cell>
          <cell r="K325" t="str">
            <v>COLD VENT PACKAGE</v>
          </cell>
        </row>
        <row r="327">
          <cell r="B327" t="str">
            <v>100-CASP-001</v>
          </cell>
          <cell r="C327" t="str">
            <v>M20</v>
          </cell>
          <cell r="D327" t="str">
            <v>SIS MARSHALLING CABINET 100-SIS-001B</v>
          </cell>
          <cell r="E327" t="str">
            <v>M20</v>
          </cell>
          <cell r="F327" t="str">
            <v>TYPE F1 (NON I.S) - 1PR</v>
          </cell>
          <cell r="G327" t="str">
            <v>2.5 mm2</v>
          </cell>
          <cell r="H327" t="str">
            <v>16.5mm</v>
          </cell>
          <cell r="I327">
            <v>25</v>
          </cell>
          <cell r="J327" t="str">
            <v>IC-100CASP0012</v>
          </cell>
          <cell r="K327" t="str">
            <v>CLEAN AGENT SYSTEM PANEL</v>
          </cell>
        </row>
        <row r="329">
          <cell r="B329" t="str">
            <v>100-PS-302</v>
          </cell>
          <cell r="C329" t="str">
            <v>M20</v>
          </cell>
          <cell r="D329" t="str">
            <v>SIS MARSHALLING CABINET 100-SIS-001B</v>
          </cell>
          <cell r="E329" t="str">
            <v>M20</v>
          </cell>
          <cell r="F329" t="str">
            <v>TYPE F1 (NON I.S) - 1PR</v>
          </cell>
          <cell r="G329" t="str">
            <v>1.5 mm2</v>
          </cell>
          <cell r="H329" t="str">
            <v>15.00 mm</v>
          </cell>
          <cell r="I329">
            <v>25</v>
          </cell>
          <cell r="J329" t="str">
            <v>IC-100PS302</v>
          </cell>
          <cell r="K329" t="str">
            <v>CLEAN AGENT SYSTEM</v>
          </cell>
        </row>
        <row r="331">
          <cell r="B331" t="str">
            <v>100-AJBZFG-002</v>
          </cell>
          <cell r="C331" t="str">
            <v>M40</v>
          </cell>
          <cell r="D331" t="str">
            <v>SIS MARSHALLING CABINET 100-SIS-001B</v>
          </cell>
          <cell r="E331" t="str">
            <v>M40</v>
          </cell>
          <cell r="F331" t="str">
            <v>TYPE F2 (NON I.S) - 6TR</v>
          </cell>
          <cell r="G331" t="str">
            <v>1.5 mm2</v>
          </cell>
          <cell r="H331" t="str">
            <v>37.15 mm</v>
          </cell>
          <cell r="I331">
            <v>25</v>
          </cell>
          <cell r="J331" t="str">
            <v>IC-100AJBZFG002</v>
          </cell>
        </row>
        <row r="332">
          <cell r="B332" t="str">
            <v>100-GD-004</v>
          </cell>
          <cell r="C332" t="str">
            <v>M20</v>
          </cell>
          <cell r="D332" t="str">
            <v>100-AJBZFG-002</v>
          </cell>
          <cell r="E332" t="str">
            <v>M20</v>
          </cell>
          <cell r="F332" t="str">
            <v>TYPE F2 (NON I.S) - 1TR</v>
          </cell>
          <cell r="G332" t="str">
            <v>1.5 mm2</v>
          </cell>
          <cell r="H332" t="str">
            <v>16.00 mm</v>
          </cell>
          <cell r="I332">
            <v>10</v>
          </cell>
          <cell r="J332" t="str">
            <v>IC-100GD004</v>
          </cell>
        </row>
        <row r="333">
          <cell r="B333" t="str">
            <v>100-GD-005</v>
          </cell>
          <cell r="C333" t="str">
            <v>M20</v>
          </cell>
          <cell r="D333" t="str">
            <v>100-AJBZFG-002</v>
          </cell>
          <cell r="E333" t="str">
            <v>M20</v>
          </cell>
          <cell r="F333" t="str">
            <v>TYPE F2 (NON I.S) - 1TR</v>
          </cell>
          <cell r="G333" t="str">
            <v>1.5 mm2</v>
          </cell>
          <cell r="H333" t="str">
            <v>16.00 mm</v>
          </cell>
          <cell r="I333">
            <v>20</v>
          </cell>
          <cell r="J333" t="str">
            <v>IC-100GD005</v>
          </cell>
        </row>
        <row r="334">
          <cell r="B334" t="str">
            <v>100-GD-006</v>
          </cell>
          <cell r="C334" t="str">
            <v>M20</v>
          </cell>
          <cell r="D334" t="str">
            <v>100-AJBZFG-002</v>
          </cell>
          <cell r="E334" t="str">
            <v>M20</v>
          </cell>
          <cell r="F334" t="str">
            <v>TYPE F2 (NON I.S) - 1TR</v>
          </cell>
          <cell r="G334" t="str">
            <v>1.5 mm2</v>
          </cell>
          <cell r="H334" t="str">
            <v>16.00 mm</v>
          </cell>
          <cell r="I334">
            <v>30</v>
          </cell>
          <cell r="J334" t="str">
            <v>IC-100GD006</v>
          </cell>
        </row>
        <row r="335">
          <cell r="B335" t="str">
            <v>100-GD-007</v>
          </cell>
          <cell r="C335" t="str">
            <v>M20</v>
          </cell>
          <cell r="D335" t="str">
            <v>100-AJBZFG-002</v>
          </cell>
          <cell r="E335" t="str">
            <v>M20</v>
          </cell>
          <cell r="F335" t="str">
            <v>TYPE F2 (NON I.S) - 1TR</v>
          </cell>
          <cell r="G335" t="str">
            <v>1.5 mm2</v>
          </cell>
          <cell r="H335" t="str">
            <v>16.00 mm</v>
          </cell>
          <cell r="I335">
            <v>20</v>
          </cell>
          <cell r="J335" t="str">
            <v>IC-100GD007</v>
          </cell>
        </row>
        <row r="336">
          <cell r="B336" t="str">
            <v>100-FD-001</v>
          </cell>
          <cell r="C336" t="str">
            <v>M20</v>
          </cell>
          <cell r="D336" t="str">
            <v>100-AJBZFG-002</v>
          </cell>
          <cell r="E336" t="str">
            <v>M20</v>
          </cell>
          <cell r="F336" t="str">
            <v>TYPE F2 (NON I.S) - 1TR</v>
          </cell>
          <cell r="G336" t="str">
            <v>1.5 mm2</v>
          </cell>
          <cell r="H336" t="str">
            <v>16.00 mm</v>
          </cell>
          <cell r="I336">
            <v>15</v>
          </cell>
          <cell r="J336" t="str">
            <v>IC-100FD001</v>
          </cell>
        </row>
        <row r="338">
          <cell r="B338" t="str">
            <v>100-AJBZFG-102</v>
          </cell>
          <cell r="C338" t="str">
            <v>M32</v>
          </cell>
          <cell r="D338" t="str">
            <v>SIS MARSHALLING CABINET 100-SIS-001B</v>
          </cell>
          <cell r="E338" t="str">
            <v>M32</v>
          </cell>
          <cell r="F338" t="str">
            <v>TYPE F3 (NON I.S) - 6PR</v>
          </cell>
          <cell r="G338" t="str">
            <v>0.75 mm2</v>
          </cell>
          <cell r="H338" t="str">
            <v>29.5 mm</v>
          </cell>
          <cell r="I338">
            <v>25</v>
          </cell>
          <cell r="J338" t="str">
            <v>IC-100AJBZFG102</v>
          </cell>
          <cell r="K338" t="str">
            <v>WHCP PANEL 100-WHCP-001</v>
          </cell>
        </row>
        <row r="340">
          <cell r="B340" t="str">
            <v>100-AJBZFG-003</v>
          </cell>
          <cell r="C340" t="str">
            <v>M40</v>
          </cell>
          <cell r="D340" t="str">
            <v>SIS MARSHALLING CABINET 100-SIS-001B</v>
          </cell>
          <cell r="E340" t="str">
            <v>M40</v>
          </cell>
          <cell r="F340" t="str">
            <v>TYPE F2 (NON I.S) - 6TR</v>
          </cell>
          <cell r="G340" t="str">
            <v>1.5 mm2</v>
          </cell>
          <cell r="H340" t="str">
            <v>37.15 mm</v>
          </cell>
          <cell r="I340">
            <v>40</v>
          </cell>
          <cell r="J340" t="str">
            <v>IC-100AJBZFG003</v>
          </cell>
        </row>
        <row r="341">
          <cell r="B341" t="str">
            <v>100-FD-005</v>
          </cell>
          <cell r="C341" t="str">
            <v>M20</v>
          </cell>
          <cell r="D341" t="str">
            <v>100-AJBZFG-003</v>
          </cell>
          <cell r="E341" t="str">
            <v>M20</v>
          </cell>
          <cell r="F341" t="str">
            <v>TYPE F2 (NON I.S) - 1TR</v>
          </cell>
          <cell r="G341" t="str">
            <v>1.5 mm2</v>
          </cell>
          <cell r="H341" t="str">
            <v>16.00 mm</v>
          </cell>
          <cell r="I341">
            <v>15</v>
          </cell>
          <cell r="J341" t="str">
            <v>IC-100FD005</v>
          </cell>
        </row>
        <row r="342">
          <cell r="B342" t="str">
            <v>100-GD-012</v>
          </cell>
          <cell r="C342" t="str">
            <v>M20</v>
          </cell>
          <cell r="D342" t="str">
            <v>100-AJBZFG-003</v>
          </cell>
          <cell r="E342" t="str">
            <v>M20</v>
          </cell>
          <cell r="F342" t="str">
            <v>TYPE F2 (NON I.S) - 1TR</v>
          </cell>
          <cell r="G342" t="str">
            <v>1.5 mm2</v>
          </cell>
          <cell r="H342" t="str">
            <v>16.00 mm</v>
          </cell>
          <cell r="I342">
            <v>10</v>
          </cell>
          <cell r="J342" t="str">
            <v>IC-100GD012</v>
          </cell>
        </row>
        <row r="343">
          <cell r="B343" t="str">
            <v>100-GD-013</v>
          </cell>
          <cell r="C343" t="str">
            <v>M20</v>
          </cell>
          <cell r="D343" t="str">
            <v>100-AJBZFG-003</v>
          </cell>
          <cell r="E343" t="str">
            <v>M20</v>
          </cell>
          <cell r="F343" t="str">
            <v>TYPE F2 (NON I.S) - 1TR</v>
          </cell>
          <cell r="G343" t="str">
            <v>1.5 mm2</v>
          </cell>
          <cell r="H343" t="str">
            <v>16.00 mm</v>
          </cell>
          <cell r="I343">
            <v>20</v>
          </cell>
          <cell r="J343" t="str">
            <v>IC-100GD013</v>
          </cell>
        </row>
        <row r="344">
          <cell r="B344" t="str">
            <v>100-GD-014</v>
          </cell>
          <cell r="C344" t="str">
            <v>M20</v>
          </cell>
          <cell r="D344" t="str">
            <v>100-AJBZFG-003</v>
          </cell>
          <cell r="E344" t="str">
            <v>M20</v>
          </cell>
          <cell r="F344" t="str">
            <v>TYPE F2 (NON I.S) - 1TR</v>
          </cell>
          <cell r="G344" t="str">
            <v>1.5 mm2</v>
          </cell>
          <cell r="H344" t="str">
            <v>16.00 mm</v>
          </cell>
          <cell r="I344">
            <v>30</v>
          </cell>
          <cell r="J344" t="str">
            <v>IC-100GD014</v>
          </cell>
        </row>
        <row r="345">
          <cell r="B345" t="str">
            <v>100-GD-015</v>
          </cell>
          <cell r="C345" t="str">
            <v>M20</v>
          </cell>
          <cell r="D345" t="str">
            <v>100-AJBZFG-003</v>
          </cell>
          <cell r="E345" t="str">
            <v>M20</v>
          </cell>
          <cell r="F345" t="str">
            <v>TYPE F2 (NON I.S) - 1TR</v>
          </cell>
          <cell r="G345" t="str">
            <v>1.5 mm2</v>
          </cell>
          <cell r="H345" t="str">
            <v>16.00 mm</v>
          </cell>
          <cell r="I345">
            <v>40</v>
          </cell>
          <cell r="J345" t="str">
            <v>IC-100GD015</v>
          </cell>
        </row>
        <row r="347">
          <cell r="B347" t="str">
            <v>100-AJBZFG-004</v>
          </cell>
          <cell r="C347" t="str">
            <v>M40</v>
          </cell>
          <cell r="D347" t="str">
            <v>SIS MARSHALLING CABINET 100-SIS-001B</v>
          </cell>
          <cell r="E347" t="str">
            <v>M40</v>
          </cell>
          <cell r="F347" t="str">
            <v>TYPE F2 (NON I.S) - 6TR</v>
          </cell>
          <cell r="G347" t="str">
            <v>1.5 mm2</v>
          </cell>
          <cell r="H347" t="str">
            <v>37.15 mm</v>
          </cell>
          <cell r="I347">
            <v>30</v>
          </cell>
          <cell r="J347" t="str">
            <v>IC-100AJBZFG004</v>
          </cell>
        </row>
        <row r="348">
          <cell r="B348" t="str">
            <v>100-FD-006</v>
          </cell>
          <cell r="C348" t="str">
            <v>M20</v>
          </cell>
          <cell r="D348" t="str">
            <v>100-AJBZFG-004</v>
          </cell>
          <cell r="E348" t="str">
            <v>M20</v>
          </cell>
          <cell r="F348" t="str">
            <v>TYPE F2 (NON I.S) - 1TR</v>
          </cell>
          <cell r="G348" t="str">
            <v>1.5 mm2</v>
          </cell>
          <cell r="H348" t="str">
            <v>16.00 mm</v>
          </cell>
          <cell r="I348">
            <v>10</v>
          </cell>
          <cell r="J348" t="str">
            <v>IC-100FD006</v>
          </cell>
        </row>
        <row r="349">
          <cell r="B349" t="str">
            <v>100-GD-008</v>
          </cell>
          <cell r="C349" t="str">
            <v>M20</v>
          </cell>
          <cell r="D349" t="str">
            <v>100-AJBZFG-004</v>
          </cell>
          <cell r="E349" t="str">
            <v>M20</v>
          </cell>
          <cell r="F349" t="str">
            <v>TYPE F2 (NON I.S) - 1TR</v>
          </cell>
          <cell r="G349" t="str">
            <v>1.5 mm2</v>
          </cell>
          <cell r="H349" t="str">
            <v>16.00 mm</v>
          </cell>
          <cell r="I349">
            <v>10</v>
          </cell>
          <cell r="J349" t="str">
            <v>IC-100GD008</v>
          </cell>
        </row>
        <row r="350">
          <cell r="B350" t="str">
            <v>100-GD-009</v>
          </cell>
          <cell r="C350" t="str">
            <v>M20</v>
          </cell>
          <cell r="D350" t="str">
            <v>100-AJBZFG-004</v>
          </cell>
          <cell r="E350" t="str">
            <v>M20</v>
          </cell>
          <cell r="F350" t="str">
            <v>TYPE F2 (NON I.S) - 1TR</v>
          </cell>
          <cell r="G350" t="str">
            <v>1.5 mm2</v>
          </cell>
          <cell r="H350" t="str">
            <v>16.00 mm</v>
          </cell>
          <cell r="I350">
            <v>35</v>
          </cell>
          <cell r="J350" t="str">
            <v>IC-100GD009</v>
          </cell>
        </row>
        <row r="351">
          <cell r="B351" t="str">
            <v>100-FD-003</v>
          </cell>
          <cell r="C351" t="str">
            <v>M20</v>
          </cell>
          <cell r="D351" t="str">
            <v>100-AJBZFG-004</v>
          </cell>
          <cell r="E351" t="str">
            <v>M20</v>
          </cell>
          <cell r="F351" t="str">
            <v>TYPE F2 (NON I.S) - 1TR</v>
          </cell>
          <cell r="G351" t="str">
            <v>1.5 mm2</v>
          </cell>
          <cell r="H351" t="str">
            <v>16.00 mm</v>
          </cell>
          <cell r="I351">
            <v>25</v>
          </cell>
          <cell r="J351" t="str">
            <v>IC-100FD003</v>
          </cell>
        </row>
        <row r="352">
          <cell r="B352" t="str">
            <v>100-GD-011</v>
          </cell>
          <cell r="C352" t="str">
            <v>M20</v>
          </cell>
          <cell r="D352" t="str">
            <v>100-AJBZFG-004</v>
          </cell>
          <cell r="E352" t="str">
            <v>M20</v>
          </cell>
          <cell r="F352" t="str">
            <v>TYPE F2 (NON I.S) - 1TR</v>
          </cell>
          <cell r="G352" t="str">
            <v>1.5 mm2</v>
          </cell>
          <cell r="H352" t="str">
            <v>16.00 mm</v>
          </cell>
          <cell r="I352">
            <v>10</v>
          </cell>
          <cell r="J352" t="str">
            <v>IC-100GD011</v>
          </cell>
        </row>
        <row r="354">
          <cell r="B354" t="str">
            <v>100-AJBZFG-006</v>
          </cell>
          <cell r="C354" t="str">
            <v>M40</v>
          </cell>
          <cell r="D354" t="str">
            <v>SIS MARSHALLING CABINET 100-SIS-001B</v>
          </cell>
          <cell r="E354" t="str">
            <v>M40</v>
          </cell>
          <cell r="F354" t="str">
            <v>TYPE F2 (NON I.S) - 6TR</v>
          </cell>
          <cell r="G354" t="str">
            <v>1.5 mm2</v>
          </cell>
          <cell r="H354" t="str">
            <v>37.15 mm</v>
          </cell>
          <cell r="I354">
            <v>40</v>
          </cell>
          <cell r="J354" t="str">
            <v>IC-100AJBZFG006</v>
          </cell>
        </row>
        <row r="355">
          <cell r="B355" t="str">
            <v>100-FD-002</v>
          </cell>
          <cell r="C355" t="str">
            <v>M20</v>
          </cell>
          <cell r="D355" t="str">
            <v>100-AJBZFG-006</v>
          </cell>
          <cell r="E355" t="str">
            <v>M20</v>
          </cell>
          <cell r="F355" t="str">
            <v>TYPE F2 (NON I.S) - 1TR</v>
          </cell>
          <cell r="G355" t="str">
            <v>1.5 mm2</v>
          </cell>
          <cell r="H355" t="str">
            <v>16.00 mm</v>
          </cell>
          <cell r="I355">
            <v>20</v>
          </cell>
          <cell r="J355" t="str">
            <v>IC-100FD002</v>
          </cell>
          <cell r="K355" t="str">
            <v>MEZZANINE DECK</v>
          </cell>
        </row>
        <row r="356">
          <cell r="B356" t="str">
            <v>100-GD-010</v>
          </cell>
          <cell r="C356" t="str">
            <v>M20</v>
          </cell>
          <cell r="D356" t="str">
            <v>100-AJBZFG-006</v>
          </cell>
          <cell r="E356" t="str">
            <v>M20</v>
          </cell>
          <cell r="F356" t="str">
            <v>TYPE F2 (NON I.S) - 1TR</v>
          </cell>
          <cell r="G356" t="str">
            <v>1.5 mm2</v>
          </cell>
          <cell r="H356" t="str">
            <v>16.00 mm</v>
          </cell>
          <cell r="I356">
            <v>15</v>
          </cell>
          <cell r="J356" t="str">
            <v>IC-100GD010</v>
          </cell>
        </row>
        <row r="357">
          <cell r="B357" t="str">
            <v>100-FD-004</v>
          </cell>
          <cell r="C357" t="str">
            <v>M20</v>
          </cell>
          <cell r="D357" t="str">
            <v>100-AJBZFG-006</v>
          </cell>
          <cell r="E357" t="str">
            <v>M20</v>
          </cell>
          <cell r="F357" t="str">
            <v>TYPE F2 (NON I.S) - 1TR</v>
          </cell>
          <cell r="G357" t="str">
            <v>1.5 mm2</v>
          </cell>
          <cell r="H357" t="str">
            <v>16.00 mm</v>
          </cell>
          <cell r="I357">
            <v>40</v>
          </cell>
          <cell r="J357" t="str">
            <v>IC-100FD004</v>
          </cell>
        </row>
        <row r="359">
          <cell r="B359" t="str">
            <v>100-AJBZFG-005</v>
          </cell>
          <cell r="C359" t="str">
            <v>M40</v>
          </cell>
          <cell r="D359" t="str">
            <v>SIS MARSHALLING CABINET 100-SIS-001B</v>
          </cell>
          <cell r="E359" t="str">
            <v>M40</v>
          </cell>
          <cell r="F359" t="str">
            <v>TYPE F2 (NON I.S) - 6TR</v>
          </cell>
          <cell r="G359" t="str">
            <v>1.5mm2</v>
          </cell>
          <cell r="H359" t="str">
            <v>37.15 mm</v>
          </cell>
          <cell r="I359">
            <v>30</v>
          </cell>
          <cell r="J359" t="str">
            <v>IC-100AJBZFG005</v>
          </cell>
        </row>
        <row r="360">
          <cell r="B360" t="str">
            <v>100-FD-007</v>
          </cell>
          <cell r="C360" t="str">
            <v>M20</v>
          </cell>
          <cell r="D360" t="str">
            <v>100-AJBZFG-005</v>
          </cell>
          <cell r="E360" t="str">
            <v>M20</v>
          </cell>
          <cell r="F360" t="str">
            <v>TYPE F2 (NON I.S) - 1TR</v>
          </cell>
          <cell r="G360" t="str">
            <v>1.5 mm2</v>
          </cell>
          <cell r="H360" t="str">
            <v>16.00 mm</v>
          </cell>
          <cell r="I360">
            <v>25</v>
          </cell>
          <cell r="J360" t="str">
            <v>IC-100FD007</v>
          </cell>
          <cell r="K360" t="str">
            <v>SUB-CELLAR DECK</v>
          </cell>
        </row>
        <row r="361">
          <cell r="B361" t="str">
            <v>100-FD-008</v>
          </cell>
          <cell r="C361" t="str">
            <v>M20</v>
          </cell>
          <cell r="D361" t="str">
            <v>100-AJBZFG-005</v>
          </cell>
          <cell r="E361" t="str">
            <v>M20</v>
          </cell>
          <cell r="F361" t="str">
            <v>TYPE F2 (NON I.S) - 1TR</v>
          </cell>
          <cell r="G361" t="str">
            <v>1.5 mm2</v>
          </cell>
          <cell r="H361" t="str">
            <v>16.00 mm</v>
          </cell>
          <cell r="I361">
            <v>25</v>
          </cell>
          <cell r="J361" t="str">
            <v>IC-100FD008</v>
          </cell>
          <cell r="K361" t="str">
            <v>SUB-CELLAR DECK</v>
          </cell>
        </row>
        <row r="362">
          <cell r="B362" t="str">
            <v>100-GD-016</v>
          </cell>
          <cell r="C362" t="str">
            <v>M20</v>
          </cell>
          <cell r="D362" t="str">
            <v>100-AJBZFG-005</v>
          </cell>
          <cell r="E362" t="str">
            <v>M20</v>
          </cell>
          <cell r="F362" t="str">
            <v>TYPE F2 (NON I.S) - 1TR</v>
          </cell>
          <cell r="G362" t="str">
            <v>1.5 mm2</v>
          </cell>
          <cell r="H362" t="str">
            <v>16.00 mm</v>
          </cell>
          <cell r="I362">
            <v>25</v>
          </cell>
          <cell r="J362" t="str">
            <v>IC-100GD016</v>
          </cell>
          <cell r="K362" t="str">
            <v>SUB-CELLAR DECK</v>
          </cell>
        </row>
        <row r="363">
          <cell r="B363" t="str">
            <v>100-GD-017</v>
          </cell>
          <cell r="C363" t="str">
            <v>M20</v>
          </cell>
          <cell r="D363" t="str">
            <v>100-AJBZFG-005</v>
          </cell>
          <cell r="E363" t="str">
            <v>M20</v>
          </cell>
          <cell r="F363" t="str">
            <v>TYPE F2 (NON I.S) - 1TR</v>
          </cell>
          <cell r="G363" t="str">
            <v>1.5 mm2</v>
          </cell>
          <cell r="H363" t="str">
            <v>16.00 mm</v>
          </cell>
          <cell r="I363">
            <v>25</v>
          </cell>
          <cell r="J363" t="str">
            <v>IC-100GD017</v>
          </cell>
          <cell r="K363" t="str">
            <v>SUB-CELLAR DECK</v>
          </cell>
        </row>
        <row r="364">
          <cell r="C364" t="str">
            <v>M20</v>
          </cell>
          <cell r="D364" t="str">
            <v>SIS MARSHALLING CABINET 100-SIS-001B</v>
          </cell>
          <cell r="F364" t="str">
            <v>TYPE F1 (NON I.S) - 1PR</v>
          </cell>
          <cell r="G364" t="str">
            <v>2.5 mm2</v>
          </cell>
          <cell r="H364" t="str">
            <v>16.5mm</v>
          </cell>
          <cell r="I364">
            <v>15</v>
          </cell>
          <cell r="J364" t="str">
            <v>IC-100NAV0013</v>
          </cell>
          <cell r="K364" t="str">
            <v>CONFIRMED FIRE/GAS - NAV AID</v>
          </cell>
        </row>
        <row r="366">
          <cell r="C366" t="str">
            <v>M40</v>
          </cell>
          <cell r="D366" t="str">
            <v>SIS MARSHALLING CABINET 100-SIS-001B</v>
          </cell>
          <cell r="F366" t="str">
            <v>TYPE F1 (NON I.S) - 6PR</v>
          </cell>
          <cell r="G366" t="str">
            <v>2.5 mm2</v>
          </cell>
          <cell r="H366" t="str">
            <v>32.20 mm</v>
          </cell>
          <cell r="I366">
            <v>15</v>
          </cell>
          <cell r="J366" t="str">
            <v>IC-100PAGA0013</v>
          </cell>
          <cell r="K366" t="str">
            <v>CONFIRMED FIRE&amp;CONFIRMED GAS -  PAGA</v>
          </cell>
        </row>
        <row r="368">
          <cell r="C368" t="str">
            <v>M20</v>
          </cell>
          <cell r="D368" t="str">
            <v>SIS MARSHALLING CABINET 100-SIS-001B</v>
          </cell>
          <cell r="F368" t="str">
            <v>TYPE F1 (NON I.S) - 1PR</v>
          </cell>
          <cell r="G368" t="str">
            <v>2.5 mm2</v>
          </cell>
          <cell r="H368" t="str">
            <v>16.5 mm</v>
          </cell>
          <cell r="I368">
            <v>15</v>
          </cell>
          <cell r="J368" t="str">
            <v>IC-100UPS0013</v>
          </cell>
          <cell r="K368" t="str">
            <v>SIGNAL TO ISOLATE BATTERY CHARGER</v>
          </cell>
        </row>
        <row r="370">
          <cell r="C370" t="str">
            <v>M20</v>
          </cell>
          <cell r="D370" t="str">
            <v>SIS MARSHALLING CABINET 100-SIS-001B</v>
          </cell>
          <cell r="F370" t="str">
            <v>TYPE F1 (NON I.S) - 1PR</v>
          </cell>
          <cell r="G370" t="str">
            <v>2.5 mm2</v>
          </cell>
          <cell r="H370" t="str">
            <v>16.5 mm</v>
          </cell>
          <cell r="I370">
            <v>15</v>
          </cell>
          <cell r="J370" t="str">
            <v>IC-100HVAC0013</v>
          </cell>
          <cell r="K370" t="str">
            <v>SIGNAL TO TRIP HVAC</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hyperlink" Target="http://www.2hoffshore.com/"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www.2hoffshore.com/"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hyperlink" Target="http://www.2hoffshore.com/" TargetMode="External"/><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www.2hoffshore.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www.2hoffshore.com/" TargetMode="Externa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www.2hoffshore.com/"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www.2hoffshore.com/"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B6"/>
  <sheetViews>
    <sheetView workbookViewId="0">
      <selection activeCell="I41" sqref="I41"/>
    </sheetView>
  </sheetViews>
  <sheetFormatPr defaultRowHeight="14.4"/>
  <sheetData>
    <row r="3" spans="1:2">
      <c r="A3" s="84"/>
      <c r="B3">
        <v>1</v>
      </c>
    </row>
    <row r="4" spans="1:2">
      <c r="A4" s="82"/>
      <c r="B4" t="s">
        <v>1648</v>
      </c>
    </row>
    <row r="5" spans="1:2">
      <c r="A5" s="81"/>
      <c r="B5">
        <v>3</v>
      </c>
    </row>
    <row r="6" spans="1:2">
      <c r="A6" s="83"/>
      <c r="B6">
        <v>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T410"/>
  <sheetViews>
    <sheetView tabSelected="1" zoomScale="145" zoomScaleNormal="145" workbookViewId="0">
      <pane xSplit="6" ySplit="1" topLeftCell="G2" activePane="bottomRight" state="frozen"/>
      <selection pane="topRight" activeCell="L1" sqref="L1"/>
      <selection pane="bottomLeft" activeCell="A2" sqref="A2"/>
      <selection pane="bottomRight" activeCell="B10" sqref="B10"/>
    </sheetView>
  </sheetViews>
  <sheetFormatPr defaultColWidth="8.77734375" defaultRowHeight="14.4"/>
  <cols>
    <col min="1" max="1" width="9.88671875" style="315" customWidth="1"/>
    <col min="2" max="2" width="19.33203125" style="315" customWidth="1"/>
    <col min="3" max="3" width="7.109375" style="315" customWidth="1"/>
    <col min="4" max="4" width="14.21875" style="315" customWidth="1"/>
    <col min="5" max="5" width="4.77734375" style="315" customWidth="1"/>
    <col min="6" max="6" width="6.109375" style="315" customWidth="1"/>
    <col min="7" max="16384" width="8.77734375" style="315"/>
  </cols>
  <sheetData>
    <row r="1" spans="1:6" ht="37.799999999999997" customHeight="1" thickBot="1">
      <c r="A1" s="283" t="s">
        <v>2063</v>
      </c>
      <c r="B1" s="283" t="s">
        <v>2065</v>
      </c>
      <c r="C1" s="283" t="s">
        <v>3755</v>
      </c>
      <c r="D1" s="283" t="s">
        <v>2066</v>
      </c>
      <c r="E1" s="283" t="s">
        <v>2068</v>
      </c>
      <c r="F1" s="283" t="s">
        <v>2069</v>
      </c>
    </row>
    <row r="2" spans="1:6" s="320" customFormat="1" ht="15" customHeight="1">
      <c r="A2" s="319" t="s">
        <v>2108</v>
      </c>
      <c r="B2" s="319" t="s">
        <v>2110</v>
      </c>
      <c r="C2" s="319"/>
      <c r="D2" s="319" t="s">
        <v>1128</v>
      </c>
      <c r="E2" s="319" t="s">
        <v>2106</v>
      </c>
      <c r="F2" s="319" t="s">
        <v>2081</v>
      </c>
    </row>
    <row r="3" spans="1:6" s="320" customFormat="1" ht="15" customHeight="1">
      <c r="A3" s="277" t="s">
        <v>2103</v>
      </c>
      <c r="B3" s="277" t="s">
        <v>2105</v>
      </c>
      <c r="C3" s="277"/>
      <c r="D3" s="277" t="s">
        <v>1128</v>
      </c>
      <c r="E3" s="277" t="s">
        <v>2106</v>
      </c>
      <c r="F3" s="277" t="s">
        <v>2081</v>
      </c>
    </row>
    <row r="4" spans="1:6" s="320" customFormat="1" ht="15" customHeight="1">
      <c r="A4" s="277" t="s">
        <v>2162</v>
      </c>
      <c r="B4" s="277" t="s">
        <v>2163</v>
      </c>
      <c r="C4" s="277"/>
      <c r="D4" s="277" t="s">
        <v>1145</v>
      </c>
      <c r="E4" s="277" t="s">
        <v>2106</v>
      </c>
      <c r="F4" s="277" t="s">
        <v>2081</v>
      </c>
    </row>
    <row r="5" spans="1:6" s="320" customFormat="1" ht="15" customHeight="1">
      <c r="A5" s="280" t="s">
        <v>3121</v>
      </c>
      <c r="B5" s="277" t="s">
        <v>2161</v>
      </c>
      <c r="C5" s="277"/>
      <c r="D5" s="277" t="s">
        <v>1145</v>
      </c>
      <c r="E5" s="277" t="s">
        <v>2106</v>
      </c>
      <c r="F5" s="277" t="s">
        <v>2081</v>
      </c>
    </row>
    <row r="6" spans="1:6" s="320" customFormat="1" ht="15" customHeight="1">
      <c r="A6" s="277" t="s">
        <v>2144</v>
      </c>
      <c r="B6" s="277" t="s">
        <v>2145</v>
      </c>
      <c r="C6" s="277"/>
      <c r="D6" s="277" t="s">
        <v>1140</v>
      </c>
      <c r="E6" s="277" t="s">
        <v>2106</v>
      </c>
      <c r="F6" s="277" t="s">
        <v>2081</v>
      </c>
    </row>
    <row r="7" spans="1:6" s="320" customFormat="1" ht="15" customHeight="1">
      <c r="A7" s="277" t="s">
        <v>2142</v>
      </c>
      <c r="B7" s="277" t="s">
        <v>2143</v>
      </c>
      <c r="C7" s="277"/>
      <c r="D7" s="277" t="s">
        <v>1140</v>
      </c>
      <c r="E7" s="277" t="s">
        <v>2106</v>
      </c>
      <c r="F7" s="277" t="s">
        <v>2081</v>
      </c>
    </row>
    <row r="8" spans="1:6" s="320" customFormat="1" ht="15" customHeight="1">
      <c r="A8" s="280" t="s">
        <v>3119</v>
      </c>
      <c r="B8" s="277" t="s">
        <v>2167</v>
      </c>
      <c r="C8" s="277"/>
      <c r="D8" s="277" t="s">
        <v>1145</v>
      </c>
      <c r="E8" s="277" t="s">
        <v>2106</v>
      </c>
      <c r="F8" s="277" t="s">
        <v>2081</v>
      </c>
    </row>
    <row r="9" spans="1:6" s="320" customFormat="1" ht="15" customHeight="1">
      <c r="A9" s="280" t="s">
        <v>3123</v>
      </c>
      <c r="B9" s="277" t="s">
        <v>2165</v>
      </c>
      <c r="C9" s="277"/>
      <c r="D9" s="277" t="s">
        <v>1145</v>
      </c>
      <c r="E9" s="277" t="s">
        <v>2106</v>
      </c>
      <c r="F9" s="277" t="s">
        <v>2081</v>
      </c>
    </row>
    <row r="10" spans="1:6" s="320" customFormat="1" ht="15" customHeight="1">
      <c r="A10" s="277" t="s">
        <v>2113</v>
      </c>
      <c r="B10" s="277" t="s">
        <v>2114</v>
      </c>
      <c r="C10" s="277"/>
      <c r="D10" s="277" t="s">
        <v>1128</v>
      </c>
      <c r="E10" s="277" t="s">
        <v>2106</v>
      </c>
      <c r="F10" s="280" t="s">
        <v>1884</v>
      </c>
    </row>
    <row r="11" spans="1:6" s="320" customFormat="1" ht="15" customHeight="1">
      <c r="A11" s="280" t="s">
        <v>3122</v>
      </c>
      <c r="B11" s="277" t="s">
        <v>2112</v>
      </c>
      <c r="C11" s="277"/>
      <c r="D11" s="277" t="s">
        <v>1128</v>
      </c>
      <c r="E11" s="277" t="s">
        <v>2106</v>
      </c>
      <c r="F11" s="277" t="s">
        <v>2081</v>
      </c>
    </row>
    <row r="12" spans="1:6" s="320" customFormat="1" ht="15" customHeight="1">
      <c r="A12" s="277" t="s">
        <v>2127</v>
      </c>
      <c r="B12" s="280" t="s">
        <v>3104</v>
      </c>
      <c r="C12" s="280"/>
      <c r="D12" s="277" t="s">
        <v>1135</v>
      </c>
      <c r="E12" s="277" t="s">
        <v>2106</v>
      </c>
      <c r="F12" s="277" t="s">
        <v>2081</v>
      </c>
    </row>
    <row r="13" spans="1:6" s="320" customFormat="1" ht="15" customHeight="1">
      <c r="A13" s="277" t="s">
        <v>2124</v>
      </c>
      <c r="B13" s="277" t="s">
        <v>2125</v>
      </c>
      <c r="C13" s="277"/>
      <c r="D13" s="277" t="s">
        <v>1135</v>
      </c>
      <c r="E13" s="277" t="s">
        <v>2106</v>
      </c>
      <c r="F13" s="277" t="s">
        <v>2081</v>
      </c>
    </row>
    <row r="14" spans="1:6" s="320" customFormat="1" ht="15" customHeight="1">
      <c r="A14" s="277" t="s">
        <v>2148</v>
      </c>
      <c r="B14" s="277" t="s">
        <v>2149</v>
      </c>
      <c r="C14" s="277"/>
      <c r="D14" s="277" t="s">
        <v>1140</v>
      </c>
      <c r="E14" s="277" t="s">
        <v>2106</v>
      </c>
      <c r="F14" s="277" t="s">
        <v>2081</v>
      </c>
    </row>
    <row r="15" spans="1:6" s="320" customFormat="1" ht="15" customHeight="1">
      <c r="A15" s="277" t="s">
        <v>2146</v>
      </c>
      <c r="B15" s="277" t="s">
        <v>2147</v>
      </c>
      <c r="C15" s="277"/>
      <c r="D15" s="277" t="s">
        <v>1140</v>
      </c>
      <c r="E15" s="277" t="s">
        <v>2106</v>
      </c>
      <c r="F15" s="277" t="s">
        <v>2081</v>
      </c>
    </row>
    <row r="16" spans="1:6" s="320" customFormat="1" ht="15" customHeight="1">
      <c r="A16" s="277" t="s">
        <v>2131</v>
      </c>
      <c r="B16" s="277" t="s">
        <v>2132</v>
      </c>
      <c r="C16" s="277"/>
      <c r="D16" s="277" t="s">
        <v>1135</v>
      </c>
      <c r="E16" s="277" t="s">
        <v>2106</v>
      </c>
      <c r="F16" s="277" t="s">
        <v>2081</v>
      </c>
    </row>
    <row r="17" spans="1:6" s="320" customFormat="1" ht="15" customHeight="1">
      <c r="A17" s="277" t="s">
        <v>2129</v>
      </c>
      <c r="B17" s="277" t="s">
        <v>2130</v>
      </c>
      <c r="C17" s="277"/>
      <c r="D17" s="277" t="s">
        <v>1135</v>
      </c>
      <c r="E17" s="277" t="s">
        <v>2106</v>
      </c>
      <c r="F17" s="277" t="s">
        <v>2081</v>
      </c>
    </row>
    <row r="18" spans="1:6" s="320" customFormat="1" ht="15" customHeight="1">
      <c r="A18" s="277" t="s">
        <v>2451</v>
      </c>
      <c r="B18" s="277" t="s">
        <v>2453</v>
      </c>
      <c r="C18" s="277"/>
      <c r="D18" s="277" t="s">
        <v>1127</v>
      </c>
      <c r="E18" s="277" t="s">
        <v>2106</v>
      </c>
      <c r="F18" s="277" t="s">
        <v>2081</v>
      </c>
    </row>
    <row r="19" spans="1:6" s="320" customFormat="1" ht="15" customHeight="1">
      <c r="A19" s="277" t="s">
        <v>2456</v>
      </c>
      <c r="B19" s="277" t="s">
        <v>2457</v>
      </c>
      <c r="C19" s="277"/>
      <c r="D19" s="277" t="s">
        <v>1127</v>
      </c>
      <c r="E19" s="277" t="s">
        <v>2106</v>
      </c>
      <c r="F19" s="277" t="s">
        <v>2081</v>
      </c>
    </row>
    <row r="20" spans="1:6" s="320" customFormat="1" ht="15" customHeight="1">
      <c r="A20" s="277" t="s">
        <v>2458</v>
      </c>
      <c r="B20" s="277" t="s">
        <v>2459</v>
      </c>
      <c r="C20" s="277"/>
      <c r="D20" s="277" t="s">
        <v>1127</v>
      </c>
      <c r="E20" s="277" t="s">
        <v>2106</v>
      </c>
      <c r="F20" s="277" t="s">
        <v>2081</v>
      </c>
    </row>
    <row r="21" spans="1:6" s="320" customFormat="1" ht="15" customHeight="1">
      <c r="A21" s="277" t="s">
        <v>2460</v>
      </c>
      <c r="B21" s="277" t="s">
        <v>2461</v>
      </c>
      <c r="C21" s="277"/>
      <c r="D21" s="277" t="s">
        <v>1127</v>
      </c>
      <c r="E21" s="277" t="s">
        <v>2106</v>
      </c>
      <c r="F21" s="277" t="s">
        <v>2081</v>
      </c>
    </row>
    <row r="22" spans="1:6" s="320" customFormat="1" ht="15" customHeight="1">
      <c r="A22" s="280" t="s">
        <v>3484</v>
      </c>
      <c r="B22" s="277" t="s">
        <v>2464</v>
      </c>
      <c r="C22" s="277"/>
      <c r="D22" s="277" t="s">
        <v>1127</v>
      </c>
      <c r="E22" s="277" t="s">
        <v>2106</v>
      </c>
      <c r="F22" s="277" t="s">
        <v>2081</v>
      </c>
    </row>
    <row r="23" spans="1:6" s="320" customFormat="1" ht="15" customHeight="1">
      <c r="A23" s="313" t="s">
        <v>3490</v>
      </c>
      <c r="B23" s="314" t="s">
        <v>3690</v>
      </c>
      <c r="C23" s="314"/>
      <c r="D23" s="312"/>
      <c r="E23" s="312" t="s">
        <v>3368</v>
      </c>
      <c r="F23" s="312" t="s">
        <v>1884</v>
      </c>
    </row>
    <row r="24" spans="1:6" s="320" customFormat="1" ht="15" customHeight="1">
      <c r="A24" s="313" t="s">
        <v>3491</v>
      </c>
      <c r="B24" s="314" t="s">
        <v>3691</v>
      </c>
      <c r="C24" s="314"/>
      <c r="D24" s="312"/>
      <c r="E24" s="312" t="s">
        <v>3368</v>
      </c>
      <c r="F24" s="312" t="s">
        <v>1884</v>
      </c>
    </row>
    <row r="25" spans="1:6" s="320" customFormat="1" ht="15" customHeight="1">
      <c r="A25" s="313" t="s">
        <v>3492</v>
      </c>
      <c r="B25" s="314" t="s">
        <v>3692</v>
      </c>
      <c r="C25" s="314"/>
      <c r="D25" s="312"/>
      <c r="E25" s="312" t="s">
        <v>3368</v>
      </c>
      <c r="F25" s="312" t="s">
        <v>1884</v>
      </c>
    </row>
    <row r="26" spans="1:6" s="320" customFormat="1" ht="15" customHeight="1">
      <c r="A26" s="313" t="s">
        <v>3493</v>
      </c>
      <c r="B26" s="314" t="s">
        <v>3693</v>
      </c>
      <c r="C26" s="314"/>
      <c r="D26" s="312"/>
      <c r="E26" s="312" t="s">
        <v>3368</v>
      </c>
      <c r="F26" s="312" t="s">
        <v>1884</v>
      </c>
    </row>
    <row r="27" spans="1:6" s="320" customFormat="1" ht="15" customHeight="1">
      <c r="A27" s="277" t="s">
        <v>2398</v>
      </c>
      <c r="B27" s="277" t="s">
        <v>2399</v>
      </c>
      <c r="C27" s="277"/>
      <c r="D27" s="277" t="s">
        <v>1551</v>
      </c>
      <c r="E27" s="277" t="s">
        <v>2080</v>
      </c>
      <c r="F27" s="277" t="s">
        <v>2081</v>
      </c>
    </row>
    <row r="28" spans="1:6" s="320" customFormat="1" ht="15" customHeight="1">
      <c r="A28" s="277" t="s">
        <v>2401</v>
      </c>
      <c r="B28" s="277" t="s">
        <v>2402</v>
      </c>
      <c r="C28" s="277"/>
      <c r="D28" s="277" t="s">
        <v>1551</v>
      </c>
      <c r="E28" s="277" t="s">
        <v>2080</v>
      </c>
      <c r="F28" s="277" t="s">
        <v>2081</v>
      </c>
    </row>
    <row r="29" spans="1:6" s="320" customFormat="1" ht="15" customHeight="1">
      <c r="A29" s="277" t="s">
        <v>2403</v>
      </c>
      <c r="B29" s="277" t="s">
        <v>2404</v>
      </c>
      <c r="C29" s="277"/>
      <c r="D29" s="277" t="s">
        <v>1551</v>
      </c>
      <c r="E29" s="277" t="s">
        <v>2080</v>
      </c>
      <c r="F29" s="277" t="s">
        <v>2081</v>
      </c>
    </row>
    <row r="30" spans="1:6" s="320" customFormat="1" ht="15" customHeight="1">
      <c r="A30" s="277" t="s">
        <v>2387</v>
      </c>
      <c r="B30" s="277" t="s">
        <v>2388</v>
      </c>
      <c r="C30" s="277"/>
      <c r="D30" s="277" t="s">
        <v>1551</v>
      </c>
      <c r="E30" s="277" t="s">
        <v>2080</v>
      </c>
      <c r="F30" s="277" t="s">
        <v>2081</v>
      </c>
    </row>
    <row r="31" spans="1:6" s="320" customFormat="1" ht="15" customHeight="1">
      <c r="A31" s="277" t="s">
        <v>2366</v>
      </c>
      <c r="B31" s="277" t="s">
        <v>2367</v>
      </c>
      <c r="C31" s="277"/>
      <c r="D31" s="277" t="s">
        <v>2368</v>
      </c>
      <c r="E31" s="277" t="s">
        <v>2080</v>
      </c>
      <c r="F31" s="277" t="s">
        <v>2081</v>
      </c>
    </row>
    <row r="32" spans="1:6" s="320" customFormat="1" ht="15" customHeight="1">
      <c r="A32" s="277" t="s">
        <v>2092</v>
      </c>
      <c r="B32" s="277" t="s">
        <v>2078</v>
      </c>
      <c r="C32" s="277"/>
      <c r="D32" s="277" t="s">
        <v>1128</v>
      </c>
      <c r="E32" s="277" t="s">
        <v>2080</v>
      </c>
      <c r="F32" s="277" t="s">
        <v>2081</v>
      </c>
    </row>
    <row r="33" spans="1:6" s="320" customFormat="1" ht="15" customHeight="1">
      <c r="A33" s="277" t="s">
        <v>2119</v>
      </c>
      <c r="B33" s="277" t="s">
        <v>2115</v>
      </c>
      <c r="C33" s="277"/>
      <c r="D33" s="277" t="s">
        <v>1135</v>
      </c>
      <c r="E33" s="277" t="s">
        <v>2080</v>
      </c>
      <c r="F33" s="277" t="s">
        <v>2081</v>
      </c>
    </row>
    <row r="34" spans="1:6" s="320" customFormat="1" ht="15" customHeight="1">
      <c r="A34" s="277" t="s">
        <v>2137</v>
      </c>
      <c r="B34" s="277" t="s">
        <v>2133</v>
      </c>
      <c r="C34" s="277"/>
      <c r="D34" s="277" t="s">
        <v>1140</v>
      </c>
      <c r="E34" s="277" t="s">
        <v>2080</v>
      </c>
      <c r="F34" s="277" t="s">
        <v>2081</v>
      </c>
    </row>
    <row r="35" spans="1:6" s="320" customFormat="1" ht="15" customHeight="1">
      <c r="A35" s="280" t="s">
        <v>2053</v>
      </c>
      <c r="B35" s="277" t="s">
        <v>2151</v>
      </c>
      <c r="C35" s="277"/>
      <c r="D35" s="277" t="s">
        <v>1145</v>
      </c>
      <c r="E35" s="277" t="s">
        <v>2080</v>
      </c>
      <c r="F35" s="277" t="s">
        <v>2081</v>
      </c>
    </row>
    <row r="36" spans="1:6" s="320" customFormat="1" ht="15" customHeight="1">
      <c r="A36" s="277" t="s">
        <v>2088</v>
      </c>
      <c r="B36" s="277" t="s">
        <v>2078</v>
      </c>
      <c r="C36" s="277"/>
      <c r="D36" s="277" t="s">
        <v>1128</v>
      </c>
      <c r="E36" s="277" t="s">
        <v>2080</v>
      </c>
      <c r="F36" s="277" t="s">
        <v>2081</v>
      </c>
    </row>
    <row r="37" spans="1:6" s="320" customFormat="1" ht="15" customHeight="1">
      <c r="A37" s="277" t="s">
        <v>2155</v>
      </c>
      <c r="B37" s="277" t="s">
        <v>2151</v>
      </c>
      <c r="C37" s="277"/>
      <c r="D37" s="277" t="s">
        <v>1145</v>
      </c>
      <c r="E37" s="277" t="s">
        <v>2080</v>
      </c>
      <c r="F37" s="277" t="s">
        <v>2081</v>
      </c>
    </row>
    <row r="38" spans="1:6" s="320" customFormat="1" ht="15" customHeight="1">
      <c r="A38" s="277" t="s">
        <v>2094</v>
      </c>
      <c r="B38" s="277" t="s">
        <v>2096</v>
      </c>
      <c r="C38" s="277"/>
      <c r="D38" s="277" t="s">
        <v>1128</v>
      </c>
      <c r="E38" s="277" t="s">
        <v>2080</v>
      </c>
      <c r="F38" s="277" t="s">
        <v>2081</v>
      </c>
    </row>
    <row r="39" spans="1:6" s="320" customFormat="1" ht="15" customHeight="1">
      <c r="A39" s="277" t="s">
        <v>2118</v>
      </c>
      <c r="B39" s="277" t="s">
        <v>2115</v>
      </c>
      <c r="C39" s="277"/>
      <c r="D39" s="277" t="s">
        <v>1135</v>
      </c>
      <c r="E39" s="277" t="s">
        <v>2080</v>
      </c>
      <c r="F39" s="277" t="s">
        <v>2081</v>
      </c>
    </row>
    <row r="40" spans="1:6" s="320" customFormat="1" ht="15" customHeight="1">
      <c r="A40" s="277" t="s">
        <v>2308</v>
      </c>
      <c r="B40" s="277" t="s">
        <v>2310</v>
      </c>
      <c r="C40" s="277"/>
      <c r="D40" s="277" t="s">
        <v>2294</v>
      </c>
      <c r="E40" s="277" t="s">
        <v>2080</v>
      </c>
      <c r="F40" s="277" t="s">
        <v>2081</v>
      </c>
    </row>
    <row r="41" spans="1:6" s="320" customFormat="1" ht="15" customHeight="1">
      <c r="A41" s="277" t="s">
        <v>2156</v>
      </c>
      <c r="B41" s="277" t="s">
        <v>2157</v>
      </c>
      <c r="C41" s="277"/>
      <c r="D41" s="277" t="s">
        <v>1145</v>
      </c>
      <c r="E41" s="277" t="s">
        <v>2080</v>
      </c>
      <c r="F41" s="277" t="s">
        <v>2081</v>
      </c>
    </row>
    <row r="42" spans="1:6" s="320" customFormat="1" ht="15" customHeight="1">
      <c r="A42" s="277" t="s">
        <v>2120</v>
      </c>
      <c r="B42" s="277" t="s">
        <v>2121</v>
      </c>
      <c r="C42" s="277"/>
      <c r="D42" s="277" t="s">
        <v>1135</v>
      </c>
      <c r="E42" s="277" t="s">
        <v>2080</v>
      </c>
      <c r="F42" s="277" t="s">
        <v>2081</v>
      </c>
    </row>
    <row r="43" spans="1:6" s="320" customFormat="1" ht="15" customHeight="1">
      <c r="A43" s="277" t="s">
        <v>2136</v>
      </c>
      <c r="B43" s="277" t="s">
        <v>2133</v>
      </c>
      <c r="C43" s="277"/>
      <c r="D43" s="277" t="s">
        <v>1140</v>
      </c>
      <c r="E43" s="277" t="s">
        <v>2080</v>
      </c>
      <c r="F43" s="277" t="s">
        <v>2081</v>
      </c>
    </row>
    <row r="44" spans="1:6" s="320" customFormat="1" ht="15" customHeight="1">
      <c r="A44" s="277" t="s">
        <v>2138</v>
      </c>
      <c r="B44" s="277" t="s">
        <v>2139</v>
      </c>
      <c r="C44" s="277"/>
      <c r="D44" s="277" t="s">
        <v>1140</v>
      </c>
      <c r="E44" s="277" t="s">
        <v>2080</v>
      </c>
      <c r="F44" s="277" t="s">
        <v>2081</v>
      </c>
    </row>
    <row r="45" spans="1:6" s="320" customFormat="1" ht="15" customHeight="1">
      <c r="A45" s="280" t="s">
        <v>1952</v>
      </c>
      <c r="B45" s="277" t="s">
        <v>2078</v>
      </c>
      <c r="C45" s="277"/>
      <c r="D45" s="277" t="s">
        <v>1128</v>
      </c>
      <c r="E45" s="277" t="s">
        <v>2080</v>
      </c>
      <c r="F45" s="277" t="s">
        <v>2081</v>
      </c>
    </row>
    <row r="46" spans="1:6" s="320" customFormat="1" ht="15" customHeight="1">
      <c r="A46" s="277" t="s">
        <v>2086</v>
      </c>
      <c r="B46" s="277" t="s">
        <v>2078</v>
      </c>
      <c r="C46" s="277"/>
      <c r="D46" s="277" t="s">
        <v>1128</v>
      </c>
      <c r="E46" s="277" t="s">
        <v>2080</v>
      </c>
      <c r="F46" s="277" t="s">
        <v>2081</v>
      </c>
    </row>
    <row r="47" spans="1:6" s="320" customFormat="1" ht="15" customHeight="1">
      <c r="A47" s="277" t="s">
        <v>2087</v>
      </c>
      <c r="B47" s="277" t="s">
        <v>2078</v>
      </c>
      <c r="C47" s="277"/>
      <c r="D47" s="277" t="s">
        <v>1128</v>
      </c>
      <c r="E47" s="277" t="s">
        <v>2080</v>
      </c>
      <c r="F47" s="277" t="s">
        <v>2081</v>
      </c>
    </row>
    <row r="48" spans="1:6" s="320" customFormat="1" ht="15" customHeight="1">
      <c r="A48" s="280" t="s">
        <v>1959</v>
      </c>
      <c r="B48" s="277" t="s">
        <v>2115</v>
      </c>
      <c r="C48" s="277"/>
      <c r="D48" s="277" t="s">
        <v>1135</v>
      </c>
      <c r="E48" s="277" t="s">
        <v>2080</v>
      </c>
      <c r="F48" s="277" t="s">
        <v>2081</v>
      </c>
    </row>
    <row r="49" spans="1:6" s="320" customFormat="1" ht="15" customHeight="1">
      <c r="A49" s="277" t="s">
        <v>2116</v>
      </c>
      <c r="B49" s="277" t="s">
        <v>2115</v>
      </c>
      <c r="C49" s="277"/>
      <c r="D49" s="277" t="s">
        <v>1135</v>
      </c>
      <c r="E49" s="277" t="s">
        <v>2080</v>
      </c>
      <c r="F49" s="277" t="s">
        <v>2081</v>
      </c>
    </row>
    <row r="50" spans="1:6" s="320" customFormat="1" ht="15" customHeight="1">
      <c r="A50" s="277" t="s">
        <v>2117</v>
      </c>
      <c r="B50" s="277" t="s">
        <v>2115</v>
      </c>
      <c r="C50" s="277"/>
      <c r="D50" s="277" t="s">
        <v>1135</v>
      </c>
      <c r="E50" s="277" t="s">
        <v>2080</v>
      </c>
      <c r="F50" s="277" t="s">
        <v>2081</v>
      </c>
    </row>
    <row r="51" spans="1:6" s="320" customFormat="1" ht="15" customHeight="1">
      <c r="A51" s="280" t="s">
        <v>1965</v>
      </c>
      <c r="B51" s="277" t="s">
        <v>2133</v>
      </c>
      <c r="C51" s="277"/>
      <c r="D51" s="277" t="s">
        <v>1140</v>
      </c>
      <c r="E51" s="277" t="s">
        <v>2080</v>
      </c>
      <c r="F51" s="277" t="s">
        <v>2081</v>
      </c>
    </row>
    <row r="52" spans="1:6" s="320" customFormat="1" ht="15" customHeight="1">
      <c r="A52" s="277" t="s">
        <v>2134</v>
      </c>
      <c r="B52" s="277" t="s">
        <v>2133</v>
      </c>
      <c r="C52" s="277"/>
      <c r="D52" s="277" t="s">
        <v>1140</v>
      </c>
      <c r="E52" s="277" t="s">
        <v>2080</v>
      </c>
      <c r="F52" s="277" t="s">
        <v>2081</v>
      </c>
    </row>
    <row r="53" spans="1:6" s="320" customFormat="1" ht="15" customHeight="1">
      <c r="A53" s="277" t="s">
        <v>2135</v>
      </c>
      <c r="B53" s="277" t="s">
        <v>2133</v>
      </c>
      <c r="C53" s="277"/>
      <c r="D53" s="277" t="s">
        <v>1140</v>
      </c>
      <c r="E53" s="277" t="s">
        <v>2080</v>
      </c>
      <c r="F53" s="277" t="s">
        <v>2081</v>
      </c>
    </row>
    <row r="54" spans="1:6" s="320" customFormat="1" ht="15" customHeight="1">
      <c r="A54" s="277" t="s">
        <v>2150</v>
      </c>
      <c r="B54" s="277" t="s">
        <v>2151</v>
      </c>
      <c r="C54" s="277"/>
      <c r="D54" s="277" t="s">
        <v>1145</v>
      </c>
      <c r="E54" s="277" t="s">
        <v>2080</v>
      </c>
      <c r="F54" s="277" t="s">
        <v>2081</v>
      </c>
    </row>
    <row r="55" spans="1:6" s="320" customFormat="1" ht="15" customHeight="1">
      <c r="A55" s="277" t="s">
        <v>2153</v>
      </c>
      <c r="B55" s="277" t="s">
        <v>2151</v>
      </c>
      <c r="C55" s="277"/>
      <c r="D55" s="277" t="s">
        <v>1145</v>
      </c>
      <c r="E55" s="277" t="s">
        <v>2080</v>
      </c>
      <c r="F55" s="277" t="s">
        <v>2081</v>
      </c>
    </row>
    <row r="56" spans="1:6" s="320" customFormat="1" ht="15" customHeight="1">
      <c r="A56" s="277" t="s">
        <v>2154</v>
      </c>
      <c r="B56" s="277" t="s">
        <v>2151</v>
      </c>
      <c r="C56" s="277"/>
      <c r="D56" s="277" t="s">
        <v>1145</v>
      </c>
      <c r="E56" s="277" t="s">
        <v>2080</v>
      </c>
      <c r="F56" s="277" t="s">
        <v>2081</v>
      </c>
    </row>
    <row r="57" spans="1:6" s="320" customFormat="1" ht="15" customHeight="1">
      <c r="A57" s="277" t="s">
        <v>2217</v>
      </c>
      <c r="B57" s="277" t="s">
        <v>2219</v>
      </c>
      <c r="C57" s="277"/>
      <c r="D57" s="277" t="s">
        <v>1637</v>
      </c>
      <c r="E57" s="277" t="s">
        <v>2080</v>
      </c>
      <c r="F57" s="277" t="s">
        <v>2081</v>
      </c>
    </row>
    <row r="58" spans="1:6" s="320" customFormat="1" ht="15" customHeight="1">
      <c r="A58" s="277" t="s">
        <v>2223</v>
      </c>
      <c r="B58" s="277" t="s">
        <v>2219</v>
      </c>
      <c r="C58" s="277"/>
      <c r="D58" s="277" t="s">
        <v>1637</v>
      </c>
      <c r="E58" s="277" t="s">
        <v>2080</v>
      </c>
      <c r="F58" s="277" t="s">
        <v>2081</v>
      </c>
    </row>
    <row r="59" spans="1:6" s="320" customFormat="1" ht="15" customHeight="1">
      <c r="A59" s="277" t="s">
        <v>2221</v>
      </c>
      <c r="B59" s="277" t="s">
        <v>2219</v>
      </c>
      <c r="C59" s="277"/>
      <c r="D59" s="277" t="s">
        <v>1637</v>
      </c>
      <c r="E59" s="277" t="s">
        <v>2080</v>
      </c>
      <c r="F59" s="277" t="s">
        <v>2081</v>
      </c>
    </row>
    <row r="60" spans="1:6" s="320" customFormat="1" ht="15" customHeight="1">
      <c r="A60" s="277" t="s">
        <v>2225</v>
      </c>
      <c r="B60" s="277" t="s">
        <v>2219</v>
      </c>
      <c r="C60" s="277"/>
      <c r="D60" s="277" t="s">
        <v>1637</v>
      </c>
      <c r="E60" s="277" t="s">
        <v>2080</v>
      </c>
      <c r="F60" s="277" t="s">
        <v>2081</v>
      </c>
    </row>
    <row r="61" spans="1:6" s="320" customFormat="1" ht="15" customHeight="1">
      <c r="A61" s="277" t="s">
        <v>2227</v>
      </c>
      <c r="B61" s="277" t="s">
        <v>2228</v>
      </c>
      <c r="C61" s="277"/>
      <c r="D61" s="277" t="s">
        <v>1637</v>
      </c>
      <c r="E61" s="277" t="s">
        <v>2080</v>
      </c>
      <c r="F61" s="277" t="s">
        <v>2081</v>
      </c>
    </row>
    <row r="62" spans="1:6" s="320" customFormat="1" ht="15" customHeight="1">
      <c r="A62" s="277" t="s">
        <v>2230</v>
      </c>
      <c r="B62" s="277" t="s">
        <v>2228</v>
      </c>
      <c r="C62" s="277"/>
      <c r="D62" s="277" t="s">
        <v>1637</v>
      </c>
      <c r="E62" s="277" t="s">
        <v>2080</v>
      </c>
      <c r="F62" s="277" t="s">
        <v>2081</v>
      </c>
    </row>
    <row r="63" spans="1:6" s="320" customFormat="1" ht="15" customHeight="1">
      <c r="A63" s="277" t="s">
        <v>2229</v>
      </c>
      <c r="B63" s="277" t="s">
        <v>2228</v>
      </c>
      <c r="C63" s="277"/>
      <c r="D63" s="277" t="s">
        <v>1637</v>
      </c>
      <c r="E63" s="277" t="s">
        <v>2080</v>
      </c>
      <c r="F63" s="277" t="s">
        <v>2081</v>
      </c>
    </row>
    <row r="64" spans="1:6" s="320" customFormat="1" ht="15" customHeight="1">
      <c r="A64" s="277" t="s">
        <v>2231</v>
      </c>
      <c r="B64" s="277" t="s">
        <v>2228</v>
      </c>
      <c r="C64" s="277"/>
      <c r="D64" s="277" t="s">
        <v>1637</v>
      </c>
      <c r="E64" s="277" t="s">
        <v>2080</v>
      </c>
      <c r="F64" s="277" t="s">
        <v>2081</v>
      </c>
    </row>
    <row r="65" spans="1:6" s="320" customFormat="1" ht="15" customHeight="1">
      <c r="A65" s="277" t="s">
        <v>2422</v>
      </c>
      <c r="B65" s="277" t="s">
        <v>2423</v>
      </c>
      <c r="C65" s="277"/>
      <c r="D65" s="277" t="s">
        <v>2412</v>
      </c>
      <c r="E65" s="277" t="s">
        <v>2080</v>
      </c>
      <c r="F65" s="277" t="s">
        <v>2081</v>
      </c>
    </row>
    <row r="66" spans="1:6" s="320" customFormat="1" ht="15" customHeight="1">
      <c r="A66" s="277" t="s">
        <v>2256</v>
      </c>
      <c r="B66" s="277" t="s">
        <v>2257</v>
      </c>
      <c r="C66" s="277"/>
      <c r="D66" s="277" t="s">
        <v>1546</v>
      </c>
      <c r="E66" s="277" t="s">
        <v>2080</v>
      </c>
      <c r="F66" s="277" t="s">
        <v>2081</v>
      </c>
    </row>
    <row r="67" spans="1:6" s="320" customFormat="1" ht="15" customHeight="1">
      <c r="A67" s="277" t="s">
        <v>2260</v>
      </c>
      <c r="B67" s="277" t="s">
        <v>2261</v>
      </c>
      <c r="C67" s="277"/>
      <c r="D67" s="277" t="s">
        <v>1546</v>
      </c>
      <c r="E67" s="277" t="s">
        <v>2080</v>
      </c>
      <c r="F67" s="277" t="s">
        <v>2081</v>
      </c>
    </row>
    <row r="68" spans="1:6" s="320" customFormat="1" ht="15" customHeight="1">
      <c r="A68" s="277" t="s">
        <v>2392</v>
      </c>
      <c r="B68" s="280" t="s">
        <v>3054</v>
      </c>
      <c r="C68" s="280"/>
      <c r="D68" s="277" t="s">
        <v>1551</v>
      </c>
      <c r="E68" s="277" t="s">
        <v>2100</v>
      </c>
      <c r="F68" s="277" t="s">
        <v>2081</v>
      </c>
    </row>
    <row r="69" spans="1:6" s="320" customFormat="1" ht="15" customHeight="1">
      <c r="A69" s="277" t="s">
        <v>2394</v>
      </c>
      <c r="B69" s="277" t="s">
        <v>2393</v>
      </c>
      <c r="C69" s="277"/>
      <c r="D69" s="277" t="s">
        <v>1551</v>
      </c>
      <c r="E69" s="277" t="s">
        <v>2100</v>
      </c>
      <c r="F69" s="277" t="s">
        <v>2081</v>
      </c>
    </row>
    <row r="70" spans="1:6" s="320" customFormat="1" ht="15" customHeight="1">
      <c r="A70" s="277" t="s">
        <v>2395</v>
      </c>
      <c r="B70" s="277" t="s">
        <v>2396</v>
      </c>
      <c r="C70" s="277"/>
      <c r="D70" s="277" t="s">
        <v>1551</v>
      </c>
      <c r="E70" s="277" t="s">
        <v>2100</v>
      </c>
      <c r="F70" s="277" t="s">
        <v>2081</v>
      </c>
    </row>
    <row r="71" spans="1:6" s="320" customFormat="1" ht="15" customHeight="1">
      <c r="A71" s="277" t="s">
        <v>2397</v>
      </c>
      <c r="B71" s="277" t="s">
        <v>2396</v>
      </c>
      <c r="C71" s="277"/>
      <c r="D71" s="277" t="s">
        <v>1551</v>
      </c>
      <c r="E71" s="277" t="s">
        <v>2100</v>
      </c>
      <c r="F71" s="277" t="s">
        <v>2081</v>
      </c>
    </row>
    <row r="72" spans="1:6" s="320" customFormat="1" ht="15" customHeight="1">
      <c r="A72" s="280" t="s">
        <v>2055</v>
      </c>
      <c r="B72" s="280" t="s">
        <v>3046</v>
      </c>
      <c r="C72" s="280"/>
      <c r="D72" s="277" t="s">
        <v>1546</v>
      </c>
      <c r="E72" s="277" t="s">
        <v>2100</v>
      </c>
      <c r="F72" s="277" t="s">
        <v>2081</v>
      </c>
    </row>
    <row r="73" spans="1:6" s="320" customFormat="1" ht="15" customHeight="1">
      <c r="A73" s="277" t="s">
        <v>2265</v>
      </c>
      <c r="B73" s="277" t="s">
        <v>2262</v>
      </c>
      <c r="C73" s="277"/>
      <c r="D73" s="277" t="s">
        <v>1546</v>
      </c>
      <c r="E73" s="277" t="s">
        <v>2100</v>
      </c>
      <c r="F73" s="277" t="s">
        <v>2081</v>
      </c>
    </row>
    <row r="74" spans="1:6" s="320" customFormat="1" ht="15" customHeight="1">
      <c r="A74" s="277" t="s">
        <v>2266</v>
      </c>
      <c r="B74" s="277" t="s">
        <v>2267</v>
      </c>
      <c r="C74" s="277"/>
      <c r="D74" s="277" t="s">
        <v>1546</v>
      </c>
      <c r="E74" s="277" t="s">
        <v>2100</v>
      </c>
      <c r="F74" s="277" t="s">
        <v>2081</v>
      </c>
    </row>
    <row r="75" spans="1:6" s="320" customFormat="1" ht="15" customHeight="1">
      <c r="A75" s="277" t="s">
        <v>2268</v>
      </c>
      <c r="B75" s="277" t="s">
        <v>2267</v>
      </c>
      <c r="C75" s="277"/>
      <c r="D75" s="277" t="s">
        <v>1546</v>
      </c>
      <c r="E75" s="277" t="s">
        <v>2100</v>
      </c>
      <c r="F75" s="277" t="s">
        <v>2081</v>
      </c>
    </row>
    <row r="76" spans="1:6" s="320" customFormat="1" ht="15" customHeight="1">
      <c r="A76" s="277" t="s">
        <v>2325</v>
      </c>
      <c r="B76" s="280" t="s">
        <v>3047</v>
      </c>
      <c r="C76" s="280"/>
      <c r="D76" s="277" t="s">
        <v>1556</v>
      </c>
      <c r="E76" s="277" t="s">
        <v>2100</v>
      </c>
      <c r="F76" s="277" t="s">
        <v>2081</v>
      </c>
    </row>
    <row r="77" spans="1:6" s="320" customFormat="1" ht="15" customHeight="1">
      <c r="A77" s="277" t="s">
        <v>2327</v>
      </c>
      <c r="B77" s="277" t="s">
        <v>2326</v>
      </c>
      <c r="C77" s="277"/>
      <c r="D77" s="277" t="s">
        <v>1556</v>
      </c>
      <c r="E77" s="277" t="s">
        <v>2100</v>
      </c>
      <c r="F77" s="277" t="s">
        <v>2081</v>
      </c>
    </row>
    <row r="78" spans="1:6" s="320" customFormat="1" ht="15" customHeight="1">
      <c r="A78" s="277" t="s">
        <v>2328</v>
      </c>
      <c r="B78" s="280" t="s">
        <v>3050</v>
      </c>
      <c r="C78" s="280"/>
      <c r="D78" s="277" t="s">
        <v>1556</v>
      </c>
      <c r="E78" s="277" t="s">
        <v>2100</v>
      </c>
      <c r="F78" s="277" t="s">
        <v>2081</v>
      </c>
    </row>
    <row r="79" spans="1:6" s="320" customFormat="1" ht="15" customHeight="1">
      <c r="A79" s="277" t="s">
        <v>2330</v>
      </c>
      <c r="B79" s="277" t="s">
        <v>2329</v>
      </c>
      <c r="C79" s="277"/>
      <c r="D79" s="277" t="s">
        <v>1556</v>
      </c>
      <c r="E79" s="277" t="s">
        <v>2100</v>
      </c>
      <c r="F79" s="277" t="s">
        <v>2081</v>
      </c>
    </row>
    <row r="80" spans="1:6" s="320" customFormat="1" ht="15" customHeight="1">
      <c r="A80" s="277" t="s">
        <v>2331</v>
      </c>
      <c r="B80" s="277" t="s">
        <v>2332</v>
      </c>
      <c r="C80" s="277"/>
      <c r="D80" s="277" t="s">
        <v>1556</v>
      </c>
      <c r="E80" s="277" t="s">
        <v>2100</v>
      </c>
      <c r="F80" s="277" t="s">
        <v>2081</v>
      </c>
    </row>
    <row r="81" spans="1:6" s="320" customFormat="1" ht="15" customHeight="1">
      <c r="A81" s="277" t="s">
        <v>2333</v>
      </c>
      <c r="B81" s="277" t="s">
        <v>2332</v>
      </c>
      <c r="C81" s="277"/>
      <c r="D81" s="277" t="s">
        <v>1556</v>
      </c>
      <c r="E81" s="277" t="s">
        <v>2100</v>
      </c>
      <c r="F81" s="277" t="s">
        <v>2081</v>
      </c>
    </row>
    <row r="82" spans="1:6" s="320" customFormat="1" ht="15" customHeight="1">
      <c r="A82" s="277" t="s">
        <v>3106</v>
      </c>
      <c r="B82" s="277" t="s">
        <v>3107</v>
      </c>
      <c r="C82" s="277"/>
      <c r="D82" s="277" t="s">
        <v>3043</v>
      </c>
      <c r="E82" s="277" t="s">
        <v>2100</v>
      </c>
      <c r="F82" s="277" t="s">
        <v>1884</v>
      </c>
    </row>
    <row r="83" spans="1:6" s="320" customFormat="1" ht="15" customHeight="1">
      <c r="A83" s="277" t="s">
        <v>3108</v>
      </c>
      <c r="B83" s="277" t="s">
        <v>3107</v>
      </c>
      <c r="C83" s="277"/>
      <c r="D83" s="277" t="s">
        <v>3043</v>
      </c>
      <c r="E83" s="277" t="s">
        <v>2100</v>
      </c>
      <c r="F83" s="277" t="s">
        <v>1884</v>
      </c>
    </row>
    <row r="84" spans="1:6" s="320" customFormat="1" ht="15" customHeight="1">
      <c r="A84" s="277" t="s">
        <v>2345</v>
      </c>
      <c r="B84" s="280" t="s">
        <v>3051</v>
      </c>
      <c r="C84" s="280"/>
      <c r="D84" s="277" t="s">
        <v>1563</v>
      </c>
      <c r="E84" s="277" t="s">
        <v>2100</v>
      </c>
      <c r="F84" s="277" t="s">
        <v>2081</v>
      </c>
    </row>
    <row r="85" spans="1:6" s="320" customFormat="1" ht="15" customHeight="1">
      <c r="A85" s="277" t="s">
        <v>2347</v>
      </c>
      <c r="B85" s="277" t="s">
        <v>2346</v>
      </c>
      <c r="C85" s="277"/>
      <c r="D85" s="277" t="s">
        <v>1563</v>
      </c>
      <c r="E85" s="277" t="s">
        <v>2100</v>
      </c>
      <c r="F85" s="277" t="s">
        <v>2081</v>
      </c>
    </row>
    <row r="86" spans="1:6" s="320" customFormat="1" ht="15" customHeight="1">
      <c r="A86" s="277" t="s">
        <v>2348</v>
      </c>
      <c r="B86" s="277" t="s">
        <v>2349</v>
      </c>
      <c r="C86" s="277"/>
      <c r="D86" s="277" t="s">
        <v>1563</v>
      </c>
      <c r="E86" s="277" t="s">
        <v>2100</v>
      </c>
      <c r="F86" s="277" t="s">
        <v>2081</v>
      </c>
    </row>
    <row r="87" spans="1:6" s="320" customFormat="1" ht="15" customHeight="1">
      <c r="A87" s="277" t="s">
        <v>2350</v>
      </c>
      <c r="B87" s="277" t="s">
        <v>2349</v>
      </c>
      <c r="C87" s="277"/>
      <c r="D87" s="277" t="s">
        <v>1563</v>
      </c>
      <c r="E87" s="277" t="s">
        <v>2100</v>
      </c>
      <c r="F87" s="277" t="s">
        <v>2081</v>
      </c>
    </row>
    <row r="88" spans="1:6" s="320" customFormat="1" ht="15" customHeight="1">
      <c r="A88" s="277" t="s">
        <v>2360</v>
      </c>
      <c r="B88" s="277" t="s">
        <v>2361</v>
      </c>
      <c r="C88" s="277"/>
      <c r="D88" s="277" t="s">
        <v>1571</v>
      </c>
      <c r="E88" s="311" t="s">
        <v>3362</v>
      </c>
      <c r="F88" s="277" t="s">
        <v>2081</v>
      </c>
    </row>
    <row r="89" spans="1:6" s="320" customFormat="1" ht="15" customHeight="1">
      <c r="A89" s="277" t="s">
        <v>2363</v>
      </c>
      <c r="B89" s="277" t="s">
        <v>2364</v>
      </c>
      <c r="C89" s="277"/>
      <c r="D89" s="277" t="s">
        <v>1571</v>
      </c>
      <c r="E89" s="311" t="s">
        <v>3362</v>
      </c>
      <c r="F89" s="277" t="s">
        <v>2081</v>
      </c>
    </row>
    <row r="90" spans="1:6" s="320" customFormat="1" ht="15" customHeight="1">
      <c r="A90" s="277" t="s">
        <v>3109</v>
      </c>
      <c r="B90" s="277" t="s">
        <v>3111</v>
      </c>
      <c r="C90" s="277"/>
      <c r="D90" s="277" t="s">
        <v>3112</v>
      </c>
      <c r="E90" s="277" t="s">
        <v>2100</v>
      </c>
      <c r="F90" s="277" t="s">
        <v>1884</v>
      </c>
    </row>
    <row r="91" spans="1:6" s="320" customFormat="1" ht="15" customHeight="1">
      <c r="A91" s="277" t="s">
        <v>3110</v>
      </c>
      <c r="B91" s="277" t="s">
        <v>3111</v>
      </c>
      <c r="C91" s="277"/>
      <c r="D91" s="277" t="s">
        <v>3112</v>
      </c>
      <c r="E91" s="277" t="s">
        <v>2100</v>
      </c>
      <c r="F91" s="277" t="s">
        <v>1884</v>
      </c>
    </row>
    <row r="92" spans="1:6" s="320" customFormat="1" ht="15" customHeight="1">
      <c r="A92" s="277" t="s">
        <v>2381</v>
      </c>
      <c r="B92" s="280" t="s">
        <v>3053</v>
      </c>
      <c r="C92" s="280"/>
      <c r="D92" s="277" t="s">
        <v>1578</v>
      </c>
      <c r="E92" s="277" t="s">
        <v>2100</v>
      </c>
      <c r="F92" s="277" t="s">
        <v>2081</v>
      </c>
    </row>
    <row r="93" spans="1:6" s="320" customFormat="1" ht="15" customHeight="1">
      <c r="A93" s="277" t="s">
        <v>2383</v>
      </c>
      <c r="B93" s="277" t="s">
        <v>2382</v>
      </c>
      <c r="C93" s="277"/>
      <c r="D93" s="277" t="s">
        <v>1578</v>
      </c>
      <c r="E93" s="277" t="s">
        <v>2100</v>
      </c>
      <c r="F93" s="277" t="s">
        <v>2081</v>
      </c>
    </row>
    <row r="94" spans="1:6" s="320" customFormat="1" ht="15" customHeight="1">
      <c r="A94" s="277" t="s">
        <v>2384</v>
      </c>
      <c r="B94" s="277" t="s">
        <v>2385</v>
      </c>
      <c r="C94" s="277"/>
      <c r="D94" s="277" t="s">
        <v>1578</v>
      </c>
      <c r="E94" s="277" t="s">
        <v>2100</v>
      </c>
      <c r="F94" s="277" t="s">
        <v>2081</v>
      </c>
    </row>
    <row r="95" spans="1:6" s="320" customFormat="1" ht="15" customHeight="1">
      <c r="A95" s="277" t="s">
        <v>2386</v>
      </c>
      <c r="B95" s="277" t="s">
        <v>2385</v>
      </c>
      <c r="C95" s="277"/>
      <c r="D95" s="277" t="s">
        <v>1578</v>
      </c>
      <c r="E95" s="277" t="s">
        <v>2100</v>
      </c>
      <c r="F95" s="277" t="s">
        <v>2081</v>
      </c>
    </row>
    <row r="96" spans="1:6" s="320" customFormat="1" ht="15" customHeight="1">
      <c r="A96" s="280" t="s">
        <v>1921</v>
      </c>
      <c r="B96" s="277" t="s">
        <v>2096</v>
      </c>
      <c r="C96" s="277"/>
      <c r="D96" s="277" t="s">
        <v>1128</v>
      </c>
      <c r="E96" s="277" t="s">
        <v>2100</v>
      </c>
      <c r="F96" s="277" t="s">
        <v>2081</v>
      </c>
    </row>
    <row r="97" spans="1:6" s="320" customFormat="1" ht="15" customHeight="1">
      <c r="A97" s="277" t="s">
        <v>2122</v>
      </c>
      <c r="B97" s="277" t="s">
        <v>2121</v>
      </c>
      <c r="C97" s="277"/>
      <c r="D97" s="277" t="s">
        <v>1135</v>
      </c>
      <c r="E97" s="277" t="s">
        <v>2100</v>
      </c>
      <c r="F97" s="277" t="s">
        <v>2081</v>
      </c>
    </row>
    <row r="98" spans="1:6" s="320" customFormat="1" ht="15" customHeight="1">
      <c r="A98" s="277" t="s">
        <v>2140</v>
      </c>
      <c r="B98" s="277" t="s">
        <v>2139</v>
      </c>
      <c r="C98" s="277"/>
      <c r="D98" s="277" t="s">
        <v>1140</v>
      </c>
      <c r="E98" s="277" t="s">
        <v>2100</v>
      </c>
      <c r="F98" s="277" t="s">
        <v>2081</v>
      </c>
    </row>
    <row r="99" spans="1:6" s="320" customFormat="1" ht="15" customHeight="1">
      <c r="A99" s="277" t="s">
        <v>2158</v>
      </c>
      <c r="B99" s="277" t="s">
        <v>2157</v>
      </c>
      <c r="C99" s="277"/>
      <c r="D99" s="277" t="s">
        <v>1145</v>
      </c>
      <c r="E99" s="277" t="s">
        <v>2100</v>
      </c>
      <c r="F99" s="277" t="s">
        <v>2081</v>
      </c>
    </row>
    <row r="100" spans="1:6" s="320" customFormat="1" ht="15" customHeight="1">
      <c r="A100" s="277" t="s">
        <v>2102</v>
      </c>
      <c r="B100" s="277" t="s">
        <v>2096</v>
      </c>
      <c r="C100" s="277"/>
      <c r="D100" s="277" t="s">
        <v>1128</v>
      </c>
      <c r="E100" s="277" t="s">
        <v>2100</v>
      </c>
      <c r="F100" s="277" t="s">
        <v>2081</v>
      </c>
    </row>
    <row r="101" spans="1:6" s="320" customFormat="1" ht="15" customHeight="1">
      <c r="A101" s="277" t="s">
        <v>2123</v>
      </c>
      <c r="B101" s="277" t="s">
        <v>2121</v>
      </c>
      <c r="C101" s="277"/>
      <c r="D101" s="277" t="s">
        <v>1135</v>
      </c>
      <c r="E101" s="277" t="s">
        <v>2100</v>
      </c>
      <c r="F101" s="277" t="s">
        <v>2081</v>
      </c>
    </row>
    <row r="102" spans="1:6" s="320" customFormat="1" ht="15" customHeight="1">
      <c r="A102" s="277" t="s">
        <v>2141</v>
      </c>
      <c r="B102" s="277" t="s">
        <v>2139</v>
      </c>
      <c r="C102" s="277"/>
      <c r="D102" s="277" t="s">
        <v>1140</v>
      </c>
      <c r="E102" s="277" t="s">
        <v>2100</v>
      </c>
      <c r="F102" s="277" t="s">
        <v>2081</v>
      </c>
    </row>
    <row r="103" spans="1:6" s="320" customFormat="1" ht="15" customHeight="1">
      <c r="A103" s="277" t="s">
        <v>2159</v>
      </c>
      <c r="B103" s="277" t="s">
        <v>2157</v>
      </c>
      <c r="C103" s="277"/>
      <c r="D103" s="277" t="s">
        <v>1145</v>
      </c>
      <c r="E103" s="277" t="s">
        <v>2100</v>
      </c>
      <c r="F103" s="277" t="s">
        <v>2081</v>
      </c>
    </row>
    <row r="104" spans="1:6" s="320" customFormat="1" ht="15" customHeight="1">
      <c r="A104" s="277" t="s">
        <v>2301</v>
      </c>
      <c r="B104" s="277" t="s">
        <v>2302</v>
      </c>
      <c r="C104" s="277"/>
      <c r="D104" s="277" t="s">
        <v>2294</v>
      </c>
      <c r="E104" s="277" t="s">
        <v>2254</v>
      </c>
      <c r="F104" s="277" t="s">
        <v>2081</v>
      </c>
    </row>
    <row r="105" spans="1:6" s="320" customFormat="1" ht="15" customHeight="1">
      <c r="A105" s="277" t="s">
        <v>2251</v>
      </c>
      <c r="B105" s="277" t="s">
        <v>2253</v>
      </c>
      <c r="C105" s="277"/>
      <c r="D105" s="277" t="s">
        <v>1546</v>
      </c>
      <c r="E105" s="277" t="s">
        <v>2254</v>
      </c>
      <c r="F105" s="277" t="s">
        <v>2081</v>
      </c>
    </row>
    <row r="106" spans="1:6" s="320" customFormat="1" ht="15" customHeight="1">
      <c r="A106" s="277" t="s">
        <v>2390</v>
      </c>
      <c r="B106" s="277" t="s">
        <v>2391</v>
      </c>
      <c r="C106" s="277"/>
      <c r="D106" s="277" t="s">
        <v>1551</v>
      </c>
      <c r="E106" s="277" t="s">
        <v>2254</v>
      </c>
      <c r="F106" s="277" t="s">
        <v>2081</v>
      </c>
    </row>
    <row r="107" spans="1:6" s="320" customFormat="1" ht="15" customHeight="1">
      <c r="A107" s="277" t="s">
        <v>2207</v>
      </c>
      <c r="B107" s="277" t="s">
        <v>2190</v>
      </c>
      <c r="C107" s="277"/>
      <c r="D107" s="277" t="s">
        <v>2171</v>
      </c>
      <c r="E107" s="277" t="s">
        <v>2106</v>
      </c>
      <c r="F107" s="277" t="s">
        <v>2081</v>
      </c>
    </row>
    <row r="108" spans="1:6" s="320" customFormat="1" ht="15" customHeight="1">
      <c r="A108" s="280" t="s">
        <v>3105</v>
      </c>
      <c r="B108" s="277" t="s">
        <v>2190</v>
      </c>
      <c r="C108" s="277"/>
      <c r="D108" s="277" t="s">
        <v>2171</v>
      </c>
      <c r="E108" s="277" t="s">
        <v>2106</v>
      </c>
      <c r="F108" s="277" t="s">
        <v>2081</v>
      </c>
    </row>
    <row r="109" spans="1:6" s="320" customFormat="1" ht="15" customHeight="1">
      <c r="A109" s="277" t="s">
        <v>2211</v>
      </c>
      <c r="B109" s="277" t="s">
        <v>2196</v>
      </c>
      <c r="C109" s="277"/>
      <c r="D109" s="277" t="s">
        <v>2171</v>
      </c>
      <c r="E109" s="277" t="s">
        <v>2106</v>
      </c>
      <c r="F109" s="277" t="s">
        <v>2081</v>
      </c>
    </row>
    <row r="110" spans="1:6" s="320" customFormat="1" ht="15" customHeight="1">
      <c r="A110" s="277" t="s">
        <v>2212</v>
      </c>
      <c r="B110" s="277" t="s">
        <v>2196</v>
      </c>
      <c r="C110" s="277"/>
      <c r="D110" s="277" t="s">
        <v>2171</v>
      </c>
      <c r="E110" s="277" t="s">
        <v>2106</v>
      </c>
      <c r="F110" s="277" t="s">
        <v>2081</v>
      </c>
    </row>
    <row r="111" spans="1:6" s="320" customFormat="1" ht="15" customHeight="1">
      <c r="A111" s="277" t="s">
        <v>2213</v>
      </c>
      <c r="B111" s="277" t="s">
        <v>2199</v>
      </c>
      <c r="C111" s="277"/>
      <c r="D111" s="277" t="s">
        <v>2171</v>
      </c>
      <c r="E111" s="277" t="s">
        <v>2106</v>
      </c>
      <c r="F111" s="277" t="s">
        <v>2081</v>
      </c>
    </row>
    <row r="112" spans="1:6" s="320" customFormat="1" ht="15" customHeight="1">
      <c r="A112" s="277" t="s">
        <v>2214</v>
      </c>
      <c r="B112" s="277" t="s">
        <v>2199</v>
      </c>
      <c r="C112" s="277"/>
      <c r="D112" s="277" t="s">
        <v>2171</v>
      </c>
      <c r="E112" s="277" t="s">
        <v>2106</v>
      </c>
      <c r="F112" s="277" t="s">
        <v>2081</v>
      </c>
    </row>
    <row r="113" spans="1:6" s="320" customFormat="1" ht="15" customHeight="1">
      <c r="A113" s="277" t="s">
        <v>2215</v>
      </c>
      <c r="B113" s="277" t="s">
        <v>2203</v>
      </c>
      <c r="C113" s="277"/>
      <c r="D113" s="277" t="s">
        <v>2171</v>
      </c>
      <c r="E113" s="277" t="s">
        <v>2106</v>
      </c>
      <c r="F113" s="277" t="s">
        <v>2081</v>
      </c>
    </row>
    <row r="114" spans="1:6" s="320" customFormat="1" ht="15" customHeight="1">
      <c r="A114" s="277" t="s">
        <v>2216</v>
      </c>
      <c r="B114" s="277" t="s">
        <v>2203</v>
      </c>
      <c r="C114" s="277"/>
      <c r="D114" s="277" t="s">
        <v>2171</v>
      </c>
      <c r="E114" s="277" t="s">
        <v>2106</v>
      </c>
      <c r="F114" s="277" t="s">
        <v>2081</v>
      </c>
    </row>
    <row r="115" spans="1:6" s="320" customFormat="1" ht="15" customHeight="1">
      <c r="A115" s="277" t="s">
        <v>2409</v>
      </c>
      <c r="B115" s="277" t="s">
        <v>2411</v>
      </c>
      <c r="C115" s="277"/>
      <c r="D115" s="277" t="s">
        <v>2412</v>
      </c>
      <c r="E115" s="277" t="s">
        <v>2106</v>
      </c>
      <c r="F115" s="277" t="s">
        <v>2081</v>
      </c>
    </row>
    <row r="116" spans="1:6" s="320" customFormat="1" ht="15" customHeight="1">
      <c r="A116" s="277" t="s">
        <v>2415</v>
      </c>
      <c r="B116" s="277" t="s">
        <v>2417</v>
      </c>
      <c r="C116" s="277"/>
      <c r="D116" s="277" t="s">
        <v>2412</v>
      </c>
      <c r="E116" s="277" t="s">
        <v>2106</v>
      </c>
      <c r="F116" s="277" t="s">
        <v>2081</v>
      </c>
    </row>
    <row r="117" spans="1:6" s="320" customFormat="1" ht="15" customHeight="1">
      <c r="A117" s="277" t="s">
        <v>2418</v>
      </c>
      <c r="B117" s="277" t="s">
        <v>2419</v>
      </c>
      <c r="C117" s="277"/>
      <c r="D117" s="277" t="s">
        <v>2412</v>
      </c>
      <c r="E117" s="277" t="s">
        <v>2106</v>
      </c>
      <c r="F117" s="277" t="s">
        <v>2081</v>
      </c>
    </row>
    <row r="118" spans="1:6" s="320" customFormat="1" ht="15" customHeight="1">
      <c r="A118" s="277" t="s">
        <v>2420</v>
      </c>
      <c r="B118" s="277" t="s">
        <v>2421</v>
      </c>
      <c r="C118" s="277"/>
      <c r="D118" s="277" t="s">
        <v>2412</v>
      </c>
      <c r="E118" s="277" t="s">
        <v>2106</v>
      </c>
      <c r="F118" s="277" t="s">
        <v>2081</v>
      </c>
    </row>
    <row r="119" spans="1:6" s="320" customFormat="1" ht="15" customHeight="1">
      <c r="A119" s="277" t="s">
        <v>2424</v>
      </c>
      <c r="B119" s="277" t="s">
        <v>2425</v>
      </c>
      <c r="C119" s="277"/>
      <c r="D119" s="277" t="s">
        <v>2412</v>
      </c>
      <c r="E119" s="277" t="s">
        <v>2106</v>
      </c>
      <c r="F119" s="277" t="s">
        <v>2081</v>
      </c>
    </row>
    <row r="120" spans="1:6" s="320" customFormat="1" ht="15" customHeight="1">
      <c r="A120" s="277" t="s">
        <v>2426</v>
      </c>
      <c r="B120" s="277" t="s">
        <v>2425</v>
      </c>
      <c r="C120" s="277"/>
      <c r="D120" s="277" t="s">
        <v>2412</v>
      </c>
      <c r="E120" s="277" t="s">
        <v>2106</v>
      </c>
      <c r="F120" s="277" t="s">
        <v>2081</v>
      </c>
    </row>
    <row r="121" spans="1:6" s="320" customFormat="1" ht="15" customHeight="1">
      <c r="A121" s="277" t="s">
        <v>2431</v>
      </c>
      <c r="B121" s="277" t="s">
        <v>2433</v>
      </c>
      <c r="C121" s="277"/>
      <c r="D121" s="277" t="s">
        <v>1127</v>
      </c>
      <c r="E121" s="277" t="s">
        <v>2106</v>
      </c>
      <c r="F121" s="277" t="s">
        <v>2081</v>
      </c>
    </row>
    <row r="122" spans="1:6" s="320" customFormat="1" ht="15" customHeight="1">
      <c r="A122" s="277" t="s">
        <v>2436</v>
      </c>
      <c r="B122" s="277" t="s">
        <v>2438</v>
      </c>
      <c r="C122" s="277"/>
      <c r="D122" s="277" t="s">
        <v>1127</v>
      </c>
      <c r="E122" s="277" t="s">
        <v>2106</v>
      </c>
      <c r="F122" s="277" t="s">
        <v>2081</v>
      </c>
    </row>
    <row r="123" spans="1:6" s="320" customFormat="1" ht="15" customHeight="1">
      <c r="A123" s="277" t="s">
        <v>2427</v>
      </c>
      <c r="B123" s="277" t="s">
        <v>2428</v>
      </c>
      <c r="C123" s="277"/>
      <c r="D123" s="277" t="s">
        <v>1127</v>
      </c>
      <c r="E123" s="277" t="s">
        <v>2106</v>
      </c>
      <c r="F123" s="277" t="s">
        <v>2081</v>
      </c>
    </row>
    <row r="124" spans="1:6" s="320" customFormat="1" ht="15" customHeight="1">
      <c r="A124" s="277" t="s">
        <v>2448</v>
      </c>
      <c r="B124" s="277" t="s">
        <v>2450</v>
      </c>
      <c r="C124" s="277"/>
      <c r="D124" s="277" t="s">
        <v>1127</v>
      </c>
      <c r="E124" s="277" t="s">
        <v>2106</v>
      </c>
      <c r="F124" s="277" t="s">
        <v>2081</v>
      </c>
    </row>
    <row r="125" spans="1:6" s="320" customFormat="1" ht="15" customHeight="1">
      <c r="A125" s="277" t="s">
        <v>2274</v>
      </c>
      <c r="B125" s="277" t="s">
        <v>2276</v>
      </c>
      <c r="C125" s="277"/>
      <c r="D125" s="277" t="s">
        <v>1546</v>
      </c>
      <c r="E125" s="277" t="s">
        <v>2106</v>
      </c>
      <c r="F125" s="277" t="s">
        <v>2081</v>
      </c>
    </row>
    <row r="126" spans="1:6" s="320" customFormat="1" ht="15" customHeight="1">
      <c r="A126" s="277" t="s">
        <v>2286</v>
      </c>
      <c r="B126" s="277" t="s">
        <v>2287</v>
      </c>
      <c r="C126" s="277"/>
      <c r="D126" s="277" t="s">
        <v>1546</v>
      </c>
      <c r="E126" s="277" t="s">
        <v>2106</v>
      </c>
      <c r="F126" s="277" t="s">
        <v>2081</v>
      </c>
    </row>
    <row r="127" spans="1:6" s="320" customFormat="1" ht="15" customHeight="1">
      <c r="A127" s="313" t="s">
        <v>3485</v>
      </c>
      <c r="B127" s="314" t="s">
        <v>3685</v>
      </c>
      <c r="C127" s="314"/>
      <c r="D127" s="312"/>
      <c r="E127" s="312" t="s">
        <v>3368</v>
      </c>
      <c r="F127" s="312" t="s">
        <v>1884</v>
      </c>
    </row>
    <row r="128" spans="1:6" s="320" customFormat="1" ht="15" customHeight="1">
      <c r="A128" s="313" t="s">
        <v>3494</v>
      </c>
      <c r="B128" s="314" t="s">
        <v>3694</v>
      </c>
      <c r="C128" s="314"/>
      <c r="D128" s="312"/>
      <c r="E128" s="312" t="s">
        <v>3368</v>
      </c>
      <c r="F128" s="312" t="s">
        <v>1884</v>
      </c>
    </row>
    <row r="129" spans="1:6" s="320" customFormat="1" ht="15" customHeight="1">
      <c r="A129" s="313" t="s">
        <v>3495</v>
      </c>
      <c r="B129" s="314" t="s">
        <v>3695</v>
      </c>
      <c r="C129" s="314"/>
      <c r="D129" s="312"/>
      <c r="E129" s="312" t="s">
        <v>3368</v>
      </c>
      <c r="F129" s="312" t="s">
        <v>1884</v>
      </c>
    </row>
    <row r="130" spans="1:6" s="320" customFormat="1" ht="15" customHeight="1">
      <c r="A130" s="313" t="s">
        <v>3496</v>
      </c>
      <c r="B130" s="314" t="s">
        <v>3696</v>
      </c>
      <c r="C130" s="314"/>
      <c r="D130" s="312"/>
      <c r="E130" s="312" t="s">
        <v>3368</v>
      </c>
      <c r="F130" s="312" t="s">
        <v>1884</v>
      </c>
    </row>
    <row r="131" spans="1:6" s="320" customFormat="1" ht="15" customHeight="1">
      <c r="A131" s="277" t="s">
        <v>2232</v>
      </c>
      <c r="B131" s="277" t="s">
        <v>2233</v>
      </c>
      <c r="C131" s="277"/>
      <c r="D131" s="277" t="s">
        <v>1637</v>
      </c>
      <c r="E131" s="277" t="s">
        <v>2080</v>
      </c>
      <c r="F131" s="277" t="s">
        <v>2081</v>
      </c>
    </row>
    <row r="132" spans="1:6" s="320" customFormat="1" ht="15" customHeight="1">
      <c r="A132" s="277" t="s">
        <v>2236</v>
      </c>
      <c r="B132" s="277" t="s">
        <v>2233</v>
      </c>
      <c r="C132" s="277"/>
      <c r="D132" s="277" t="s">
        <v>1637</v>
      </c>
      <c r="E132" s="277" t="s">
        <v>2080</v>
      </c>
      <c r="F132" s="277" t="s">
        <v>2081</v>
      </c>
    </row>
    <row r="133" spans="1:6" s="320" customFormat="1" ht="15" customHeight="1">
      <c r="A133" s="277" t="s">
        <v>2235</v>
      </c>
      <c r="B133" s="277" t="s">
        <v>2233</v>
      </c>
      <c r="C133" s="277"/>
      <c r="D133" s="277" t="s">
        <v>1637</v>
      </c>
      <c r="E133" s="277" t="s">
        <v>2080</v>
      </c>
      <c r="F133" s="277" t="s">
        <v>2081</v>
      </c>
    </row>
    <row r="134" spans="1:6" s="320" customFormat="1" ht="15" customHeight="1">
      <c r="A134" s="277" t="s">
        <v>2237</v>
      </c>
      <c r="B134" s="277" t="s">
        <v>2233</v>
      </c>
      <c r="C134" s="277"/>
      <c r="D134" s="277" t="s">
        <v>1637</v>
      </c>
      <c r="E134" s="277" t="s">
        <v>2080</v>
      </c>
      <c r="F134" s="277" t="s">
        <v>2081</v>
      </c>
    </row>
    <row r="135" spans="1:6" s="320" customFormat="1" ht="15" customHeight="1">
      <c r="A135" s="277" t="s">
        <v>2238</v>
      </c>
      <c r="B135" s="277" t="s">
        <v>2239</v>
      </c>
      <c r="C135" s="277"/>
      <c r="D135" s="277" t="s">
        <v>1637</v>
      </c>
      <c r="E135" s="277" t="s">
        <v>2080</v>
      </c>
      <c r="F135" s="277" t="s">
        <v>2081</v>
      </c>
    </row>
    <row r="136" spans="1:6" s="320" customFormat="1" ht="15" customHeight="1">
      <c r="A136" s="277" t="s">
        <v>2241</v>
      </c>
      <c r="B136" s="277" t="s">
        <v>2239</v>
      </c>
      <c r="C136" s="277"/>
      <c r="D136" s="277" t="s">
        <v>1637</v>
      </c>
      <c r="E136" s="277" t="s">
        <v>2080</v>
      </c>
      <c r="F136" s="277" t="s">
        <v>2081</v>
      </c>
    </row>
    <row r="137" spans="1:6" s="320" customFormat="1" ht="15" customHeight="1">
      <c r="A137" s="277" t="s">
        <v>2240</v>
      </c>
      <c r="B137" s="277" t="s">
        <v>2239</v>
      </c>
      <c r="C137" s="277"/>
      <c r="D137" s="277" t="s">
        <v>1637</v>
      </c>
      <c r="E137" s="277" t="s">
        <v>2080</v>
      </c>
      <c r="F137" s="277" t="s">
        <v>2081</v>
      </c>
    </row>
    <row r="138" spans="1:6" s="320" customFormat="1" ht="15" customHeight="1">
      <c r="A138" s="277" t="s">
        <v>2242</v>
      </c>
      <c r="B138" s="277" t="s">
        <v>2239</v>
      </c>
      <c r="C138" s="277"/>
      <c r="D138" s="277" t="s">
        <v>1637</v>
      </c>
      <c r="E138" s="277" t="s">
        <v>2080</v>
      </c>
      <c r="F138" s="277" t="s">
        <v>2081</v>
      </c>
    </row>
    <row r="139" spans="1:6" s="320" customFormat="1" ht="15" customHeight="1">
      <c r="A139" s="277" t="s">
        <v>2246</v>
      </c>
      <c r="B139" s="277" t="s">
        <v>2244</v>
      </c>
      <c r="C139" s="277"/>
      <c r="D139" s="277" t="s">
        <v>1640</v>
      </c>
      <c r="E139" s="277" t="s">
        <v>2080</v>
      </c>
      <c r="F139" s="277" t="s">
        <v>2081</v>
      </c>
    </row>
    <row r="140" spans="1:6" s="320" customFormat="1" ht="15" customHeight="1">
      <c r="A140" s="277" t="s">
        <v>2243</v>
      </c>
      <c r="B140" s="277" t="s">
        <v>2244</v>
      </c>
      <c r="C140" s="277"/>
      <c r="D140" s="277" t="s">
        <v>1640</v>
      </c>
      <c r="E140" s="277" t="s">
        <v>2080</v>
      </c>
      <c r="F140" s="277" t="s">
        <v>2081</v>
      </c>
    </row>
    <row r="141" spans="1:6" s="320" customFormat="1" ht="15" customHeight="1">
      <c r="A141" s="277" t="s">
        <v>2405</v>
      </c>
      <c r="B141" s="277" t="s">
        <v>2406</v>
      </c>
      <c r="C141" s="277"/>
      <c r="D141" s="277" t="s">
        <v>1170</v>
      </c>
      <c r="E141" s="277" t="s">
        <v>2080</v>
      </c>
      <c r="F141" s="277" t="s">
        <v>2081</v>
      </c>
    </row>
    <row r="142" spans="1:6" s="320" customFormat="1" ht="15" customHeight="1">
      <c r="A142" s="277" t="s">
        <v>2247</v>
      </c>
      <c r="B142" s="277" t="s">
        <v>2249</v>
      </c>
      <c r="C142" s="277"/>
      <c r="D142" s="277" t="s">
        <v>1546</v>
      </c>
      <c r="E142" s="277" t="s">
        <v>2080</v>
      </c>
      <c r="F142" s="277" t="s">
        <v>2081</v>
      </c>
    </row>
    <row r="143" spans="1:6" s="320" customFormat="1" ht="15" customHeight="1">
      <c r="A143" s="277" t="s">
        <v>2408</v>
      </c>
      <c r="B143" s="277" t="s">
        <v>2406</v>
      </c>
      <c r="C143" s="277"/>
      <c r="D143" s="277" t="s">
        <v>1170</v>
      </c>
      <c r="E143" s="277" t="s">
        <v>2080</v>
      </c>
      <c r="F143" s="277" t="s">
        <v>2081</v>
      </c>
    </row>
    <row r="144" spans="1:6" s="320" customFormat="1" ht="15" customHeight="1">
      <c r="A144" s="277" t="s">
        <v>2168</v>
      </c>
      <c r="B144" s="277" t="s">
        <v>2170</v>
      </c>
      <c r="C144" s="277"/>
      <c r="D144" s="280" t="s">
        <v>3138</v>
      </c>
      <c r="E144" s="277" t="s">
        <v>2080</v>
      </c>
      <c r="F144" s="277" t="s">
        <v>2081</v>
      </c>
    </row>
    <row r="145" spans="1:6" s="320" customFormat="1" ht="15" customHeight="1">
      <c r="A145" s="277" t="s">
        <v>2312</v>
      </c>
      <c r="B145" s="277" t="s">
        <v>2314</v>
      </c>
      <c r="C145" s="277"/>
      <c r="D145" s="277" t="s">
        <v>2315</v>
      </c>
      <c r="E145" s="277" t="s">
        <v>2080</v>
      </c>
      <c r="F145" s="280" t="s">
        <v>1884</v>
      </c>
    </row>
    <row r="146" spans="1:6" s="320" customFormat="1" ht="15" customHeight="1">
      <c r="A146" s="277" t="s">
        <v>2296</v>
      </c>
      <c r="B146" s="277" t="s">
        <v>2298</v>
      </c>
      <c r="C146" s="277"/>
      <c r="D146" s="277" t="s">
        <v>2294</v>
      </c>
      <c r="E146" s="277" t="s">
        <v>2080</v>
      </c>
      <c r="F146" s="277" t="s">
        <v>2081</v>
      </c>
    </row>
    <row r="147" spans="1:6" s="320" customFormat="1" ht="15" customHeight="1">
      <c r="A147" s="277" t="s">
        <v>2303</v>
      </c>
      <c r="B147" s="277" t="s">
        <v>2298</v>
      </c>
      <c r="C147" s="277"/>
      <c r="D147" s="277" t="s">
        <v>2294</v>
      </c>
      <c r="E147" s="277" t="s">
        <v>2080</v>
      </c>
      <c r="F147" s="277" t="s">
        <v>2081</v>
      </c>
    </row>
    <row r="148" spans="1:6" s="320" customFormat="1" ht="15" customHeight="1">
      <c r="A148" s="277" t="s">
        <v>2305</v>
      </c>
      <c r="B148" s="277" t="s">
        <v>2306</v>
      </c>
      <c r="C148" s="277"/>
      <c r="D148" s="277" t="s">
        <v>2294</v>
      </c>
      <c r="E148" s="277" t="s">
        <v>2080</v>
      </c>
      <c r="F148" s="277" t="s">
        <v>2081</v>
      </c>
    </row>
    <row r="149" spans="1:6" s="320" customFormat="1" ht="15" customHeight="1">
      <c r="A149" s="277" t="s">
        <v>2178</v>
      </c>
      <c r="B149" s="277" t="s">
        <v>2179</v>
      </c>
      <c r="C149" s="277"/>
      <c r="D149" s="280" t="s">
        <v>3138</v>
      </c>
      <c r="E149" s="277" t="s">
        <v>2080</v>
      </c>
      <c r="F149" s="277" t="s">
        <v>2081</v>
      </c>
    </row>
    <row r="150" spans="1:6" s="320" customFormat="1" ht="15" customHeight="1">
      <c r="A150" s="277" t="s">
        <v>2180</v>
      </c>
      <c r="B150" s="277" t="s">
        <v>2181</v>
      </c>
      <c r="C150" s="277"/>
      <c r="D150" s="280" t="s">
        <v>3138</v>
      </c>
      <c r="E150" s="277" t="s">
        <v>2080</v>
      </c>
      <c r="F150" s="277" t="s">
        <v>2081</v>
      </c>
    </row>
    <row r="151" spans="1:6" s="320" customFormat="1" ht="15" customHeight="1">
      <c r="A151" s="277" t="s">
        <v>2182</v>
      </c>
      <c r="B151" s="277" t="s">
        <v>2183</v>
      </c>
      <c r="C151" s="277"/>
      <c r="D151" s="280" t="s">
        <v>3138</v>
      </c>
      <c r="E151" s="277" t="s">
        <v>2080</v>
      </c>
      <c r="F151" s="277" t="s">
        <v>2081</v>
      </c>
    </row>
    <row r="152" spans="1:6" s="320" customFormat="1" ht="15" customHeight="1">
      <c r="A152" s="277" t="s">
        <v>2184</v>
      </c>
      <c r="B152" s="277" t="s">
        <v>2185</v>
      </c>
      <c r="C152" s="277"/>
      <c r="D152" s="280" t="s">
        <v>3138</v>
      </c>
      <c r="E152" s="277" t="s">
        <v>2080</v>
      </c>
      <c r="F152" s="277" t="s">
        <v>2081</v>
      </c>
    </row>
    <row r="153" spans="1:6" s="320" customFormat="1" ht="15" customHeight="1">
      <c r="A153" s="277" t="s">
        <v>2186</v>
      </c>
      <c r="B153" s="277" t="s">
        <v>2187</v>
      </c>
      <c r="C153" s="277"/>
      <c r="D153" s="280" t="s">
        <v>3138</v>
      </c>
      <c r="E153" s="277" t="s">
        <v>2080</v>
      </c>
      <c r="F153" s="277" t="s">
        <v>2081</v>
      </c>
    </row>
    <row r="154" spans="1:6" s="320" customFormat="1" ht="15" customHeight="1">
      <c r="A154" s="277" t="s">
        <v>2205</v>
      </c>
      <c r="B154" s="277" t="s">
        <v>2206</v>
      </c>
      <c r="C154" s="277"/>
      <c r="D154" s="280" t="s">
        <v>3138</v>
      </c>
      <c r="E154" s="277" t="s">
        <v>2080</v>
      </c>
      <c r="F154" s="277" t="s">
        <v>2081</v>
      </c>
    </row>
    <row r="155" spans="1:6" s="320" customFormat="1" ht="15" customHeight="1">
      <c r="A155" s="277" t="s">
        <v>2176</v>
      </c>
      <c r="B155" s="277" t="s">
        <v>2177</v>
      </c>
      <c r="C155" s="277"/>
      <c r="D155" s="280" t="s">
        <v>3138</v>
      </c>
      <c r="E155" s="277" t="s">
        <v>2080</v>
      </c>
      <c r="F155" s="277" t="s">
        <v>2081</v>
      </c>
    </row>
    <row r="156" spans="1:6" s="320" customFormat="1" ht="15" customHeight="1">
      <c r="A156" s="280" t="s">
        <v>3699</v>
      </c>
      <c r="B156" s="277"/>
      <c r="C156" s="277"/>
      <c r="D156" s="277" t="s">
        <v>2080</v>
      </c>
      <c r="E156" s="277" t="s">
        <v>2080</v>
      </c>
      <c r="F156" s="277" t="s">
        <v>2081</v>
      </c>
    </row>
    <row r="157" spans="1:6" s="320" customFormat="1" ht="15" customHeight="1">
      <c r="A157" s="277" t="s">
        <v>2317</v>
      </c>
      <c r="B157" s="277" t="s">
        <v>2318</v>
      </c>
      <c r="C157" s="277"/>
      <c r="D157" s="277" t="s">
        <v>1556</v>
      </c>
      <c r="E157" s="277" t="s">
        <v>2080</v>
      </c>
      <c r="F157" s="277" t="s">
        <v>2081</v>
      </c>
    </row>
    <row r="158" spans="1:6" s="320" customFormat="1" ht="15" customHeight="1">
      <c r="A158" s="277" t="s">
        <v>2321</v>
      </c>
      <c r="B158" s="277" t="s">
        <v>2322</v>
      </c>
      <c r="C158" s="277"/>
      <c r="D158" s="277" t="s">
        <v>1556</v>
      </c>
      <c r="E158" s="277" t="s">
        <v>2080</v>
      </c>
      <c r="F158" s="277" t="s">
        <v>2081</v>
      </c>
    </row>
    <row r="159" spans="1:6" s="320" customFormat="1" ht="15" customHeight="1">
      <c r="A159" s="277" t="s">
        <v>2323</v>
      </c>
      <c r="B159" s="277" t="s">
        <v>2324</v>
      </c>
      <c r="C159" s="277"/>
      <c r="D159" s="277" t="s">
        <v>1556</v>
      </c>
      <c r="E159" s="277" t="s">
        <v>2080</v>
      </c>
      <c r="F159" s="277" t="s">
        <v>2081</v>
      </c>
    </row>
    <row r="160" spans="1:6" s="320" customFormat="1" ht="15" customHeight="1">
      <c r="A160" s="277" t="s">
        <v>2334</v>
      </c>
      <c r="B160" s="277" t="s">
        <v>2335</v>
      </c>
      <c r="C160" s="277"/>
      <c r="D160" s="277" t="s">
        <v>1563</v>
      </c>
      <c r="E160" s="277" t="s">
        <v>2080</v>
      </c>
      <c r="F160" s="277" t="s">
        <v>2081</v>
      </c>
    </row>
    <row r="161" spans="1:6" s="320" customFormat="1" ht="15" customHeight="1">
      <c r="A161" s="277" t="s">
        <v>2341</v>
      </c>
      <c r="B161" s="277" t="s">
        <v>2342</v>
      </c>
      <c r="C161" s="277"/>
      <c r="D161" s="277" t="s">
        <v>1563</v>
      </c>
      <c r="E161" s="277" t="s">
        <v>2080</v>
      </c>
      <c r="F161" s="277" t="s">
        <v>2081</v>
      </c>
    </row>
    <row r="162" spans="1:6" s="320" customFormat="1" ht="15" customHeight="1">
      <c r="A162" s="277" t="s">
        <v>2343</v>
      </c>
      <c r="B162" s="277" t="s">
        <v>2344</v>
      </c>
      <c r="C162" s="277"/>
      <c r="D162" s="277" t="s">
        <v>1563</v>
      </c>
      <c r="E162" s="277" t="s">
        <v>2080</v>
      </c>
      <c r="F162" s="277" t="s">
        <v>2081</v>
      </c>
    </row>
    <row r="163" spans="1:6" s="320" customFormat="1" ht="15" customHeight="1">
      <c r="A163" s="277" t="s">
        <v>2351</v>
      </c>
      <c r="B163" s="277" t="s">
        <v>2352</v>
      </c>
      <c r="C163" s="277"/>
      <c r="D163" s="277" t="s">
        <v>1571</v>
      </c>
      <c r="E163" s="277" t="s">
        <v>2080</v>
      </c>
      <c r="F163" s="277" t="s">
        <v>2081</v>
      </c>
    </row>
    <row r="164" spans="1:6" s="320" customFormat="1" ht="15" customHeight="1">
      <c r="A164" s="277" t="s">
        <v>2355</v>
      </c>
      <c r="B164" s="277" t="s">
        <v>2356</v>
      </c>
      <c r="C164" s="277"/>
      <c r="D164" s="277" t="s">
        <v>1571</v>
      </c>
      <c r="E164" s="277" t="s">
        <v>2080</v>
      </c>
      <c r="F164" s="277" t="s">
        <v>2081</v>
      </c>
    </row>
    <row r="165" spans="1:6" s="320" customFormat="1" ht="15" customHeight="1">
      <c r="A165" s="277" t="s">
        <v>2813</v>
      </c>
      <c r="B165" s="277" t="s">
        <v>2357</v>
      </c>
      <c r="C165" s="277"/>
      <c r="D165" s="277" t="s">
        <v>1571</v>
      </c>
      <c r="E165" s="277" t="s">
        <v>2080</v>
      </c>
      <c r="F165" s="277" t="s">
        <v>2081</v>
      </c>
    </row>
    <row r="166" spans="1:6" s="320" customFormat="1" ht="15" customHeight="1">
      <c r="A166" s="277" t="s">
        <v>2358</v>
      </c>
      <c r="B166" s="277" t="s">
        <v>2359</v>
      </c>
      <c r="C166" s="277"/>
      <c r="D166" s="277" t="s">
        <v>1571</v>
      </c>
      <c r="E166" s="277" t="s">
        <v>2080</v>
      </c>
      <c r="F166" s="280" t="s">
        <v>1884</v>
      </c>
    </row>
    <row r="167" spans="1:6" s="320" customFormat="1" ht="15" customHeight="1">
      <c r="A167" s="277" t="s">
        <v>2370</v>
      </c>
      <c r="B167" s="277" t="s">
        <v>2371</v>
      </c>
      <c r="C167" s="277"/>
      <c r="D167" s="277" t="s">
        <v>1578</v>
      </c>
      <c r="E167" s="277" t="s">
        <v>2080</v>
      </c>
      <c r="F167" s="277" t="s">
        <v>2081</v>
      </c>
    </row>
    <row r="168" spans="1:6" s="320" customFormat="1" ht="15" customHeight="1">
      <c r="A168" s="277" t="s">
        <v>2377</v>
      </c>
      <c r="B168" s="277" t="s">
        <v>2378</v>
      </c>
      <c r="C168" s="277"/>
      <c r="D168" s="277" t="s">
        <v>1578</v>
      </c>
      <c r="E168" s="277" t="s">
        <v>2080</v>
      </c>
      <c r="F168" s="277" t="s">
        <v>2081</v>
      </c>
    </row>
    <row r="169" spans="1:6" s="320" customFormat="1" ht="15" customHeight="1">
      <c r="A169" s="277" t="s">
        <v>2379</v>
      </c>
      <c r="B169" s="277" t="s">
        <v>2380</v>
      </c>
      <c r="C169" s="277"/>
      <c r="D169" s="277" t="s">
        <v>1578</v>
      </c>
      <c r="E169" s="277" t="s">
        <v>2080</v>
      </c>
      <c r="F169" s="277" t="s">
        <v>2081</v>
      </c>
    </row>
    <row r="170" spans="1:6" s="320" customFormat="1" ht="15" customHeight="1">
      <c r="A170" s="280" t="s">
        <v>2057</v>
      </c>
      <c r="B170" s="277" t="s">
        <v>2293</v>
      </c>
      <c r="C170" s="277"/>
      <c r="D170" s="277" t="s">
        <v>2294</v>
      </c>
      <c r="E170" s="277" t="s">
        <v>2080</v>
      </c>
      <c r="F170" s="277" t="s">
        <v>2081</v>
      </c>
    </row>
    <row r="171" spans="1:6" s="320" customFormat="1" ht="15" customHeight="1">
      <c r="A171" s="277" t="s">
        <v>2444</v>
      </c>
      <c r="B171" s="277" t="s">
        <v>2445</v>
      </c>
      <c r="C171" s="277"/>
      <c r="D171" s="277" t="s">
        <v>1127</v>
      </c>
      <c r="E171" s="277" t="s">
        <v>2080</v>
      </c>
      <c r="F171" s="277" t="s">
        <v>2081</v>
      </c>
    </row>
    <row r="172" spans="1:6" s="320" customFormat="1" ht="15" customHeight="1">
      <c r="A172" s="277" t="s">
        <v>2279</v>
      </c>
      <c r="B172" s="277" t="s">
        <v>2276</v>
      </c>
      <c r="C172" s="277"/>
      <c r="D172" s="277" t="s">
        <v>1546</v>
      </c>
      <c r="E172" s="277" t="s">
        <v>2080</v>
      </c>
      <c r="F172" s="277" t="s">
        <v>2081</v>
      </c>
    </row>
    <row r="173" spans="1:6" s="320" customFormat="1" ht="15" customHeight="1">
      <c r="A173" s="277" t="s">
        <v>2269</v>
      </c>
      <c r="B173" s="277" t="s">
        <v>2271</v>
      </c>
      <c r="C173" s="277"/>
      <c r="D173" s="280" t="s">
        <v>2031</v>
      </c>
      <c r="E173" s="277" t="s">
        <v>2080</v>
      </c>
      <c r="F173" s="277" t="s">
        <v>2081</v>
      </c>
    </row>
    <row r="174" spans="1:6" s="320" customFormat="1" ht="15" customHeight="1">
      <c r="A174" s="277" t="s">
        <v>2272</v>
      </c>
      <c r="B174" s="277" t="s">
        <v>2273</v>
      </c>
      <c r="C174" s="277"/>
      <c r="D174" s="277" t="s">
        <v>1546</v>
      </c>
      <c r="E174" s="277" t="s">
        <v>2080</v>
      </c>
      <c r="F174" s="277" t="s">
        <v>2081</v>
      </c>
    </row>
    <row r="175" spans="1:6" s="320" customFormat="1" ht="15" customHeight="1">
      <c r="A175" s="277" t="s">
        <v>2289</v>
      </c>
      <c r="B175" s="277" t="s">
        <v>2287</v>
      </c>
      <c r="C175" s="277"/>
      <c r="D175" s="277" t="s">
        <v>1546</v>
      </c>
      <c r="E175" s="277" t="s">
        <v>2080</v>
      </c>
      <c r="F175" s="277" t="s">
        <v>2081</v>
      </c>
    </row>
    <row r="176" spans="1:6" s="320" customFormat="1" ht="15" customHeight="1">
      <c r="A176" s="277" t="s">
        <v>2188</v>
      </c>
      <c r="B176" s="277" t="s">
        <v>2190</v>
      </c>
      <c r="C176" s="277"/>
      <c r="D176" s="277" t="s">
        <v>2171</v>
      </c>
      <c r="E176" s="277" t="s">
        <v>2100</v>
      </c>
      <c r="F176" s="277" t="s">
        <v>2081</v>
      </c>
    </row>
    <row r="177" spans="1:6" s="320" customFormat="1" ht="15" customHeight="1">
      <c r="A177" s="277" t="s">
        <v>2193</v>
      </c>
      <c r="B177" s="277" t="s">
        <v>2190</v>
      </c>
      <c r="C177" s="277"/>
      <c r="D177" s="277" t="s">
        <v>2171</v>
      </c>
      <c r="E177" s="277" t="s">
        <v>2100</v>
      </c>
      <c r="F177" s="277" t="s">
        <v>2081</v>
      </c>
    </row>
    <row r="178" spans="1:6" s="320" customFormat="1" ht="15" customHeight="1">
      <c r="A178" s="277" t="s">
        <v>2195</v>
      </c>
      <c r="B178" s="277" t="s">
        <v>2196</v>
      </c>
      <c r="C178" s="277"/>
      <c r="D178" s="277" t="s">
        <v>2171</v>
      </c>
      <c r="E178" s="277" t="s">
        <v>2100</v>
      </c>
      <c r="F178" s="277" t="s">
        <v>2081</v>
      </c>
    </row>
    <row r="179" spans="1:6" s="320" customFormat="1" ht="15" customHeight="1">
      <c r="A179" s="277" t="s">
        <v>2197</v>
      </c>
      <c r="B179" s="277" t="s">
        <v>2196</v>
      </c>
      <c r="C179" s="277"/>
      <c r="D179" s="277" t="s">
        <v>2171</v>
      </c>
      <c r="E179" s="277" t="s">
        <v>2100</v>
      </c>
      <c r="F179" s="277" t="s">
        <v>2081</v>
      </c>
    </row>
    <row r="180" spans="1:6" s="320" customFormat="1" ht="15" customHeight="1">
      <c r="A180" s="277" t="s">
        <v>2198</v>
      </c>
      <c r="B180" s="277" t="s">
        <v>2199</v>
      </c>
      <c r="C180" s="277"/>
      <c r="D180" s="277" t="s">
        <v>2171</v>
      </c>
      <c r="E180" s="277" t="s">
        <v>2100</v>
      </c>
      <c r="F180" s="277" t="s">
        <v>2081</v>
      </c>
    </row>
    <row r="181" spans="1:6" s="320" customFormat="1" ht="15" customHeight="1">
      <c r="A181" s="277" t="s">
        <v>2201</v>
      </c>
      <c r="B181" s="277" t="s">
        <v>2199</v>
      </c>
      <c r="C181" s="277"/>
      <c r="D181" s="277" t="s">
        <v>2171</v>
      </c>
      <c r="E181" s="277" t="s">
        <v>2100</v>
      </c>
      <c r="F181" s="277" t="s">
        <v>2081</v>
      </c>
    </row>
    <row r="182" spans="1:6" s="320" customFormat="1" ht="15" customHeight="1">
      <c r="A182" s="277" t="s">
        <v>2202</v>
      </c>
      <c r="B182" s="277" t="s">
        <v>2203</v>
      </c>
      <c r="C182" s="277"/>
      <c r="D182" s="277" t="s">
        <v>2171</v>
      </c>
      <c r="E182" s="277" t="s">
        <v>2100</v>
      </c>
      <c r="F182" s="277" t="s">
        <v>2081</v>
      </c>
    </row>
    <row r="183" spans="1:6" s="320" customFormat="1" ht="15" customHeight="1">
      <c r="A183" s="277" t="s">
        <v>2204</v>
      </c>
      <c r="B183" s="277" t="s">
        <v>2203</v>
      </c>
      <c r="C183" s="277"/>
      <c r="D183" s="277" t="s">
        <v>2171</v>
      </c>
      <c r="E183" s="277" t="s">
        <v>2100</v>
      </c>
      <c r="F183" s="277" t="s">
        <v>2081</v>
      </c>
    </row>
    <row r="184" spans="1:6" s="320" customFormat="1" ht="15" customHeight="1">
      <c r="A184" s="277" t="s">
        <v>2281</v>
      </c>
      <c r="B184" s="277" t="s">
        <v>2283</v>
      </c>
      <c r="C184" s="277"/>
      <c r="D184" s="277" t="s">
        <v>1546</v>
      </c>
      <c r="E184" s="277" t="s">
        <v>2100</v>
      </c>
      <c r="F184" s="277" t="s">
        <v>2081</v>
      </c>
    </row>
    <row r="185" spans="1:6" s="320" customFormat="1" ht="15" customHeight="1">
      <c r="A185" s="277" t="s">
        <v>2284</v>
      </c>
      <c r="B185" s="277" t="s">
        <v>2283</v>
      </c>
      <c r="C185" s="277"/>
      <c r="D185" s="277" t="s">
        <v>1546</v>
      </c>
      <c r="E185" s="277" t="s">
        <v>2100</v>
      </c>
      <c r="F185" s="277" t="s">
        <v>2081</v>
      </c>
    </row>
    <row r="186" spans="1:6" s="320" customFormat="1" ht="15" customHeight="1">
      <c r="A186" s="277" t="s">
        <v>2290</v>
      </c>
      <c r="B186" s="277" t="s">
        <v>2291</v>
      </c>
      <c r="C186" s="277"/>
      <c r="D186" s="277" t="s">
        <v>1546</v>
      </c>
      <c r="E186" s="277" t="s">
        <v>2100</v>
      </c>
      <c r="F186" s="277" t="s">
        <v>2081</v>
      </c>
    </row>
    <row r="187" spans="1:6" s="320" customFormat="1" ht="15" customHeight="1">
      <c r="A187" s="277" t="s">
        <v>2292</v>
      </c>
      <c r="B187" s="277" t="s">
        <v>2291</v>
      </c>
      <c r="C187" s="277"/>
      <c r="D187" s="277" t="s">
        <v>1546</v>
      </c>
      <c r="E187" s="277" t="s">
        <v>2100</v>
      </c>
      <c r="F187" s="277" t="s">
        <v>2081</v>
      </c>
    </row>
    <row r="188" spans="1:6" s="320" customFormat="1" ht="15" customHeight="1">
      <c r="A188" s="313" t="s">
        <v>3486</v>
      </c>
      <c r="B188" s="314" t="s">
        <v>3686</v>
      </c>
      <c r="C188" s="314"/>
      <c r="D188" s="312"/>
      <c r="E188" s="277" t="s">
        <v>2254</v>
      </c>
      <c r="F188" s="312" t="s">
        <v>1884</v>
      </c>
    </row>
    <row r="189" spans="1:6" s="320" customFormat="1" ht="15" customHeight="1">
      <c r="A189" s="313" t="s">
        <v>3487</v>
      </c>
      <c r="B189" s="314" t="s">
        <v>3687</v>
      </c>
      <c r="C189" s="314"/>
      <c r="D189" s="312"/>
      <c r="E189" s="277" t="s">
        <v>2254</v>
      </c>
      <c r="F189" s="312" t="s">
        <v>1884</v>
      </c>
    </row>
    <row r="190" spans="1:6" s="320" customFormat="1" ht="15" customHeight="1">
      <c r="A190" s="313" t="s">
        <v>3488</v>
      </c>
      <c r="B190" s="314" t="s">
        <v>3688</v>
      </c>
      <c r="C190" s="314"/>
      <c r="D190" s="312"/>
      <c r="E190" s="277" t="s">
        <v>2254</v>
      </c>
      <c r="F190" s="312" t="s">
        <v>1884</v>
      </c>
    </row>
    <row r="191" spans="1:6" s="320" customFormat="1" ht="15" customHeight="1">
      <c r="A191" s="313" t="s">
        <v>3489</v>
      </c>
      <c r="B191" s="314" t="s">
        <v>3689</v>
      </c>
      <c r="C191" s="314"/>
      <c r="D191" s="312"/>
      <c r="E191" s="277" t="s">
        <v>2254</v>
      </c>
      <c r="F191" s="312" t="s">
        <v>1884</v>
      </c>
    </row>
    <row r="192" spans="1:6" s="320" customFormat="1" ht="15" customHeight="1">
      <c r="A192" s="277" t="s">
        <v>2439</v>
      </c>
      <c r="B192" s="277" t="s">
        <v>2441</v>
      </c>
      <c r="C192" s="277"/>
      <c r="D192" s="277" t="s">
        <v>1127</v>
      </c>
      <c r="E192" s="277" t="s">
        <v>2254</v>
      </c>
      <c r="F192" s="277" t="s">
        <v>2081</v>
      </c>
    </row>
    <row r="193" spans="1:6" s="320" customFormat="1" ht="15" customHeight="1">
      <c r="A193" s="277" t="s">
        <v>2714</v>
      </c>
      <c r="B193" s="277" t="s">
        <v>2715</v>
      </c>
      <c r="C193" s="277"/>
      <c r="D193" s="277" t="s">
        <v>2711</v>
      </c>
      <c r="E193" s="277" t="s">
        <v>2106</v>
      </c>
      <c r="F193" s="277" t="s">
        <v>2696</v>
      </c>
    </row>
    <row r="194" spans="1:6" s="320" customFormat="1" ht="15" customHeight="1">
      <c r="A194" s="277" t="s">
        <v>2734</v>
      </c>
      <c r="B194" s="277" t="s">
        <v>1705</v>
      </c>
      <c r="C194" s="277"/>
      <c r="D194" s="277" t="s">
        <v>2720</v>
      </c>
      <c r="E194" s="277" t="s">
        <v>2106</v>
      </c>
      <c r="F194" s="277" t="s">
        <v>2696</v>
      </c>
    </row>
    <row r="195" spans="1:6" s="320" customFormat="1" ht="15" customHeight="1">
      <c r="A195" s="277" t="s">
        <v>2756</v>
      </c>
      <c r="B195" s="277" t="s">
        <v>2747</v>
      </c>
      <c r="C195" s="277"/>
      <c r="D195" s="277" t="s">
        <v>2748</v>
      </c>
      <c r="E195" s="277" t="s">
        <v>2106</v>
      </c>
      <c r="F195" s="277" t="s">
        <v>2696</v>
      </c>
    </row>
    <row r="196" spans="1:6" s="320" customFormat="1" ht="15" customHeight="1">
      <c r="A196" s="277" t="s">
        <v>2774</v>
      </c>
      <c r="B196" s="277" t="s">
        <v>2775</v>
      </c>
      <c r="C196" s="277"/>
      <c r="D196" s="277" t="s">
        <v>2760</v>
      </c>
      <c r="E196" s="277" t="s">
        <v>2106</v>
      </c>
      <c r="F196" s="277" t="s">
        <v>2696</v>
      </c>
    </row>
    <row r="197" spans="1:6" s="320" customFormat="1" ht="15" customHeight="1">
      <c r="A197" s="277" t="s">
        <v>2708</v>
      </c>
      <c r="B197" s="277" t="s">
        <v>2710</v>
      </c>
      <c r="C197" s="277"/>
      <c r="D197" s="277" t="s">
        <v>2711</v>
      </c>
      <c r="E197" s="277" t="s">
        <v>2106</v>
      </c>
      <c r="F197" s="277" t="s">
        <v>2696</v>
      </c>
    </row>
    <row r="198" spans="1:6" s="320" customFormat="1" ht="15" customHeight="1">
      <c r="A198" s="277" t="s">
        <v>2718</v>
      </c>
      <c r="B198" s="277" t="s">
        <v>1705</v>
      </c>
      <c r="C198" s="277"/>
      <c r="D198" s="277" t="s">
        <v>2720</v>
      </c>
      <c r="E198" s="277" t="s">
        <v>2106</v>
      </c>
      <c r="F198" s="277" t="s">
        <v>2696</v>
      </c>
    </row>
    <row r="199" spans="1:6" s="320" customFormat="1" ht="15" customHeight="1">
      <c r="A199" s="277" t="s">
        <v>2810</v>
      </c>
      <c r="B199" s="277" t="s">
        <v>2811</v>
      </c>
      <c r="C199" s="277"/>
      <c r="D199" s="277" t="s">
        <v>1127</v>
      </c>
      <c r="E199" s="277" t="s">
        <v>2106</v>
      </c>
      <c r="F199" s="277" t="s">
        <v>2696</v>
      </c>
    </row>
    <row r="200" spans="1:6" s="320" customFormat="1" ht="15" customHeight="1">
      <c r="A200" s="277" t="s">
        <v>2799</v>
      </c>
      <c r="B200" s="277" t="s">
        <v>2800</v>
      </c>
      <c r="C200" s="277"/>
      <c r="D200" s="277" t="s">
        <v>1127</v>
      </c>
      <c r="E200" s="277" t="s">
        <v>2106</v>
      </c>
      <c r="F200" s="277" t="s">
        <v>2696</v>
      </c>
    </row>
    <row r="201" spans="1:6" s="320" customFormat="1" ht="15" customHeight="1">
      <c r="A201" s="277" t="s">
        <v>2741</v>
      </c>
      <c r="B201" s="277" t="s">
        <v>2740</v>
      </c>
      <c r="C201" s="277"/>
      <c r="D201" s="277" t="s">
        <v>2720</v>
      </c>
      <c r="E201" s="277" t="s">
        <v>2106</v>
      </c>
      <c r="F201" s="277" t="s">
        <v>2696</v>
      </c>
    </row>
    <row r="202" spans="1:6" s="320" customFormat="1" ht="15" customHeight="1">
      <c r="A202" s="277" t="s">
        <v>2736</v>
      </c>
      <c r="B202" s="277" t="s">
        <v>2737</v>
      </c>
      <c r="C202" s="277"/>
      <c r="D202" s="277" t="s">
        <v>2720</v>
      </c>
      <c r="E202" s="277" t="s">
        <v>2106</v>
      </c>
      <c r="F202" s="277" t="s">
        <v>2696</v>
      </c>
    </row>
    <row r="203" spans="1:6" s="320" customFormat="1" ht="15" customHeight="1">
      <c r="A203" s="277" t="s">
        <v>2742</v>
      </c>
      <c r="B203" s="277" t="s">
        <v>2743</v>
      </c>
      <c r="C203" s="277"/>
      <c r="D203" s="277" t="s">
        <v>2720</v>
      </c>
      <c r="E203" s="277" t="s">
        <v>2106</v>
      </c>
      <c r="F203" s="277" t="s">
        <v>2696</v>
      </c>
    </row>
    <row r="204" spans="1:6" s="320" customFormat="1" ht="15" customHeight="1">
      <c r="A204" s="277" t="s">
        <v>2717</v>
      </c>
      <c r="B204" s="277" t="s">
        <v>2715</v>
      </c>
      <c r="C204" s="277"/>
      <c r="D204" s="277" t="s">
        <v>2711</v>
      </c>
      <c r="E204" s="277" t="s">
        <v>2106</v>
      </c>
      <c r="F204" s="277" t="s">
        <v>2696</v>
      </c>
    </row>
    <row r="205" spans="1:6" s="320" customFormat="1" ht="15" customHeight="1">
      <c r="A205" s="277" t="s">
        <v>2735</v>
      </c>
      <c r="B205" s="277" t="s">
        <v>1705</v>
      </c>
      <c r="C205" s="277"/>
      <c r="D205" s="277" t="s">
        <v>2720</v>
      </c>
      <c r="E205" s="277" t="s">
        <v>2106</v>
      </c>
      <c r="F205" s="277" t="s">
        <v>2696</v>
      </c>
    </row>
    <row r="206" spans="1:6" s="320" customFormat="1" ht="15" customHeight="1">
      <c r="A206" s="277" t="s">
        <v>2757</v>
      </c>
      <c r="B206" s="277" t="s">
        <v>2747</v>
      </c>
      <c r="C206" s="277"/>
      <c r="D206" s="277" t="s">
        <v>2748</v>
      </c>
      <c r="E206" s="277" t="s">
        <v>2106</v>
      </c>
      <c r="F206" s="277" t="s">
        <v>2696</v>
      </c>
    </row>
    <row r="207" spans="1:6" s="320" customFormat="1" ht="15" customHeight="1">
      <c r="A207" s="277" t="s">
        <v>2784</v>
      </c>
      <c r="B207" s="277" t="s">
        <v>2785</v>
      </c>
      <c r="C207" s="277"/>
      <c r="D207" s="277" t="s">
        <v>2778</v>
      </c>
      <c r="E207" s="277" t="s">
        <v>2106</v>
      </c>
      <c r="F207" s="277" t="s">
        <v>2696</v>
      </c>
    </row>
    <row r="208" spans="1:6" s="320" customFormat="1" ht="15" customHeight="1">
      <c r="A208" s="277" t="s">
        <v>2713</v>
      </c>
      <c r="B208" s="277" t="s">
        <v>2710</v>
      </c>
      <c r="C208" s="277"/>
      <c r="D208" s="277" t="s">
        <v>2711</v>
      </c>
      <c r="E208" s="277" t="s">
        <v>2106</v>
      </c>
      <c r="F208" s="277" t="s">
        <v>2696</v>
      </c>
    </row>
    <row r="209" spans="1:6" s="320" customFormat="1" ht="15" customHeight="1" thickBot="1">
      <c r="A209" s="277" t="s">
        <v>2724</v>
      </c>
      <c r="B209" s="277" t="s">
        <v>1705</v>
      </c>
      <c r="C209" s="277"/>
      <c r="D209" s="277" t="s">
        <v>2720</v>
      </c>
      <c r="E209" s="277" t="s">
        <v>2106</v>
      </c>
      <c r="F209" s="277" t="s">
        <v>2696</v>
      </c>
    </row>
    <row r="210" spans="1:6" s="321" customFormat="1" ht="15" customHeight="1">
      <c r="A210" s="277" t="s">
        <v>3390</v>
      </c>
      <c r="B210" s="277" t="s">
        <v>2695</v>
      </c>
      <c r="C210" s="277"/>
      <c r="D210" s="280" t="s">
        <v>2031</v>
      </c>
      <c r="E210" s="277" t="s">
        <v>2106</v>
      </c>
      <c r="F210" s="277" t="s">
        <v>2696</v>
      </c>
    </row>
    <row r="211" spans="1:6" s="320" customFormat="1" ht="15" customHeight="1">
      <c r="A211" s="277" t="s">
        <v>3391</v>
      </c>
      <c r="B211" s="277" t="s">
        <v>2698</v>
      </c>
      <c r="C211" s="277"/>
      <c r="D211" s="277" t="s">
        <v>1546</v>
      </c>
      <c r="E211" s="277" t="s">
        <v>2106</v>
      </c>
      <c r="F211" s="277" t="s">
        <v>2696</v>
      </c>
    </row>
    <row r="212" spans="1:6" s="320" customFormat="1" ht="15" customHeight="1">
      <c r="A212" s="277" t="s">
        <v>2739</v>
      </c>
      <c r="B212" s="277" t="s">
        <v>2740</v>
      </c>
      <c r="C212" s="277"/>
      <c r="D212" s="277" t="s">
        <v>2720</v>
      </c>
      <c r="E212" s="277" t="s">
        <v>2106</v>
      </c>
      <c r="F212" s="277" t="s">
        <v>2696</v>
      </c>
    </row>
    <row r="213" spans="1:6" s="320" customFormat="1" ht="15" customHeight="1">
      <c r="A213" s="277" t="s">
        <v>2738</v>
      </c>
      <c r="B213" s="277" t="s">
        <v>2737</v>
      </c>
      <c r="C213" s="277"/>
      <c r="D213" s="277" t="s">
        <v>2720</v>
      </c>
      <c r="E213" s="277" t="s">
        <v>2106</v>
      </c>
      <c r="F213" s="277" t="s">
        <v>2696</v>
      </c>
    </row>
    <row r="214" spans="1:6" s="320" customFormat="1" ht="15" customHeight="1">
      <c r="A214" s="277" t="s">
        <v>2744</v>
      </c>
      <c r="B214" s="277" t="s">
        <v>2743</v>
      </c>
      <c r="C214" s="277"/>
      <c r="D214" s="277" t="s">
        <v>2720</v>
      </c>
      <c r="E214" s="277" t="s">
        <v>2106</v>
      </c>
      <c r="F214" s="277" t="s">
        <v>2696</v>
      </c>
    </row>
    <row r="215" spans="1:6" s="320" customFormat="1" ht="15" customHeight="1">
      <c r="A215" s="277" t="s">
        <v>1704</v>
      </c>
      <c r="B215" s="277" t="s">
        <v>2727</v>
      </c>
      <c r="C215" s="277"/>
      <c r="D215" s="277" t="s">
        <v>2720</v>
      </c>
      <c r="E215" s="277" t="s">
        <v>2106</v>
      </c>
      <c r="F215" s="277" t="s">
        <v>2696</v>
      </c>
    </row>
    <row r="216" spans="1:6" s="322" customFormat="1" ht="15" customHeight="1" thickBot="1">
      <c r="A216" s="277" t="s">
        <v>2731</v>
      </c>
      <c r="B216" s="277" t="s">
        <v>1705</v>
      </c>
      <c r="C216" s="277"/>
      <c r="D216" s="277" t="s">
        <v>2720</v>
      </c>
      <c r="E216" s="277" t="s">
        <v>2080</v>
      </c>
      <c r="F216" s="277" t="s">
        <v>2696</v>
      </c>
    </row>
    <row r="217" spans="1:6" s="321" customFormat="1" ht="15" customHeight="1">
      <c r="A217" s="277" t="s">
        <v>2746</v>
      </c>
      <c r="B217" s="277" t="s">
        <v>2747</v>
      </c>
      <c r="C217" s="277"/>
      <c r="D217" s="277" t="s">
        <v>2748</v>
      </c>
      <c r="E217" s="277" t="s">
        <v>2080</v>
      </c>
      <c r="F217" s="277" t="s">
        <v>2696</v>
      </c>
    </row>
    <row r="218" spans="1:6" s="320" customFormat="1" ht="15" customHeight="1">
      <c r="A218" s="277" t="s">
        <v>2750</v>
      </c>
      <c r="B218" s="277" t="s">
        <v>2747</v>
      </c>
      <c r="C218" s="277"/>
      <c r="D218" s="277" t="s">
        <v>2748</v>
      </c>
      <c r="E218" s="277" t="s">
        <v>2080</v>
      </c>
      <c r="F218" s="277" t="s">
        <v>2696</v>
      </c>
    </row>
    <row r="219" spans="1:6" s="320" customFormat="1" ht="15" customHeight="1">
      <c r="A219" s="277" t="s">
        <v>2753</v>
      </c>
      <c r="B219" s="277" t="s">
        <v>2747</v>
      </c>
      <c r="C219" s="277"/>
      <c r="D219" s="277" t="s">
        <v>2748</v>
      </c>
      <c r="E219" s="277" t="s">
        <v>2080</v>
      </c>
      <c r="F219" s="277" t="s">
        <v>2696</v>
      </c>
    </row>
    <row r="220" spans="1:6" s="320" customFormat="1" ht="15" customHeight="1">
      <c r="A220" s="277" t="s">
        <v>2767</v>
      </c>
      <c r="B220" s="277" t="s">
        <v>2759</v>
      </c>
      <c r="C220" s="277"/>
      <c r="D220" s="277" t="s">
        <v>2760</v>
      </c>
      <c r="E220" s="277" t="s">
        <v>2080</v>
      </c>
      <c r="F220" s="277" t="s">
        <v>2696</v>
      </c>
    </row>
    <row r="221" spans="1:6" s="320" customFormat="1" ht="15" customHeight="1">
      <c r="A221" s="277" t="s">
        <v>2769</v>
      </c>
      <c r="B221" s="277" t="s">
        <v>2759</v>
      </c>
      <c r="C221" s="277"/>
      <c r="D221" s="277" t="s">
        <v>2760</v>
      </c>
      <c r="E221" s="277" t="s">
        <v>2080</v>
      </c>
      <c r="F221" s="277" t="s">
        <v>2696</v>
      </c>
    </row>
    <row r="222" spans="1:6" s="320" customFormat="1" ht="15" customHeight="1">
      <c r="A222" s="277" t="s">
        <v>2770</v>
      </c>
      <c r="B222" s="277" t="s">
        <v>2759</v>
      </c>
      <c r="C222" s="277"/>
      <c r="D222" s="277" t="s">
        <v>2760</v>
      </c>
      <c r="E222" s="277" t="s">
        <v>2080</v>
      </c>
      <c r="F222" s="277" t="s">
        <v>2696</v>
      </c>
    </row>
    <row r="223" spans="1:6" s="320" customFormat="1" ht="15" customHeight="1">
      <c r="A223" s="277" t="s">
        <v>2771</v>
      </c>
      <c r="B223" s="277" t="s">
        <v>2759</v>
      </c>
      <c r="C223" s="277"/>
      <c r="D223" s="277" t="s">
        <v>2760</v>
      </c>
      <c r="E223" s="277" t="s">
        <v>2080</v>
      </c>
      <c r="F223" s="277" t="s">
        <v>2696</v>
      </c>
    </row>
    <row r="224" spans="1:6" s="320" customFormat="1" ht="15" customHeight="1">
      <c r="A224" s="277" t="s">
        <v>2704</v>
      </c>
      <c r="B224" s="277" t="s">
        <v>2705</v>
      </c>
      <c r="C224" s="277"/>
      <c r="D224" s="277" t="s">
        <v>2171</v>
      </c>
      <c r="E224" s="277" t="s">
        <v>2080</v>
      </c>
      <c r="F224" s="277" t="s">
        <v>2696</v>
      </c>
    </row>
    <row r="225" spans="1:6" s="320" customFormat="1" ht="15" customHeight="1">
      <c r="A225" s="277" t="s">
        <v>2725</v>
      </c>
      <c r="B225" s="277" t="s">
        <v>2727</v>
      </c>
      <c r="C225" s="277"/>
      <c r="D225" s="277" t="s">
        <v>2720</v>
      </c>
      <c r="E225" s="277" t="s">
        <v>2080</v>
      </c>
      <c r="F225" s="277" t="s">
        <v>2696</v>
      </c>
    </row>
    <row r="226" spans="1:6" s="320" customFormat="1" ht="15" customHeight="1">
      <c r="A226" s="277" t="s">
        <v>2733</v>
      </c>
      <c r="B226" s="277" t="s">
        <v>1705</v>
      </c>
      <c r="C226" s="277"/>
      <c r="D226" s="277" t="s">
        <v>2720</v>
      </c>
      <c r="E226" s="277" t="s">
        <v>2080</v>
      </c>
      <c r="F226" s="277" t="s">
        <v>2696</v>
      </c>
    </row>
    <row r="227" spans="1:6" s="320" customFormat="1" ht="15" customHeight="1">
      <c r="A227" s="277" t="s">
        <v>2751</v>
      </c>
      <c r="B227" s="277" t="s">
        <v>2747</v>
      </c>
      <c r="C227" s="277"/>
      <c r="D227" s="277" t="s">
        <v>2748</v>
      </c>
      <c r="E227" s="277" t="s">
        <v>2080</v>
      </c>
      <c r="F227" s="277" t="s">
        <v>2696</v>
      </c>
    </row>
    <row r="228" spans="1:6" s="320" customFormat="1" ht="15" customHeight="1">
      <c r="A228" s="277" t="s">
        <v>2752</v>
      </c>
      <c r="B228" s="277" t="s">
        <v>2747</v>
      </c>
      <c r="C228" s="277"/>
      <c r="D228" s="277" t="s">
        <v>2748</v>
      </c>
      <c r="E228" s="277" t="s">
        <v>2080</v>
      </c>
      <c r="F228" s="277" t="s">
        <v>2696</v>
      </c>
    </row>
    <row r="229" spans="1:6" s="320" customFormat="1" ht="15" customHeight="1">
      <c r="A229" s="277" t="s">
        <v>2754</v>
      </c>
      <c r="B229" s="277" t="s">
        <v>2747</v>
      </c>
      <c r="C229" s="277"/>
      <c r="D229" s="277" t="s">
        <v>2748</v>
      </c>
      <c r="E229" s="277" t="s">
        <v>2080</v>
      </c>
      <c r="F229" s="277" t="s">
        <v>2696</v>
      </c>
    </row>
    <row r="230" spans="1:6" s="320" customFormat="1" ht="15" customHeight="1">
      <c r="A230" s="277" t="s">
        <v>1717</v>
      </c>
      <c r="B230" s="277" t="s">
        <v>2701</v>
      </c>
      <c r="C230" s="277"/>
      <c r="D230" s="277" t="s">
        <v>2294</v>
      </c>
      <c r="E230" s="277" t="s">
        <v>2080</v>
      </c>
      <c r="F230" s="277" t="s">
        <v>2696</v>
      </c>
    </row>
    <row r="231" spans="1:6" s="320" customFormat="1" ht="15" customHeight="1">
      <c r="A231" s="277" t="s">
        <v>1718</v>
      </c>
      <c r="B231" s="277" t="s">
        <v>2701</v>
      </c>
      <c r="C231" s="277"/>
      <c r="D231" s="277" t="s">
        <v>2294</v>
      </c>
      <c r="E231" s="277" t="s">
        <v>2080</v>
      </c>
      <c r="F231" s="277" t="s">
        <v>2696</v>
      </c>
    </row>
    <row r="232" spans="1:6" s="320" customFormat="1" ht="15" customHeight="1">
      <c r="A232" s="277" t="s">
        <v>2776</v>
      </c>
      <c r="B232" s="277" t="s">
        <v>2777</v>
      </c>
      <c r="C232" s="277"/>
      <c r="D232" s="277" t="s">
        <v>2778</v>
      </c>
      <c r="E232" s="277" t="s">
        <v>2080</v>
      </c>
      <c r="F232" s="277" t="s">
        <v>2696</v>
      </c>
    </row>
    <row r="233" spans="1:6" s="320" customFormat="1" ht="15" customHeight="1">
      <c r="A233" s="277" t="s">
        <v>2781</v>
      </c>
      <c r="B233" s="277" t="s">
        <v>2782</v>
      </c>
      <c r="C233" s="277"/>
      <c r="D233" s="277" t="s">
        <v>2778</v>
      </c>
      <c r="E233" s="277" t="s">
        <v>2080</v>
      </c>
      <c r="F233" s="277" t="s">
        <v>2696</v>
      </c>
    </row>
    <row r="234" spans="1:6" s="320" customFormat="1" ht="15" customHeight="1">
      <c r="A234" s="277" t="s">
        <v>2773</v>
      </c>
      <c r="B234" s="277" t="s">
        <v>2759</v>
      </c>
      <c r="C234" s="277"/>
      <c r="D234" s="277" t="s">
        <v>2760</v>
      </c>
      <c r="E234" s="277" t="s">
        <v>2080</v>
      </c>
      <c r="F234" s="277" t="s">
        <v>2696</v>
      </c>
    </row>
    <row r="235" spans="1:6" s="320" customFormat="1" ht="15" customHeight="1">
      <c r="A235" s="277" t="s">
        <v>2762</v>
      </c>
      <c r="B235" s="277" t="s">
        <v>2759</v>
      </c>
      <c r="C235" s="277"/>
      <c r="D235" s="277" t="s">
        <v>2760</v>
      </c>
      <c r="E235" s="277" t="s">
        <v>2080</v>
      </c>
      <c r="F235" s="277" t="s">
        <v>2696</v>
      </c>
    </row>
    <row r="236" spans="1:6" s="320" customFormat="1" ht="15" customHeight="1">
      <c r="A236" s="277" t="s">
        <v>2729</v>
      </c>
      <c r="B236" s="277" t="s">
        <v>2727</v>
      </c>
      <c r="C236" s="277"/>
      <c r="D236" s="277" t="s">
        <v>2720</v>
      </c>
      <c r="E236" s="277" t="s">
        <v>2080</v>
      </c>
      <c r="F236" s="277" t="s">
        <v>2696</v>
      </c>
    </row>
    <row r="237" spans="1:6" s="322" customFormat="1" ht="15" customHeight="1" thickBot="1">
      <c r="A237" s="277" t="s">
        <v>2780</v>
      </c>
      <c r="B237" s="277" t="s">
        <v>2777</v>
      </c>
      <c r="C237" s="277"/>
      <c r="D237" s="277" t="s">
        <v>2778</v>
      </c>
      <c r="E237" s="277" t="s">
        <v>2080</v>
      </c>
      <c r="F237" s="277" t="s">
        <v>2696</v>
      </c>
    </row>
    <row r="238" spans="1:6" s="321" customFormat="1" ht="15" customHeight="1">
      <c r="A238" s="277" t="s">
        <v>2783</v>
      </c>
      <c r="B238" s="277" t="s">
        <v>2782</v>
      </c>
      <c r="C238" s="277"/>
      <c r="D238" s="277" t="s">
        <v>2778</v>
      </c>
      <c r="E238" s="277" t="s">
        <v>2080</v>
      </c>
      <c r="F238" s="277" t="s">
        <v>2696</v>
      </c>
    </row>
    <row r="239" spans="1:6" s="320" customFormat="1" ht="15" customHeight="1">
      <c r="A239" s="224" t="s">
        <v>2772</v>
      </c>
      <c r="B239" s="277" t="s">
        <v>2759</v>
      </c>
      <c r="C239" s="277"/>
      <c r="D239" s="277" t="s">
        <v>2760</v>
      </c>
      <c r="E239" s="277" t="s">
        <v>2080</v>
      </c>
      <c r="F239" s="277" t="s">
        <v>2696</v>
      </c>
    </row>
    <row r="240" spans="1:6" s="320" customFormat="1" ht="15" customHeight="1">
      <c r="A240" s="277" t="s">
        <v>2758</v>
      </c>
      <c r="B240" s="277" t="s">
        <v>2759</v>
      </c>
      <c r="C240" s="277"/>
      <c r="D240" s="277" t="s">
        <v>2760</v>
      </c>
      <c r="E240" s="277" t="s">
        <v>2080</v>
      </c>
      <c r="F240" s="277" t="s">
        <v>2696</v>
      </c>
    </row>
    <row r="241" spans="1:6" s="320" customFormat="1" ht="15" customHeight="1">
      <c r="A241" s="277" t="s">
        <v>2764</v>
      </c>
      <c r="B241" s="277" t="s">
        <v>2759</v>
      </c>
      <c r="C241" s="277"/>
      <c r="D241" s="277" t="s">
        <v>2760</v>
      </c>
      <c r="E241" s="277" t="s">
        <v>2080</v>
      </c>
      <c r="F241" s="277" t="s">
        <v>2696</v>
      </c>
    </row>
    <row r="242" spans="1:6" s="320" customFormat="1" ht="15" customHeight="1">
      <c r="A242" s="224" t="s">
        <v>2765</v>
      </c>
      <c r="B242" s="277" t="s">
        <v>2759</v>
      </c>
      <c r="C242" s="277"/>
      <c r="D242" s="277" t="s">
        <v>2760</v>
      </c>
      <c r="E242" s="277" t="s">
        <v>2080</v>
      </c>
      <c r="F242" s="277" t="s">
        <v>2696</v>
      </c>
    </row>
    <row r="243" spans="1:6" s="320" customFormat="1" ht="15" customHeight="1">
      <c r="A243" s="277" t="s">
        <v>2766</v>
      </c>
      <c r="B243" s="277" t="s">
        <v>2759</v>
      </c>
      <c r="C243" s="277"/>
      <c r="D243" s="277" t="s">
        <v>2760</v>
      </c>
      <c r="E243" s="277" t="s">
        <v>2080</v>
      </c>
      <c r="F243" s="277" t="s">
        <v>2696</v>
      </c>
    </row>
    <row r="244" spans="1:6" s="320" customFormat="1" ht="15" customHeight="1">
      <c r="A244" s="277" t="s">
        <v>2763</v>
      </c>
      <c r="B244" s="277" t="s">
        <v>2759</v>
      </c>
      <c r="C244" s="277"/>
      <c r="D244" s="277" t="s">
        <v>2760</v>
      </c>
      <c r="E244" s="277" t="s">
        <v>2080</v>
      </c>
      <c r="F244" s="277" t="s">
        <v>2696</v>
      </c>
    </row>
    <row r="245" spans="1:6" s="320" customFormat="1" ht="15" customHeight="1">
      <c r="A245" s="277" t="s">
        <v>2707</v>
      </c>
      <c r="B245" s="277" t="s">
        <v>2705</v>
      </c>
      <c r="C245" s="277"/>
      <c r="D245" s="277" t="s">
        <v>2171</v>
      </c>
      <c r="E245" s="277" t="s">
        <v>2080</v>
      </c>
      <c r="F245" s="277" t="s">
        <v>2696</v>
      </c>
    </row>
    <row r="246" spans="1:6" s="320" customFormat="1" ht="15" customHeight="1">
      <c r="A246" s="277" t="s">
        <v>2730</v>
      </c>
      <c r="B246" s="277" t="s">
        <v>2727</v>
      </c>
      <c r="C246" s="277"/>
      <c r="D246" s="277" t="s">
        <v>2720</v>
      </c>
      <c r="E246" s="277" t="s">
        <v>2080</v>
      </c>
      <c r="F246" s="277" t="s">
        <v>2696</v>
      </c>
    </row>
    <row r="247" spans="1:6" s="320" customFormat="1" ht="15" customHeight="1">
      <c r="A247" s="277" t="s">
        <v>2699</v>
      </c>
      <c r="B247" s="277" t="s">
        <v>1522</v>
      </c>
      <c r="C247" s="277"/>
      <c r="D247" s="277" t="s">
        <v>2294</v>
      </c>
      <c r="E247" s="277" t="s">
        <v>2254</v>
      </c>
      <c r="F247" s="277" t="s">
        <v>2696</v>
      </c>
    </row>
    <row r="248" spans="1:6" s="320" customFormat="1" ht="15" customHeight="1">
      <c r="A248" s="277" t="s">
        <v>2786</v>
      </c>
      <c r="B248" s="277" t="s">
        <v>2787</v>
      </c>
      <c r="C248" s="277"/>
      <c r="D248" s="277" t="s">
        <v>2412</v>
      </c>
      <c r="E248" s="277" t="s">
        <v>2254</v>
      </c>
      <c r="F248" s="277" t="s">
        <v>2696</v>
      </c>
    </row>
    <row r="249" spans="1:6" s="322" customFormat="1" ht="15" customHeight="1" thickBot="1">
      <c r="A249" s="277" t="s">
        <v>2790</v>
      </c>
      <c r="B249" s="277" t="s">
        <v>2792</v>
      </c>
      <c r="C249" s="277"/>
      <c r="D249" s="277" t="s">
        <v>1127</v>
      </c>
      <c r="E249" s="277" t="s">
        <v>2254</v>
      </c>
      <c r="F249" s="277" t="s">
        <v>2696</v>
      </c>
    </row>
    <row r="250" spans="1:6" s="321" customFormat="1" ht="15" customHeight="1">
      <c r="A250" s="277" t="s">
        <v>2788</v>
      </c>
      <c r="B250" s="277" t="s">
        <v>2789</v>
      </c>
      <c r="C250" s="277"/>
      <c r="D250" s="277" t="s">
        <v>1127</v>
      </c>
      <c r="E250" s="277" t="s">
        <v>2254</v>
      </c>
      <c r="F250" s="277" t="s">
        <v>2696</v>
      </c>
    </row>
    <row r="251" spans="1:6" s="320" customFormat="1" ht="15" customHeight="1">
      <c r="A251" s="277" t="s">
        <v>2793</v>
      </c>
      <c r="B251" s="277" t="s">
        <v>2795</v>
      </c>
      <c r="C251" s="277"/>
      <c r="D251" s="277" t="s">
        <v>1127</v>
      </c>
      <c r="E251" s="277" t="s">
        <v>2254</v>
      </c>
      <c r="F251" s="277" t="s">
        <v>2696</v>
      </c>
    </row>
    <row r="252" spans="1:6" s="320" customFormat="1" ht="15" customHeight="1">
      <c r="A252" s="277" t="s">
        <v>2796</v>
      </c>
      <c r="B252" s="277" t="s">
        <v>2798</v>
      </c>
      <c r="C252" s="277"/>
      <c r="D252" s="277" t="s">
        <v>1127</v>
      </c>
      <c r="E252" s="277" t="s">
        <v>2254</v>
      </c>
      <c r="F252" s="277" t="s">
        <v>2696</v>
      </c>
    </row>
    <row r="253" spans="1:6" s="320" customFormat="1" ht="15" customHeight="1">
      <c r="A253" s="277" t="s">
        <v>2801</v>
      </c>
      <c r="B253" s="277" t="s">
        <v>2803</v>
      </c>
      <c r="C253" s="277"/>
      <c r="D253" s="277" t="s">
        <v>1127</v>
      </c>
      <c r="E253" s="277" t="s">
        <v>2476</v>
      </c>
      <c r="F253" s="277" t="s">
        <v>2696</v>
      </c>
    </row>
    <row r="254" spans="1:6" s="320" customFormat="1" ht="15" customHeight="1" thickBot="1">
      <c r="A254" s="277" t="s">
        <v>2806</v>
      </c>
      <c r="B254" s="277" t="s">
        <v>2807</v>
      </c>
      <c r="C254" s="277"/>
      <c r="D254" s="277" t="s">
        <v>1127</v>
      </c>
      <c r="E254" s="277" t="s">
        <v>2476</v>
      </c>
      <c r="F254" s="277" t="s">
        <v>2696</v>
      </c>
    </row>
    <row r="255" spans="1:6" s="321" customFormat="1" ht="15" customHeight="1">
      <c r="A255" s="277" t="s">
        <v>2539</v>
      </c>
      <c r="B255" s="280" t="s">
        <v>3100</v>
      </c>
      <c r="C255" s="280"/>
      <c r="D255" s="277" t="s">
        <v>2294</v>
      </c>
      <c r="E255" s="277" t="s">
        <v>2080</v>
      </c>
      <c r="F255" s="277" t="s">
        <v>2469</v>
      </c>
    </row>
    <row r="256" spans="1:6" s="320" customFormat="1" ht="15" customHeight="1">
      <c r="A256" s="277" t="s">
        <v>2531</v>
      </c>
      <c r="B256" s="277" t="s">
        <v>2532</v>
      </c>
      <c r="C256" s="277"/>
      <c r="D256" s="277" t="s">
        <v>1640</v>
      </c>
      <c r="E256" s="277" t="s">
        <v>2080</v>
      </c>
      <c r="F256" s="277" t="s">
        <v>2469</v>
      </c>
    </row>
    <row r="257" spans="1:6" s="320" customFormat="1" ht="15" customHeight="1">
      <c r="A257" s="277" t="s">
        <v>1172</v>
      </c>
      <c r="B257" s="277" t="s">
        <v>2589</v>
      </c>
      <c r="C257" s="277"/>
      <c r="D257" s="277" t="s">
        <v>1170</v>
      </c>
      <c r="E257" s="277" t="s">
        <v>2080</v>
      </c>
      <c r="F257" s="277" t="s">
        <v>2469</v>
      </c>
    </row>
    <row r="258" spans="1:6" s="320" customFormat="1" ht="15" customHeight="1">
      <c r="A258" s="280" t="s">
        <v>2814</v>
      </c>
      <c r="B258" s="277" t="s">
        <v>2584</v>
      </c>
      <c r="C258" s="277"/>
      <c r="D258" s="277" t="s">
        <v>1551</v>
      </c>
      <c r="E258" s="277" t="s">
        <v>2080</v>
      </c>
      <c r="F258" s="277" t="s">
        <v>2469</v>
      </c>
    </row>
    <row r="259" spans="1:6" s="320" customFormat="1" ht="15" customHeight="1">
      <c r="A259" s="277" t="s">
        <v>1555</v>
      </c>
      <c r="B259" s="277" t="s">
        <v>2587</v>
      </c>
      <c r="C259" s="277"/>
      <c r="D259" s="277" t="s">
        <v>1551</v>
      </c>
      <c r="E259" s="277" t="s">
        <v>2080</v>
      </c>
      <c r="F259" s="277" t="s">
        <v>2469</v>
      </c>
    </row>
    <row r="260" spans="1:6" s="320" customFormat="1" ht="15" customHeight="1">
      <c r="A260" s="277" t="s">
        <v>1130</v>
      </c>
      <c r="B260" s="277" t="s">
        <v>2479</v>
      </c>
      <c r="C260" s="277"/>
      <c r="D260" s="277" t="s">
        <v>1128</v>
      </c>
      <c r="E260" s="277" t="s">
        <v>2080</v>
      </c>
      <c r="F260" s="277" t="s">
        <v>2469</v>
      </c>
    </row>
    <row r="261" spans="1:6" s="320" customFormat="1" ht="15" customHeight="1">
      <c r="A261" s="277" t="s">
        <v>1134</v>
      </c>
      <c r="B261" s="277" t="s">
        <v>2479</v>
      </c>
      <c r="C261" s="277"/>
      <c r="D261" s="277" t="s">
        <v>1128</v>
      </c>
      <c r="E261" s="277" t="s">
        <v>2080</v>
      </c>
      <c r="F261" s="277" t="s">
        <v>2469</v>
      </c>
    </row>
    <row r="262" spans="1:6" s="320" customFormat="1" ht="15" customHeight="1">
      <c r="A262" s="282" t="s">
        <v>2851</v>
      </c>
      <c r="B262" s="281" t="s">
        <v>2479</v>
      </c>
      <c r="C262" s="281"/>
      <c r="D262" s="281" t="s">
        <v>1135</v>
      </c>
      <c r="E262" s="281" t="s">
        <v>2080</v>
      </c>
      <c r="F262" s="281" t="s">
        <v>2469</v>
      </c>
    </row>
    <row r="263" spans="1:6" s="320" customFormat="1" ht="15" customHeight="1">
      <c r="A263" s="281" t="s">
        <v>1139</v>
      </c>
      <c r="B263" s="281" t="s">
        <v>2479</v>
      </c>
      <c r="C263" s="281"/>
      <c r="D263" s="281" t="s">
        <v>1135</v>
      </c>
      <c r="E263" s="281" t="s">
        <v>2080</v>
      </c>
      <c r="F263" s="281" t="s">
        <v>2469</v>
      </c>
    </row>
    <row r="264" spans="1:6" s="320" customFormat="1" ht="15" customHeight="1">
      <c r="A264" s="277" t="s">
        <v>1142</v>
      </c>
      <c r="B264" s="277" t="s">
        <v>2479</v>
      </c>
      <c r="C264" s="277"/>
      <c r="D264" s="277" t="s">
        <v>1140</v>
      </c>
      <c r="E264" s="277" t="s">
        <v>2080</v>
      </c>
      <c r="F264" s="277" t="s">
        <v>2469</v>
      </c>
    </row>
    <row r="265" spans="1:6" s="320" customFormat="1" ht="15" customHeight="1">
      <c r="A265" s="277" t="s">
        <v>1144</v>
      </c>
      <c r="B265" s="277" t="s">
        <v>2479</v>
      </c>
      <c r="C265" s="277"/>
      <c r="D265" s="277" t="s">
        <v>1140</v>
      </c>
      <c r="E265" s="277" t="s">
        <v>2080</v>
      </c>
      <c r="F265" s="277" t="s">
        <v>2469</v>
      </c>
    </row>
    <row r="266" spans="1:6" s="320" customFormat="1" ht="15" customHeight="1">
      <c r="A266" s="277" t="s">
        <v>2543</v>
      </c>
      <c r="B266" s="277" t="s">
        <v>2298</v>
      </c>
      <c r="C266" s="277"/>
      <c r="D266" s="277" t="s">
        <v>2294</v>
      </c>
      <c r="E266" s="277" t="s">
        <v>2080</v>
      </c>
      <c r="F266" s="277" t="s">
        <v>2469</v>
      </c>
    </row>
    <row r="267" spans="1:6" s="320" customFormat="1" ht="15" customHeight="1">
      <c r="A267" s="277" t="s">
        <v>2533</v>
      </c>
      <c r="B267" s="277" t="s">
        <v>2532</v>
      </c>
      <c r="C267" s="277"/>
      <c r="D267" s="277" t="s">
        <v>1640</v>
      </c>
      <c r="E267" s="277" t="s">
        <v>2080</v>
      </c>
      <c r="F267" s="277" t="s">
        <v>2469</v>
      </c>
    </row>
    <row r="268" spans="1:6" s="320" customFormat="1" ht="15" customHeight="1">
      <c r="A268" s="277" t="s">
        <v>1174</v>
      </c>
      <c r="B268" s="277" t="s">
        <v>2589</v>
      </c>
      <c r="C268" s="277"/>
      <c r="D268" s="277" t="s">
        <v>1170</v>
      </c>
      <c r="E268" s="277" t="s">
        <v>2080</v>
      </c>
      <c r="F268" s="277" t="s">
        <v>2469</v>
      </c>
    </row>
    <row r="269" spans="1:6" s="320" customFormat="1" ht="15" customHeight="1">
      <c r="A269" s="277" t="s">
        <v>1147</v>
      </c>
      <c r="B269" s="277" t="s">
        <v>2479</v>
      </c>
      <c r="C269" s="277"/>
      <c r="D269" s="277" t="s">
        <v>1145</v>
      </c>
      <c r="E269" s="277" t="s">
        <v>2080</v>
      </c>
      <c r="F269" s="277" t="s">
        <v>2469</v>
      </c>
    </row>
    <row r="270" spans="1:6" s="320" customFormat="1" ht="15" customHeight="1">
      <c r="A270" s="277" t="s">
        <v>1149</v>
      </c>
      <c r="B270" s="277" t="s">
        <v>2479</v>
      </c>
      <c r="C270" s="277"/>
      <c r="D270" s="277" t="s">
        <v>1145</v>
      </c>
      <c r="E270" s="277" t="s">
        <v>2080</v>
      </c>
      <c r="F270" s="277" t="s">
        <v>2469</v>
      </c>
    </row>
    <row r="271" spans="1:6" s="320" customFormat="1" ht="15" customHeight="1">
      <c r="A271" s="277" t="s">
        <v>2523</v>
      </c>
      <c r="B271" s="277" t="s">
        <v>2525</v>
      </c>
      <c r="C271" s="277"/>
      <c r="D271" s="277" t="s">
        <v>1637</v>
      </c>
      <c r="E271" s="277" t="s">
        <v>2080</v>
      </c>
      <c r="F271" s="277" t="s">
        <v>2469</v>
      </c>
    </row>
    <row r="272" spans="1:6" s="320" customFormat="1" ht="15" customHeight="1">
      <c r="A272" s="277" t="s">
        <v>2528</v>
      </c>
      <c r="B272" s="277" t="s">
        <v>2529</v>
      </c>
      <c r="C272" s="277"/>
      <c r="D272" s="277" t="s">
        <v>1640</v>
      </c>
      <c r="E272" s="277" t="s">
        <v>2080</v>
      </c>
      <c r="F272" s="277" t="s">
        <v>2469</v>
      </c>
    </row>
    <row r="273" spans="1:6" s="320" customFormat="1" ht="15" customHeight="1">
      <c r="A273" s="277" t="s">
        <v>1548</v>
      </c>
      <c r="B273" s="277" t="s">
        <v>2249</v>
      </c>
      <c r="C273" s="277"/>
      <c r="D273" s="277" t="s">
        <v>1546</v>
      </c>
      <c r="E273" s="277" t="s">
        <v>2080</v>
      </c>
      <c r="F273" s="277" t="s">
        <v>2469</v>
      </c>
    </row>
    <row r="274" spans="1:6" s="320" customFormat="1" ht="15" customHeight="1">
      <c r="A274" s="277" t="s">
        <v>1550</v>
      </c>
      <c r="B274" s="277" t="s">
        <v>2537</v>
      </c>
      <c r="C274" s="277"/>
      <c r="D274" s="277" t="s">
        <v>1546</v>
      </c>
      <c r="E274" s="277" t="s">
        <v>2080</v>
      </c>
      <c r="F274" s="277" t="s">
        <v>2469</v>
      </c>
    </row>
    <row r="275" spans="1:6" s="320" customFormat="1" ht="15" customHeight="1">
      <c r="A275" s="277" t="s">
        <v>2590</v>
      </c>
      <c r="B275" s="277" t="s">
        <v>2591</v>
      </c>
      <c r="C275" s="277"/>
      <c r="D275" s="277" t="s">
        <v>1170</v>
      </c>
      <c r="E275" s="277" t="s">
        <v>2080</v>
      </c>
      <c r="F275" s="277" t="s">
        <v>2469</v>
      </c>
    </row>
    <row r="276" spans="1:6" s="320" customFormat="1" ht="15" customHeight="1">
      <c r="A276" s="277" t="s">
        <v>2544</v>
      </c>
      <c r="B276" s="277" t="s">
        <v>2298</v>
      </c>
      <c r="C276" s="277"/>
      <c r="D276" s="277" t="s">
        <v>2294</v>
      </c>
      <c r="E276" s="277" t="s">
        <v>2080</v>
      </c>
      <c r="F276" s="277" t="s">
        <v>2469</v>
      </c>
    </row>
    <row r="277" spans="1:6" s="320" customFormat="1" ht="15" customHeight="1">
      <c r="A277" s="280" t="s">
        <v>3497</v>
      </c>
      <c r="B277" s="277" t="s">
        <v>2468</v>
      </c>
      <c r="C277" s="277"/>
      <c r="D277" s="277" t="s">
        <v>1128</v>
      </c>
      <c r="E277" s="277" t="s">
        <v>2080</v>
      </c>
      <c r="F277" s="277" t="s">
        <v>2469</v>
      </c>
    </row>
    <row r="278" spans="1:6" s="320" customFormat="1" ht="15" customHeight="1">
      <c r="A278" s="277" t="s">
        <v>2471</v>
      </c>
      <c r="B278" s="277" t="s">
        <v>2472</v>
      </c>
      <c r="C278" s="277"/>
      <c r="D278" s="277" t="s">
        <v>1128</v>
      </c>
      <c r="E278" s="277" t="s">
        <v>2080</v>
      </c>
      <c r="F278" s="277" t="s">
        <v>2469</v>
      </c>
    </row>
    <row r="279" spans="1:6" s="320" customFormat="1" ht="15" customHeight="1">
      <c r="A279" s="277" t="s">
        <v>2473</v>
      </c>
      <c r="B279" s="277" t="s">
        <v>2474</v>
      </c>
      <c r="C279" s="277"/>
      <c r="D279" s="277" t="s">
        <v>1128</v>
      </c>
      <c r="E279" s="277" t="s">
        <v>2080</v>
      </c>
      <c r="F279" s="277" t="s">
        <v>2469</v>
      </c>
    </row>
    <row r="280" spans="1:6" s="322" customFormat="1" ht="15" customHeight="1" thickBot="1">
      <c r="A280" s="277" t="s">
        <v>2484</v>
      </c>
      <c r="B280" s="277" t="s">
        <v>2485</v>
      </c>
      <c r="C280" s="277"/>
      <c r="D280" s="277" t="s">
        <v>1135</v>
      </c>
      <c r="E280" s="277" t="s">
        <v>2080</v>
      </c>
      <c r="F280" s="277" t="s">
        <v>2469</v>
      </c>
    </row>
    <row r="281" spans="1:6" s="321" customFormat="1" ht="15" customHeight="1">
      <c r="A281" s="277" t="s">
        <v>2486</v>
      </c>
      <c r="B281" s="277" t="s">
        <v>2487</v>
      </c>
      <c r="C281" s="277"/>
      <c r="D281" s="277" t="s">
        <v>1135</v>
      </c>
      <c r="E281" s="277" t="s">
        <v>2080</v>
      </c>
      <c r="F281" s="277" t="s">
        <v>2469</v>
      </c>
    </row>
    <row r="282" spans="1:6" s="320" customFormat="1" ht="15" customHeight="1">
      <c r="A282" s="277" t="s">
        <v>2488</v>
      </c>
      <c r="B282" s="277" t="s">
        <v>2489</v>
      </c>
      <c r="C282" s="277"/>
      <c r="D282" s="277" t="s">
        <v>1135</v>
      </c>
      <c r="E282" s="277" t="s">
        <v>2080</v>
      </c>
      <c r="F282" s="277" t="s">
        <v>2469</v>
      </c>
    </row>
    <row r="283" spans="1:6" s="320" customFormat="1" ht="15" customHeight="1">
      <c r="A283" s="277" t="s">
        <v>2493</v>
      </c>
      <c r="B283" s="277" t="s">
        <v>2494</v>
      </c>
      <c r="C283" s="277"/>
      <c r="D283" s="277" t="s">
        <v>1140</v>
      </c>
      <c r="E283" s="277" t="s">
        <v>2080</v>
      </c>
      <c r="F283" s="277" t="s">
        <v>2469</v>
      </c>
    </row>
    <row r="284" spans="1:6" s="322" customFormat="1" ht="15" customHeight="1" thickBot="1">
      <c r="A284" s="277" t="s">
        <v>2495</v>
      </c>
      <c r="B284" s="277" t="s">
        <v>2496</v>
      </c>
      <c r="C284" s="277"/>
      <c r="D284" s="277" t="s">
        <v>1140</v>
      </c>
      <c r="E284" s="277" t="s">
        <v>2080</v>
      </c>
      <c r="F284" s="277" t="s">
        <v>2469</v>
      </c>
    </row>
    <row r="285" spans="1:6" s="321" customFormat="1" ht="15" customHeight="1">
      <c r="A285" s="277" t="s">
        <v>2497</v>
      </c>
      <c r="B285" s="277" t="s">
        <v>2498</v>
      </c>
      <c r="C285" s="277"/>
      <c r="D285" s="277" t="s">
        <v>1140</v>
      </c>
      <c r="E285" s="277" t="s">
        <v>2080</v>
      </c>
      <c r="F285" s="277" t="s">
        <v>2469</v>
      </c>
    </row>
    <row r="286" spans="1:6" s="320" customFormat="1" ht="15" customHeight="1">
      <c r="A286" s="277" t="s">
        <v>2501</v>
      </c>
      <c r="B286" s="277" t="s">
        <v>2502</v>
      </c>
      <c r="C286" s="277"/>
      <c r="D286" s="277" t="s">
        <v>1145</v>
      </c>
      <c r="E286" s="277" t="s">
        <v>2080</v>
      </c>
      <c r="F286" s="277" t="s">
        <v>2469</v>
      </c>
    </row>
    <row r="287" spans="1:6" s="320" customFormat="1" ht="15" customHeight="1">
      <c r="A287" s="277" t="s">
        <v>2503</v>
      </c>
      <c r="B287" s="277" t="s">
        <v>2504</v>
      </c>
      <c r="C287" s="277"/>
      <c r="D287" s="277" t="s">
        <v>1145</v>
      </c>
      <c r="E287" s="277" t="s">
        <v>2080</v>
      </c>
      <c r="F287" s="277" t="s">
        <v>2469</v>
      </c>
    </row>
    <row r="288" spans="1:6" s="320" customFormat="1" ht="15" customHeight="1">
      <c r="A288" s="277" t="s">
        <v>2506</v>
      </c>
      <c r="B288" s="277" t="s">
        <v>2507</v>
      </c>
      <c r="C288" s="277"/>
      <c r="D288" s="277" t="s">
        <v>1145</v>
      </c>
      <c r="E288" s="277" t="s">
        <v>2080</v>
      </c>
      <c r="F288" s="277" t="s">
        <v>2469</v>
      </c>
    </row>
    <row r="289" spans="1:6" s="320" customFormat="1" ht="15" customHeight="1">
      <c r="A289" s="277" t="s">
        <v>1586</v>
      </c>
      <c r="B289" s="277" t="s">
        <v>2509</v>
      </c>
      <c r="C289" s="277"/>
      <c r="D289" s="277" t="s">
        <v>2171</v>
      </c>
      <c r="E289" s="277" t="s">
        <v>2080</v>
      </c>
      <c r="F289" s="277" t="s">
        <v>2469</v>
      </c>
    </row>
    <row r="290" spans="1:6" s="320" customFormat="1" ht="15" customHeight="1">
      <c r="A290" s="277" t="s">
        <v>1588</v>
      </c>
      <c r="B290" s="277" t="s">
        <v>2510</v>
      </c>
      <c r="C290" s="277"/>
      <c r="D290" s="277" t="s">
        <v>2171</v>
      </c>
      <c r="E290" s="277" t="s">
        <v>2080</v>
      </c>
      <c r="F290" s="277" t="s">
        <v>2469</v>
      </c>
    </row>
    <row r="291" spans="1:6" s="320" customFormat="1" ht="15" customHeight="1">
      <c r="A291" s="277" t="s">
        <v>1590</v>
      </c>
      <c r="B291" s="277" t="s">
        <v>2179</v>
      </c>
      <c r="C291" s="277"/>
      <c r="D291" s="277" t="s">
        <v>2171</v>
      </c>
      <c r="E291" s="277" t="s">
        <v>2080</v>
      </c>
      <c r="F291" s="277" t="s">
        <v>2469</v>
      </c>
    </row>
    <row r="292" spans="1:6" s="320" customFormat="1" ht="15" customHeight="1">
      <c r="A292" s="277" t="s">
        <v>1594</v>
      </c>
      <c r="B292" s="277" t="s">
        <v>2181</v>
      </c>
      <c r="C292" s="277"/>
      <c r="D292" s="277" t="s">
        <v>2171</v>
      </c>
      <c r="E292" s="277" t="s">
        <v>2080</v>
      </c>
      <c r="F292" s="277" t="s">
        <v>2469</v>
      </c>
    </row>
    <row r="293" spans="1:6" s="320" customFormat="1" ht="15" customHeight="1">
      <c r="A293" s="277" t="s">
        <v>1592</v>
      </c>
      <c r="B293" s="277" t="s">
        <v>2179</v>
      </c>
      <c r="C293" s="277"/>
      <c r="D293" s="277" t="s">
        <v>2171</v>
      </c>
      <c r="E293" s="277" t="s">
        <v>2080</v>
      </c>
      <c r="F293" s="277" t="s">
        <v>2469</v>
      </c>
    </row>
    <row r="294" spans="1:6" s="322" customFormat="1" ht="15" customHeight="1" thickBot="1">
      <c r="A294" s="277" t="s">
        <v>1595</v>
      </c>
      <c r="B294" s="277" t="s">
        <v>2181</v>
      </c>
      <c r="C294" s="277"/>
      <c r="D294" s="277" t="s">
        <v>2171</v>
      </c>
      <c r="E294" s="277" t="s">
        <v>2080</v>
      </c>
      <c r="F294" s="277" t="s">
        <v>2469</v>
      </c>
    </row>
    <row r="295" spans="1:6" s="321" customFormat="1" ht="15" customHeight="1">
      <c r="A295" s="277" t="s">
        <v>2519</v>
      </c>
      <c r="B295" s="277" t="s">
        <v>2520</v>
      </c>
      <c r="C295" s="277"/>
      <c r="D295" s="277" t="s">
        <v>2171</v>
      </c>
      <c r="E295" s="277" t="s">
        <v>2080</v>
      </c>
      <c r="F295" s="277" t="s">
        <v>2469</v>
      </c>
    </row>
    <row r="296" spans="1:6" s="320" customFormat="1" ht="15" customHeight="1">
      <c r="A296" s="277" t="s">
        <v>2521</v>
      </c>
      <c r="B296" s="277" t="s">
        <v>2522</v>
      </c>
      <c r="C296" s="277"/>
      <c r="D296" s="277" t="s">
        <v>2171</v>
      </c>
      <c r="E296" s="277" t="s">
        <v>2080</v>
      </c>
      <c r="F296" s="277" t="s">
        <v>2469</v>
      </c>
    </row>
    <row r="297" spans="1:6" s="320" customFormat="1" ht="15" customHeight="1">
      <c r="A297" s="277" t="s">
        <v>1580</v>
      </c>
      <c r="B297" s="277" t="s">
        <v>2371</v>
      </c>
      <c r="C297" s="277"/>
      <c r="D297" s="277" t="s">
        <v>1578</v>
      </c>
      <c r="E297" s="277" t="s">
        <v>2080</v>
      </c>
      <c r="F297" s="277" t="s">
        <v>2469</v>
      </c>
    </row>
    <row r="298" spans="1:6" s="320" customFormat="1" ht="15" customHeight="1">
      <c r="A298" s="277" t="s">
        <v>1582</v>
      </c>
      <c r="B298" s="277" t="s">
        <v>2580</v>
      </c>
      <c r="C298" s="277"/>
      <c r="D298" s="277" t="s">
        <v>1578</v>
      </c>
      <c r="E298" s="277" t="s">
        <v>2080</v>
      </c>
      <c r="F298" s="277" t="s">
        <v>2469</v>
      </c>
    </row>
    <row r="299" spans="1:6" s="320" customFormat="1" ht="15" customHeight="1">
      <c r="A299" s="277" t="s">
        <v>1584</v>
      </c>
      <c r="B299" s="277" t="s">
        <v>2581</v>
      </c>
      <c r="C299" s="277"/>
      <c r="D299" s="277" t="s">
        <v>1578</v>
      </c>
      <c r="E299" s="277" t="s">
        <v>2080</v>
      </c>
      <c r="F299" s="277" t="s">
        <v>2469</v>
      </c>
    </row>
    <row r="300" spans="1:6" s="320" customFormat="1" ht="15" customHeight="1">
      <c r="A300" s="277" t="s">
        <v>1558</v>
      </c>
      <c r="B300" s="277" t="s">
        <v>2318</v>
      </c>
      <c r="C300" s="277"/>
      <c r="D300" s="277" t="s">
        <v>1556</v>
      </c>
      <c r="E300" s="277" t="s">
        <v>2080</v>
      </c>
      <c r="F300" s="277" t="s">
        <v>2469</v>
      </c>
    </row>
    <row r="301" spans="1:6" s="320" customFormat="1" ht="15" customHeight="1">
      <c r="A301" s="277" t="s">
        <v>1560</v>
      </c>
      <c r="B301" s="277" t="s">
        <v>2322</v>
      </c>
      <c r="C301" s="277"/>
      <c r="D301" s="277" t="s">
        <v>1556</v>
      </c>
      <c r="E301" s="277" t="s">
        <v>2080</v>
      </c>
      <c r="F301" s="277" t="s">
        <v>2469</v>
      </c>
    </row>
    <row r="302" spans="1:6" s="320" customFormat="1" ht="15" customHeight="1">
      <c r="A302" s="277" t="s">
        <v>1562</v>
      </c>
      <c r="B302" s="277" t="s">
        <v>2324</v>
      </c>
      <c r="C302" s="277"/>
      <c r="D302" s="277" t="s">
        <v>1556</v>
      </c>
      <c r="E302" s="277" t="s">
        <v>2080</v>
      </c>
      <c r="F302" s="277" t="s">
        <v>2469</v>
      </c>
    </row>
    <row r="303" spans="1:6" s="320" customFormat="1" ht="15" customHeight="1">
      <c r="A303" s="277" t="s">
        <v>1565</v>
      </c>
      <c r="B303" s="277" t="s">
        <v>2335</v>
      </c>
      <c r="C303" s="277"/>
      <c r="D303" s="277" t="s">
        <v>1563</v>
      </c>
      <c r="E303" s="277" t="s">
        <v>2080</v>
      </c>
      <c r="F303" s="277" t="s">
        <v>2469</v>
      </c>
    </row>
    <row r="304" spans="1:6" s="320" customFormat="1" ht="15" customHeight="1">
      <c r="A304" s="277" t="s">
        <v>1567</v>
      </c>
      <c r="B304" s="277" t="s">
        <v>2556</v>
      </c>
      <c r="C304" s="277"/>
      <c r="D304" s="277" t="s">
        <v>1563</v>
      </c>
      <c r="E304" s="277" t="s">
        <v>2080</v>
      </c>
      <c r="F304" s="277" t="s">
        <v>2469</v>
      </c>
    </row>
    <row r="305" spans="1:6" s="320" customFormat="1" ht="15" customHeight="1">
      <c r="A305" s="277" t="s">
        <v>1570</v>
      </c>
      <c r="B305" s="277" t="s">
        <v>2557</v>
      </c>
      <c r="C305" s="277"/>
      <c r="D305" s="277" t="s">
        <v>1563</v>
      </c>
      <c r="E305" s="277" t="s">
        <v>2080</v>
      </c>
      <c r="F305" s="277" t="s">
        <v>2469</v>
      </c>
    </row>
    <row r="306" spans="1:6" s="322" customFormat="1" ht="15" customHeight="1" thickBot="1">
      <c r="A306" s="277" t="s">
        <v>1573</v>
      </c>
      <c r="B306" s="277" t="s">
        <v>2356</v>
      </c>
      <c r="C306" s="277"/>
      <c r="D306" s="277" t="s">
        <v>1571</v>
      </c>
      <c r="E306" s="277" t="s">
        <v>2080</v>
      </c>
      <c r="F306" s="277" t="s">
        <v>2469</v>
      </c>
    </row>
    <row r="307" spans="1:6" s="321" customFormat="1" ht="15" customHeight="1">
      <c r="A307" s="277" t="s">
        <v>1575</v>
      </c>
      <c r="B307" s="277" t="s">
        <v>2357</v>
      </c>
      <c r="C307" s="277"/>
      <c r="D307" s="277" t="s">
        <v>1571</v>
      </c>
      <c r="E307" s="277" t="s">
        <v>2080</v>
      </c>
      <c r="F307" s="277" t="s">
        <v>2469</v>
      </c>
    </row>
    <row r="308" spans="1:6" s="320" customFormat="1" ht="15" customHeight="1">
      <c r="A308" s="277" t="s">
        <v>1577</v>
      </c>
      <c r="B308" s="277" t="s">
        <v>2359</v>
      </c>
      <c r="C308" s="277"/>
      <c r="D308" s="277" t="s">
        <v>1571</v>
      </c>
      <c r="E308" s="277" t="s">
        <v>2080</v>
      </c>
      <c r="F308" s="277" t="s">
        <v>2469</v>
      </c>
    </row>
    <row r="309" spans="1:6" s="320" customFormat="1" ht="15" customHeight="1">
      <c r="A309" s="282" t="s">
        <v>3095</v>
      </c>
      <c r="B309" s="281" t="s">
        <v>2475</v>
      </c>
      <c r="C309" s="281"/>
      <c r="D309" s="281" t="s">
        <v>1135</v>
      </c>
      <c r="E309" s="282" t="s">
        <v>3362</v>
      </c>
      <c r="F309" s="281" t="s">
        <v>2469</v>
      </c>
    </row>
    <row r="310" spans="1:6" s="320" customFormat="1" ht="15" customHeight="1">
      <c r="A310" s="281" t="s">
        <v>1214</v>
      </c>
      <c r="B310" s="281" t="s">
        <v>2478</v>
      </c>
      <c r="C310" s="281"/>
      <c r="D310" s="281" t="s">
        <v>1135</v>
      </c>
      <c r="E310" s="281" t="s">
        <v>2476</v>
      </c>
      <c r="F310" s="281" t="s">
        <v>2469</v>
      </c>
    </row>
    <row r="311" spans="1:6" s="320" customFormat="1" ht="15" customHeight="1">
      <c r="A311" s="281" t="s">
        <v>1216</v>
      </c>
      <c r="B311" s="281" t="s">
        <v>2482</v>
      </c>
      <c r="C311" s="281"/>
      <c r="D311" s="281" t="s">
        <v>1135</v>
      </c>
      <c r="E311" s="281" t="s">
        <v>2476</v>
      </c>
      <c r="F311" s="281" t="s">
        <v>2469</v>
      </c>
    </row>
    <row r="312" spans="1:6" s="320" customFormat="1" ht="15" customHeight="1">
      <c r="A312" s="281" t="s">
        <v>1217</v>
      </c>
      <c r="B312" s="281" t="s">
        <v>2483</v>
      </c>
      <c r="C312" s="281"/>
      <c r="D312" s="281" t="s">
        <v>1135</v>
      </c>
      <c r="E312" s="281" t="s">
        <v>2476</v>
      </c>
      <c r="F312" s="281" t="s">
        <v>2469</v>
      </c>
    </row>
    <row r="313" spans="1:6" s="320" customFormat="1" ht="15" customHeight="1">
      <c r="A313" s="277" t="s">
        <v>1219</v>
      </c>
      <c r="B313" s="277" t="s">
        <v>2490</v>
      </c>
      <c r="C313" s="277"/>
      <c r="D313" s="277" t="s">
        <v>1140</v>
      </c>
      <c r="E313" s="277" t="s">
        <v>2476</v>
      </c>
      <c r="F313" s="277" t="s">
        <v>2469</v>
      </c>
    </row>
    <row r="314" spans="1:6" s="320" customFormat="1" ht="15" customHeight="1">
      <c r="A314" s="277" t="s">
        <v>2491</v>
      </c>
      <c r="B314" s="277" t="s">
        <v>2492</v>
      </c>
      <c r="C314" s="277"/>
      <c r="D314" s="277" t="s">
        <v>1140</v>
      </c>
      <c r="E314" s="277" t="s">
        <v>2476</v>
      </c>
      <c r="F314" s="277" t="s">
        <v>2469</v>
      </c>
    </row>
    <row r="315" spans="1:6" s="320" customFormat="1" ht="15" customHeight="1">
      <c r="A315" s="277" t="s">
        <v>1222</v>
      </c>
      <c r="B315" s="277" t="s">
        <v>2499</v>
      </c>
      <c r="C315" s="277"/>
      <c r="D315" s="277" t="s">
        <v>1145</v>
      </c>
      <c r="E315" s="277" t="s">
        <v>2476</v>
      </c>
      <c r="F315" s="277" t="s">
        <v>2469</v>
      </c>
    </row>
    <row r="316" spans="1:6" s="320" customFormat="1" ht="15" customHeight="1">
      <c r="A316" s="277" t="s">
        <v>1223</v>
      </c>
      <c r="B316" s="277" t="s">
        <v>2500</v>
      </c>
      <c r="C316" s="277"/>
      <c r="D316" s="277" t="s">
        <v>1145</v>
      </c>
      <c r="E316" s="277" t="s">
        <v>2476</v>
      </c>
      <c r="F316" s="277" t="s">
        <v>2469</v>
      </c>
    </row>
    <row r="317" spans="1:6" s="320" customFormat="1" ht="15" customHeight="1">
      <c r="A317" s="277" t="s">
        <v>2512</v>
      </c>
      <c r="B317" s="277" t="s">
        <v>2513</v>
      </c>
      <c r="C317" s="277"/>
      <c r="D317" s="277" t="s">
        <v>2171</v>
      </c>
      <c r="E317" s="277" t="s">
        <v>2476</v>
      </c>
      <c r="F317" s="277" t="s">
        <v>2469</v>
      </c>
    </row>
    <row r="318" spans="1:6" s="320" customFormat="1" ht="15" customHeight="1">
      <c r="A318" s="277" t="s">
        <v>2515</v>
      </c>
      <c r="B318" s="277" t="s">
        <v>2513</v>
      </c>
      <c r="C318" s="277"/>
      <c r="D318" s="277" t="s">
        <v>2171</v>
      </c>
      <c r="E318" s="277" t="s">
        <v>2476</v>
      </c>
      <c r="F318" s="277" t="s">
        <v>2469</v>
      </c>
    </row>
    <row r="319" spans="1:6" s="320" customFormat="1" ht="15" customHeight="1">
      <c r="A319" s="280" t="s">
        <v>3361</v>
      </c>
      <c r="B319" s="277" t="s">
        <v>2517</v>
      </c>
      <c r="C319" s="277"/>
      <c r="D319" s="277" t="s">
        <v>2171</v>
      </c>
      <c r="E319" s="277" t="s">
        <v>2476</v>
      </c>
      <c r="F319" s="277" t="s">
        <v>2469</v>
      </c>
    </row>
    <row r="320" spans="1:6" s="320" customFormat="1" ht="15" customHeight="1">
      <c r="A320" s="277" t="s">
        <v>2518</v>
      </c>
      <c r="B320" s="277" t="s">
        <v>2517</v>
      </c>
      <c r="C320" s="277"/>
      <c r="D320" s="277" t="s">
        <v>2171</v>
      </c>
      <c r="E320" s="277" t="s">
        <v>2476</v>
      </c>
      <c r="F320" s="277" t="s">
        <v>2469</v>
      </c>
    </row>
    <row r="321" spans="1:6" s="320" customFormat="1" ht="15" customHeight="1">
      <c r="A321" s="277" t="s">
        <v>2546</v>
      </c>
      <c r="B321" s="277" t="s">
        <v>2547</v>
      </c>
      <c r="C321" s="277"/>
      <c r="D321" s="277" t="s">
        <v>1556</v>
      </c>
      <c r="E321" s="277" t="s">
        <v>2476</v>
      </c>
      <c r="F321" s="277" t="s">
        <v>2469</v>
      </c>
    </row>
    <row r="322" spans="1:6" s="320" customFormat="1" ht="15" customHeight="1">
      <c r="A322" s="277" t="s">
        <v>2549</v>
      </c>
      <c r="B322" s="277" t="s">
        <v>2550</v>
      </c>
      <c r="C322" s="277"/>
      <c r="D322" s="277" t="s">
        <v>1556</v>
      </c>
      <c r="E322" s="277" t="s">
        <v>2476</v>
      </c>
      <c r="F322" s="277" t="s">
        <v>2469</v>
      </c>
    </row>
    <row r="323" spans="1:6" s="320" customFormat="1" ht="15" customHeight="1">
      <c r="A323" s="277" t="s">
        <v>2551</v>
      </c>
      <c r="B323" s="277" t="s">
        <v>2552</v>
      </c>
      <c r="C323" s="277"/>
      <c r="D323" s="277" t="s">
        <v>1556</v>
      </c>
      <c r="E323" s="277" t="s">
        <v>2476</v>
      </c>
      <c r="F323" s="277" t="s">
        <v>2469</v>
      </c>
    </row>
    <row r="324" spans="1:6" s="320" customFormat="1" ht="15" customHeight="1">
      <c r="A324" s="277" t="s">
        <v>2553</v>
      </c>
      <c r="B324" s="277" t="s">
        <v>2554</v>
      </c>
      <c r="C324" s="277"/>
      <c r="D324" s="277" t="s">
        <v>1556</v>
      </c>
      <c r="E324" s="277" t="s">
        <v>2476</v>
      </c>
      <c r="F324" s="277" t="s">
        <v>2469</v>
      </c>
    </row>
    <row r="325" spans="1:6" s="320" customFormat="1" ht="15" customHeight="1">
      <c r="A325" s="277" t="s">
        <v>2558</v>
      </c>
      <c r="B325" s="277" t="s">
        <v>2559</v>
      </c>
      <c r="C325" s="277"/>
      <c r="D325" s="277" t="s">
        <v>1563</v>
      </c>
      <c r="E325" s="277" t="s">
        <v>2476</v>
      </c>
      <c r="F325" s="277" t="s">
        <v>2469</v>
      </c>
    </row>
    <row r="326" spans="1:6" s="320" customFormat="1" ht="15" customHeight="1">
      <c r="A326" s="277" t="s">
        <v>2561</v>
      </c>
      <c r="B326" s="277" t="s">
        <v>2562</v>
      </c>
      <c r="C326" s="277"/>
      <c r="D326" s="277" t="s">
        <v>1563</v>
      </c>
      <c r="E326" s="277" t="s">
        <v>2476</v>
      </c>
      <c r="F326" s="277" t="s">
        <v>2469</v>
      </c>
    </row>
    <row r="327" spans="1:6" s="320" customFormat="1" ht="15" customHeight="1">
      <c r="A327" s="277" t="s">
        <v>2563</v>
      </c>
      <c r="B327" s="277" t="s">
        <v>2564</v>
      </c>
      <c r="C327" s="277"/>
      <c r="D327" s="277" t="s">
        <v>1563</v>
      </c>
      <c r="E327" s="277" t="s">
        <v>2476</v>
      </c>
      <c r="F327" s="277" t="s">
        <v>2469</v>
      </c>
    </row>
    <row r="328" spans="1:6" s="320" customFormat="1" ht="15" customHeight="1">
      <c r="A328" s="277" t="s">
        <v>2565</v>
      </c>
      <c r="B328" s="277" t="s">
        <v>2566</v>
      </c>
      <c r="C328" s="277"/>
      <c r="D328" s="277" t="s">
        <v>1563</v>
      </c>
      <c r="E328" s="277" t="s">
        <v>2476</v>
      </c>
      <c r="F328" s="277" t="s">
        <v>2469</v>
      </c>
    </row>
    <row r="329" spans="1:6" s="320" customFormat="1" ht="15" customHeight="1">
      <c r="A329" s="277" t="s">
        <v>2568</v>
      </c>
      <c r="B329" s="277" t="s">
        <v>2569</v>
      </c>
      <c r="C329" s="277"/>
      <c r="D329" s="277" t="s">
        <v>1571</v>
      </c>
      <c r="E329" s="277" t="s">
        <v>2476</v>
      </c>
      <c r="F329" s="277" t="s">
        <v>2469</v>
      </c>
    </row>
    <row r="330" spans="1:6" s="320" customFormat="1" ht="15" customHeight="1">
      <c r="A330" s="277" t="s">
        <v>2572</v>
      </c>
      <c r="B330" s="277" t="s">
        <v>2573</v>
      </c>
      <c r="C330" s="277"/>
      <c r="D330" s="277" t="s">
        <v>1571</v>
      </c>
      <c r="E330" s="277" t="s">
        <v>2476</v>
      </c>
      <c r="F330" s="277" t="s">
        <v>2469</v>
      </c>
    </row>
    <row r="331" spans="1:6" s="320" customFormat="1" ht="15" customHeight="1">
      <c r="A331" s="277" t="s">
        <v>2574</v>
      </c>
      <c r="B331" s="277" t="s">
        <v>2575</v>
      </c>
      <c r="C331" s="277"/>
      <c r="D331" s="277" t="s">
        <v>1571</v>
      </c>
      <c r="E331" s="277" t="s">
        <v>2476</v>
      </c>
      <c r="F331" s="277" t="s">
        <v>2469</v>
      </c>
    </row>
    <row r="332" spans="1:6" s="320" customFormat="1" ht="15" customHeight="1">
      <c r="A332" s="277" t="s">
        <v>2576</v>
      </c>
      <c r="B332" s="277" t="s">
        <v>2577</v>
      </c>
      <c r="C332" s="277"/>
      <c r="D332" s="277" t="s">
        <v>1571</v>
      </c>
      <c r="E332" s="277" t="s">
        <v>2476</v>
      </c>
      <c r="F332" s="277" t="s">
        <v>2469</v>
      </c>
    </row>
    <row r="333" spans="1:6" s="320" customFormat="1" ht="15" customHeight="1">
      <c r="A333" s="277" t="s">
        <v>1524</v>
      </c>
      <c r="B333" s="280" t="s">
        <v>3046</v>
      </c>
      <c r="C333" s="280"/>
      <c r="D333" s="277" t="s">
        <v>1546</v>
      </c>
      <c r="E333" s="277" t="s">
        <v>2476</v>
      </c>
      <c r="F333" s="277" t="s">
        <v>2469</v>
      </c>
    </row>
    <row r="334" spans="1:6" s="320" customFormat="1" ht="15" customHeight="1">
      <c r="A334" s="277" t="s">
        <v>1525</v>
      </c>
      <c r="B334" s="277" t="s">
        <v>2267</v>
      </c>
      <c r="C334" s="277"/>
      <c r="D334" s="277" t="s">
        <v>1546</v>
      </c>
      <c r="E334" s="277" t="s">
        <v>2476</v>
      </c>
      <c r="F334" s="277" t="s">
        <v>2469</v>
      </c>
    </row>
    <row r="335" spans="1:6" s="320" customFormat="1" ht="15" customHeight="1">
      <c r="A335" s="277" t="s">
        <v>1530</v>
      </c>
      <c r="B335" s="277" t="s">
        <v>2326</v>
      </c>
      <c r="C335" s="277"/>
      <c r="D335" s="277" t="s">
        <v>1556</v>
      </c>
      <c r="E335" s="277" t="s">
        <v>2476</v>
      </c>
      <c r="F335" s="277" t="s">
        <v>2469</v>
      </c>
    </row>
    <row r="336" spans="1:6" s="320" customFormat="1" ht="15" customHeight="1">
      <c r="A336" s="277" t="s">
        <v>1528</v>
      </c>
      <c r="B336" s="280" t="s">
        <v>3050</v>
      </c>
      <c r="C336" s="280"/>
      <c r="D336" s="277" t="s">
        <v>1556</v>
      </c>
      <c r="E336" s="277" t="s">
        <v>2476</v>
      </c>
      <c r="F336" s="277" t="s">
        <v>2469</v>
      </c>
    </row>
    <row r="337" spans="1:6" s="320" customFormat="1" ht="15" customHeight="1">
      <c r="A337" s="277" t="s">
        <v>1529</v>
      </c>
      <c r="B337" s="277" t="s">
        <v>2332</v>
      </c>
      <c r="C337" s="277"/>
      <c r="D337" s="277" t="s">
        <v>1556</v>
      </c>
      <c r="E337" s="277" t="s">
        <v>2476</v>
      </c>
      <c r="F337" s="277" t="s">
        <v>2469</v>
      </c>
    </row>
    <row r="338" spans="1:6" s="322" customFormat="1" ht="15" customHeight="1" thickBot="1">
      <c r="A338" s="277" t="s">
        <v>3113</v>
      </c>
      <c r="B338" s="277" t="s">
        <v>3052</v>
      </c>
      <c r="C338" s="277"/>
      <c r="D338" s="277" t="s">
        <v>1571</v>
      </c>
      <c r="E338" s="277" t="s">
        <v>3362</v>
      </c>
      <c r="F338" s="277" t="s">
        <v>2927</v>
      </c>
    </row>
    <row r="339" spans="1:6" s="320" customFormat="1" ht="15" customHeight="1">
      <c r="A339" s="277" t="s">
        <v>3114</v>
      </c>
      <c r="B339" s="277" t="s">
        <v>3115</v>
      </c>
      <c r="C339" s="277"/>
      <c r="D339" s="277" t="s">
        <v>1571</v>
      </c>
      <c r="E339" s="277" t="s">
        <v>3362</v>
      </c>
      <c r="F339" s="277" t="s">
        <v>2927</v>
      </c>
    </row>
    <row r="340" spans="1:6" s="320" customFormat="1" ht="15" customHeight="1">
      <c r="A340" s="277" t="s">
        <v>1543</v>
      </c>
      <c r="B340" s="277" t="s">
        <v>2393</v>
      </c>
      <c r="C340" s="277"/>
      <c r="D340" s="277" t="s">
        <v>1551</v>
      </c>
      <c r="E340" s="277" t="s">
        <v>2476</v>
      </c>
      <c r="F340" s="277" t="s">
        <v>2469</v>
      </c>
    </row>
    <row r="341" spans="1:6" s="320" customFormat="1" ht="15" customHeight="1">
      <c r="A341" s="277" t="s">
        <v>1544</v>
      </c>
      <c r="B341" s="277" t="s">
        <v>2396</v>
      </c>
      <c r="C341" s="277"/>
      <c r="D341" s="277" t="s">
        <v>1551</v>
      </c>
      <c r="E341" s="277" t="s">
        <v>2476</v>
      </c>
      <c r="F341" s="277" t="s">
        <v>2469</v>
      </c>
    </row>
    <row r="342" spans="1:6" s="320" customFormat="1" ht="15" customHeight="1">
      <c r="A342" s="277" t="s">
        <v>1533</v>
      </c>
      <c r="B342" s="277" t="s">
        <v>2339</v>
      </c>
      <c r="C342" s="277"/>
      <c r="D342" s="277" t="s">
        <v>1563</v>
      </c>
      <c r="E342" s="277" t="s">
        <v>2476</v>
      </c>
      <c r="F342" s="277" t="s">
        <v>2469</v>
      </c>
    </row>
    <row r="343" spans="1:6" s="320" customFormat="1" ht="15" customHeight="1">
      <c r="A343" s="277" t="s">
        <v>1531</v>
      </c>
      <c r="B343" s="280" t="s">
        <v>3051</v>
      </c>
      <c r="C343" s="280"/>
      <c r="D343" s="277" t="s">
        <v>1563</v>
      </c>
      <c r="E343" s="277" t="s">
        <v>2476</v>
      </c>
      <c r="F343" s="277" t="s">
        <v>2469</v>
      </c>
    </row>
    <row r="344" spans="1:6" s="320" customFormat="1" ht="15" customHeight="1">
      <c r="A344" s="277" t="s">
        <v>1532</v>
      </c>
      <c r="B344" s="277" t="s">
        <v>2349</v>
      </c>
      <c r="C344" s="277"/>
      <c r="D344" s="277" t="s">
        <v>1563</v>
      </c>
      <c r="E344" s="277" t="s">
        <v>2476</v>
      </c>
      <c r="F344" s="277" t="s">
        <v>2469</v>
      </c>
    </row>
    <row r="345" spans="1:6" s="320" customFormat="1" ht="15" customHeight="1">
      <c r="A345" s="277" t="s">
        <v>2578</v>
      </c>
      <c r="B345" s="277" t="s">
        <v>2375</v>
      </c>
      <c r="C345" s="277"/>
      <c r="D345" s="277" t="s">
        <v>1578</v>
      </c>
      <c r="E345" s="277" t="s">
        <v>2476</v>
      </c>
      <c r="F345" s="277" t="s">
        <v>2469</v>
      </c>
    </row>
    <row r="346" spans="1:6" s="320" customFormat="1" ht="15" customHeight="1">
      <c r="A346" s="277" t="s">
        <v>1536</v>
      </c>
      <c r="B346" s="277" t="s">
        <v>2382</v>
      </c>
      <c r="C346" s="277"/>
      <c r="D346" s="277" t="s">
        <v>1578</v>
      </c>
      <c r="E346" s="277" t="s">
        <v>2476</v>
      </c>
      <c r="F346" s="277" t="s">
        <v>2469</v>
      </c>
    </row>
    <row r="347" spans="1:6" s="320" customFormat="1" ht="15" customHeight="1">
      <c r="A347" s="277" t="s">
        <v>1537</v>
      </c>
      <c r="B347" s="277" t="s">
        <v>2385</v>
      </c>
      <c r="C347" s="277"/>
      <c r="D347" s="277" t="s">
        <v>1578</v>
      </c>
      <c r="E347" s="277" t="s">
        <v>2476</v>
      </c>
      <c r="F347" s="277" t="s">
        <v>2469</v>
      </c>
    </row>
    <row r="348" spans="1:6" s="320" customFormat="1" ht="15" customHeight="1">
      <c r="A348" s="316" t="s">
        <v>3096</v>
      </c>
      <c r="B348" s="280" t="s">
        <v>3098</v>
      </c>
      <c r="C348" s="280"/>
      <c r="D348" s="277" t="s">
        <v>1546</v>
      </c>
      <c r="E348" s="277" t="s">
        <v>2476</v>
      </c>
      <c r="F348" s="277" t="s">
        <v>2469</v>
      </c>
    </row>
    <row r="349" spans="1:6" s="320" customFormat="1" ht="15" customHeight="1">
      <c r="A349" s="316" t="s">
        <v>3097</v>
      </c>
      <c r="B349" s="280" t="s">
        <v>3099</v>
      </c>
      <c r="C349" s="280"/>
      <c r="D349" s="277" t="s">
        <v>1546</v>
      </c>
      <c r="E349" s="277" t="s">
        <v>2476</v>
      </c>
      <c r="F349" s="277" t="s">
        <v>2469</v>
      </c>
    </row>
    <row r="350" spans="1:6" s="320" customFormat="1" ht="15" customHeight="1">
      <c r="A350" s="277" t="s">
        <v>1619</v>
      </c>
      <c r="B350" s="277" t="s">
        <v>2525</v>
      </c>
      <c r="C350" s="277"/>
      <c r="D350" s="277" t="s">
        <v>1637</v>
      </c>
      <c r="E350" s="277" t="s">
        <v>2476</v>
      </c>
      <c r="F350" s="277" t="s">
        <v>2469</v>
      </c>
    </row>
    <row r="351" spans="1:6" s="320" customFormat="1" ht="15" customHeight="1">
      <c r="A351" s="277" t="s">
        <v>1617</v>
      </c>
      <c r="B351" s="277" t="s">
        <v>2530</v>
      </c>
      <c r="C351" s="277"/>
      <c r="D351" s="277" t="s">
        <v>1640</v>
      </c>
      <c r="E351" s="277" t="s">
        <v>2476</v>
      </c>
      <c r="F351" s="277" t="s">
        <v>2469</v>
      </c>
    </row>
    <row r="352" spans="1:6" s="320" customFormat="1" ht="15" customHeight="1">
      <c r="A352" s="277" t="s">
        <v>1618</v>
      </c>
      <c r="B352" s="277" t="s">
        <v>2530</v>
      </c>
      <c r="C352" s="277"/>
      <c r="D352" s="277" t="s">
        <v>1640</v>
      </c>
      <c r="E352" s="277" t="s">
        <v>2476</v>
      </c>
      <c r="F352" s="277" t="s">
        <v>2469</v>
      </c>
    </row>
    <row r="353" spans="1:6" s="320" customFormat="1" ht="15" customHeight="1">
      <c r="A353" s="277" t="s">
        <v>1224</v>
      </c>
      <c r="B353" s="277" t="s">
        <v>2589</v>
      </c>
      <c r="C353" s="277"/>
      <c r="D353" s="277" t="s">
        <v>1170</v>
      </c>
      <c r="E353" s="277" t="s">
        <v>2476</v>
      </c>
      <c r="F353" s="277" t="s">
        <v>2469</v>
      </c>
    </row>
    <row r="354" spans="1:6" s="320" customFormat="1" ht="15" customHeight="1">
      <c r="A354" s="277" t="s">
        <v>1225</v>
      </c>
      <c r="B354" s="277" t="s">
        <v>2589</v>
      </c>
      <c r="C354" s="277"/>
      <c r="D354" s="277" t="s">
        <v>1170</v>
      </c>
      <c r="E354" s="277" t="s">
        <v>2476</v>
      </c>
      <c r="F354" s="277" t="s">
        <v>2469</v>
      </c>
    </row>
    <row r="355" spans="1:6" s="320" customFormat="1" ht="15" customHeight="1">
      <c r="A355" s="277" t="s">
        <v>1539</v>
      </c>
      <c r="B355" s="277" t="s">
        <v>2190</v>
      </c>
      <c r="C355" s="277"/>
      <c r="D355" s="277" t="s">
        <v>2171</v>
      </c>
      <c r="E355" s="277" t="s">
        <v>2476</v>
      </c>
      <c r="F355" s="277" t="s">
        <v>2469</v>
      </c>
    </row>
    <row r="356" spans="1:6" s="320" customFormat="1" ht="15" customHeight="1">
      <c r="A356" s="277" t="s">
        <v>1540</v>
      </c>
      <c r="B356" s="277" t="s">
        <v>2196</v>
      </c>
      <c r="C356" s="277"/>
      <c r="D356" s="277" t="s">
        <v>2171</v>
      </c>
      <c r="E356" s="277" t="s">
        <v>2476</v>
      </c>
      <c r="F356" s="277" t="s">
        <v>2469</v>
      </c>
    </row>
    <row r="357" spans="1:6" s="320" customFormat="1" ht="15" customHeight="1">
      <c r="A357" s="277" t="s">
        <v>1541</v>
      </c>
      <c r="B357" s="277" t="s">
        <v>2199</v>
      </c>
      <c r="C357" s="277"/>
      <c r="D357" s="277" t="s">
        <v>2171</v>
      </c>
      <c r="E357" s="277" t="s">
        <v>2476</v>
      </c>
      <c r="F357" s="277" t="s">
        <v>2469</v>
      </c>
    </row>
    <row r="358" spans="1:6" s="320" customFormat="1" ht="15" customHeight="1">
      <c r="A358" s="277" t="s">
        <v>1542</v>
      </c>
      <c r="B358" s="277" t="s">
        <v>2203</v>
      </c>
      <c r="C358" s="277"/>
      <c r="D358" s="277" t="s">
        <v>2171</v>
      </c>
      <c r="E358" s="277" t="s">
        <v>2476</v>
      </c>
      <c r="F358" s="277" t="s">
        <v>2469</v>
      </c>
    </row>
    <row r="359" spans="1:6" s="320" customFormat="1" ht="15" customHeight="1">
      <c r="A359" s="277" t="s">
        <v>2672</v>
      </c>
      <c r="B359" s="277" t="s">
        <v>2673</v>
      </c>
      <c r="C359" s="277"/>
      <c r="D359" s="277" t="s">
        <v>1127</v>
      </c>
      <c r="E359" s="277" t="s">
        <v>2476</v>
      </c>
      <c r="F359" s="277" t="s">
        <v>2469</v>
      </c>
    </row>
    <row r="360" spans="1:6" s="320" customFormat="1" ht="15" customHeight="1">
      <c r="A360" s="277" t="s">
        <v>2682</v>
      </c>
      <c r="B360" s="277" t="s">
        <v>1501</v>
      </c>
      <c r="C360" s="277"/>
      <c r="D360" s="277" t="s">
        <v>1127</v>
      </c>
      <c r="E360" s="277" t="s">
        <v>2476</v>
      </c>
      <c r="F360" s="277" t="s">
        <v>2469</v>
      </c>
    </row>
    <row r="361" spans="1:6" s="320" customFormat="1" ht="15" customHeight="1">
      <c r="A361" s="277" t="s">
        <v>2582</v>
      </c>
      <c r="B361" s="280" t="s">
        <v>3101</v>
      </c>
      <c r="C361" s="280"/>
      <c r="D361" s="277" t="s">
        <v>1578</v>
      </c>
      <c r="E361" s="277" t="s">
        <v>2476</v>
      </c>
      <c r="F361" s="277" t="s">
        <v>2469</v>
      </c>
    </row>
    <row r="362" spans="1:6" s="320" customFormat="1" ht="15" customHeight="1">
      <c r="A362" s="277" t="s">
        <v>2592</v>
      </c>
      <c r="B362" s="280" t="s">
        <v>3355</v>
      </c>
      <c r="C362" s="280"/>
      <c r="D362" s="277" t="s">
        <v>1127</v>
      </c>
      <c r="E362" s="277" t="s">
        <v>2254</v>
      </c>
      <c r="F362" s="277" t="s">
        <v>2469</v>
      </c>
    </row>
    <row r="363" spans="1:6" s="320" customFormat="1" ht="15" customHeight="1">
      <c r="A363" s="277" t="s">
        <v>2596</v>
      </c>
      <c r="B363" s="277" t="s">
        <v>2597</v>
      </c>
      <c r="C363" s="277"/>
      <c r="D363" s="277" t="s">
        <v>1127</v>
      </c>
      <c r="E363" s="277" t="s">
        <v>2254</v>
      </c>
      <c r="F363" s="277" t="s">
        <v>2469</v>
      </c>
    </row>
    <row r="364" spans="1:6" s="320" customFormat="1" ht="15" customHeight="1">
      <c r="A364" s="277" t="s">
        <v>2598</v>
      </c>
      <c r="B364" s="277" t="s">
        <v>2599</v>
      </c>
      <c r="C364" s="277"/>
      <c r="D364" s="277" t="s">
        <v>1127</v>
      </c>
      <c r="E364" s="277" t="s">
        <v>2254</v>
      </c>
      <c r="F364" s="277" t="s">
        <v>2469</v>
      </c>
    </row>
    <row r="365" spans="1:6" s="320" customFormat="1" ht="15" customHeight="1">
      <c r="A365" s="277" t="s">
        <v>2600</v>
      </c>
      <c r="B365" s="277" t="s">
        <v>2602</v>
      </c>
      <c r="C365" s="277"/>
      <c r="D365" s="277" t="s">
        <v>1127</v>
      </c>
      <c r="E365" s="277" t="s">
        <v>2254</v>
      </c>
      <c r="F365" s="277" t="s">
        <v>2469</v>
      </c>
    </row>
    <row r="366" spans="1:6" s="320" customFormat="1" ht="15" customHeight="1">
      <c r="A366" s="277" t="s">
        <v>2603</v>
      </c>
      <c r="B366" s="277" t="s">
        <v>2605</v>
      </c>
      <c r="C366" s="277"/>
      <c r="D366" s="277" t="s">
        <v>1127</v>
      </c>
      <c r="E366" s="277" t="s">
        <v>2254</v>
      </c>
      <c r="F366" s="277" t="s">
        <v>2469</v>
      </c>
    </row>
    <row r="367" spans="1:6" s="320" customFormat="1" ht="15" customHeight="1">
      <c r="A367" s="277" t="s">
        <v>2606</v>
      </c>
      <c r="B367" s="277" t="s">
        <v>2608</v>
      </c>
      <c r="C367" s="277"/>
      <c r="D367" s="277" t="s">
        <v>1127</v>
      </c>
      <c r="E367" s="277" t="s">
        <v>2254</v>
      </c>
      <c r="F367" s="277" t="s">
        <v>2469</v>
      </c>
    </row>
    <row r="368" spans="1:6" s="320" customFormat="1" ht="15" customHeight="1">
      <c r="A368" s="277" t="s">
        <v>2609</v>
      </c>
      <c r="B368" s="277" t="s">
        <v>2608</v>
      </c>
      <c r="C368" s="277"/>
      <c r="D368" s="277" t="s">
        <v>1127</v>
      </c>
      <c r="E368" s="277" t="s">
        <v>2254</v>
      </c>
      <c r="F368" s="277" t="s">
        <v>2469</v>
      </c>
    </row>
    <row r="369" spans="1:6" s="320" customFormat="1" ht="15" customHeight="1">
      <c r="A369" s="277" t="s">
        <v>2610</v>
      </c>
      <c r="B369" s="277" t="s">
        <v>2612</v>
      </c>
      <c r="C369" s="277"/>
      <c r="D369" s="277" t="s">
        <v>1127</v>
      </c>
      <c r="E369" s="277" t="s">
        <v>2254</v>
      </c>
      <c r="F369" s="277" t="s">
        <v>2469</v>
      </c>
    </row>
    <row r="370" spans="1:6" s="320" customFormat="1" ht="15" customHeight="1">
      <c r="A370" s="277" t="s">
        <v>2613</v>
      </c>
      <c r="B370" s="277" t="s">
        <v>2615</v>
      </c>
      <c r="C370" s="277"/>
      <c r="D370" s="277" t="s">
        <v>1127</v>
      </c>
      <c r="E370" s="277" t="s">
        <v>2254</v>
      </c>
      <c r="F370" s="277" t="s">
        <v>2469</v>
      </c>
    </row>
    <row r="371" spans="1:6" s="320" customFormat="1" ht="15" customHeight="1">
      <c r="A371" s="277" t="s">
        <v>2616</v>
      </c>
      <c r="B371" s="277" t="s">
        <v>2608</v>
      </c>
      <c r="C371" s="277"/>
      <c r="D371" s="277" t="s">
        <v>1127</v>
      </c>
      <c r="E371" s="277" t="s">
        <v>2254</v>
      </c>
      <c r="F371" s="277" t="s">
        <v>2469</v>
      </c>
    </row>
    <row r="372" spans="1:6" s="320" customFormat="1" ht="15" customHeight="1">
      <c r="A372" s="277" t="s">
        <v>2617</v>
      </c>
      <c r="B372" s="277" t="s">
        <v>2608</v>
      </c>
      <c r="C372" s="277"/>
      <c r="D372" s="277" t="s">
        <v>1127</v>
      </c>
      <c r="E372" s="277" t="s">
        <v>2254</v>
      </c>
      <c r="F372" s="277" t="s">
        <v>2469</v>
      </c>
    </row>
    <row r="373" spans="1:6" s="320" customFormat="1" ht="15" customHeight="1">
      <c r="A373" s="277" t="s">
        <v>2618</v>
      </c>
      <c r="B373" s="277" t="s">
        <v>2608</v>
      </c>
      <c r="C373" s="277"/>
      <c r="D373" s="277" t="s">
        <v>1127</v>
      </c>
      <c r="E373" s="277" t="s">
        <v>2254</v>
      </c>
      <c r="F373" s="277" t="s">
        <v>2469</v>
      </c>
    </row>
    <row r="374" spans="1:6" s="320" customFormat="1" ht="15" customHeight="1">
      <c r="A374" s="277" t="s">
        <v>2619</v>
      </c>
      <c r="B374" s="277" t="s">
        <v>2608</v>
      </c>
      <c r="C374" s="277"/>
      <c r="D374" s="277" t="s">
        <v>1127</v>
      </c>
      <c r="E374" s="277" t="s">
        <v>2254</v>
      </c>
      <c r="F374" s="277" t="s">
        <v>2469</v>
      </c>
    </row>
    <row r="375" spans="1:6" s="320" customFormat="1" ht="15" customHeight="1">
      <c r="A375" s="277" t="s">
        <v>2663</v>
      </c>
      <c r="B375" s="277" t="s">
        <v>2664</v>
      </c>
      <c r="C375" s="277"/>
      <c r="D375" s="277" t="s">
        <v>1127</v>
      </c>
      <c r="E375" s="277" t="s">
        <v>2106</v>
      </c>
      <c r="F375" s="277" t="s">
        <v>2469</v>
      </c>
    </row>
    <row r="376" spans="1:6" s="320" customFormat="1" ht="15" customHeight="1">
      <c r="A376" s="277" t="s">
        <v>2666</v>
      </c>
      <c r="B376" s="277" t="s">
        <v>2664</v>
      </c>
      <c r="C376" s="277"/>
      <c r="D376" s="277" t="s">
        <v>1127</v>
      </c>
      <c r="E376" s="277" t="s">
        <v>2106</v>
      </c>
      <c r="F376" s="277" t="s">
        <v>2469</v>
      </c>
    </row>
    <row r="377" spans="1:6" s="320" customFormat="1" ht="15" customHeight="1">
      <c r="A377" s="277" t="s">
        <v>2667</v>
      </c>
      <c r="B377" s="277" t="s">
        <v>2664</v>
      </c>
      <c r="C377" s="277"/>
      <c r="D377" s="277" t="s">
        <v>1127</v>
      </c>
      <c r="E377" s="277" t="s">
        <v>2106</v>
      </c>
      <c r="F377" s="277" t="s">
        <v>2469</v>
      </c>
    </row>
    <row r="378" spans="1:6" s="320" customFormat="1" ht="15" customHeight="1">
      <c r="A378" s="277" t="s">
        <v>2668</v>
      </c>
      <c r="B378" s="277" t="s">
        <v>2664</v>
      </c>
      <c r="C378" s="277"/>
      <c r="D378" s="277" t="s">
        <v>1127</v>
      </c>
      <c r="E378" s="277" t="s">
        <v>2106</v>
      </c>
      <c r="F378" s="277" t="s">
        <v>2469</v>
      </c>
    </row>
    <row r="379" spans="1:6" s="320" customFormat="1" ht="15" customHeight="1">
      <c r="A379" s="277" t="s">
        <v>2680</v>
      </c>
      <c r="B379" s="277" t="s">
        <v>2664</v>
      </c>
      <c r="C379" s="277"/>
      <c r="D379" s="277" t="s">
        <v>1127</v>
      </c>
      <c r="E379" s="277" t="s">
        <v>2106</v>
      </c>
      <c r="F379" s="277" t="s">
        <v>2469</v>
      </c>
    </row>
    <row r="380" spans="1:6" s="320" customFormat="1" ht="15" customHeight="1">
      <c r="A380" s="277" t="s">
        <v>2681</v>
      </c>
      <c r="B380" s="277" t="s">
        <v>2664</v>
      </c>
      <c r="C380" s="277"/>
      <c r="D380" s="277" t="s">
        <v>1127</v>
      </c>
      <c r="E380" s="277" t="s">
        <v>2106</v>
      </c>
      <c r="F380" s="277" t="s">
        <v>2469</v>
      </c>
    </row>
    <row r="381" spans="1:6" s="320" customFormat="1" ht="15" customHeight="1">
      <c r="A381" s="280" t="s">
        <v>2822</v>
      </c>
      <c r="B381" s="280" t="s">
        <v>3389</v>
      </c>
      <c r="C381" s="280"/>
      <c r="D381" s="277" t="s">
        <v>1127</v>
      </c>
      <c r="E381" s="277" t="s">
        <v>2106</v>
      </c>
      <c r="F381" s="277" t="s">
        <v>2469</v>
      </c>
    </row>
    <row r="382" spans="1:6" s="320" customFormat="1" ht="15" customHeight="1">
      <c r="A382" s="277" t="s">
        <v>2669</v>
      </c>
      <c r="B382" s="277" t="s">
        <v>2664</v>
      </c>
      <c r="C382" s="277"/>
      <c r="D382" s="277" t="s">
        <v>1127</v>
      </c>
      <c r="E382" s="277" t="s">
        <v>2106</v>
      </c>
      <c r="F382" s="277" t="s">
        <v>2469</v>
      </c>
    </row>
    <row r="383" spans="1:6" s="320" customFormat="1" ht="15" customHeight="1">
      <c r="A383" s="277" t="s">
        <v>2671</v>
      </c>
      <c r="B383" s="277" t="s">
        <v>2664</v>
      </c>
      <c r="C383" s="277"/>
      <c r="D383" s="277" t="s">
        <v>1127</v>
      </c>
      <c r="E383" s="277" t="s">
        <v>2106</v>
      </c>
      <c r="F383" s="277" t="s">
        <v>2469</v>
      </c>
    </row>
    <row r="384" spans="1:6" s="320" customFormat="1" ht="15" customHeight="1">
      <c r="A384" s="277" t="s">
        <v>2684</v>
      </c>
      <c r="B384" s="277" t="s">
        <v>2685</v>
      </c>
      <c r="C384" s="277"/>
      <c r="D384" s="277" t="s">
        <v>2021</v>
      </c>
      <c r="E384" s="277" t="s">
        <v>2106</v>
      </c>
      <c r="F384" s="277" t="s">
        <v>2469</v>
      </c>
    </row>
    <row r="385" spans="1:6" s="320" customFormat="1" ht="15" customHeight="1">
      <c r="A385" s="277" t="s">
        <v>2686</v>
      </c>
      <c r="B385" s="277" t="s">
        <v>2687</v>
      </c>
      <c r="C385" s="277"/>
      <c r="D385" s="280" t="s">
        <v>3132</v>
      </c>
      <c r="E385" s="277" t="s">
        <v>2106</v>
      </c>
      <c r="F385" s="277" t="s">
        <v>2469</v>
      </c>
    </row>
    <row r="386" spans="1:6" s="320" customFormat="1" ht="15" customHeight="1" thickBot="1">
      <c r="A386" s="314" t="s">
        <v>3598</v>
      </c>
      <c r="B386" s="314" t="s">
        <v>3697</v>
      </c>
      <c r="C386" s="314"/>
      <c r="D386" s="312" t="s">
        <v>1883</v>
      </c>
      <c r="E386" s="314" t="s">
        <v>3368</v>
      </c>
      <c r="F386" s="312" t="s">
        <v>2927</v>
      </c>
    </row>
    <row r="387" spans="1:6" s="321" customFormat="1" ht="15" customHeight="1">
      <c r="A387" s="314" t="s">
        <v>3599</v>
      </c>
      <c r="B387" s="314" t="s">
        <v>3698</v>
      </c>
      <c r="C387" s="314"/>
      <c r="D387" s="312" t="s">
        <v>1883</v>
      </c>
      <c r="E387" s="314" t="s">
        <v>3368</v>
      </c>
      <c r="F387" s="312" t="s">
        <v>2927</v>
      </c>
    </row>
    <row r="388" spans="1:6" s="320" customFormat="1" ht="15" customHeight="1">
      <c r="A388" s="277" t="s">
        <v>2674</v>
      </c>
      <c r="B388" s="277" t="s">
        <v>2675</v>
      </c>
      <c r="C388" s="277"/>
      <c r="D388" s="277" t="s">
        <v>1127</v>
      </c>
      <c r="E388" s="277" t="s">
        <v>2106</v>
      </c>
      <c r="F388" s="277" t="s">
        <v>2469</v>
      </c>
    </row>
    <row r="389" spans="1:6" s="322" customFormat="1" ht="15" customHeight="1" thickBot="1">
      <c r="A389" s="280" t="s">
        <v>3116</v>
      </c>
      <c r="B389" s="277" t="s">
        <v>2673</v>
      </c>
      <c r="C389" s="277"/>
      <c r="D389" s="277" t="s">
        <v>1127</v>
      </c>
      <c r="E389" s="277" t="s">
        <v>2106</v>
      </c>
      <c r="F389" s="277" t="s">
        <v>2469</v>
      </c>
    </row>
    <row r="390" spans="1:6" s="320" customFormat="1" ht="15" customHeight="1" thickBot="1">
      <c r="A390" s="277" t="s">
        <v>2620</v>
      </c>
      <c r="B390" s="277" t="s">
        <v>2622</v>
      </c>
      <c r="C390" s="277"/>
      <c r="D390" s="277" t="s">
        <v>1127</v>
      </c>
      <c r="E390" s="277" t="s">
        <v>2106</v>
      </c>
      <c r="F390" s="277" t="s">
        <v>2469</v>
      </c>
    </row>
    <row r="391" spans="1:6" s="321" customFormat="1" ht="15" customHeight="1">
      <c r="A391" s="277" t="s">
        <v>2623</v>
      </c>
      <c r="B391" s="277" t="s">
        <v>2625</v>
      </c>
      <c r="C391" s="277"/>
      <c r="D391" s="277" t="s">
        <v>1127</v>
      </c>
      <c r="E391" s="277" t="s">
        <v>2106</v>
      </c>
      <c r="F391" s="277" t="s">
        <v>2469</v>
      </c>
    </row>
    <row r="392" spans="1:6" s="320" customFormat="1" ht="15" customHeight="1">
      <c r="A392" s="277" t="s">
        <v>2626</v>
      </c>
      <c r="B392" s="277" t="s">
        <v>2628</v>
      </c>
      <c r="C392" s="277"/>
      <c r="D392" s="277" t="s">
        <v>1127</v>
      </c>
      <c r="E392" s="277" t="s">
        <v>2106</v>
      </c>
      <c r="F392" s="277" t="s">
        <v>2469</v>
      </c>
    </row>
    <row r="393" spans="1:6" s="320" customFormat="1" ht="15" customHeight="1">
      <c r="A393" s="277" t="s">
        <v>2629</v>
      </c>
      <c r="B393" s="277" t="s">
        <v>2631</v>
      </c>
      <c r="C393" s="277"/>
      <c r="D393" s="277" t="s">
        <v>1127</v>
      </c>
      <c r="E393" s="277" t="s">
        <v>2106</v>
      </c>
      <c r="F393" s="277" t="s">
        <v>2469</v>
      </c>
    </row>
    <row r="394" spans="1:6" s="320" customFormat="1" ht="15" customHeight="1">
      <c r="A394" s="277" t="s">
        <v>2632</v>
      </c>
      <c r="B394" s="277" t="s">
        <v>2634</v>
      </c>
      <c r="C394" s="277"/>
      <c r="D394" s="277" t="s">
        <v>1127</v>
      </c>
      <c r="E394" s="277" t="s">
        <v>2106</v>
      </c>
      <c r="F394" s="277" t="s">
        <v>2469</v>
      </c>
    </row>
    <row r="395" spans="1:6" s="320" customFormat="1" ht="15" customHeight="1">
      <c r="A395" s="277" t="s">
        <v>2635</v>
      </c>
      <c r="B395" s="277" t="s">
        <v>2637</v>
      </c>
      <c r="C395" s="277"/>
      <c r="D395" s="277" t="s">
        <v>1127</v>
      </c>
      <c r="E395" s="277" t="s">
        <v>2106</v>
      </c>
      <c r="F395" s="277" t="s">
        <v>2469</v>
      </c>
    </row>
    <row r="396" spans="1:6" s="322" customFormat="1" ht="15" customHeight="1" thickBot="1">
      <c r="A396" s="277" t="s">
        <v>2638</v>
      </c>
      <c r="B396" s="277" t="s">
        <v>2640</v>
      </c>
      <c r="C396" s="277"/>
      <c r="D396" s="277" t="s">
        <v>1127</v>
      </c>
      <c r="E396" s="277" t="s">
        <v>2106</v>
      </c>
      <c r="F396" s="277" t="s">
        <v>2469</v>
      </c>
    </row>
    <row r="397" spans="1:6" s="321" customFormat="1" ht="15" customHeight="1">
      <c r="A397" s="277" t="s">
        <v>2641</v>
      </c>
      <c r="B397" s="277" t="s">
        <v>2643</v>
      </c>
      <c r="C397" s="277"/>
      <c r="D397" s="277" t="s">
        <v>1127</v>
      </c>
      <c r="E397" s="277" t="s">
        <v>2106</v>
      </c>
      <c r="F397" s="277" t="s">
        <v>2469</v>
      </c>
    </row>
    <row r="398" spans="1:6" s="320" customFormat="1" ht="15" customHeight="1">
      <c r="A398" s="277" t="s">
        <v>2644</v>
      </c>
      <c r="B398" s="277" t="s">
        <v>2646</v>
      </c>
      <c r="C398" s="277"/>
      <c r="D398" s="277" t="s">
        <v>1127</v>
      </c>
      <c r="E398" s="277" t="s">
        <v>2106</v>
      </c>
      <c r="F398" s="277" t="s">
        <v>2469</v>
      </c>
    </row>
    <row r="399" spans="1:6" s="320" customFormat="1" ht="15" customHeight="1">
      <c r="A399" s="277" t="s">
        <v>2650</v>
      </c>
      <c r="B399" s="277" t="s">
        <v>2652</v>
      </c>
      <c r="C399" s="277"/>
      <c r="D399" s="277" t="s">
        <v>1127</v>
      </c>
      <c r="E399" s="277" t="s">
        <v>2106</v>
      </c>
      <c r="F399" s="277" t="s">
        <v>2469</v>
      </c>
    </row>
    <row r="400" spans="1:6" s="320" customFormat="1" ht="15" customHeight="1">
      <c r="A400" s="277" t="s">
        <v>2654</v>
      </c>
      <c r="B400" s="277" t="s">
        <v>2656</v>
      </c>
      <c r="C400" s="277"/>
      <c r="D400" s="277" t="s">
        <v>1127</v>
      </c>
      <c r="E400" s="277" t="s">
        <v>2106</v>
      </c>
      <c r="F400" s="277" t="s">
        <v>2469</v>
      </c>
    </row>
    <row r="401" spans="1:6" s="320" customFormat="1" ht="15" customHeight="1">
      <c r="A401" s="277" t="s">
        <v>2657</v>
      </c>
      <c r="B401" s="277" t="s">
        <v>2656</v>
      </c>
      <c r="C401" s="277"/>
      <c r="D401" s="277" t="s">
        <v>1127</v>
      </c>
      <c r="E401" s="277" t="s">
        <v>2106</v>
      </c>
      <c r="F401" s="277" t="s">
        <v>2469</v>
      </c>
    </row>
    <row r="402" spans="1:6" s="322" customFormat="1" ht="15" customHeight="1" thickBot="1">
      <c r="A402" s="277" t="s">
        <v>2658</v>
      </c>
      <c r="B402" s="277" t="s">
        <v>2656</v>
      </c>
      <c r="C402" s="277"/>
      <c r="D402" s="277" t="s">
        <v>1127</v>
      </c>
      <c r="E402" s="277" t="s">
        <v>2106</v>
      </c>
      <c r="F402" s="277" t="s">
        <v>2469</v>
      </c>
    </row>
    <row r="403" spans="1:6" s="321" customFormat="1" ht="15" customHeight="1">
      <c r="A403" s="277" t="s">
        <v>2659</v>
      </c>
      <c r="B403" s="277" t="s">
        <v>2661</v>
      </c>
      <c r="C403" s="277"/>
      <c r="D403" s="277" t="s">
        <v>1127</v>
      </c>
      <c r="E403" s="277" t="s">
        <v>2106</v>
      </c>
      <c r="F403" s="277" t="s">
        <v>2469</v>
      </c>
    </row>
    <row r="404" spans="1:6" s="320" customFormat="1" ht="15" customHeight="1">
      <c r="A404" s="277" t="s">
        <v>2662</v>
      </c>
      <c r="B404" s="277" t="s">
        <v>2661</v>
      </c>
      <c r="C404" s="277"/>
      <c r="D404" s="277" t="s">
        <v>1127</v>
      </c>
      <c r="E404" s="277" t="s">
        <v>2106</v>
      </c>
      <c r="F404" s="277" t="s">
        <v>2469</v>
      </c>
    </row>
    <row r="405" spans="1:6" ht="15" customHeight="1"/>
    <row r="406" spans="1:6" ht="15" customHeight="1"/>
    <row r="407" spans="1:6" ht="15" customHeight="1"/>
    <row r="408" spans="1:6" ht="15" customHeight="1"/>
    <row r="409" spans="1:6" ht="15" customHeight="1"/>
    <row r="410" spans="1:6" ht="15" customHeight="1"/>
  </sheetData>
  <autoFilter ref="A1:F404" xr:uid="{00000000-0009-0000-0000-000001000000}"/>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O370"/>
  <sheetViews>
    <sheetView zoomScale="70" zoomScaleNormal="70" workbookViewId="0">
      <pane ySplit="1" topLeftCell="A188" activePane="bottomLeft" state="frozen"/>
      <selection activeCell="I41" sqref="I41"/>
      <selection pane="bottomLeft" activeCell="C282" sqref="C282"/>
    </sheetView>
  </sheetViews>
  <sheetFormatPr defaultColWidth="9.109375" defaultRowHeight="14.4"/>
  <cols>
    <col min="1" max="1" width="31.21875" style="75" customWidth="1"/>
    <col min="2" max="2" width="21.77734375" style="75" customWidth="1"/>
    <col min="3" max="3" width="13.6640625" style="75" customWidth="1"/>
    <col min="4" max="4" width="45.6640625" style="75" customWidth="1"/>
    <col min="5" max="5" width="9.109375" style="75"/>
    <col min="6" max="6" width="20.77734375" style="75" customWidth="1"/>
    <col min="7" max="7" width="15" style="75" customWidth="1"/>
    <col min="8" max="9" width="9.109375" style="75"/>
    <col min="10" max="10" width="34.77734375" style="75" customWidth="1"/>
    <col min="11" max="11" width="27.6640625" style="75" customWidth="1"/>
    <col min="12" max="14" width="9.109375" style="75"/>
    <col min="15" max="15" width="34.88671875" style="75" customWidth="1"/>
    <col min="16" max="16384" width="9.109375" style="75"/>
  </cols>
  <sheetData>
    <row r="1" spans="1:15" s="76" customFormat="1" ht="50.25" customHeight="1">
      <c r="A1" s="272" t="s">
        <v>1285</v>
      </c>
      <c r="B1" s="272" t="s">
        <v>1286</v>
      </c>
      <c r="C1" s="272" t="s">
        <v>1287</v>
      </c>
      <c r="D1" s="272" t="s">
        <v>1288</v>
      </c>
      <c r="E1" s="272" t="s">
        <v>1287</v>
      </c>
      <c r="F1" s="272" t="s">
        <v>1289</v>
      </c>
      <c r="G1" s="272" t="s">
        <v>1290</v>
      </c>
      <c r="H1" s="273" t="s">
        <v>1291</v>
      </c>
      <c r="I1" s="272" t="s">
        <v>1292</v>
      </c>
      <c r="J1" s="272"/>
      <c r="K1" s="272" t="s">
        <v>1293</v>
      </c>
      <c r="L1" s="272" t="s">
        <v>1322</v>
      </c>
      <c r="M1" s="272" t="s">
        <v>1323</v>
      </c>
      <c r="N1" s="272" t="s">
        <v>1324</v>
      </c>
      <c r="O1" s="76" t="s">
        <v>1502</v>
      </c>
    </row>
    <row r="2" spans="1:15" ht="23.25" hidden="1" customHeight="1">
      <c r="A2" s="255" t="s">
        <v>1294</v>
      </c>
      <c r="B2" s="255" t="s">
        <v>1295</v>
      </c>
      <c r="C2" s="255" t="s">
        <v>1296</v>
      </c>
      <c r="D2" s="255" t="s">
        <v>1297</v>
      </c>
      <c r="E2" s="255" t="s">
        <v>1296</v>
      </c>
      <c r="F2" s="255" t="s">
        <v>1298</v>
      </c>
      <c r="G2" s="255" t="s">
        <v>1299</v>
      </c>
      <c r="H2" s="255" t="s">
        <v>1300</v>
      </c>
      <c r="I2" s="256">
        <v>35</v>
      </c>
      <c r="J2" s="255" t="s">
        <v>1294</v>
      </c>
      <c r="K2" s="74"/>
      <c r="L2" s="74"/>
      <c r="M2" s="74"/>
      <c r="N2" s="74"/>
      <c r="O2" s="74"/>
    </row>
    <row r="3" spans="1:15" ht="15" hidden="1" customHeight="1">
      <c r="A3" s="128" t="s">
        <v>1875</v>
      </c>
      <c r="B3" s="128" t="s">
        <v>1503</v>
      </c>
      <c r="C3" s="128" t="s">
        <v>1464</v>
      </c>
      <c r="D3" s="128" t="s">
        <v>1876</v>
      </c>
      <c r="E3" s="128" t="s">
        <v>1464</v>
      </c>
      <c r="F3" s="128" t="s">
        <v>1877</v>
      </c>
      <c r="G3" s="128" t="s">
        <v>1454</v>
      </c>
      <c r="H3" s="128" t="s">
        <v>1466</v>
      </c>
      <c r="I3" s="129">
        <v>15</v>
      </c>
      <c r="J3" s="128" t="s">
        <v>1875</v>
      </c>
      <c r="K3" s="128"/>
      <c r="L3" s="128" t="s">
        <v>908</v>
      </c>
      <c r="M3" s="132" t="s">
        <v>1874</v>
      </c>
      <c r="N3" s="128" t="s">
        <v>908</v>
      </c>
      <c r="O3" s="145" t="s">
        <v>1878</v>
      </c>
    </row>
    <row r="4" spans="1:15" ht="15" hidden="1" customHeight="1">
      <c r="A4" s="128" t="s">
        <v>1886</v>
      </c>
      <c r="B4" s="128" t="s">
        <v>1887</v>
      </c>
      <c r="C4" s="128" t="s">
        <v>1464</v>
      </c>
      <c r="D4" s="128" t="s">
        <v>1876</v>
      </c>
      <c r="E4" s="128" t="s">
        <v>1464</v>
      </c>
      <c r="F4" s="128" t="s">
        <v>1877</v>
      </c>
      <c r="G4" s="128" t="s">
        <v>1454</v>
      </c>
      <c r="H4" s="128" t="s">
        <v>1466</v>
      </c>
      <c r="I4" s="129">
        <v>15</v>
      </c>
      <c r="J4" s="128" t="s">
        <v>1886</v>
      </c>
      <c r="K4" s="128"/>
      <c r="L4" s="128" t="s">
        <v>1879</v>
      </c>
      <c r="M4" s="132" t="s">
        <v>1874</v>
      </c>
      <c r="N4" s="128" t="s">
        <v>1879</v>
      </c>
      <c r="O4" s="145" t="s">
        <v>1878</v>
      </c>
    </row>
    <row r="5" spans="1:15" ht="15" hidden="1" customHeight="1">
      <c r="A5" s="128" t="s">
        <v>1888</v>
      </c>
      <c r="B5" s="128" t="s">
        <v>1889</v>
      </c>
      <c r="C5" s="128" t="s">
        <v>1464</v>
      </c>
      <c r="D5" s="128" t="s">
        <v>1876</v>
      </c>
      <c r="E5" s="128" t="s">
        <v>1464</v>
      </c>
      <c r="F5" s="128" t="s">
        <v>1877</v>
      </c>
      <c r="G5" s="128" t="s">
        <v>1454</v>
      </c>
      <c r="H5" s="128" t="s">
        <v>1466</v>
      </c>
      <c r="I5" s="129">
        <v>15</v>
      </c>
      <c r="J5" s="128" t="s">
        <v>1888</v>
      </c>
      <c r="K5" s="128"/>
      <c r="L5" s="128" t="s">
        <v>1879</v>
      </c>
      <c r="M5" s="132" t="s">
        <v>1874</v>
      </c>
      <c r="N5" s="128" t="s">
        <v>1879</v>
      </c>
      <c r="O5" s="145" t="s">
        <v>1878</v>
      </c>
    </row>
    <row r="6" spans="1:15" ht="15" hidden="1" customHeight="1">
      <c r="A6" s="128" t="s">
        <v>1891</v>
      </c>
      <c r="B6" s="128" t="s">
        <v>1890</v>
      </c>
      <c r="C6" s="128" t="s">
        <v>1464</v>
      </c>
      <c r="D6" s="128" t="s">
        <v>1876</v>
      </c>
      <c r="E6" s="128" t="s">
        <v>1464</v>
      </c>
      <c r="F6" s="128" t="s">
        <v>1877</v>
      </c>
      <c r="G6" s="128" t="s">
        <v>1454</v>
      </c>
      <c r="H6" s="128" t="s">
        <v>1466</v>
      </c>
      <c r="I6" s="129">
        <v>10</v>
      </c>
      <c r="J6" s="128" t="s">
        <v>1891</v>
      </c>
      <c r="K6" s="128"/>
      <c r="L6" s="128" t="s">
        <v>1879</v>
      </c>
      <c r="M6" s="132" t="s">
        <v>1874</v>
      </c>
      <c r="N6" s="128" t="s">
        <v>1879</v>
      </c>
      <c r="O6" s="145" t="s">
        <v>1878</v>
      </c>
    </row>
    <row r="7" spans="1:15" ht="15" hidden="1" customHeight="1">
      <c r="A7" s="128" t="s">
        <v>1892</v>
      </c>
      <c r="B7" s="128" t="s">
        <v>1893</v>
      </c>
      <c r="C7" s="128" t="s">
        <v>1464</v>
      </c>
      <c r="D7" s="128" t="s">
        <v>1876</v>
      </c>
      <c r="E7" s="128" t="s">
        <v>1464</v>
      </c>
      <c r="F7" s="128" t="s">
        <v>1877</v>
      </c>
      <c r="G7" s="128" t="s">
        <v>1454</v>
      </c>
      <c r="H7" s="128" t="s">
        <v>1466</v>
      </c>
      <c r="I7" s="129">
        <v>30</v>
      </c>
      <c r="J7" s="128" t="s">
        <v>1892</v>
      </c>
      <c r="K7" s="128"/>
      <c r="L7" s="128" t="s">
        <v>1879</v>
      </c>
      <c r="M7" s="132" t="s">
        <v>1874</v>
      </c>
      <c r="N7" s="128" t="s">
        <v>1879</v>
      </c>
      <c r="O7" s="145" t="s">
        <v>1894</v>
      </c>
    </row>
    <row r="8" spans="1:15" ht="15" hidden="1" customHeight="1">
      <c r="A8" s="128" t="s">
        <v>1895</v>
      </c>
      <c r="B8" s="128" t="s">
        <v>2050</v>
      </c>
      <c r="C8" s="128" t="s">
        <v>1464</v>
      </c>
      <c r="D8" s="128" t="s">
        <v>1876</v>
      </c>
      <c r="E8" s="128" t="s">
        <v>1464</v>
      </c>
      <c r="F8" s="128" t="s">
        <v>1877</v>
      </c>
      <c r="G8" s="128" t="s">
        <v>1454</v>
      </c>
      <c r="H8" s="128" t="s">
        <v>1466</v>
      </c>
      <c r="I8" s="129">
        <v>15</v>
      </c>
      <c r="J8" s="128" t="s">
        <v>1895</v>
      </c>
      <c r="K8" s="128"/>
      <c r="L8" s="128" t="s">
        <v>1879</v>
      </c>
      <c r="M8" s="132" t="s">
        <v>1874</v>
      </c>
      <c r="N8" s="128" t="s">
        <v>1879</v>
      </c>
      <c r="O8" s="145" t="s">
        <v>1896</v>
      </c>
    </row>
    <row r="9" spans="1:15" ht="15" hidden="1" customHeight="1">
      <c r="A9" s="128" t="s">
        <v>1897</v>
      </c>
      <c r="B9" s="128" t="s">
        <v>2051</v>
      </c>
      <c r="C9" s="128" t="s">
        <v>1464</v>
      </c>
      <c r="D9" s="128" t="s">
        <v>1876</v>
      </c>
      <c r="E9" s="128" t="s">
        <v>1464</v>
      </c>
      <c r="F9" s="128" t="s">
        <v>1877</v>
      </c>
      <c r="G9" s="128" t="s">
        <v>1454</v>
      </c>
      <c r="H9" s="128" t="s">
        <v>1466</v>
      </c>
      <c r="I9" s="129">
        <v>15</v>
      </c>
      <c r="J9" s="128" t="s">
        <v>1897</v>
      </c>
      <c r="K9" s="128"/>
      <c r="L9" s="128" t="s">
        <v>1879</v>
      </c>
      <c r="M9" s="132" t="s">
        <v>1874</v>
      </c>
      <c r="N9" s="128" t="s">
        <v>1879</v>
      </c>
      <c r="O9" s="145" t="s">
        <v>1898</v>
      </c>
    </row>
    <row r="10" spans="1:15" ht="15" hidden="1" customHeight="1">
      <c r="A10" s="128" t="s">
        <v>1900</v>
      </c>
      <c r="B10" s="128" t="s">
        <v>2052</v>
      </c>
      <c r="C10" s="128" t="s">
        <v>1464</v>
      </c>
      <c r="D10" s="128" t="s">
        <v>1876</v>
      </c>
      <c r="E10" s="128" t="s">
        <v>1464</v>
      </c>
      <c r="F10" s="128" t="s">
        <v>1877</v>
      </c>
      <c r="G10" s="128" t="s">
        <v>1454</v>
      </c>
      <c r="H10" s="128" t="s">
        <v>1466</v>
      </c>
      <c r="I10" s="129">
        <v>10</v>
      </c>
      <c r="J10" s="128" t="s">
        <v>1900</v>
      </c>
      <c r="K10" s="128"/>
      <c r="L10" s="128" t="s">
        <v>1879</v>
      </c>
      <c r="M10" s="132" t="s">
        <v>1874</v>
      </c>
      <c r="N10" s="128" t="s">
        <v>1879</v>
      </c>
      <c r="O10" s="145" t="s">
        <v>1899</v>
      </c>
    </row>
    <row r="11" spans="1:15" ht="15" hidden="1" customHeight="1">
      <c r="A11" s="128" t="s">
        <v>1901</v>
      </c>
      <c r="B11" s="128" t="s">
        <v>2053</v>
      </c>
      <c r="C11" s="128" t="s">
        <v>1464</v>
      </c>
      <c r="D11" s="128" t="s">
        <v>1876</v>
      </c>
      <c r="E11" s="128" t="s">
        <v>1464</v>
      </c>
      <c r="F11" s="128" t="s">
        <v>1877</v>
      </c>
      <c r="G11" s="128" t="s">
        <v>1454</v>
      </c>
      <c r="H11" s="128" t="s">
        <v>1466</v>
      </c>
      <c r="I11" s="129">
        <v>15</v>
      </c>
      <c r="J11" s="128" t="s">
        <v>1901</v>
      </c>
      <c r="K11" s="128"/>
      <c r="L11" s="128" t="s">
        <v>1879</v>
      </c>
      <c r="M11" s="132" t="s">
        <v>1874</v>
      </c>
      <c r="N11" s="128" t="s">
        <v>1879</v>
      </c>
      <c r="O11" s="145" t="s">
        <v>1902</v>
      </c>
    </row>
    <row r="12" spans="1:15" ht="15" hidden="1" customHeight="1">
      <c r="A12" s="74"/>
      <c r="B12" s="74"/>
      <c r="C12" s="74"/>
      <c r="D12" s="74"/>
      <c r="E12" s="74"/>
      <c r="F12" s="74"/>
      <c r="G12" s="74"/>
      <c r="H12" s="74"/>
      <c r="I12" s="74"/>
      <c r="J12" s="74"/>
      <c r="K12" s="74"/>
      <c r="L12" s="74"/>
      <c r="M12" s="74"/>
      <c r="N12" s="74"/>
      <c r="O12" s="74"/>
    </row>
    <row r="13" spans="1:15" ht="15" hidden="1" customHeight="1">
      <c r="A13" s="249" t="s">
        <v>1301</v>
      </c>
      <c r="B13" s="263" t="s">
        <v>1903</v>
      </c>
      <c r="C13" s="249" t="s">
        <v>1302</v>
      </c>
      <c r="D13" s="249" t="s">
        <v>1297</v>
      </c>
      <c r="E13" s="249" t="s">
        <v>1302</v>
      </c>
      <c r="F13" s="249" t="s">
        <v>1303</v>
      </c>
      <c r="G13" s="249" t="s">
        <v>1304</v>
      </c>
      <c r="H13" s="249" t="s">
        <v>1305</v>
      </c>
      <c r="I13" s="250">
        <v>30</v>
      </c>
      <c r="J13" s="249" t="s">
        <v>1301</v>
      </c>
      <c r="K13" s="251" t="s">
        <v>1306</v>
      </c>
      <c r="L13" s="74"/>
      <c r="M13" s="74"/>
      <c r="N13" s="74"/>
      <c r="O13" s="74"/>
    </row>
    <row r="14" spans="1:15" ht="15" hidden="1" customHeight="1">
      <c r="A14" s="74"/>
      <c r="B14" s="74"/>
      <c r="C14" s="74"/>
      <c r="D14" s="74"/>
      <c r="E14" s="74"/>
      <c r="F14" s="74"/>
      <c r="G14" s="74"/>
      <c r="H14" s="74"/>
      <c r="I14" s="74"/>
      <c r="J14" s="74"/>
      <c r="K14" s="74"/>
      <c r="L14" s="74"/>
      <c r="M14" s="74"/>
      <c r="N14" s="74"/>
      <c r="O14" s="74"/>
    </row>
    <row r="15" spans="1:15" ht="15" hidden="1" customHeight="1">
      <c r="A15" s="249" t="s">
        <v>1307</v>
      </c>
      <c r="B15" s="249" t="s">
        <v>1308</v>
      </c>
      <c r="C15" s="249" t="s">
        <v>1302</v>
      </c>
      <c r="D15" s="249" t="s">
        <v>1297</v>
      </c>
      <c r="E15" s="249" t="s">
        <v>1302</v>
      </c>
      <c r="F15" s="249" t="s">
        <v>1303</v>
      </c>
      <c r="G15" s="249" t="s">
        <v>1304</v>
      </c>
      <c r="H15" s="249" t="s">
        <v>1305</v>
      </c>
      <c r="I15" s="250">
        <v>30</v>
      </c>
      <c r="J15" s="249" t="s">
        <v>1307</v>
      </c>
      <c r="K15" s="251" t="s">
        <v>1306</v>
      </c>
      <c r="L15" s="74"/>
      <c r="M15" s="74"/>
      <c r="N15" s="74"/>
      <c r="O15" s="74"/>
    </row>
    <row r="16" spans="1:15" ht="15" hidden="1" customHeight="1">
      <c r="A16" s="74"/>
      <c r="B16" s="74"/>
      <c r="C16" s="74"/>
      <c r="D16" s="74"/>
      <c r="E16" s="74"/>
      <c r="F16" s="74"/>
      <c r="G16" s="74"/>
      <c r="H16" s="74"/>
      <c r="I16" s="74"/>
      <c r="J16" s="74"/>
      <c r="K16" s="74"/>
      <c r="L16" s="74"/>
      <c r="M16" s="74"/>
      <c r="N16" s="74"/>
      <c r="O16" s="74"/>
    </row>
    <row r="17" spans="1:15" ht="15" hidden="1" customHeight="1">
      <c r="A17" s="249" t="s">
        <v>1309</v>
      </c>
      <c r="B17" s="249" t="s">
        <v>1310</v>
      </c>
      <c r="C17" s="249" t="s">
        <v>1296</v>
      </c>
      <c r="D17" s="249" t="s">
        <v>1297</v>
      </c>
      <c r="E17" s="249" t="s">
        <v>1296</v>
      </c>
      <c r="F17" s="249" t="s">
        <v>1311</v>
      </c>
      <c r="G17" s="249" t="s">
        <v>1312</v>
      </c>
      <c r="H17" s="249" t="s">
        <v>1313</v>
      </c>
      <c r="I17" s="250">
        <v>30</v>
      </c>
      <c r="J17" s="249" t="s">
        <v>1309</v>
      </c>
      <c r="K17" s="252" t="s">
        <v>3084</v>
      </c>
      <c r="L17" s="74"/>
      <c r="M17" s="74"/>
      <c r="N17" s="74"/>
      <c r="O17" s="74"/>
    </row>
    <row r="18" spans="1:15" ht="15" hidden="1" customHeight="1">
      <c r="A18" s="74"/>
      <c r="B18" s="74"/>
      <c r="C18" s="74"/>
      <c r="D18" s="74"/>
      <c r="E18" s="74"/>
      <c r="F18" s="74"/>
      <c r="G18" s="74"/>
      <c r="H18" s="74"/>
      <c r="I18" s="74"/>
      <c r="J18" s="74"/>
      <c r="K18" s="74"/>
      <c r="L18" s="74"/>
      <c r="M18" s="74"/>
      <c r="N18" s="74"/>
      <c r="O18" s="74"/>
    </row>
    <row r="19" spans="1:15" ht="15" hidden="1" customHeight="1">
      <c r="A19" s="249" t="s">
        <v>1314</v>
      </c>
      <c r="B19" s="249" t="s">
        <v>1310</v>
      </c>
      <c r="C19" s="249" t="s">
        <v>1302</v>
      </c>
      <c r="D19" s="249" t="s">
        <v>1297</v>
      </c>
      <c r="E19" s="249" t="s">
        <v>1302</v>
      </c>
      <c r="F19" s="249" t="s">
        <v>1315</v>
      </c>
      <c r="G19" s="249" t="s">
        <v>1316</v>
      </c>
      <c r="H19" s="249" t="s">
        <v>1305</v>
      </c>
      <c r="I19" s="250">
        <v>30</v>
      </c>
      <c r="J19" s="249" t="s">
        <v>1314</v>
      </c>
      <c r="K19" s="252" t="s">
        <v>3084</v>
      </c>
      <c r="L19" s="74"/>
      <c r="M19" s="74"/>
      <c r="N19" s="74"/>
      <c r="O19" s="74"/>
    </row>
    <row r="20" spans="1:15" ht="15" hidden="1" customHeight="1">
      <c r="A20" s="74"/>
      <c r="B20" s="74"/>
      <c r="C20" s="74"/>
      <c r="D20" s="74"/>
      <c r="E20" s="74"/>
      <c r="F20" s="74"/>
      <c r="G20" s="74"/>
      <c r="H20" s="74"/>
      <c r="I20" s="74"/>
      <c r="J20" s="74"/>
      <c r="K20" s="74"/>
      <c r="L20" s="74"/>
      <c r="M20" s="74"/>
      <c r="N20" s="74"/>
      <c r="O20" s="74"/>
    </row>
    <row r="21" spans="1:15" ht="15" hidden="1" customHeight="1">
      <c r="A21" s="249" t="s">
        <v>1317</v>
      </c>
      <c r="B21" s="249" t="s">
        <v>1318</v>
      </c>
      <c r="C21" s="249" t="s">
        <v>1296</v>
      </c>
      <c r="D21" s="249" t="s">
        <v>1297</v>
      </c>
      <c r="E21" s="249" t="s">
        <v>1296</v>
      </c>
      <c r="F21" s="249" t="s">
        <v>1311</v>
      </c>
      <c r="G21" s="249" t="s">
        <v>1312</v>
      </c>
      <c r="H21" s="249" t="s">
        <v>1313</v>
      </c>
      <c r="I21" s="250">
        <v>30</v>
      </c>
      <c r="J21" s="249" t="s">
        <v>1317</v>
      </c>
      <c r="K21" s="252" t="s">
        <v>3084</v>
      </c>
      <c r="L21" s="74"/>
      <c r="M21" s="74"/>
      <c r="N21" s="74"/>
      <c r="O21" s="74"/>
    </row>
    <row r="22" spans="1:15" ht="15" hidden="1" customHeight="1">
      <c r="A22" s="74"/>
      <c r="B22" s="74"/>
      <c r="C22" s="74"/>
      <c r="D22" s="74"/>
      <c r="E22" s="74"/>
      <c r="F22" s="74"/>
      <c r="G22" s="74"/>
      <c r="H22" s="74"/>
      <c r="I22" s="74"/>
      <c r="J22" s="74"/>
      <c r="K22" s="74"/>
      <c r="L22" s="74"/>
      <c r="M22" s="74"/>
      <c r="N22" s="74"/>
      <c r="O22" s="74"/>
    </row>
    <row r="23" spans="1:15" ht="15" hidden="1" customHeight="1">
      <c r="A23" s="249" t="s">
        <v>1319</v>
      </c>
      <c r="B23" s="249" t="s">
        <v>1318</v>
      </c>
      <c r="C23" s="249" t="s">
        <v>1302</v>
      </c>
      <c r="D23" s="249" t="s">
        <v>1297</v>
      </c>
      <c r="E23" s="249" t="s">
        <v>1302</v>
      </c>
      <c r="F23" s="249" t="s">
        <v>1315</v>
      </c>
      <c r="G23" s="249" t="s">
        <v>1316</v>
      </c>
      <c r="H23" s="249" t="s">
        <v>1305</v>
      </c>
      <c r="I23" s="250">
        <v>30</v>
      </c>
      <c r="J23" s="249" t="s">
        <v>1319</v>
      </c>
      <c r="K23" s="252" t="s">
        <v>3084</v>
      </c>
      <c r="L23" s="74"/>
      <c r="M23" s="74"/>
      <c r="N23" s="74"/>
      <c r="O23" s="74"/>
    </row>
    <row r="24" spans="1:15" ht="15" hidden="1" customHeight="1">
      <c r="A24" s="74"/>
      <c r="B24" s="74"/>
      <c r="C24" s="74"/>
      <c r="D24" s="74"/>
      <c r="E24" s="74"/>
      <c r="F24" s="74"/>
      <c r="G24" s="74"/>
      <c r="H24" s="74"/>
      <c r="I24" s="74"/>
      <c r="J24" s="74"/>
      <c r="K24" s="74"/>
      <c r="L24" s="74"/>
      <c r="M24" s="74"/>
      <c r="N24" s="74"/>
      <c r="O24" s="74"/>
    </row>
    <row r="25" spans="1:15" ht="15" hidden="1" customHeight="1">
      <c r="A25" s="255" t="s">
        <v>1320</v>
      </c>
      <c r="B25" s="255" t="s">
        <v>1321</v>
      </c>
      <c r="C25" s="255" t="s">
        <v>1296</v>
      </c>
      <c r="D25" s="255" t="s">
        <v>1297</v>
      </c>
      <c r="E25" s="255" t="s">
        <v>1296</v>
      </c>
      <c r="F25" s="255" t="s">
        <v>1298</v>
      </c>
      <c r="G25" s="255" t="s">
        <v>1299</v>
      </c>
      <c r="H25" s="255" t="s">
        <v>1300</v>
      </c>
      <c r="I25" s="256">
        <v>35</v>
      </c>
      <c r="J25" s="255" t="s">
        <v>1320</v>
      </c>
      <c r="K25" s="74"/>
      <c r="L25" s="74"/>
      <c r="M25" s="74"/>
      <c r="N25" s="74"/>
      <c r="O25" s="74"/>
    </row>
    <row r="26" spans="1:15" ht="15" hidden="1" customHeight="1">
      <c r="A26" s="128" t="s">
        <v>1904</v>
      </c>
      <c r="B26" s="128" t="s">
        <v>909</v>
      </c>
      <c r="C26" s="128" t="s">
        <v>1464</v>
      </c>
      <c r="D26" s="128" t="s">
        <v>1905</v>
      </c>
      <c r="E26" s="128" t="s">
        <v>1464</v>
      </c>
      <c r="F26" s="128" t="s">
        <v>1877</v>
      </c>
      <c r="G26" s="128" t="s">
        <v>1454</v>
      </c>
      <c r="H26" s="128" t="s">
        <v>1466</v>
      </c>
      <c r="I26" s="129">
        <v>25</v>
      </c>
      <c r="J26" s="128" t="s">
        <v>1904</v>
      </c>
      <c r="K26" s="128"/>
      <c r="L26" s="128" t="s">
        <v>1879</v>
      </c>
      <c r="M26" s="132" t="s">
        <v>1874</v>
      </c>
      <c r="N26" s="128" t="s">
        <v>1879</v>
      </c>
      <c r="O26" s="145" t="s">
        <v>1896</v>
      </c>
    </row>
    <row r="27" spans="1:15" ht="15" hidden="1" customHeight="1">
      <c r="A27" s="128" t="s">
        <v>1906</v>
      </c>
      <c r="B27" s="128" t="s">
        <v>1907</v>
      </c>
      <c r="C27" s="128" t="s">
        <v>1464</v>
      </c>
      <c r="D27" s="128" t="s">
        <v>1905</v>
      </c>
      <c r="E27" s="128" t="s">
        <v>1464</v>
      </c>
      <c r="F27" s="128" t="s">
        <v>1877</v>
      </c>
      <c r="G27" s="128" t="s">
        <v>1454</v>
      </c>
      <c r="H27" s="128" t="s">
        <v>1466</v>
      </c>
      <c r="I27" s="129">
        <v>30</v>
      </c>
      <c r="J27" s="128" t="s">
        <v>1906</v>
      </c>
      <c r="K27" s="128"/>
      <c r="L27" s="128" t="s">
        <v>1879</v>
      </c>
      <c r="M27" s="132" t="s">
        <v>1874</v>
      </c>
      <c r="N27" s="128" t="s">
        <v>1879</v>
      </c>
      <c r="O27" s="145" t="s">
        <v>1902</v>
      </c>
    </row>
    <row r="28" spans="1:15" ht="15" hidden="1" customHeight="1">
      <c r="A28" s="128" t="s">
        <v>1909</v>
      </c>
      <c r="B28" s="128" t="s">
        <v>1908</v>
      </c>
      <c r="C28" s="128" t="s">
        <v>1464</v>
      </c>
      <c r="D28" s="128" t="s">
        <v>1905</v>
      </c>
      <c r="E28" s="128" t="s">
        <v>1464</v>
      </c>
      <c r="F28" s="128" t="s">
        <v>1877</v>
      </c>
      <c r="G28" s="128" t="s">
        <v>1454</v>
      </c>
      <c r="H28" s="128" t="s">
        <v>1466</v>
      </c>
      <c r="I28" s="129">
        <v>20</v>
      </c>
      <c r="J28" s="128" t="s">
        <v>1909</v>
      </c>
      <c r="K28" s="128"/>
      <c r="L28" s="128" t="s">
        <v>1879</v>
      </c>
      <c r="M28" s="132" t="s">
        <v>1874</v>
      </c>
      <c r="N28" s="128" t="s">
        <v>1879</v>
      </c>
      <c r="O28" s="145" t="s">
        <v>1896</v>
      </c>
    </row>
    <row r="29" spans="1:15" ht="15" hidden="1" customHeight="1">
      <c r="A29" s="128" t="s">
        <v>1910</v>
      </c>
      <c r="B29" s="128" t="s">
        <v>1911</v>
      </c>
      <c r="C29" s="128" t="s">
        <v>1464</v>
      </c>
      <c r="D29" s="128" t="s">
        <v>1905</v>
      </c>
      <c r="E29" s="128" t="s">
        <v>1464</v>
      </c>
      <c r="F29" s="128" t="s">
        <v>1877</v>
      </c>
      <c r="G29" s="128" t="s">
        <v>1454</v>
      </c>
      <c r="H29" s="128" t="s">
        <v>1466</v>
      </c>
      <c r="I29" s="129">
        <v>15</v>
      </c>
      <c r="J29" s="128" t="s">
        <v>1910</v>
      </c>
      <c r="K29" s="128"/>
      <c r="L29" s="128" t="s">
        <v>1879</v>
      </c>
      <c r="M29" s="132" t="s">
        <v>1874</v>
      </c>
      <c r="N29" s="128" t="s">
        <v>1879</v>
      </c>
      <c r="O29" s="145" t="s">
        <v>1898</v>
      </c>
    </row>
    <row r="30" spans="1:15" ht="18" hidden="1" customHeight="1">
      <c r="A30" s="128" t="s">
        <v>1912</v>
      </c>
      <c r="B30" s="128" t="s">
        <v>1913</v>
      </c>
      <c r="C30" s="128" t="s">
        <v>1464</v>
      </c>
      <c r="D30" s="128" t="s">
        <v>1905</v>
      </c>
      <c r="E30" s="128" t="s">
        <v>1464</v>
      </c>
      <c r="F30" s="128" t="s">
        <v>1877</v>
      </c>
      <c r="G30" s="128" t="s">
        <v>1454</v>
      </c>
      <c r="H30" s="128" t="s">
        <v>1466</v>
      </c>
      <c r="I30" s="129">
        <v>20</v>
      </c>
      <c r="J30" s="128" t="s">
        <v>1912</v>
      </c>
      <c r="K30" s="128"/>
      <c r="L30" s="128" t="s">
        <v>1879</v>
      </c>
      <c r="M30" s="132" t="s">
        <v>1874</v>
      </c>
      <c r="N30" s="128" t="s">
        <v>1879</v>
      </c>
      <c r="O30" s="145" t="s">
        <v>1902</v>
      </c>
    </row>
    <row r="31" spans="1:15" ht="14.25" hidden="1" customHeight="1">
      <c r="A31" s="128" t="s">
        <v>1914</v>
      </c>
      <c r="B31" s="128" t="s">
        <v>1915</v>
      </c>
      <c r="C31" s="128" t="s">
        <v>1464</v>
      </c>
      <c r="D31" s="128" t="s">
        <v>1905</v>
      </c>
      <c r="E31" s="128" t="s">
        <v>1464</v>
      </c>
      <c r="F31" s="128" t="s">
        <v>1877</v>
      </c>
      <c r="G31" s="128" t="s">
        <v>1454</v>
      </c>
      <c r="H31" s="128" t="s">
        <v>1466</v>
      </c>
      <c r="I31" s="129">
        <v>15</v>
      </c>
      <c r="J31" s="128" t="s">
        <v>1914</v>
      </c>
      <c r="K31" s="128"/>
      <c r="L31" s="128" t="s">
        <v>1879</v>
      </c>
      <c r="M31" s="132" t="s">
        <v>1874</v>
      </c>
      <c r="N31" s="128" t="s">
        <v>1879</v>
      </c>
      <c r="O31" s="145" t="s">
        <v>1898</v>
      </c>
    </row>
    <row r="32" spans="1:15" ht="15" hidden="1" customHeight="1">
      <c r="A32" s="128" t="s">
        <v>1917</v>
      </c>
      <c r="B32" s="128" t="s">
        <v>1916</v>
      </c>
      <c r="C32" s="128" t="s">
        <v>1464</v>
      </c>
      <c r="D32" s="128" t="s">
        <v>1905</v>
      </c>
      <c r="E32" s="128" t="s">
        <v>1464</v>
      </c>
      <c r="F32" s="128" t="s">
        <v>1877</v>
      </c>
      <c r="G32" s="128" t="s">
        <v>1454</v>
      </c>
      <c r="H32" s="128" t="s">
        <v>1466</v>
      </c>
      <c r="I32" s="129">
        <v>25</v>
      </c>
      <c r="J32" s="128" t="s">
        <v>1917</v>
      </c>
      <c r="K32" s="128"/>
      <c r="L32" s="128" t="s">
        <v>1879</v>
      </c>
      <c r="M32" s="132" t="s">
        <v>1874</v>
      </c>
      <c r="N32" s="128" t="s">
        <v>1879</v>
      </c>
      <c r="O32" s="145" t="s">
        <v>1899</v>
      </c>
    </row>
    <row r="33" spans="1:15" ht="17.25" hidden="1" customHeight="1">
      <c r="A33" s="128" t="s">
        <v>1918</v>
      </c>
      <c r="B33" s="128" t="s">
        <v>1919</v>
      </c>
      <c r="C33" s="128" t="s">
        <v>1464</v>
      </c>
      <c r="D33" s="128" t="s">
        <v>1905</v>
      </c>
      <c r="E33" s="128" t="s">
        <v>1464</v>
      </c>
      <c r="F33" s="128" t="s">
        <v>1877</v>
      </c>
      <c r="G33" s="128" t="s">
        <v>1454</v>
      </c>
      <c r="H33" s="128" t="s">
        <v>1466</v>
      </c>
      <c r="I33" s="129">
        <v>25</v>
      </c>
      <c r="J33" s="128" t="s">
        <v>1918</v>
      </c>
      <c r="K33" s="128"/>
      <c r="L33" s="128" t="s">
        <v>1879</v>
      </c>
      <c r="M33" s="132" t="s">
        <v>1874</v>
      </c>
      <c r="N33" s="128" t="s">
        <v>1879</v>
      </c>
      <c r="O33" s="145" t="s">
        <v>1899</v>
      </c>
    </row>
    <row r="34" spans="1:15" hidden="1">
      <c r="A34" s="74"/>
      <c r="B34" s="74"/>
      <c r="C34" s="74"/>
      <c r="D34" s="74"/>
      <c r="E34" s="74"/>
      <c r="F34" s="74"/>
      <c r="G34" s="74"/>
      <c r="H34" s="74"/>
      <c r="I34" s="74"/>
      <c r="J34" s="74"/>
      <c r="K34" s="74"/>
      <c r="L34" s="74"/>
      <c r="M34" s="74"/>
      <c r="N34" s="74"/>
      <c r="O34" s="74"/>
    </row>
    <row r="35" spans="1:15" hidden="1">
      <c r="A35" s="255" t="s">
        <v>1325</v>
      </c>
      <c r="B35" s="255" t="s">
        <v>1326</v>
      </c>
      <c r="C35" s="255" t="s">
        <v>1327</v>
      </c>
      <c r="D35" s="255" t="s">
        <v>1297</v>
      </c>
      <c r="E35" s="255" t="s">
        <v>1327</v>
      </c>
      <c r="F35" s="255" t="s">
        <v>1328</v>
      </c>
      <c r="G35" s="255" t="s">
        <v>1312</v>
      </c>
      <c r="H35" s="255" t="s">
        <v>1329</v>
      </c>
      <c r="I35" s="260">
        <v>35</v>
      </c>
      <c r="J35" s="255" t="s">
        <v>1325</v>
      </c>
      <c r="K35" s="74"/>
      <c r="L35" s="74"/>
      <c r="M35" s="74"/>
      <c r="N35" s="74"/>
      <c r="O35" s="74"/>
    </row>
    <row r="36" spans="1:15" ht="18" hidden="1" customHeight="1">
      <c r="A36" s="128" t="s">
        <v>1920</v>
      </c>
      <c r="B36" s="128" t="s">
        <v>1921</v>
      </c>
      <c r="C36" s="128" t="s">
        <v>1464</v>
      </c>
      <c r="D36" s="128" t="s">
        <v>1922</v>
      </c>
      <c r="E36" s="128" t="s">
        <v>1464</v>
      </c>
      <c r="F36" s="128" t="s">
        <v>1923</v>
      </c>
      <c r="G36" s="128" t="s">
        <v>1437</v>
      </c>
      <c r="H36" s="128" t="s">
        <v>1473</v>
      </c>
      <c r="I36" s="129">
        <v>20</v>
      </c>
      <c r="J36" s="128" t="s">
        <v>1920</v>
      </c>
      <c r="K36" s="128"/>
      <c r="L36" s="128" t="s">
        <v>1879</v>
      </c>
      <c r="M36" s="132" t="s">
        <v>1874</v>
      </c>
      <c r="N36" s="128" t="s">
        <v>1879</v>
      </c>
      <c r="O36" s="145" t="s">
        <v>1896</v>
      </c>
    </row>
    <row r="37" spans="1:15" ht="19.5" hidden="1" customHeight="1">
      <c r="A37" s="128" t="s">
        <v>1924</v>
      </c>
      <c r="B37" s="128" t="s">
        <v>1925</v>
      </c>
      <c r="C37" s="128" t="s">
        <v>1464</v>
      </c>
      <c r="D37" s="128" t="s">
        <v>1922</v>
      </c>
      <c r="E37" s="128" t="s">
        <v>1464</v>
      </c>
      <c r="F37" s="128" t="s">
        <v>1923</v>
      </c>
      <c r="G37" s="128" t="s">
        <v>1437</v>
      </c>
      <c r="H37" s="128" t="s">
        <v>1473</v>
      </c>
      <c r="I37" s="129">
        <v>15</v>
      </c>
      <c r="J37" s="128" t="s">
        <v>1924</v>
      </c>
      <c r="K37" s="128"/>
      <c r="L37" s="128" t="s">
        <v>1879</v>
      </c>
      <c r="M37" s="132" t="s">
        <v>1874</v>
      </c>
      <c r="N37" s="128" t="s">
        <v>1879</v>
      </c>
      <c r="O37" s="145" t="s">
        <v>1898</v>
      </c>
    </row>
    <row r="38" spans="1:15" ht="20.25" hidden="1" customHeight="1">
      <c r="A38" s="128" t="s">
        <v>1926</v>
      </c>
      <c r="B38" s="128" t="s">
        <v>1927</v>
      </c>
      <c r="C38" s="128" t="s">
        <v>1464</v>
      </c>
      <c r="D38" s="128" t="s">
        <v>1922</v>
      </c>
      <c r="E38" s="128" t="s">
        <v>1464</v>
      </c>
      <c r="F38" s="128" t="s">
        <v>1923</v>
      </c>
      <c r="G38" s="128" t="s">
        <v>1437</v>
      </c>
      <c r="H38" s="128" t="s">
        <v>1473</v>
      </c>
      <c r="I38" s="129">
        <v>25</v>
      </c>
      <c r="J38" s="128" t="s">
        <v>1926</v>
      </c>
      <c r="K38" s="128"/>
      <c r="L38" s="128" t="s">
        <v>1879</v>
      </c>
      <c r="M38" s="132" t="s">
        <v>1874</v>
      </c>
      <c r="N38" s="128" t="s">
        <v>1879</v>
      </c>
      <c r="O38" s="145" t="s">
        <v>1899</v>
      </c>
    </row>
    <row r="39" spans="1:15" ht="18.75" hidden="1" customHeight="1">
      <c r="A39" s="128" t="s">
        <v>1928</v>
      </c>
      <c r="B39" s="128" t="s">
        <v>1929</v>
      </c>
      <c r="C39" s="128" t="s">
        <v>1464</v>
      </c>
      <c r="D39" s="128" t="s">
        <v>1922</v>
      </c>
      <c r="E39" s="128" t="s">
        <v>1464</v>
      </c>
      <c r="F39" s="128" t="s">
        <v>1923</v>
      </c>
      <c r="G39" s="128" t="s">
        <v>1437</v>
      </c>
      <c r="H39" s="128" t="s">
        <v>1473</v>
      </c>
      <c r="I39" s="129">
        <v>20</v>
      </c>
      <c r="J39" s="128" t="s">
        <v>1928</v>
      </c>
      <c r="K39" s="128"/>
      <c r="L39" s="128" t="s">
        <v>1879</v>
      </c>
      <c r="M39" s="132" t="s">
        <v>1874</v>
      </c>
      <c r="N39" s="128" t="s">
        <v>1879</v>
      </c>
      <c r="O39" s="145" t="s">
        <v>1902</v>
      </c>
    </row>
    <row r="40" spans="1:15" hidden="1">
      <c r="A40" s="128" t="s">
        <v>1930</v>
      </c>
      <c r="B40" s="128" t="s">
        <v>1931</v>
      </c>
      <c r="C40" s="128" t="s">
        <v>1464</v>
      </c>
      <c r="D40" s="128" t="s">
        <v>1922</v>
      </c>
      <c r="E40" s="128" t="s">
        <v>1464</v>
      </c>
      <c r="F40" s="128" t="s">
        <v>1923</v>
      </c>
      <c r="G40" s="128" t="s">
        <v>1437</v>
      </c>
      <c r="H40" s="128" t="s">
        <v>1473</v>
      </c>
      <c r="I40" s="129">
        <v>20</v>
      </c>
      <c r="J40" s="128" t="s">
        <v>1930</v>
      </c>
      <c r="K40" s="128"/>
      <c r="L40" s="128" t="s">
        <v>1879</v>
      </c>
      <c r="M40" s="132" t="s">
        <v>1874</v>
      </c>
      <c r="N40" s="128" t="s">
        <v>1879</v>
      </c>
      <c r="O40" s="145" t="s">
        <v>1896</v>
      </c>
    </row>
    <row r="41" spans="1:15" hidden="1">
      <c r="A41" s="128" t="s">
        <v>1932</v>
      </c>
      <c r="B41" s="128" t="s">
        <v>1933</v>
      </c>
      <c r="C41" s="128" t="s">
        <v>1464</v>
      </c>
      <c r="D41" s="128" t="s">
        <v>1922</v>
      </c>
      <c r="E41" s="128" t="s">
        <v>1464</v>
      </c>
      <c r="F41" s="128" t="s">
        <v>1923</v>
      </c>
      <c r="G41" s="128" t="s">
        <v>1437</v>
      </c>
      <c r="H41" s="128" t="s">
        <v>1473</v>
      </c>
      <c r="I41" s="129">
        <v>15</v>
      </c>
      <c r="J41" s="128" t="s">
        <v>1932</v>
      </c>
      <c r="K41" s="128"/>
      <c r="L41" s="128" t="s">
        <v>1879</v>
      </c>
      <c r="M41" s="132" t="s">
        <v>1874</v>
      </c>
      <c r="N41" s="128" t="s">
        <v>1879</v>
      </c>
      <c r="O41" s="145" t="s">
        <v>1898</v>
      </c>
    </row>
    <row r="42" spans="1:15" hidden="1">
      <c r="A42" s="128" t="s">
        <v>1934</v>
      </c>
      <c r="B42" s="128" t="s">
        <v>1935</v>
      </c>
      <c r="C42" s="128" t="s">
        <v>1464</v>
      </c>
      <c r="D42" s="128" t="s">
        <v>1922</v>
      </c>
      <c r="E42" s="128" t="s">
        <v>1464</v>
      </c>
      <c r="F42" s="128" t="s">
        <v>1923</v>
      </c>
      <c r="G42" s="128" t="s">
        <v>1437</v>
      </c>
      <c r="H42" s="128" t="s">
        <v>1473</v>
      </c>
      <c r="I42" s="129">
        <v>25</v>
      </c>
      <c r="J42" s="128" t="s">
        <v>1934</v>
      </c>
      <c r="K42" s="128"/>
      <c r="L42" s="128" t="s">
        <v>1879</v>
      </c>
      <c r="M42" s="132" t="s">
        <v>1874</v>
      </c>
      <c r="N42" s="128" t="s">
        <v>1879</v>
      </c>
      <c r="O42" s="145" t="s">
        <v>1899</v>
      </c>
    </row>
    <row r="43" spans="1:15" hidden="1">
      <c r="A43" s="128" t="s">
        <v>1936</v>
      </c>
      <c r="B43" s="128" t="s">
        <v>1937</v>
      </c>
      <c r="C43" s="128" t="s">
        <v>1464</v>
      </c>
      <c r="D43" s="128" t="s">
        <v>1922</v>
      </c>
      <c r="E43" s="128" t="s">
        <v>1464</v>
      </c>
      <c r="F43" s="128" t="s">
        <v>1923</v>
      </c>
      <c r="G43" s="128" t="s">
        <v>1437</v>
      </c>
      <c r="H43" s="128" t="s">
        <v>1473</v>
      </c>
      <c r="I43" s="129">
        <v>20</v>
      </c>
      <c r="J43" s="128" t="s">
        <v>1936</v>
      </c>
      <c r="K43" s="128"/>
      <c r="L43" s="128" t="s">
        <v>1879</v>
      </c>
      <c r="M43" s="132" t="s">
        <v>1874</v>
      </c>
      <c r="N43" s="128" t="s">
        <v>1879</v>
      </c>
      <c r="O43" s="145" t="s">
        <v>1902</v>
      </c>
    </row>
    <row r="44" spans="1:15" hidden="1">
      <c r="A44" s="74"/>
      <c r="B44" s="74"/>
      <c r="C44" s="74"/>
      <c r="D44" s="74"/>
      <c r="E44" s="74"/>
      <c r="F44" s="74"/>
      <c r="G44" s="74"/>
      <c r="H44" s="74"/>
      <c r="I44" s="74"/>
      <c r="J44" s="74"/>
      <c r="K44" s="74"/>
      <c r="L44" s="74"/>
      <c r="M44" s="74"/>
      <c r="N44" s="74"/>
      <c r="O44" s="74"/>
    </row>
    <row r="45" spans="1:15" hidden="1">
      <c r="A45" s="255" t="s">
        <v>1330</v>
      </c>
      <c r="B45" s="255" t="s">
        <v>1331</v>
      </c>
      <c r="C45" s="255" t="s">
        <v>1327</v>
      </c>
      <c r="D45" s="255" t="s">
        <v>1297</v>
      </c>
      <c r="E45" s="255" t="s">
        <v>1327</v>
      </c>
      <c r="F45" s="255" t="s">
        <v>1332</v>
      </c>
      <c r="G45" s="255" t="s">
        <v>1304</v>
      </c>
      <c r="H45" s="255" t="s">
        <v>1333</v>
      </c>
      <c r="I45" s="256">
        <v>35</v>
      </c>
      <c r="J45" s="255" t="s">
        <v>1330</v>
      </c>
      <c r="K45" s="74"/>
      <c r="L45" s="74" t="s">
        <v>1879</v>
      </c>
      <c r="M45" s="74"/>
      <c r="N45" s="74"/>
      <c r="O45" s="74"/>
    </row>
    <row r="46" spans="1:15" hidden="1">
      <c r="A46" s="128" t="s">
        <v>1943</v>
      </c>
      <c r="B46" s="128" t="s">
        <v>3120</v>
      </c>
      <c r="C46" s="128" t="s">
        <v>1944</v>
      </c>
      <c r="D46" s="128" t="s">
        <v>1945</v>
      </c>
      <c r="E46" s="128" t="s">
        <v>1944</v>
      </c>
      <c r="F46" s="128" t="s">
        <v>1946</v>
      </c>
      <c r="G46" s="128" t="s">
        <v>1454</v>
      </c>
      <c r="H46" s="128" t="s">
        <v>1947</v>
      </c>
      <c r="I46" s="129">
        <v>20</v>
      </c>
      <c r="J46" s="128" t="s">
        <v>1943</v>
      </c>
      <c r="K46" s="128" t="s">
        <v>1948</v>
      </c>
      <c r="L46" s="128" t="s">
        <v>1879</v>
      </c>
      <c r="M46" s="132" t="s">
        <v>1874</v>
      </c>
      <c r="N46" s="128" t="s">
        <v>1879</v>
      </c>
      <c r="O46" s="145" t="s">
        <v>1896</v>
      </c>
    </row>
    <row r="47" spans="1:15" hidden="1">
      <c r="A47" s="128" t="s">
        <v>1949</v>
      </c>
      <c r="B47" s="128" t="s">
        <v>3121</v>
      </c>
      <c r="C47" s="128" t="s">
        <v>1944</v>
      </c>
      <c r="D47" s="128" t="s">
        <v>1945</v>
      </c>
      <c r="E47" s="128" t="s">
        <v>1944</v>
      </c>
      <c r="F47" s="128" t="s">
        <v>1946</v>
      </c>
      <c r="G47" s="128" t="s">
        <v>1454</v>
      </c>
      <c r="H47" s="128" t="s">
        <v>1947</v>
      </c>
      <c r="I47" s="129">
        <v>20</v>
      </c>
      <c r="J47" s="128" t="s">
        <v>1949</v>
      </c>
      <c r="K47" s="128" t="s">
        <v>1948</v>
      </c>
      <c r="L47" s="128" t="s">
        <v>1879</v>
      </c>
      <c r="M47" s="132" t="s">
        <v>1874</v>
      </c>
      <c r="N47" s="128" t="s">
        <v>1879</v>
      </c>
      <c r="O47" s="145" t="s">
        <v>1902</v>
      </c>
    </row>
    <row r="48" spans="1:15" hidden="1">
      <c r="A48" s="128" t="s">
        <v>1950</v>
      </c>
      <c r="B48" s="128" t="s">
        <v>3122</v>
      </c>
      <c r="C48" s="128" t="s">
        <v>1944</v>
      </c>
      <c r="D48" s="128" t="s">
        <v>1945</v>
      </c>
      <c r="E48" s="128" t="s">
        <v>1944</v>
      </c>
      <c r="F48" s="128" t="s">
        <v>1946</v>
      </c>
      <c r="G48" s="128" t="s">
        <v>1454</v>
      </c>
      <c r="H48" s="128" t="s">
        <v>1947</v>
      </c>
      <c r="I48" s="129">
        <v>20</v>
      </c>
      <c r="J48" s="128" t="s">
        <v>1950</v>
      </c>
      <c r="K48" s="128" t="s">
        <v>1948</v>
      </c>
      <c r="L48" s="128" t="s">
        <v>1879</v>
      </c>
      <c r="M48" s="132" t="s">
        <v>1874</v>
      </c>
      <c r="N48" s="128" t="s">
        <v>1879</v>
      </c>
      <c r="O48" s="145" t="s">
        <v>1896</v>
      </c>
    </row>
    <row r="49" spans="1:15" s="154" customFormat="1" hidden="1">
      <c r="A49" s="128" t="s">
        <v>1951</v>
      </c>
      <c r="B49" s="128" t="s">
        <v>3123</v>
      </c>
      <c r="C49" s="128" t="s">
        <v>1944</v>
      </c>
      <c r="D49" s="128" t="s">
        <v>1945</v>
      </c>
      <c r="E49" s="128" t="s">
        <v>1944</v>
      </c>
      <c r="F49" s="128" t="s">
        <v>1946</v>
      </c>
      <c r="G49" s="128" t="s">
        <v>1454</v>
      </c>
      <c r="H49" s="128" t="s">
        <v>1947</v>
      </c>
      <c r="I49" s="129">
        <v>20</v>
      </c>
      <c r="J49" s="128" t="s">
        <v>1951</v>
      </c>
      <c r="K49" s="128" t="s">
        <v>1948</v>
      </c>
      <c r="L49" s="128" t="s">
        <v>1879</v>
      </c>
      <c r="M49" s="132" t="s">
        <v>1874</v>
      </c>
      <c r="N49" s="128" t="s">
        <v>1879</v>
      </c>
      <c r="O49" s="145" t="s">
        <v>1902</v>
      </c>
    </row>
    <row r="50" spans="1:15" hidden="1">
      <c r="A50" s="128" t="s">
        <v>1943</v>
      </c>
      <c r="B50" s="128" t="s">
        <v>2917</v>
      </c>
      <c r="C50" s="128" t="s">
        <v>1944</v>
      </c>
      <c r="D50" s="128" t="s">
        <v>1945</v>
      </c>
      <c r="E50" s="128" t="s">
        <v>1944</v>
      </c>
      <c r="F50" s="128" t="s">
        <v>1946</v>
      </c>
      <c r="G50" s="128" t="s">
        <v>1454</v>
      </c>
      <c r="H50" s="128" t="s">
        <v>1947</v>
      </c>
      <c r="I50" s="129">
        <v>20</v>
      </c>
      <c r="J50" s="128" t="s">
        <v>1943</v>
      </c>
      <c r="K50" s="128" t="s">
        <v>1948</v>
      </c>
      <c r="L50" s="128" t="s">
        <v>1879</v>
      </c>
      <c r="M50" s="132" t="s">
        <v>1874</v>
      </c>
      <c r="N50" s="128" t="s">
        <v>1879</v>
      </c>
      <c r="O50" s="145" t="s">
        <v>1896</v>
      </c>
    </row>
    <row r="51" spans="1:15" hidden="1">
      <c r="A51" s="128" t="s">
        <v>1949</v>
      </c>
      <c r="B51" s="128" t="s">
        <v>3117</v>
      </c>
      <c r="C51" s="128" t="s">
        <v>1944</v>
      </c>
      <c r="D51" s="128" t="s">
        <v>1945</v>
      </c>
      <c r="E51" s="128" t="s">
        <v>1944</v>
      </c>
      <c r="F51" s="128" t="s">
        <v>1946</v>
      </c>
      <c r="G51" s="128" t="s">
        <v>1454</v>
      </c>
      <c r="H51" s="128" t="s">
        <v>1947</v>
      </c>
      <c r="I51" s="129">
        <v>20</v>
      </c>
      <c r="J51" s="128" t="s">
        <v>1949</v>
      </c>
      <c r="K51" s="128" t="s">
        <v>1948</v>
      </c>
      <c r="L51" s="128" t="s">
        <v>1879</v>
      </c>
      <c r="M51" s="132" t="s">
        <v>1874</v>
      </c>
      <c r="N51" s="128" t="s">
        <v>1879</v>
      </c>
      <c r="O51" s="145" t="s">
        <v>1902</v>
      </c>
    </row>
    <row r="52" spans="1:15" hidden="1">
      <c r="A52" s="128" t="s">
        <v>1950</v>
      </c>
      <c r="B52" s="128" t="s">
        <v>3118</v>
      </c>
      <c r="C52" s="128" t="s">
        <v>1944</v>
      </c>
      <c r="D52" s="128" t="s">
        <v>1945</v>
      </c>
      <c r="E52" s="128" t="s">
        <v>1944</v>
      </c>
      <c r="F52" s="128" t="s">
        <v>1946</v>
      </c>
      <c r="G52" s="128" t="s">
        <v>1454</v>
      </c>
      <c r="H52" s="128" t="s">
        <v>1947</v>
      </c>
      <c r="I52" s="129">
        <v>20</v>
      </c>
      <c r="J52" s="128" t="s">
        <v>1950</v>
      </c>
      <c r="K52" s="128" t="s">
        <v>1948</v>
      </c>
      <c r="L52" s="128" t="s">
        <v>1879</v>
      </c>
      <c r="M52" s="132" t="s">
        <v>1874</v>
      </c>
      <c r="N52" s="128" t="s">
        <v>1879</v>
      </c>
      <c r="O52" s="145" t="s">
        <v>1896</v>
      </c>
    </row>
    <row r="53" spans="1:15" s="154" customFormat="1" hidden="1">
      <c r="A53" s="128" t="s">
        <v>1951</v>
      </c>
      <c r="B53" s="128" t="s">
        <v>3119</v>
      </c>
      <c r="C53" s="128" t="s">
        <v>1944</v>
      </c>
      <c r="D53" s="128" t="s">
        <v>1945</v>
      </c>
      <c r="E53" s="128" t="s">
        <v>1944</v>
      </c>
      <c r="F53" s="128" t="s">
        <v>1946</v>
      </c>
      <c r="G53" s="128" t="s">
        <v>1454</v>
      </c>
      <c r="H53" s="128" t="s">
        <v>1947</v>
      </c>
      <c r="I53" s="129">
        <v>20</v>
      </c>
      <c r="J53" s="128" t="s">
        <v>1951</v>
      </c>
      <c r="K53" s="128" t="s">
        <v>1948</v>
      </c>
      <c r="L53" s="128" t="s">
        <v>1879</v>
      </c>
      <c r="M53" s="132" t="s">
        <v>1874</v>
      </c>
      <c r="N53" s="128" t="s">
        <v>1879</v>
      </c>
      <c r="O53" s="145" t="s">
        <v>1902</v>
      </c>
    </row>
    <row r="54" spans="1:15" hidden="1">
      <c r="A54" s="74"/>
      <c r="B54" s="74"/>
      <c r="C54" s="74"/>
      <c r="D54" s="74"/>
      <c r="E54" s="74"/>
      <c r="F54" s="74"/>
      <c r="G54" s="74"/>
      <c r="H54" s="74"/>
      <c r="I54" s="74"/>
      <c r="J54" s="74"/>
      <c r="K54" s="74"/>
      <c r="L54" s="74"/>
      <c r="M54" s="74"/>
      <c r="N54" s="74"/>
      <c r="O54" s="74"/>
    </row>
    <row r="55" spans="1:15" hidden="1">
      <c r="A55" s="255" t="s">
        <v>1334</v>
      </c>
      <c r="B55" s="255" t="s">
        <v>1335</v>
      </c>
      <c r="C55" s="255" t="s">
        <v>1296</v>
      </c>
      <c r="D55" s="255" t="s">
        <v>1297</v>
      </c>
      <c r="E55" s="255" t="s">
        <v>1296</v>
      </c>
      <c r="F55" s="255" t="s">
        <v>1298</v>
      </c>
      <c r="G55" s="255" t="s">
        <v>1299</v>
      </c>
      <c r="H55" s="255" t="s">
        <v>1300</v>
      </c>
      <c r="I55" s="256">
        <v>35</v>
      </c>
      <c r="J55" s="255" t="s">
        <v>1334</v>
      </c>
      <c r="K55" s="74"/>
      <c r="L55" s="74"/>
      <c r="M55" s="74"/>
      <c r="N55" s="74"/>
      <c r="O55" s="74"/>
    </row>
    <row r="56" spans="1:15" hidden="1">
      <c r="A56" s="128" t="s">
        <v>1953</v>
      </c>
      <c r="B56" s="128" t="s">
        <v>1952</v>
      </c>
      <c r="C56" s="128" t="s">
        <v>1464</v>
      </c>
      <c r="D56" s="128" t="s">
        <v>1954</v>
      </c>
      <c r="E56" s="128" t="s">
        <v>1464</v>
      </c>
      <c r="F56" s="128" t="s">
        <v>1877</v>
      </c>
      <c r="G56" s="128" t="s">
        <v>1454</v>
      </c>
      <c r="H56" s="128" t="s">
        <v>1466</v>
      </c>
      <c r="I56" s="129">
        <v>20</v>
      </c>
      <c r="J56" s="128" t="s">
        <v>1953</v>
      </c>
      <c r="K56" s="128"/>
      <c r="L56" s="128" t="s">
        <v>1879</v>
      </c>
      <c r="M56" s="132" t="s">
        <v>1874</v>
      </c>
      <c r="N56" s="128" t="s">
        <v>1879</v>
      </c>
      <c r="O56" s="145" t="s">
        <v>1896</v>
      </c>
    </row>
    <row r="57" spans="1:15" hidden="1">
      <c r="A57" s="128" t="s">
        <v>1955</v>
      </c>
      <c r="B57" s="128" t="s">
        <v>1956</v>
      </c>
      <c r="C57" s="128" t="s">
        <v>1464</v>
      </c>
      <c r="D57" s="128" t="s">
        <v>1954</v>
      </c>
      <c r="E57" s="128" t="s">
        <v>1464</v>
      </c>
      <c r="F57" s="128" t="s">
        <v>1877</v>
      </c>
      <c r="G57" s="128" t="s">
        <v>1454</v>
      </c>
      <c r="H57" s="128" t="s">
        <v>1466</v>
      </c>
      <c r="I57" s="129">
        <v>20</v>
      </c>
      <c r="J57" s="128" t="s">
        <v>1955</v>
      </c>
      <c r="K57" s="128"/>
      <c r="L57" s="128" t="s">
        <v>1879</v>
      </c>
      <c r="M57" s="132" t="s">
        <v>1874</v>
      </c>
      <c r="N57" s="128" t="s">
        <v>1879</v>
      </c>
      <c r="O57" s="145" t="s">
        <v>1896</v>
      </c>
    </row>
    <row r="58" spans="1:15" hidden="1">
      <c r="A58" s="128" t="s">
        <v>1957</v>
      </c>
      <c r="B58" s="128" t="s">
        <v>1958</v>
      </c>
      <c r="C58" s="128" t="s">
        <v>1464</v>
      </c>
      <c r="D58" s="128" t="s">
        <v>1954</v>
      </c>
      <c r="E58" s="128" t="s">
        <v>1464</v>
      </c>
      <c r="F58" s="128" t="s">
        <v>1877</v>
      </c>
      <c r="G58" s="128" t="s">
        <v>1454</v>
      </c>
      <c r="H58" s="128" t="s">
        <v>1466</v>
      </c>
      <c r="I58" s="129">
        <v>20</v>
      </c>
      <c r="J58" s="128" t="s">
        <v>1957</v>
      </c>
      <c r="K58" s="128"/>
      <c r="L58" s="128" t="s">
        <v>1879</v>
      </c>
      <c r="M58" s="132" t="s">
        <v>1874</v>
      </c>
      <c r="N58" s="128" t="s">
        <v>1879</v>
      </c>
      <c r="O58" s="145" t="s">
        <v>1896</v>
      </c>
    </row>
    <row r="59" spans="1:15" hidden="1">
      <c r="A59" s="128" t="s">
        <v>1960</v>
      </c>
      <c r="B59" s="128" t="s">
        <v>1959</v>
      </c>
      <c r="C59" s="128" t="s">
        <v>1464</v>
      </c>
      <c r="D59" s="128" t="s">
        <v>1954</v>
      </c>
      <c r="E59" s="128" t="s">
        <v>1464</v>
      </c>
      <c r="F59" s="128" t="s">
        <v>1877</v>
      </c>
      <c r="G59" s="128" t="s">
        <v>1454</v>
      </c>
      <c r="H59" s="128" t="s">
        <v>1466</v>
      </c>
      <c r="I59" s="129">
        <v>20</v>
      </c>
      <c r="J59" s="128" t="s">
        <v>1960</v>
      </c>
      <c r="K59" s="128"/>
      <c r="L59" s="128" t="s">
        <v>1879</v>
      </c>
      <c r="M59" s="132" t="s">
        <v>1874</v>
      </c>
      <c r="N59" s="128" t="s">
        <v>1879</v>
      </c>
      <c r="O59" s="145" t="s">
        <v>1898</v>
      </c>
    </row>
    <row r="60" spans="1:15" hidden="1">
      <c r="A60" s="128" t="s">
        <v>1961</v>
      </c>
      <c r="B60" s="128" t="s">
        <v>1962</v>
      </c>
      <c r="C60" s="128" t="s">
        <v>1464</v>
      </c>
      <c r="D60" s="128" t="s">
        <v>1954</v>
      </c>
      <c r="E60" s="128" t="s">
        <v>1464</v>
      </c>
      <c r="F60" s="128" t="s">
        <v>1877</v>
      </c>
      <c r="G60" s="128" t="s">
        <v>1454</v>
      </c>
      <c r="H60" s="128" t="s">
        <v>1466</v>
      </c>
      <c r="I60" s="129">
        <v>20</v>
      </c>
      <c r="J60" s="128" t="s">
        <v>1961</v>
      </c>
      <c r="K60" s="128"/>
      <c r="L60" s="128" t="s">
        <v>1879</v>
      </c>
      <c r="M60" s="132" t="s">
        <v>1874</v>
      </c>
      <c r="N60" s="128" t="s">
        <v>1879</v>
      </c>
      <c r="O60" s="145" t="s">
        <v>1898</v>
      </c>
    </row>
    <row r="61" spans="1:15" hidden="1">
      <c r="A61" s="128" t="s">
        <v>1963</v>
      </c>
      <c r="B61" s="128" t="s">
        <v>1964</v>
      </c>
      <c r="C61" s="128" t="s">
        <v>1464</v>
      </c>
      <c r="D61" s="128" t="s">
        <v>1954</v>
      </c>
      <c r="E61" s="128" t="s">
        <v>1464</v>
      </c>
      <c r="F61" s="128" t="s">
        <v>1877</v>
      </c>
      <c r="G61" s="128" t="s">
        <v>1454</v>
      </c>
      <c r="H61" s="128" t="s">
        <v>1466</v>
      </c>
      <c r="I61" s="129">
        <v>20</v>
      </c>
      <c r="J61" s="128" t="s">
        <v>1963</v>
      </c>
      <c r="K61" s="128"/>
      <c r="L61" s="128" t="s">
        <v>1879</v>
      </c>
      <c r="M61" s="132" t="s">
        <v>1874</v>
      </c>
      <c r="N61" s="128" t="s">
        <v>1879</v>
      </c>
      <c r="O61" s="145" t="s">
        <v>1898</v>
      </c>
    </row>
    <row r="62" spans="1:15" hidden="1">
      <c r="A62" s="128" t="s">
        <v>1966</v>
      </c>
      <c r="B62" s="128" t="s">
        <v>1965</v>
      </c>
      <c r="C62" s="128" t="s">
        <v>1464</v>
      </c>
      <c r="D62" s="128" t="s">
        <v>1954</v>
      </c>
      <c r="E62" s="128" t="s">
        <v>1464</v>
      </c>
      <c r="F62" s="128" t="s">
        <v>1877</v>
      </c>
      <c r="G62" s="128" t="s">
        <v>1454</v>
      </c>
      <c r="H62" s="128" t="s">
        <v>1466</v>
      </c>
      <c r="I62" s="129">
        <v>20</v>
      </c>
      <c r="J62" s="128" t="s">
        <v>1966</v>
      </c>
      <c r="K62" s="128"/>
      <c r="L62" s="128" t="s">
        <v>1879</v>
      </c>
      <c r="M62" s="132" t="s">
        <v>1874</v>
      </c>
      <c r="N62" s="128" t="s">
        <v>1879</v>
      </c>
      <c r="O62" s="145" t="s">
        <v>1899</v>
      </c>
    </row>
    <row r="63" spans="1:15" hidden="1">
      <c r="A63" s="128" t="s">
        <v>1967</v>
      </c>
      <c r="B63" s="128" t="s">
        <v>1968</v>
      </c>
      <c r="C63" s="128" t="s">
        <v>1464</v>
      </c>
      <c r="D63" s="128" t="s">
        <v>1954</v>
      </c>
      <c r="E63" s="128" t="s">
        <v>1464</v>
      </c>
      <c r="F63" s="128" t="s">
        <v>1877</v>
      </c>
      <c r="G63" s="128" t="s">
        <v>1454</v>
      </c>
      <c r="H63" s="128" t="s">
        <v>1466</v>
      </c>
      <c r="I63" s="129">
        <v>20</v>
      </c>
      <c r="J63" s="128" t="s">
        <v>1967</v>
      </c>
      <c r="K63" s="128"/>
      <c r="L63" s="128" t="s">
        <v>1879</v>
      </c>
      <c r="M63" s="132" t="s">
        <v>1874</v>
      </c>
      <c r="N63" s="128" t="s">
        <v>1879</v>
      </c>
      <c r="O63" s="145" t="s">
        <v>1899</v>
      </c>
    </row>
    <row r="64" spans="1:15" hidden="1">
      <c r="A64" s="128" t="s">
        <v>1969</v>
      </c>
      <c r="B64" s="128" t="s">
        <v>1970</v>
      </c>
      <c r="C64" s="128" t="s">
        <v>1464</v>
      </c>
      <c r="D64" s="128" t="s">
        <v>1954</v>
      </c>
      <c r="E64" s="128" t="s">
        <v>1464</v>
      </c>
      <c r="F64" s="128" t="s">
        <v>1877</v>
      </c>
      <c r="G64" s="128" t="s">
        <v>1454</v>
      </c>
      <c r="H64" s="128" t="s">
        <v>1466</v>
      </c>
      <c r="I64" s="129">
        <v>20</v>
      </c>
      <c r="J64" s="128" t="s">
        <v>1969</v>
      </c>
      <c r="K64" s="128"/>
      <c r="L64" s="128" t="s">
        <v>1879</v>
      </c>
      <c r="M64" s="132" t="s">
        <v>1874</v>
      </c>
      <c r="N64" s="128" t="s">
        <v>1879</v>
      </c>
      <c r="O64" s="145" t="s">
        <v>1899</v>
      </c>
    </row>
    <row r="65" spans="1:15" hidden="1">
      <c r="A65" s="74"/>
      <c r="B65" s="74"/>
      <c r="C65" s="74"/>
      <c r="D65" s="74"/>
      <c r="E65" s="74"/>
      <c r="F65" s="74"/>
      <c r="G65" s="74"/>
      <c r="H65" s="74"/>
      <c r="I65" s="74"/>
      <c r="J65" s="74"/>
      <c r="K65" s="74"/>
      <c r="L65" s="74"/>
      <c r="M65" s="74"/>
      <c r="N65" s="74"/>
      <c r="O65" s="74"/>
    </row>
    <row r="66" spans="1:15" hidden="1">
      <c r="A66" s="255" t="s">
        <v>1336</v>
      </c>
      <c r="B66" s="255" t="s">
        <v>1337</v>
      </c>
      <c r="C66" s="255" t="s">
        <v>1296</v>
      </c>
      <c r="D66" s="255" t="s">
        <v>1297</v>
      </c>
      <c r="E66" s="255" t="s">
        <v>1296</v>
      </c>
      <c r="F66" s="255" t="s">
        <v>1338</v>
      </c>
      <c r="G66" s="255" t="s">
        <v>1299</v>
      </c>
      <c r="H66" s="255" t="s">
        <v>1339</v>
      </c>
      <c r="I66" s="256">
        <v>35</v>
      </c>
      <c r="J66" s="255" t="s">
        <v>1336</v>
      </c>
      <c r="K66" s="74"/>
      <c r="L66" s="74"/>
      <c r="M66" s="74"/>
      <c r="N66" s="74"/>
      <c r="O66" s="74"/>
    </row>
    <row r="67" spans="1:15" hidden="1">
      <c r="A67" s="128" t="s">
        <v>1971</v>
      </c>
      <c r="B67" s="128" t="s">
        <v>1972</v>
      </c>
      <c r="C67" s="128" t="s">
        <v>1464</v>
      </c>
      <c r="D67" s="128" t="s">
        <v>1973</v>
      </c>
      <c r="E67" s="128" t="s">
        <v>1464</v>
      </c>
      <c r="F67" s="128" t="s">
        <v>1877</v>
      </c>
      <c r="G67" s="128" t="s">
        <v>1454</v>
      </c>
      <c r="H67" s="128" t="s">
        <v>1466</v>
      </c>
      <c r="I67" s="129">
        <v>15</v>
      </c>
      <c r="J67" s="128" t="s">
        <v>1971</v>
      </c>
      <c r="K67" s="128"/>
      <c r="L67" s="128" t="s">
        <v>1879</v>
      </c>
      <c r="M67" s="132" t="s">
        <v>1874</v>
      </c>
      <c r="N67" s="128" t="s">
        <v>1879</v>
      </c>
      <c r="O67" s="145" t="s">
        <v>1902</v>
      </c>
    </row>
    <row r="68" spans="1:15" hidden="1">
      <c r="A68" s="128" t="s">
        <v>1974</v>
      </c>
      <c r="B68" s="128" t="s">
        <v>1975</v>
      </c>
      <c r="C68" s="128" t="s">
        <v>1464</v>
      </c>
      <c r="D68" s="128" t="s">
        <v>1973</v>
      </c>
      <c r="E68" s="128" t="s">
        <v>1464</v>
      </c>
      <c r="F68" s="128" t="s">
        <v>1877</v>
      </c>
      <c r="G68" s="128" t="s">
        <v>1454</v>
      </c>
      <c r="H68" s="128" t="s">
        <v>1466</v>
      </c>
      <c r="I68" s="129">
        <v>20</v>
      </c>
      <c r="J68" s="128" t="s">
        <v>1974</v>
      </c>
      <c r="K68" s="128"/>
      <c r="L68" s="128" t="s">
        <v>1879</v>
      </c>
      <c r="M68" s="132" t="s">
        <v>1874</v>
      </c>
      <c r="N68" s="128" t="s">
        <v>1879</v>
      </c>
      <c r="O68" s="145" t="s">
        <v>1902</v>
      </c>
    </row>
    <row r="69" spans="1:15" hidden="1">
      <c r="A69" s="128" t="s">
        <v>1977</v>
      </c>
      <c r="B69" s="128" t="s">
        <v>1976</v>
      </c>
      <c r="C69" s="128" t="s">
        <v>1464</v>
      </c>
      <c r="D69" s="128" t="s">
        <v>1973</v>
      </c>
      <c r="E69" s="128" t="s">
        <v>1464</v>
      </c>
      <c r="F69" s="128" t="s">
        <v>1877</v>
      </c>
      <c r="G69" s="128" t="s">
        <v>1454</v>
      </c>
      <c r="H69" s="128" t="s">
        <v>1466</v>
      </c>
      <c r="I69" s="129">
        <v>20</v>
      </c>
      <c r="J69" s="128" t="s">
        <v>1977</v>
      </c>
      <c r="K69" s="128"/>
      <c r="L69" s="128" t="s">
        <v>1879</v>
      </c>
      <c r="M69" s="132" t="s">
        <v>1874</v>
      </c>
      <c r="N69" s="128" t="s">
        <v>1879</v>
      </c>
      <c r="O69" s="145" t="s">
        <v>1902</v>
      </c>
    </row>
    <row r="70" spans="1:15" hidden="1">
      <c r="A70" s="74"/>
      <c r="B70" s="74"/>
      <c r="C70" s="74"/>
      <c r="D70" s="74"/>
      <c r="E70" s="74"/>
      <c r="F70" s="74"/>
      <c r="G70" s="74"/>
      <c r="H70" s="74"/>
      <c r="I70" s="74"/>
      <c r="J70" s="74"/>
      <c r="K70" s="74"/>
      <c r="L70" s="74"/>
      <c r="M70" s="74"/>
      <c r="N70" s="74"/>
      <c r="O70" s="74"/>
    </row>
    <row r="71" spans="1:15" hidden="1">
      <c r="A71" s="255" t="s">
        <v>1340</v>
      </c>
      <c r="B71" s="255" t="s">
        <v>1341</v>
      </c>
      <c r="C71" s="255" t="s">
        <v>1296</v>
      </c>
      <c r="D71" s="255" t="s">
        <v>1297</v>
      </c>
      <c r="E71" s="255" t="s">
        <v>1296</v>
      </c>
      <c r="F71" s="255" t="s">
        <v>1298</v>
      </c>
      <c r="G71" s="255" t="s">
        <v>1299</v>
      </c>
      <c r="H71" s="255" t="s">
        <v>1300</v>
      </c>
      <c r="I71" s="256">
        <v>65</v>
      </c>
      <c r="J71" s="255" t="s">
        <v>1340</v>
      </c>
      <c r="K71" s="74"/>
      <c r="L71" s="74"/>
      <c r="M71" s="74"/>
      <c r="N71" s="74"/>
      <c r="O71" s="74"/>
    </row>
    <row r="72" spans="1:15" hidden="1">
      <c r="A72" s="128" t="s">
        <v>1978</v>
      </c>
      <c r="B72" s="128" t="s">
        <v>1979</v>
      </c>
      <c r="C72" s="128" t="s">
        <v>1464</v>
      </c>
      <c r="D72" s="128" t="s">
        <v>1980</v>
      </c>
      <c r="E72" s="128" t="s">
        <v>1464</v>
      </c>
      <c r="F72" s="128" t="s">
        <v>1877</v>
      </c>
      <c r="G72" s="128" t="s">
        <v>1454</v>
      </c>
      <c r="H72" s="128" t="s">
        <v>1466</v>
      </c>
      <c r="I72" s="129">
        <v>20</v>
      </c>
      <c r="J72" s="128" t="s">
        <v>1978</v>
      </c>
      <c r="K72" s="128"/>
      <c r="L72" s="128" t="s">
        <v>1879</v>
      </c>
      <c r="M72" s="132" t="s">
        <v>1874</v>
      </c>
      <c r="N72" s="128" t="s">
        <v>1879</v>
      </c>
      <c r="O72" s="145" t="s">
        <v>1981</v>
      </c>
    </row>
    <row r="73" spans="1:15" hidden="1">
      <c r="A73" s="128" t="s">
        <v>1982</v>
      </c>
      <c r="B73" s="128" t="s">
        <v>1983</v>
      </c>
      <c r="C73" s="128" t="s">
        <v>1464</v>
      </c>
      <c r="D73" s="128" t="s">
        <v>1980</v>
      </c>
      <c r="E73" s="128" t="s">
        <v>1464</v>
      </c>
      <c r="F73" s="128" t="s">
        <v>1877</v>
      </c>
      <c r="G73" s="128" t="s">
        <v>1454</v>
      </c>
      <c r="H73" s="128" t="s">
        <v>1466</v>
      </c>
      <c r="I73" s="129">
        <v>20</v>
      </c>
      <c r="J73" s="128" t="s">
        <v>1982</v>
      </c>
      <c r="K73" s="128"/>
      <c r="L73" s="128" t="s">
        <v>1879</v>
      </c>
      <c r="M73" s="132" t="s">
        <v>1874</v>
      </c>
      <c r="N73" s="128" t="s">
        <v>1879</v>
      </c>
      <c r="O73" s="145" t="s">
        <v>1981</v>
      </c>
    </row>
    <row r="74" spans="1:15" hidden="1">
      <c r="A74" s="128" t="s">
        <v>1984</v>
      </c>
      <c r="B74" s="128" t="s">
        <v>1985</v>
      </c>
      <c r="C74" s="128" t="s">
        <v>1464</v>
      </c>
      <c r="D74" s="128" t="s">
        <v>1980</v>
      </c>
      <c r="E74" s="128" t="s">
        <v>1464</v>
      </c>
      <c r="F74" s="128" t="s">
        <v>1877</v>
      </c>
      <c r="G74" s="128" t="s">
        <v>1454</v>
      </c>
      <c r="H74" s="128" t="s">
        <v>1466</v>
      </c>
      <c r="I74" s="129">
        <v>20</v>
      </c>
      <c r="J74" s="128" t="s">
        <v>1984</v>
      </c>
      <c r="K74" s="128"/>
      <c r="L74" s="128" t="s">
        <v>1879</v>
      </c>
      <c r="M74" s="132" t="s">
        <v>1874</v>
      </c>
      <c r="N74" s="128" t="s">
        <v>1879</v>
      </c>
      <c r="O74" s="145" t="s">
        <v>1981</v>
      </c>
    </row>
    <row r="75" spans="1:15" hidden="1">
      <c r="A75" s="128" t="s">
        <v>1986</v>
      </c>
      <c r="B75" s="128" t="s">
        <v>1987</v>
      </c>
      <c r="C75" s="128" t="s">
        <v>1464</v>
      </c>
      <c r="D75" s="128" t="s">
        <v>1980</v>
      </c>
      <c r="E75" s="128" t="s">
        <v>1464</v>
      </c>
      <c r="F75" s="128" t="s">
        <v>1877</v>
      </c>
      <c r="G75" s="128" t="s">
        <v>1454</v>
      </c>
      <c r="H75" s="128" t="s">
        <v>1466</v>
      </c>
      <c r="I75" s="129">
        <v>20</v>
      </c>
      <c r="J75" s="128" t="s">
        <v>1986</v>
      </c>
      <c r="K75" s="128"/>
      <c r="L75" s="128" t="s">
        <v>1879</v>
      </c>
      <c r="M75" s="132" t="s">
        <v>1874</v>
      </c>
      <c r="N75" s="128" t="s">
        <v>1879</v>
      </c>
      <c r="O75" s="145" t="s">
        <v>1981</v>
      </c>
    </row>
    <row r="76" spans="1:15" hidden="1">
      <c r="A76" s="128" t="s">
        <v>1989</v>
      </c>
      <c r="B76" s="128" t="s">
        <v>1988</v>
      </c>
      <c r="C76" s="128" t="s">
        <v>1464</v>
      </c>
      <c r="D76" s="128" t="s">
        <v>1980</v>
      </c>
      <c r="E76" s="128" t="s">
        <v>1464</v>
      </c>
      <c r="F76" s="128" t="s">
        <v>1877</v>
      </c>
      <c r="G76" s="128" t="s">
        <v>1454</v>
      </c>
      <c r="H76" s="128" t="s">
        <v>1466</v>
      </c>
      <c r="I76" s="129">
        <v>20</v>
      </c>
      <c r="J76" s="128" t="s">
        <v>1989</v>
      </c>
      <c r="K76" s="128"/>
      <c r="L76" s="128" t="s">
        <v>1879</v>
      </c>
      <c r="M76" s="132" t="s">
        <v>1874</v>
      </c>
      <c r="N76" s="128" t="s">
        <v>1879</v>
      </c>
      <c r="O76" s="145" t="s">
        <v>1981</v>
      </c>
    </row>
    <row r="77" spans="1:15" hidden="1">
      <c r="A77" s="128" t="s">
        <v>1990</v>
      </c>
      <c r="B77" s="128" t="s">
        <v>1991</v>
      </c>
      <c r="C77" s="128" t="s">
        <v>1464</v>
      </c>
      <c r="D77" s="128" t="s">
        <v>1980</v>
      </c>
      <c r="E77" s="128" t="s">
        <v>1464</v>
      </c>
      <c r="F77" s="128" t="s">
        <v>1877</v>
      </c>
      <c r="G77" s="128" t="s">
        <v>1454</v>
      </c>
      <c r="H77" s="128" t="s">
        <v>1466</v>
      </c>
      <c r="I77" s="129">
        <v>20</v>
      </c>
      <c r="J77" s="128" t="s">
        <v>1990</v>
      </c>
      <c r="K77" s="128"/>
      <c r="L77" s="128" t="s">
        <v>1879</v>
      </c>
      <c r="M77" s="132" t="s">
        <v>1874</v>
      </c>
      <c r="N77" s="128" t="s">
        <v>1879</v>
      </c>
      <c r="O77" s="145" t="s">
        <v>1981</v>
      </c>
    </row>
    <row r="78" spans="1:15" hidden="1">
      <c r="A78" s="128" t="s">
        <v>1992</v>
      </c>
      <c r="B78" s="128" t="s">
        <v>1993</v>
      </c>
      <c r="C78" s="128" t="s">
        <v>1464</v>
      </c>
      <c r="D78" s="128" t="s">
        <v>1980</v>
      </c>
      <c r="E78" s="128" t="s">
        <v>1464</v>
      </c>
      <c r="F78" s="128" t="s">
        <v>1877</v>
      </c>
      <c r="G78" s="128" t="s">
        <v>1454</v>
      </c>
      <c r="H78" s="128" t="s">
        <v>1466</v>
      </c>
      <c r="I78" s="129">
        <v>20</v>
      </c>
      <c r="J78" s="128" t="s">
        <v>1992</v>
      </c>
      <c r="K78" s="128"/>
      <c r="L78" s="128" t="s">
        <v>1879</v>
      </c>
      <c r="M78" s="132" t="s">
        <v>1874</v>
      </c>
      <c r="N78" s="128" t="s">
        <v>1879</v>
      </c>
      <c r="O78" s="145" t="s">
        <v>1981</v>
      </c>
    </row>
    <row r="79" spans="1:15" hidden="1">
      <c r="A79" s="128" t="s">
        <v>1994</v>
      </c>
      <c r="B79" s="128" t="s">
        <v>1995</v>
      </c>
      <c r="C79" s="128" t="s">
        <v>1464</v>
      </c>
      <c r="D79" s="128" t="s">
        <v>1980</v>
      </c>
      <c r="E79" s="128" t="s">
        <v>1464</v>
      </c>
      <c r="F79" s="128" t="s">
        <v>1877</v>
      </c>
      <c r="G79" s="128" t="s">
        <v>1454</v>
      </c>
      <c r="H79" s="128" t="s">
        <v>1466</v>
      </c>
      <c r="I79" s="129">
        <v>20</v>
      </c>
      <c r="J79" s="128" t="s">
        <v>1994</v>
      </c>
      <c r="K79" s="128"/>
      <c r="L79" s="128" t="s">
        <v>1879</v>
      </c>
      <c r="M79" s="132" t="s">
        <v>1874</v>
      </c>
      <c r="N79" s="128" t="s">
        <v>1879</v>
      </c>
      <c r="O79" s="145" t="s">
        <v>1981</v>
      </c>
    </row>
    <row r="80" spans="1:15" hidden="1">
      <c r="A80" s="74"/>
      <c r="B80" s="74"/>
      <c r="C80" s="74"/>
      <c r="D80" s="74"/>
      <c r="E80" s="74"/>
      <c r="F80" s="74"/>
      <c r="G80" s="74"/>
      <c r="H80" s="74"/>
      <c r="I80" s="74"/>
      <c r="J80" s="74"/>
      <c r="K80" s="74"/>
      <c r="L80" s="74"/>
      <c r="M80" s="74"/>
      <c r="N80" s="74"/>
      <c r="O80" s="74"/>
    </row>
    <row r="81" spans="1:15" hidden="1">
      <c r="A81" s="255" t="s">
        <v>1342</v>
      </c>
      <c r="B81" s="255" t="s">
        <v>1343</v>
      </c>
      <c r="C81" s="255" t="s">
        <v>1296</v>
      </c>
      <c r="D81" s="255" t="s">
        <v>1297</v>
      </c>
      <c r="E81" s="255" t="s">
        <v>1296</v>
      </c>
      <c r="F81" s="255" t="s">
        <v>1298</v>
      </c>
      <c r="G81" s="255" t="s">
        <v>1299</v>
      </c>
      <c r="H81" s="255" t="s">
        <v>1300</v>
      </c>
      <c r="I81" s="256">
        <v>65</v>
      </c>
      <c r="J81" s="255" t="s">
        <v>1342</v>
      </c>
      <c r="K81" s="74"/>
      <c r="L81" s="74"/>
      <c r="M81" s="74"/>
      <c r="N81" s="74"/>
      <c r="O81" s="74"/>
    </row>
    <row r="82" spans="1:15" hidden="1">
      <c r="A82" s="128" t="s">
        <v>1996</v>
      </c>
      <c r="B82" s="128" t="s">
        <v>1997</v>
      </c>
      <c r="C82" s="128" t="s">
        <v>1464</v>
      </c>
      <c r="D82" s="128" t="s">
        <v>1998</v>
      </c>
      <c r="E82" s="128" t="s">
        <v>1464</v>
      </c>
      <c r="F82" s="128" t="s">
        <v>1877</v>
      </c>
      <c r="G82" s="128" t="s">
        <v>1454</v>
      </c>
      <c r="H82" s="128" t="s">
        <v>1466</v>
      </c>
      <c r="I82" s="129">
        <v>20</v>
      </c>
      <c r="J82" s="128" t="s">
        <v>1996</v>
      </c>
      <c r="K82" s="128"/>
      <c r="L82" s="128" t="s">
        <v>1879</v>
      </c>
      <c r="M82" s="132" t="s">
        <v>1874</v>
      </c>
      <c r="N82" s="128" t="s">
        <v>1879</v>
      </c>
      <c r="O82" s="145" t="s">
        <v>1981</v>
      </c>
    </row>
    <row r="83" spans="1:15" hidden="1">
      <c r="A83" s="128" t="s">
        <v>1999</v>
      </c>
      <c r="B83" s="128" t="s">
        <v>2000</v>
      </c>
      <c r="C83" s="128" t="s">
        <v>1464</v>
      </c>
      <c r="D83" s="128" t="s">
        <v>1998</v>
      </c>
      <c r="E83" s="128" t="s">
        <v>1464</v>
      </c>
      <c r="F83" s="128" t="s">
        <v>1877</v>
      </c>
      <c r="G83" s="128" t="s">
        <v>1454</v>
      </c>
      <c r="H83" s="128" t="s">
        <v>1466</v>
      </c>
      <c r="I83" s="129">
        <v>20</v>
      </c>
      <c r="J83" s="128" t="s">
        <v>1999</v>
      </c>
      <c r="K83" s="128"/>
      <c r="L83" s="128" t="s">
        <v>1879</v>
      </c>
      <c r="M83" s="132" t="s">
        <v>1874</v>
      </c>
      <c r="N83" s="128" t="s">
        <v>1879</v>
      </c>
      <c r="O83" s="145" t="s">
        <v>1981</v>
      </c>
    </row>
    <row r="84" spans="1:15" hidden="1">
      <c r="A84" s="128" t="s">
        <v>2001</v>
      </c>
      <c r="B84" s="128" t="s">
        <v>2002</v>
      </c>
      <c r="C84" s="128" t="s">
        <v>1464</v>
      </c>
      <c r="D84" s="128" t="s">
        <v>1998</v>
      </c>
      <c r="E84" s="128" t="s">
        <v>1464</v>
      </c>
      <c r="F84" s="128" t="s">
        <v>1877</v>
      </c>
      <c r="G84" s="128" t="s">
        <v>1454</v>
      </c>
      <c r="H84" s="128" t="s">
        <v>1466</v>
      </c>
      <c r="I84" s="129">
        <v>20</v>
      </c>
      <c r="J84" s="128" t="s">
        <v>2001</v>
      </c>
      <c r="K84" s="128"/>
      <c r="L84" s="128" t="s">
        <v>1879</v>
      </c>
      <c r="M84" s="132" t="s">
        <v>1874</v>
      </c>
      <c r="N84" s="128" t="s">
        <v>1879</v>
      </c>
      <c r="O84" s="145" t="s">
        <v>1981</v>
      </c>
    </row>
    <row r="85" spans="1:15" hidden="1">
      <c r="A85" s="128" t="s">
        <v>2003</v>
      </c>
      <c r="B85" s="128" t="s">
        <v>2004</v>
      </c>
      <c r="C85" s="128" t="s">
        <v>1464</v>
      </c>
      <c r="D85" s="128" t="s">
        <v>1998</v>
      </c>
      <c r="E85" s="128" t="s">
        <v>1464</v>
      </c>
      <c r="F85" s="128" t="s">
        <v>1877</v>
      </c>
      <c r="G85" s="128" t="s">
        <v>1454</v>
      </c>
      <c r="H85" s="128" t="s">
        <v>1466</v>
      </c>
      <c r="I85" s="129">
        <v>20</v>
      </c>
      <c r="J85" s="128" t="s">
        <v>2003</v>
      </c>
      <c r="K85" s="128"/>
      <c r="L85" s="128" t="s">
        <v>1879</v>
      </c>
      <c r="M85" s="132" t="s">
        <v>1874</v>
      </c>
      <c r="N85" s="128" t="s">
        <v>1879</v>
      </c>
      <c r="O85" s="145" t="s">
        <v>1981</v>
      </c>
    </row>
    <row r="86" spans="1:15" hidden="1">
      <c r="A86" s="128" t="s">
        <v>2005</v>
      </c>
      <c r="B86" s="128" t="s">
        <v>2006</v>
      </c>
      <c r="C86" s="128" t="s">
        <v>1464</v>
      </c>
      <c r="D86" s="128" t="s">
        <v>1998</v>
      </c>
      <c r="E86" s="128" t="s">
        <v>1464</v>
      </c>
      <c r="F86" s="128" t="s">
        <v>1877</v>
      </c>
      <c r="G86" s="128" t="s">
        <v>1454</v>
      </c>
      <c r="H86" s="128" t="s">
        <v>1466</v>
      </c>
      <c r="I86" s="129">
        <v>20</v>
      </c>
      <c r="J86" s="128" t="s">
        <v>2005</v>
      </c>
      <c r="K86" s="128"/>
      <c r="L86" s="128" t="s">
        <v>1879</v>
      </c>
      <c r="M86" s="132" t="s">
        <v>1874</v>
      </c>
      <c r="N86" s="128" t="s">
        <v>1879</v>
      </c>
      <c r="O86" s="145" t="s">
        <v>1981</v>
      </c>
    </row>
    <row r="87" spans="1:15" hidden="1">
      <c r="A87" s="128" t="s">
        <v>2008</v>
      </c>
      <c r="B87" s="128" t="s">
        <v>2007</v>
      </c>
      <c r="C87" s="128" t="s">
        <v>1464</v>
      </c>
      <c r="D87" s="128" t="s">
        <v>1998</v>
      </c>
      <c r="E87" s="128" t="s">
        <v>1464</v>
      </c>
      <c r="F87" s="128" t="s">
        <v>1877</v>
      </c>
      <c r="G87" s="128" t="s">
        <v>1454</v>
      </c>
      <c r="H87" s="128" t="s">
        <v>1466</v>
      </c>
      <c r="I87" s="129">
        <v>20</v>
      </c>
      <c r="J87" s="128" t="s">
        <v>2008</v>
      </c>
      <c r="K87" s="128"/>
      <c r="L87" s="128" t="s">
        <v>1879</v>
      </c>
      <c r="M87" s="132" t="s">
        <v>1874</v>
      </c>
      <c r="N87" s="128" t="s">
        <v>1879</v>
      </c>
      <c r="O87" s="145" t="s">
        <v>1981</v>
      </c>
    </row>
    <row r="88" spans="1:15" hidden="1">
      <c r="A88" s="128" t="s">
        <v>2009</v>
      </c>
      <c r="B88" s="128" t="s">
        <v>2010</v>
      </c>
      <c r="C88" s="128" t="s">
        <v>1464</v>
      </c>
      <c r="D88" s="128" t="s">
        <v>1998</v>
      </c>
      <c r="E88" s="128" t="s">
        <v>1464</v>
      </c>
      <c r="F88" s="128" t="s">
        <v>1877</v>
      </c>
      <c r="G88" s="128" t="s">
        <v>1454</v>
      </c>
      <c r="H88" s="128" t="s">
        <v>1466</v>
      </c>
      <c r="I88" s="129">
        <v>20</v>
      </c>
      <c r="J88" s="128" t="s">
        <v>2009</v>
      </c>
      <c r="K88" s="128"/>
      <c r="L88" s="128" t="s">
        <v>1879</v>
      </c>
      <c r="M88" s="132" t="s">
        <v>1874</v>
      </c>
      <c r="N88" s="128" t="s">
        <v>1879</v>
      </c>
      <c r="O88" s="145" t="s">
        <v>2010</v>
      </c>
    </row>
    <row r="89" spans="1:15" hidden="1">
      <c r="A89" s="128" t="s">
        <v>2011</v>
      </c>
      <c r="B89" s="128" t="s">
        <v>2012</v>
      </c>
      <c r="C89" s="128" t="s">
        <v>1464</v>
      </c>
      <c r="D89" s="128" t="s">
        <v>1998</v>
      </c>
      <c r="E89" s="128" t="s">
        <v>1464</v>
      </c>
      <c r="F89" s="128" t="s">
        <v>1877</v>
      </c>
      <c r="G89" s="128" t="s">
        <v>1454</v>
      </c>
      <c r="H89" s="128" t="s">
        <v>1466</v>
      </c>
      <c r="I89" s="129">
        <v>20</v>
      </c>
      <c r="J89" s="128" t="s">
        <v>2011</v>
      </c>
      <c r="K89" s="128"/>
      <c r="L89" s="128" t="s">
        <v>1879</v>
      </c>
      <c r="M89" s="132" t="s">
        <v>1874</v>
      </c>
      <c r="N89" s="128" t="s">
        <v>1879</v>
      </c>
      <c r="O89" s="145" t="s">
        <v>1981</v>
      </c>
    </row>
    <row r="90" spans="1:15" hidden="1">
      <c r="A90" s="255" t="s">
        <v>1344</v>
      </c>
      <c r="B90" s="255" t="s">
        <v>1345</v>
      </c>
      <c r="C90" s="255" t="s">
        <v>1327</v>
      </c>
      <c r="D90" s="255" t="s">
        <v>1297</v>
      </c>
      <c r="E90" s="255" t="s">
        <v>1327</v>
      </c>
      <c r="F90" s="255" t="s">
        <v>1346</v>
      </c>
      <c r="G90" s="255" t="s">
        <v>1304</v>
      </c>
      <c r="H90" s="255" t="s">
        <v>1333</v>
      </c>
      <c r="I90" s="256">
        <v>60</v>
      </c>
      <c r="J90" s="255" t="s">
        <v>1344</v>
      </c>
      <c r="K90" s="257"/>
      <c r="L90" s="74" t="s">
        <v>1879</v>
      </c>
      <c r="M90" s="74"/>
      <c r="N90" s="74"/>
      <c r="O90" s="74"/>
    </row>
    <row r="91" spans="1:15" hidden="1">
      <c r="A91" s="128" t="s">
        <v>2013</v>
      </c>
      <c r="B91" s="128" t="s">
        <v>3128</v>
      </c>
      <c r="C91" s="128" t="s">
        <v>1944</v>
      </c>
      <c r="D91" s="128" t="s">
        <v>2014</v>
      </c>
      <c r="E91" s="128" t="s">
        <v>1944</v>
      </c>
      <c r="F91" s="128" t="s">
        <v>1946</v>
      </c>
      <c r="G91" s="128" t="s">
        <v>1454</v>
      </c>
      <c r="H91" s="128" t="s">
        <v>1947</v>
      </c>
      <c r="I91" s="129">
        <v>20</v>
      </c>
      <c r="J91" s="128" t="s">
        <v>2013</v>
      </c>
      <c r="K91" s="128" t="s">
        <v>1948</v>
      </c>
      <c r="L91" s="128" t="s">
        <v>1879</v>
      </c>
      <c r="M91" s="132" t="s">
        <v>1874</v>
      </c>
      <c r="N91" s="128" t="s">
        <v>1879</v>
      </c>
      <c r="O91" s="145" t="s">
        <v>1899</v>
      </c>
    </row>
    <row r="92" spans="1:15" hidden="1">
      <c r="A92" s="128" t="s">
        <v>2015</v>
      </c>
      <c r="B92" s="128" t="s">
        <v>3129</v>
      </c>
      <c r="C92" s="128" t="s">
        <v>1944</v>
      </c>
      <c r="D92" s="128" t="s">
        <v>2014</v>
      </c>
      <c r="E92" s="128" t="s">
        <v>1944</v>
      </c>
      <c r="F92" s="128" t="s">
        <v>1946</v>
      </c>
      <c r="G92" s="128" t="s">
        <v>1454</v>
      </c>
      <c r="H92" s="128" t="s">
        <v>1947</v>
      </c>
      <c r="I92" s="129">
        <v>20</v>
      </c>
      <c r="J92" s="128" t="s">
        <v>2015</v>
      </c>
      <c r="K92" s="128" t="s">
        <v>1948</v>
      </c>
      <c r="L92" s="128" t="s">
        <v>1879</v>
      </c>
      <c r="M92" s="132" t="s">
        <v>1874</v>
      </c>
      <c r="N92" s="128" t="s">
        <v>1879</v>
      </c>
      <c r="O92" s="145" t="s">
        <v>1898</v>
      </c>
    </row>
    <row r="93" spans="1:15" hidden="1">
      <c r="A93" s="128" t="s">
        <v>2016</v>
      </c>
      <c r="B93" s="128" t="s">
        <v>3130</v>
      </c>
      <c r="C93" s="128" t="s">
        <v>1944</v>
      </c>
      <c r="D93" s="128" t="s">
        <v>2014</v>
      </c>
      <c r="E93" s="128" t="s">
        <v>1944</v>
      </c>
      <c r="F93" s="128" t="s">
        <v>1946</v>
      </c>
      <c r="G93" s="265" t="s">
        <v>1454</v>
      </c>
      <c r="H93" s="128" t="s">
        <v>1947</v>
      </c>
      <c r="I93" s="129">
        <v>20</v>
      </c>
      <c r="J93" s="128" t="s">
        <v>2016</v>
      </c>
      <c r="K93" s="128" t="s">
        <v>1948</v>
      </c>
      <c r="L93" s="128" t="s">
        <v>1879</v>
      </c>
      <c r="M93" s="132" t="s">
        <v>1874</v>
      </c>
      <c r="N93" s="128" t="s">
        <v>1879</v>
      </c>
      <c r="O93" s="145" t="s">
        <v>1899</v>
      </c>
    </row>
    <row r="94" spans="1:15" hidden="1">
      <c r="A94" s="128" t="s">
        <v>2017</v>
      </c>
      <c r="B94" s="128" t="s">
        <v>3131</v>
      </c>
      <c r="C94" s="128" t="s">
        <v>1944</v>
      </c>
      <c r="D94" s="128" t="s">
        <v>2014</v>
      </c>
      <c r="E94" s="128" t="s">
        <v>1944</v>
      </c>
      <c r="F94" s="128" t="s">
        <v>1946</v>
      </c>
      <c r="G94" s="128" t="s">
        <v>1454</v>
      </c>
      <c r="H94" s="128" t="s">
        <v>1947</v>
      </c>
      <c r="I94" s="129">
        <v>20</v>
      </c>
      <c r="J94" s="128" t="s">
        <v>2017</v>
      </c>
      <c r="K94" s="128" t="s">
        <v>1948</v>
      </c>
      <c r="L94" s="128" t="s">
        <v>1879</v>
      </c>
      <c r="M94" s="132" t="s">
        <v>1874</v>
      </c>
      <c r="N94" s="128" t="s">
        <v>1879</v>
      </c>
      <c r="O94" s="145" t="s">
        <v>1898</v>
      </c>
    </row>
    <row r="95" spans="1:15" hidden="1">
      <c r="A95" s="128" t="s">
        <v>2013</v>
      </c>
      <c r="B95" s="128" t="s">
        <v>3124</v>
      </c>
      <c r="C95" s="128" t="s">
        <v>1944</v>
      </c>
      <c r="D95" s="128" t="s">
        <v>2014</v>
      </c>
      <c r="E95" s="128" t="s">
        <v>1944</v>
      </c>
      <c r="F95" s="128" t="s">
        <v>1946</v>
      </c>
      <c r="G95" s="128" t="s">
        <v>1454</v>
      </c>
      <c r="H95" s="128" t="s">
        <v>1947</v>
      </c>
      <c r="I95" s="129">
        <v>20</v>
      </c>
      <c r="J95" s="128" t="s">
        <v>2013</v>
      </c>
      <c r="K95" s="128" t="s">
        <v>1948</v>
      </c>
      <c r="L95" s="128" t="s">
        <v>1879</v>
      </c>
      <c r="M95" s="132" t="s">
        <v>1874</v>
      </c>
      <c r="N95" s="128" t="s">
        <v>1879</v>
      </c>
      <c r="O95" s="145" t="s">
        <v>1899</v>
      </c>
    </row>
    <row r="96" spans="1:15" hidden="1">
      <c r="A96" s="128" t="s">
        <v>2015</v>
      </c>
      <c r="B96" s="128" t="s">
        <v>3125</v>
      </c>
      <c r="C96" s="128" t="s">
        <v>1944</v>
      </c>
      <c r="D96" s="128" t="s">
        <v>2014</v>
      </c>
      <c r="E96" s="128" t="s">
        <v>1944</v>
      </c>
      <c r="F96" s="128" t="s">
        <v>1946</v>
      </c>
      <c r="G96" s="128" t="s">
        <v>1454</v>
      </c>
      <c r="H96" s="128" t="s">
        <v>1947</v>
      </c>
      <c r="I96" s="129">
        <v>20</v>
      </c>
      <c r="J96" s="128" t="s">
        <v>2015</v>
      </c>
      <c r="K96" s="128" t="s">
        <v>1948</v>
      </c>
      <c r="L96" s="128" t="s">
        <v>1879</v>
      </c>
      <c r="M96" s="132" t="s">
        <v>1874</v>
      </c>
      <c r="N96" s="128" t="s">
        <v>1879</v>
      </c>
      <c r="O96" s="145" t="s">
        <v>1898</v>
      </c>
    </row>
    <row r="97" spans="1:15" hidden="1">
      <c r="A97" s="128" t="s">
        <v>2016</v>
      </c>
      <c r="B97" s="128" t="s">
        <v>3126</v>
      </c>
      <c r="C97" s="128" t="s">
        <v>1944</v>
      </c>
      <c r="D97" s="128" t="s">
        <v>2014</v>
      </c>
      <c r="E97" s="128" t="s">
        <v>1944</v>
      </c>
      <c r="F97" s="128" t="s">
        <v>1946</v>
      </c>
      <c r="G97" s="265" t="s">
        <v>1454</v>
      </c>
      <c r="H97" s="128" t="s">
        <v>1947</v>
      </c>
      <c r="I97" s="129">
        <v>20</v>
      </c>
      <c r="J97" s="128" t="s">
        <v>2016</v>
      </c>
      <c r="K97" s="128" t="s">
        <v>1948</v>
      </c>
      <c r="L97" s="128" t="s">
        <v>1879</v>
      </c>
      <c r="M97" s="132" t="s">
        <v>1874</v>
      </c>
      <c r="N97" s="128" t="s">
        <v>1879</v>
      </c>
      <c r="O97" s="145" t="s">
        <v>1899</v>
      </c>
    </row>
    <row r="98" spans="1:15" hidden="1">
      <c r="A98" s="128" t="s">
        <v>2017</v>
      </c>
      <c r="B98" s="128" t="s">
        <v>3127</v>
      </c>
      <c r="C98" s="128" t="s">
        <v>1944</v>
      </c>
      <c r="D98" s="128" t="s">
        <v>2014</v>
      </c>
      <c r="E98" s="128" t="s">
        <v>1944</v>
      </c>
      <c r="F98" s="128" t="s">
        <v>1946</v>
      </c>
      <c r="G98" s="128" t="s">
        <v>1454</v>
      </c>
      <c r="H98" s="128" t="s">
        <v>1947</v>
      </c>
      <c r="I98" s="129">
        <v>20</v>
      </c>
      <c r="J98" s="128" t="s">
        <v>2017</v>
      </c>
      <c r="K98" s="128" t="s">
        <v>1948</v>
      </c>
      <c r="L98" s="128" t="s">
        <v>1879</v>
      </c>
      <c r="M98" s="132" t="s">
        <v>1874</v>
      </c>
      <c r="N98" s="128" t="s">
        <v>1879</v>
      </c>
      <c r="O98" s="145" t="s">
        <v>1898</v>
      </c>
    </row>
    <row r="99" spans="1:15" hidden="1">
      <c r="A99" s="74"/>
      <c r="B99" s="74"/>
      <c r="C99" s="74"/>
      <c r="D99" s="74"/>
      <c r="E99" s="74"/>
      <c r="F99" s="74"/>
      <c r="G99" s="74"/>
      <c r="H99" s="74"/>
      <c r="I99" s="74"/>
      <c r="J99" s="74"/>
      <c r="K99" s="74"/>
      <c r="L99" s="74"/>
      <c r="M99" s="74"/>
      <c r="N99" s="74"/>
      <c r="O99" s="74"/>
    </row>
    <row r="100" spans="1:15" hidden="1">
      <c r="A100" s="255" t="s">
        <v>1347</v>
      </c>
      <c r="B100" s="255" t="s">
        <v>1348</v>
      </c>
      <c r="C100" s="255" t="s">
        <v>1296</v>
      </c>
      <c r="D100" s="255" t="s">
        <v>1297</v>
      </c>
      <c r="E100" s="255" t="s">
        <v>1296</v>
      </c>
      <c r="F100" s="255" t="s">
        <v>1338</v>
      </c>
      <c r="G100" s="255" t="s">
        <v>1299</v>
      </c>
      <c r="H100" s="255" t="s">
        <v>1339</v>
      </c>
      <c r="I100" s="256">
        <v>70</v>
      </c>
      <c r="J100" s="255" t="s">
        <v>1347</v>
      </c>
      <c r="K100" s="74"/>
      <c r="L100" s="74"/>
      <c r="M100" s="74"/>
      <c r="N100" s="74"/>
      <c r="O100" s="74"/>
    </row>
    <row r="101" spans="1:15" hidden="1">
      <c r="A101" s="128" t="s">
        <v>2018</v>
      </c>
      <c r="B101" s="128" t="s">
        <v>2019</v>
      </c>
      <c r="C101" s="128" t="s">
        <v>1464</v>
      </c>
      <c r="D101" s="128" t="s">
        <v>2020</v>
      </c>
      <c r="E101" s="128" t="s">
        <v>1464</v>
      </c>
      <c r="F101" s="128" t="s">
        <v>1877</v>
      </c>
      <c r="G101" s="128" t="s">
        <v>1454</v>
      </c>
      <c r="H101" s="128" t="s">
        <v>1466</v>
      </c>
      <c r="I101" s="129">
        <v>25</v>
      </c>
      <c r="J101" s="128" t="s">
        <v>2018</v>
      </c>
      <c r="K101" s="128"/>
      <c r="L101" s="128" t="s">
        <v>1879</v>
      </c>
      <c r="M101" s="132" t="s">
        <v>1874</v>
      </c>
      <c r="N101" s="128" t="s">
        <v>1879</v>
      </c>
      <c r="O101" s="145" t="s">
        <v>2021</v>
      </c>
    </row>
    <row r="102" spans="1:15" hidden="1">
      <c r="A102" s="128" t="s">
        <v>2022</v>
      </c>
      <c r="B102" s="128" t="s">
        <v>2023</v>
      </c>
      <c r="C102" s="128" t="s">
        <v>1464</v>
      </c>
      <c r="D102" s="128" t="s">
        <v>2020</v>
      </c>
      <c r="E102" s="128" t="s">
        <v>1464</v>
      </c>
      <c r="F102" s="128" t="s">
        <v>1877</v>
      </c>
      <c r="G102" s="128" t="s">
        <v>1454</v>
      </c>
      <c r="H102" s="128" t="s">
        <v>1466</v>
      </c>
      <c r="I102" s="129">
        <v>25</v>
      </c>
      <c r="J102" s="128" t="s">
        <v>2022</v>
      </c>
      <c r="K102" s="128"/>
      <c r="L102" s="128" t="s">
        <v>1879</v>
      </c>
      <c r="M102" s="132" t="s">
        <v>1874</v>
      </c>
      <c r="N102" s="128" t="s">
        <v>1879</v>
      </c>
      <c r="O102" s="145" t="s">
        <v>2021</v>
      </c>
    </row>
    <row r="103" spans="1:15" hidden="1">
      <c r="A103" s="128" t="s">
        <v>2024</v>
      </c>
      <c r="B103" s="128" t="s">
        <v>2025</v>
      </c>
      <c r="C103" s="128" t="s">
        <v>1464</v>
      </c>
      <c r="D103" s="128" t="s">
        <v>2020</v>
      </c>
      <c r="E103" s="128" t="s">
        <v>1464</v>
      </c>
      <c r="F103" s="128" t="s">
        <v>1877</v>
      </c>
      <c r="G103" s="128" t="s">
        <v>1454</v>
      </c>
      <c r="H103" s="128" t="s">
        <v>1466</v>
      </c>
      <c r="I103" s="129">
        <v>30</v>
      </c>
      <c r="J103" s="128" t="s">
        <v>2024</v>
      </c>
      <c r="K103" s="128"/>
      <c r="L103" s="128" t="s">
        <v>1879</v>
      </c>
      <c r="M103" s="132" t="s">
        <v>1874</v>
      </c>
      <c r="N103" s="128" t="s">
        <v>1879</v>
      </c>
      <c r="O103" s="145" t="s">
        <v>2026</v>
      </c>
    </row>
    <row r="104" spans="1:15" hidden="1">
      <c r="A104" s="128" t="s">
        <v>2027</v>
      </c>
      <c r="B104" s="128" t="s">
        <v>2028</v>
      </c>
      <c r="C104" s="128" t="s">
        <v>1464</v>
      </c>
      <c r="D104" s="128" t="s">
        <v>2020</v>
      </c>
      <c r="E104" s="128" t="s">
        <v>1464</v>
      </c>
      <c r="F104" s="128" t="s">
        <v>1877</v>
      </c>
      <c r="G104" s="128" t="s">
        <v>1454</v>
      </c>
      <c r="H104" s="128" t="s">
        <v>1466</v>
      </c>
      <c r="I104" s="129">
        <v>30</v>
      </c>
      <c r="J104" s="128" t="s">
        <v>2027</v>
      </c>
      <c r="K104" s="128"/>
      <c r="L104" s="128" t="s">
        <v>1879</v>
      </c>
      <c r="M104" s="132" t="s">
        <v>1874</v>
      </c>
      <c r="N104" s="128" t="s">
        <v>1879</v>
      </c>
      <c r="O104" s="145" t="s">
        <v>2026</v>
      </c>
    </row>
    <row r="105" spans="1:15" hidden="1">
      <c r="A105" s="128" t="s">
        <v>2029</v>
      </c>
      <c r="B105" s="128" t="s">
        <v>2030</v>
      </c>
      <c r="C105" s="128" t="s">
        <v>1464</v>
      </c>
      <c r="D105" s="128" t="s">
        <v>2020</v>
      </c>
      <c r="E105" s="128" t="s">
        <v>1464</v>
      </c>
      <c r="F105" s="128" t="s">
        <v>1877</v>
      </c>
      <c r="G105" s="128" t="s">
        <v>1454</v>
      </c>
      <c r="H105" s="128" t="s">
        <v>1466</v>
      </c>
      <c r="I105" s="129">
        <v>15</v>
      </c>
      <c r="J105" s="128" t="s">
        <v>2029</v>
      </c>
      <c r="K105" s="128"/>
      <c r="L105" s="128" t="s">
        <v>1879</v>
      </c>
      <c r="M105" s="132" t="s">
        <v>1874</v>
      </c>
      <c r="N105" s="128" t="s">
        <v>1879</v>
      </c>
      <c r="O105" s="145" t="s">
        <v>2031</v>
      </c>
    </row>
    <row r="106" spans="1:15" hidden="1">
      <c r="A106" s="74"/>
      <c r="B106" s="74"/>
      <c r="C106" s="74"/>
      <c r="D106" s="74"/>
      <c r="E106" s="74"/>
      <c r="F106" s="74"/>
      <c r="G106" s="74"/>
      <c r="H106" s="74"/>
      <c r="I106" s="74"/>
      <c r="J106" s="74"/>
      <c r="K106" s="74"/>
      <c r="L106" s="74"/>
      <c r="M106" s="74"/>
      <c r="N106" s="74"/>
      <c r="O106" s="74"/>
    </row>
    <row r="107" spans="1:15" ht="20.399999999999999" hidden="1">
      <c r="A107" s="255" t="s">
        <v>1349</v>
      </c>
      <c r="B107" s="255" t="s">
        <v>1350</v>
      </c>
      <c r="C107" s="255" t="s">
        <v>1302</v>
      </c>
      <c r="D107" s="255" t="s">
        <v>1297</v>
      </c>
      <c r="E107" s="255" t="s">
        <v>1302</v>
      </c>
      <c r="F107" s="255" t="s">
        <v>1351</v>
      </c>
      <c r="G107" s="255" t="s">
        <v>1312</v>
      </c>
      <c r="H107" s="255" t="s">
        <v>1352</v>
      </c>
      <c r="I107" s="256">
        <v>70</v>
      </c>
      <c r="J107" s="255" t="s">
        <v>1349</v>
      </c>
      <c r="K107" s="262" t="s">
        <v>1353</v>
      </c>
      <c r="L107" s="74"/>
      <c r="M107" s="74"/>
      <c r="N107" s="74"/>
      <c r="O107" s="74"/>
    </row>
    <row r="108" spans="1:15" hidden="1">
      <c r="A108" s="74"/>
      <c r="B108" s="74"/>
      <c r="C108" s="74"/>
      <c r="D108" s="74"/>
      <c r="E108" s="74"/>
      <c r="F108" s="74"/>
      <c r="G108" s="74"/>
      <c r="H108" s="74"/>
      <c r="I108" s="74"/>
      <c r="J108" s="74"/>
      <c r="K108" s="74"/>
      <c r="L108" s="74"/>
      <c r="M108" s="74"/>
      <c r="N108" s="74"/>
      <c r="O108" s="74"/>
    </row>
    <row r="109" spans="1:15" ht="20.399999999999999" hidden="1">
      <c r="A109" s="255" t="s">
        <v>1354</v>
      </c>
      <c r="B109" s="255" t="s">
        <v>1355</v>
      </c>
      <c r="C109" s="255" t="s">
        <v>1302</v>
      </c>
      <c r="D109" s="255" t="s">
        <v>1297</v>
      </c>
      <c r="E109" s="255" t="s">
        <v>1302</v>
      </c>
      <c r="F109" s="255" t="s">
        <v>1351</v>
      </c>
      <c r="G109" s="255" t="s">
        <v>1312</v>
      </c>
      <c r="H109" s="255" t="s">
        <v>1352</v>
      </c>
      <c r="I109" s="256">
        <v>70</v>
      </c>
      <c r="J109" s="255" t="s">
        <v>1354</v>
      </c>
      <c r="K109" s="262" t="s">
        <v>1356</v>
      </c>
      <c r="L109" s="74"/>
      <c r="M109" s="74"/>
      <c r="N109" s="74"/>
      <c r="O109" s="74"/>
    </row>
    <row r="110" spans="1:15" hidden="1">
      <c r="A110" s="74"/>
      <c r="B110" s="74"/>
      <c r="C110" s="74"/>
      <c r="D110" s="74"/>
      <c r="E110" s="74"/>
      <c r="F110" s="74"/>
      <c r="G110" s="74"/>
      <c r="H110" s="74"/>
      <c r="I110" s="74"/>
      <c r="J110" s="74"/>
      <c r="K110" s="74"/>
      <c r="L110" s="74"/>
      <c r="M110" s="74"/>
      <c r="N110" s="74"/>
      <c r="O110" s="74"/>
    </row>
    <row r="111" spans="1:15" ht="20.399999999999999" hidden="1">
      <c r="A111" s="255" t="s">
        <v>1357</v>
      </c>
      <c r="B111" s="255" t="s">
        <v>1358</v>
      </c>
      <c r="C111" s="255" t="s">
        <v>1302</v>
      </c>
      <c r="D111" s="255" t="s">
        <v>1297</v>
      </c>
      <c r="E111" s="255" t="s">
        <v>1302</v>
      </c>
      <c r="F111" s="255" t="s">
        <v>1351</v>
      </c>
      <c r="G111" s="255" t="s">
        <v>1312</v>
      </c>
      <c r="H111" s="255" t="s">
        <v>1352</v>
      </c>
      <c r="I111" s="256">
        <v>60</v>
      </c>
      <c r="J111" s="255" t="s">
        <v>1357</v>
      </c>
      <c r="K111" s="262" t="s">
        <v>1359</v>
      </c>
      <c r="L111" s="74"/>
      <c r="M111" s="74"/>
      <c r="N111" s="74"/>
      <c r="O111" s="74"/>
    </row>
    <row r="112" spans="1:15" hidden="1">
      <c r="A112" s="74"/>
      <c r="B112" s="74"/>
      <c r="C112" s="74"/>
      <c r="D112" s="74"/>
      <c r="E112" s="74"/>
      <c r="F112" s="74"/>
      <c r="G112" s="74"/>
      <c r="H112" s="74"/>
      <c r="I112" s="74"/>
      <c r="J112" s="74"/>
      <c r="K112" s="74"/>
      <c r="L112" s="74"/>
      <c r="M112" s="74"/>
      <c r="N112" s="74"/>
      <c r="O112" s="74"/>
    </row>
    <row r="113" spans="1:15" ht="20.399999999999999" hidden="1">
      <c r="A113" s="255" t="s">
        <v>1360</v>
      </c>
      <c r="B113" s="255" t="s">
        <v>1361</v>
      </c>
      <c r="C113" s="255" t="s">
        <v>1302</v>
      </c>
      <c r="D113" s="255" t="s">
        <v>1297</v>
      </c>
      <c r="E113" s="255" t="s">
        <v>1302</v>
      </c>
      <c r="F113" s="255" t="s">
        <v>1351</v>
      </c>
      <c r="G113" s="255" t="s">
        <v>1312</v>
      </c>
      <c r="H113" s="255" t="s">
        <v>1352</v>
      </c>
      <c r="I113" s="256">
        <v>60</v>
      </c>
      <c r="J113" s="255" t="s">
        <v>1360</v>
      </c>
      <c r="K113" s="262" t="s">
        <v>1362</v>
      </c>
      <c r="L113" s="74"/>
      <c r="M113" s="74"/>
      <c r="N113" s="74"/>
      <c r="O113" s="74"/>
    </row>
    <row r="114" spans="1:15" hidden="1">
      <c r="A114" s="74"/>
      <c r="B114" s="74"/>
      <c r="C114" s="74"/>
      <c r="D114" s="74"/>
      <c r="E114" s="74"/>
      <c r="F114" s="74"/>
      <c r="G114" s="74"/>
      <c r="H114" s="74"/>
      <c r="I114" s="74"/>
      <c r="J114" s="74"/>
      <c r="K114" s="74"/>
      <c r="L114" s="74"/>
      <c r="M114" s="74"/>
      <c r="N114" s="74"/>
      <c r="O114" s="74"/>
    </row>
    <row r="115" spans="1:15" ht="20.399999999999999" hidden="1">
      <c r="A115" s="249" t="s">
        <v>3062</v>
      </c>
      <c r="B115" s="249" t="s">
        <v>1363</v>
      </c>
      <c r="C115" s="249" t="s">
        <v>1296</v>
      </c>
      <c r="D115" s="249" t="s">
        <v>1297</v>
      </c>
      <c r="E115" s="249" t="s">
        <v>1296</v>
      </c>
      <c r="F115" s="249" t="s">
        <v>1338</v>
      </c>
      <c r="G115" s="249" t="s">
        <v>1299</v>
      </c>
      <c r="H115" s="249" t="s">
        <v>1339</v>
      </c>
      <c r="I115" s="250">
        <v>70</v>
      </c>
      <c r="J115" s="249" t="s">
        <v>3062</v>
      </c>
      <c r="K115" s="252" t="s">
        <v>3063</v>
      </c>
      <c r="L115" s="74"/>
      <c r="M115" s="74"/>
      <c r="N115" s="74"/>
      <c r="O115" s="74"/>
    </row>
    <row r="116" spans="1:15" hidden="1">
      <c r="A116" s="74"/>
      <c r="B116" s="74"/>
      <c r="C116" s="74"/>
      <c r="D116" s="74"/>
      <c r="E116" s="74"/>
      <c r="F116" s="74"/>
      <c r="G116" s="74"/>
      <c r="H116" s="74"/>
      <c r="I116" s="74"/>
      <c r="J116" s="74"/>
      <c r="K116" s="74"/>
      <c r="L116" s="74"/>
      <c r="M116" s="74"/>
      <c r="N116" s="74"/>
      <c r="O116" s="74"/>
    </row>
    <row r="117" spans="1:15" ht="30" hidden="1" customHeight="1">
      <c r="A117" s="249" t="s">
        <v>1364</v>
      </c>
      <c r="B117" s="249" t="s">
        <v>1365</v>
      </c>
      <c r="C117" s="249" t="s">
        <v>1296</v>
      </c>
      <c r="D117" s="249" t="s">
        <v>1297</v>
      </c>
      <c r="E117" s="249" t="s">
        <v>1296</v>
      </c>
      <c r="F117" s="249" t="s">
        <v>1338</v>
      </c>
      <c r="G117" s="249" t="s">
        <v>1299</v>
      </c>
      <c r="H117" s="249" t="s">
        <v>1339</v>
      </c>
      <c r="I117" s="250">
        <v>65</v>
      </c>
      <c r="J117" s="249" t="s">
        <v>1364</v>
      </c>
      <c r="K117" s="252" t="s">
        <v>3058</v>
      </c>
      <c r="L117" s="74" t="s">
        <v>1879</v>
      </c>
      <c r="M117" s="74"/>
      <c r="N117" s="74"/>
      <c r="O117" s="74"/>
    </row>
    <row r="118" spans="1:15" hidden="1">
      <c r="A118" s="74"/>
      <c r="B118" s="74"/>
      <c r="C118" s="74"/>
      <c r="D118" s="74"/>
      <c r="E118" s="74"/>
      <c r="F118" s="74"/>
      <c r="G118" s="74"/>
      <c r="H118" s="74"/>
      <c r="I118" s="74"/>
      <c r="J118" s="74"/>
      <c r="K118" s="74"/>
      <c r="L118" s="74"/>
      <c r="M118" s="74"/>
      <c r="N118" s="74"/>
      <c r="O118" s="74"/>
    </row>
    <row r="119" spans="1:15" ht="20.399999999999999" hidden="1">
      <c r="A119" s="249" t="s">
        <v>1366</v>
      </c>
      <c r="B119" s="249" t="s">
        <v>1367</v>
      </c>
      <c r="C119" s="249" t="s">
        <v>1296</v>
      </c>
      <c r="D119" s="249" t="s">
        <v>1297</v>
      </c>
      <c r="E119" s="249" t="s">
        <v>1296</v>
      </c>
      <c r="F119" s="249" t="s">
        <v>1338</v>
      </c>
      <c r="G119" s="249" t="s">
        <v>1299</v>
      </c>
      <c r="H119" s="249" t="s">
        <v>1339</v>
      </c>
      <c r="I119" s="250">
        <v>65</v>
      </c>
      <c r="J119" s="249" t="s">
        <v>1366</v>
      </c>
      <c r="K119" s="252" t="s">
        <v>3059</v>
      </c>
      <c r="L119" s="248" t="s">
        <v>1879</v>
      </c>
      <c r="M119" s="74"/>
      <c r="N119" s="74"/>
      <c r="O119" s="74"/>
    </row>
    <row r="120" spans="1:15" hidden="1">
      <c r="A120" s="74"/>
      <c r="B120" s="74"/>
      <c r="C120" s="74"/>
      <c r="D120" s="74"/>
      <c r="E120" s="74"/>
      <c r="F120" s="74"/>
      <c r="G120" s="74"/>
      <c r="H120" s="74"/>
      <c r="I120" s="74"/>
      <c r="J120" s="74"/>
      <c r="K120" s="74"/>
      <c r="L120" s="74"/>
      <c r="M120" s="74"/>
      <c r="N120" s="74"/>
      <c r="O120" s="74"/>
    </row>
    <row r="121" spans="1:15" ht="20.399999999999999" hidden="1">
      <c r="A121" s="249" t="s">
        <v>1368</v>
      </c>
      <c r="B121" s="249" t="s">
        <v>1369</v>
      </c>
      <c r="C121" s="249" t="s">
        <v>1296</v>
      </c>
      <c r="D121" s="249" t="s">
        <v>1297</v>
      </c>
      <c r="E121" s="249" t="s">
        <v>1296</v>
      </c>
      <c r="F121" s="249" t="s">
        <v>1338</v>
      </c>
      <c r="G121" s="249" t="s">
        <v>1299</v>
      </c>
      <c r="H121" s="249" t="s">
        <v>1339</v>
      </c>
      <c r="I121" s="250">
        <v>65</v>
      </c>
      <c r="J121" s="249" t="s">
        <v>1368</v>
      </c>
      <c r="K121" s="252" t="s">
        <v>3060</v>
      </c>
      <c r="L121" s="248" t="s">
        <v>1879</v>
      </c>
      <c r="M121" s="74"/>
      <c r="N121" s="74"/>
      <c r="O121" s="74"/>
    </row>
    <row r="122" spans="1:15" ht="20.399999999999999" hidden="1">
      <c r="A122" s="249" t="s">
        <v>1370</v>
      </c>
      <c r="B122" s="249" t="s">
        <v>1371</v>
      </c>
      <c r="C122" s="249" t="s">
        <v>1296</v>
      </c>
      <c r="D122" s="249" t="s">
        <v>1297</v>
      </c>
      <c r="E122" s="249" t="s">
        <v>1296</v>
      </c>
      <c r="F122" s="249" t="s">
        <v>1338</v>
      </c>
      <c r="G122" s="249" t="s">
        <v>1299</v>
      </c>
      <c r="H122" s="249" t="s">
        <v>1339</v>
      </c>
      <c r="I122" s="250">
        <v>70</v>
      </c>
      <c r="J122" s="249" t="s">
        <v>1370</v>
      </c>
      <c r="K122" s="252" t="s">
        <v>3061</v>
      </c>
      <c r="L122" s="248" t="s">
        <v>1879</v>
      </c>
      <c r="M122" s="74"/>
      <c r="N122" s="74"/>
      <c r="O122" s="74"/>
    </row>
    <row r="123" spans="1:15" hidden="1">
      <c r="A123" s="74"/>
      <c r="B123" s="74"/>
      <c r="C123" s="74"/>
      <c r="D123" s="74"/>
      <c r="E123" s="74"/>
      <c r="F123" s="74"/>
      <c r="G123" s="74"/>
      <c r="H123" s="74"/>
      <c r="I123" s="74"/>
      <c r="J123" s="74"/>
      <c r="K123" s="74"/>
      <c r="L123" s="74"/>
      <c r="M123" s="74"/>
      <c r="N123" s="74"/>
      <c r="O123" s="74"/>
    </row>
    <row r="124" spans="1:15" ht="21.6" hidden="1" customHeight="1">
      <c r="A124" s="255" t="s">
        <v>1372</v>
      </c>
      <c r="B124" s="255" t="s">
        <v>1373</v>
      </c>
      <c r="C124" s="255" t="s">
        <v>1302</v>
      </c>
      <c r="D124" s="255" t="s">
        <v>1374</v>
      </c>
      <c r="E124" s="255" t="s">
        <v>1302</v>
      </c>
      <c r="F124" s="255" t="s">
        <v>1351</v>
      </c>
      <c r="G124" s="255" t="s">
        <v>1312</v>
      </c>
      <c r="H124" s="255" t="s">
        <v>1352</v>
      </c>
      <c r="I124" s="256">
        <v>50</v>
      </c>
      <c r="J124" s="255" t="s">
        <v>1372</v>
      </c>
      <c r="K124" s="262" t="s">
        <v>1375</v>
      </c>
      <c r="L124" s="74"/>
      <c r="M124" s="74"/>
      <c r="N124" s="74"/>
      <c r="O124" s="74"/>
    </row>
    <row r="125" spans="1:15" hidden="1">
      <c r="A125" s="74"/>
      <c r="B125" s="74"/>
      <c r="C125" s="74"/>
      <c r="D125" s="74"/>
      <c r="E125" s="74"/>
      <c r="F125" s="74"/>
      <c r="G125" s="74"/>
      <c r="H125" s="74"/>
      <c r="I125" s="74"/>
      <c r="J125" s="74"/>
      <c r="K125" s="74"/>
      <c r="L125" s="74"/>
      <c r="M125" s="74"/>
      <c r="N125" s="74"/>
      <c r="O125" s="74"/>
    </row>
    <row r="126" spans="1:15" hidden="1">
      <c r="A126" s="255" t="s">
        <v>1376</v>
      </c>
      <c r="B126" s="255" t="s">
        <v>1377</v>
      </c>
      <c r="C126" s="255" t="s">
        <v>1296</v>
      </c>
      <c r="D126" s="255" t="s">
        <v>1297</v>
      </c>
      <c r="E126" s="255" t="s">
        <v>1296</v>
      </c>
      <c r="F126" s="255" t="s">
        <v>1338</v>
      </c>
      <c r="G126" s="255" t="s">
        <v>1299</v>
      </c>
      <c r="H126" s="255" t="s">
        <v>1339</v>
      </c>
      <c r="I126" s="256">
        <v>30</v>
      </c>
      <c r="J126" s="255" t="s">
        <v>1376</v>
      </c>
      <c r="K126" s="74"/>
      <c r="L126" s="74"/>
      <c r="M126" s="74"/>
      <c r="N126" s="74"/>
      <c r="O126" s="74"/>
    </row>
    <row r="127" spans="1:15" hidden="1">
      <c r="A127" s="128" t="s">
        <v>2032</v>
      </c>
      <c r="B127" s="128" t="s">
        <v>2033</v>
      </c>
      <c r="C127" s="128" t="s">
        <v>1464</v>
      </c>
      <c r="D127" s="128" t="s">
        <v>2034</v>
      </c>
      <c r="E127" s="128" t="s">
        <v>1464</v>
      </c>
      <c r="F127" s="128" t="s">
        <v>1877</v>
      </c>
      <c r="G127" s="128" t="s">
        <v>1454</v>
      </c>
      <c r="H127" s="128" t="s">
        <v>1466</v>
      </c>
      <c r="I127" s="129">
        <v>40</v>
      </c>
      <c r="J127" s="128" t="s">
        <v>2032</v>
      </c>
      <c r="K127" s="128"/>
      <c r="L127" s="128" t="s">
        <v>1879</v>
      </c>
      <c r="M127" s="132" t="s">
        <v>1874</v>
      </c>
      <c r="N127" s="128" t="s">
        <v>1879</v>
      </c>
      <c r="O127" s="145" t="s">
        <v>2035</v>
      </c>
    </row>
    <row r="128" spans="1:15" hidden="1">
      <c r="A128" s="128" t="s">
        <v>2038</v>
      </c>
      <c r="B128" s="128" t="s">
        <v>2036</v>
      </c>
      <c r="C128" s="128" t="s">
        <v>1464</v>
      </c>
      <c r="D128" s="128" t="s">
        <v>2034</v>
      </c>
      <c r="E128" s="128" t="s">
        <v>1464</v>
      </c>
      <c r="F128" s="128" t="s">
        <v>1877</v>
      </c>
      <c r="G128" s="128" t="s">
        <v>1454</v>
      </c>
      <c r="H128" s="128" t="s">
        <v>1466</v>
      </c>
      <c r="I128" s="129">
        <v>40</v>
      </c>
      <c r="J128" s="128" t="s">
        <v>2038</v>
      </c>
      <c r="K128" s="128"/>
      <c r="L128" s="128" t="s">
        <v>1879</v>
      </c>
      <c r="M128" s="132" t="s">
        <v>1874</v>
      </c>
      <c r="N128" s="128" t="s">
        <v>1879</v>
      </c>
      <c r="O128" s="145" t="s">
        <v>2037</v>
      </c>
    </row>
    <row r="129" spans="1:15" hidden="1">
      <c r="A129" s="128" t="s">
        <v>2039</v>
      </c>
      <c r="B129" s="128" t="s">
        <v>2040</v>
      </c>
      <c r="C129" s="128" t="s">
        <v>1464</v>
      </c>
      <c r="D129" s="128" t="s">
        <v>2034</v>
      </c>
      <c r="E129" s="128" t="s">
        <v>1464</v>
      </c>
      <c r="F129" s="128" t="s">
        <v>1877</v>
      </c>
      <c r="G129" s="128" t="s">
        <v>1454</v>
      </c>
      <c r="H129" s="128" t="s">
        <v>1466</v>
      </c>
      <c r="I129" s="129">
        <v>40</v>
      </c>
      <c r="J129" s="128" t="s">
        <v>2039</v>
      </c>
      <c r="K129" s="128"/>
      <c r="L129" s="128" t="s">
        <v>1879</v>
      </c>
      <c r="M129" s="132" t="s">
        <v>1874</v>
      </c>
      <c r="N129" s="128" t="s">
        <v>1879</v>
      </c>
      <c r="O129" s="145" t="s">
        <v>2037</v>
      </c>
    </row>
    <row r="130" spans="1:15" hidden="1">
      <c r="A130" s="128" t="s">
        <v>2041</v>
      </c>
      <c r="B130" s="128" t="s">
        <v>2042</v>
      </c>
      <c r="C130" s="128" t="s">
        <v>1464</v>
      </c>
      <c r="D130" s="128" t="s">
        <v>2034</v>
      </c>
      <c r="E130" s="128" t="s">
        <v>1464</v>
      </c>
      <c r="F130" s="128" t="s">
        <v>1877</v>
      </c>
      <c r="G130" s="128" t="s">
        <v>1454</v>
      </c>
      <c r="H130" s="128" t="s">
        <v>1466</v>
      </c>
      <c r="I130" s="129">
        <v>40</v>
      </c>
      <c r="J130" s="128" t="s">
        <v>2041</v>
      </c>
      <c r="K130" s="128"/>
      <c r="L130" s="128" t="s">
        <v>1879</v>
      </c>
      <c r="M130" s="132" t="s">
        <v>1874</v>
      </c>
      <c r="N130" s="128" t="s">
        <v>1879</v>
      </c>
      <c r="O130" s="145" t="s">
        <v>2037</v>
      </c>
    </row>
    <row r="131" spans="1:15" hidden="1">
      <c r="A131" s="128" t="s">
        <v>2043</v>
      </c>
      <c r="B131" s="128" t="s">
        <v>2044</v>
      </c>
      <c r="C131" s="128" t="s">
        <v>1464</v>
      </c>
      <c r="D131" s="128" t="s">
        <v>2034</v>
      </c>
      <c r="E131" s="128" t="s">
        <v>1464</v>
      </c>
      <c r="F131" s="128" t="s">
        <v>1877</v>
      </c>
      <c r="G131" s="128" t="s">
        <v>1454</v>
      </c>
      <c r="H131" s="128" t="s">
        <v>1466</v>
      </c>
      <c r="I131" s="129">
        <v>30</v>
      </c>
      <c r="J131" s="128" t="s">
        <v>2043</v>
      </c>
      <c r="K131" s="128"/>
      <c r="L131" s="128" t="s">
        <v>1879</v>
      </c>
      <c r="M131" s="132" t="s">
        <v>1874</v>
      </c>
      <c r="N131" s="128" t="s">
        <v>1879</v>
      </c>
      <c r="O131" s="145" t="s">
        <v>2037</v>
      </c>
    </row>
    <row r="132" spans="1:15" hidden="1">
      <c r="A132" s="74"/>
      <c r="B132" s="74"/>
      <c r="C132" s="74"/>
      <c r="D132" s="74"/>
      <c r="E132" s="74"/>
      <c r="F132" s="74"/>
      <c r="G132" s="74"/>
      <c r="H132" s="74"/>
      <c r="I132" s="74"/>
      <c r="J132" s="74"/>
      <c r="K132" s="74"/>
      <c r="L132" s="74"/>
      <c r="M132" s="74"/>
      <c r="N132" s="74"/>
      <c r="O132" s="74"/>
    </row>
    <row r="133" spans="1:15" s="158" customFormat="1" ht="28.8" hidden="1">
      <c r="A133" s="155" t="s">
        <v>2045</v>
      </c>
      <c r="B133" s="155" t="s">
        <v>2046</v>
      </c>
      <c r="C133" s="155" t="s">
        <v>1464</v>
      </c>
      <c r="D133" s="155" t="s">
        <v>1459</v>
      </c>
      <c r="E133" s="155" t="s">
        <v>1464</v>
      </c>
      <c r="F133" s="155" t="s">
        <v>1465</v>
      </c>
      <c r="G133" s="155" t="s">
        <v>1437</v>
      </c>
      <c r="H133" s="155" t="s">
        <v>1473</v>
      </c>
      <c r="I133" s="156">
        <v>75</v>
      </c>
      <c r="J133" s="155" t="s">
        <v>2045</v>
      </c>
      <c r="K133" s="155"/>
      <c r="L133" s="155"/>
      <c r="M133" s="155"/>
      <c r="N133" s="155"/>
      <c r="O133" s="157" t="s">
        <v>2037</v>
      </c>
    </row>
    <row r="134" spans="1:15" hidden="1">
      <c r="A134" s="74"/>
      <c r="B134" s="74"/>
      <c r="C134" s="74"/>
      <c r="D134" s="74"/>
      <c r="E134" s="74"/>
      <c r="F134" s="74"/>
      <c r="G134" s="74"/>
      <c r="H134" s="74"/>
      <c r="I134" s="74"/>
      <c r="J134" s="74"/>
      <c r="K134" s="74"/>
      <c r="L134" s="74"/>
      <c r="M134" s="74"/>
      <c r="N134" s="74"/>
      <c r="O134" s="74"/>
    </row>
    <row r="135" spans="1:15" ht="28.8" hidden="1">
      <c r="A135" s="155" t="s">
        <v>2048</v>
      </c>
      <c r="B135" s="155" t="s">
        <v>2047</v>
      </c>
      <c r="C135" s="155" t="s">
        <v>1464</v>
      </c>
      <c r="D135" s="155" t="s">
        <v>1459</v>
      </c>
      <c r="E135" s="155" t="s">
        <v>1464</v>
      </c>
      <c r="F135" s="155" t="s">
        <v>1465</v>
      </c>
      <c r="G135" s="155" t="s">
        <v>1437</v>
      </c>
      <c r="H135" s="155" t="s">
        <v>1473</v>
      </c>
      <c r="I135" s="156">
        <v>75</v>
      </c>
      <c r="J135" s="155" t="s">
        <v>2048</v>
      </c>
      <c r="K135" s="155"/>
      <c r="L135" s="155"/>
      <c r="M135" s="155"/>
      <c r="N135" s="155"/>
      <c r="O135" s="157" t="s">
        <v>2031</v>
      </c>
    </row>
    <row r="136" spans="1:15" hidden="1">
      <c r="A136" s="74"/>
      <c r="B136" s="74"/>
      <c r="C136" s="74"/>
      <c r="D136" s="74"/>
      <c r="E136" s="74"/>
      <c r="F136" s="74"/>
      <c r="G136" s="74"/>
      <c r="H136" s="74"/>
      <c r="I136" s="74"/>
      <c r="J136" s="74"/>
      <c r="K136" s="74"/>
      <c r="L136" s="74"/>
      <c r="M136" s="74"/>
      <c r="N136" s="74"/>
      <c r="O136" s="74"/>
    </row>
    <row r="137" spans="1:15" ht="28.8" hidden="1">
      <c r="A137" s="255" t="s">
        <v>1378</v>
      </c>
      <c r="B137" s="255" t="s">
        <v>1379</v>
      </c>
      <c r="C137" s="255" t="s">
        <v>1302</v>
      </c>
      <c r="D137" s="255" t="s">
        <v>1297</v>
      </c>
      <c r="E137" s="255" t="s">
        <v>1302</v>
      </c>
      <c r="F137" s="255" t="s">
        <v>1351</v>
      </c>
      <c r="G137" s="255" t="s">
        <v>1312</v>
      </c>
      <c r="H137" s="255" t="s">
        <v>1352</v>
      </c>
      <c r="I137" s="256">
        <v>75</v>
      </c>
      <c r="J137" s="255" t="s">
        <v>1378</v>
      </c>
      <c r="K137" s="74" t="s">
        <v>3091</v>
      </c>
      <c r="L137" s="74"/>
      <c r="M137" s="74"/>
      <c r="N137" s="74"/>
      <c r="O137" s="74"/>
    </row>
    <row r="138" spans="1:15">
      <c r="A138" s="255" t="s">
        <v>1380</v>
      </c>
      <c r="B138" s="255" t="s">
        <v>1381</v>
      </c>
      <c r="C138" s="255" t="s">
        <v>1296</v>
      </c>
      <c r="D138" s="255" t="s">
        <v>1382</v>
      </c>
      <c r="E138" s="255" t="s">
        <v>1296</v>
      </c>
      <c r="F138" s="255" t="s">
        <v>1383</v>
      </c>
      <c r="G138" s="255" t="s">
        <v>1299</v>
      </c>
      <c r="H138" s="255" t="s">
        <v>1384</v>
      </c>
      <c r="I138" s="256">
        <v>35</v>
      </c>
      <c r="J138" s="255" t="s">
        <v>1380</v>
      </c>
      <c r="K138" s="74"/>
      <c r="L138" s="74"/>
      <c r="M138" s="74"/>
      <c r="N138" s="74"/>
      <c r="O138" s="74"/>
    </row>
    <row r="139" spans="1:15" hidden="1">
      <c r="A139" s="128" t="s">
        <v>2816</v>
      </c>
      <c r="B139" s="128" t="s">
        <v>2814</v>
      </c>
      <c r="C139" s="128" t="s">
        <v>1464</v>
      </c>
      <c r="D139" s="128" t="s">
        <v>2817</v>
      </c>
      <c r="E139" s="128" t="s">
        <v>1464</v>
      </c>
      <c r="F139" s="128" t="s">
        <v>2818</v>
      </c>
      <c r="G139" s="128" t="s">
        <v>1454</v>
      </c>
      <c r="H139" s="128" t="s">
        <v>1498</v>
      </c>
      <c r="I139" s="129">
        <v>10</v>
      </c>
      <c r="J139" s="128" t="s">
        <v>2816</v>
      </c>
      <c r="K139" s="128"/>
      <c r="L139" s="128"/>
      <c r="M139" s="128"/>
      <c r="N139" s="128"/>
      <c r="O139" s="128" t="s">
        <v>1878</v>
      </c>
    </row>
    <row r="140" spans="1:15" hidden="1">
      <c r="A140" s="128" t="s">
        <v>2819</v>
      </c>
      <c r="B140" s="128" t="s">
        <v>2820</v>
      </c>
      <c r="C140" s="128" t="s">
        <v>1464</v>
      </c>
      <c r="D140" s="128" t="s">
        <v>2817</v>
      </c>
      <c r="E140" s="128" t="s">
        <v>1464</v>
      </c>
      <c r="F140" s="128" t="s">
        <v>2818</v>
      </c>
      <c r="G140" s="128" t="s">
        <v>1454</v>
      </c>
      <c r="H140" s="128" t="s">
        <v>1498</v>
      </c>
      <c r="I140" s="129">
        <v>15</v>
      </c>
      <c r="J140" s="128" t="s">
        <v>2819</v>
      </c>
      <c r="K140" s="128"/>
      <c r="L140" s="128"/>
      <c r="M140" s="128"/>
      <c r="N140" s="128"/>
      <c r="O140" s="128" t="s">
        <v>1878</v>
      </c>
    </row>
    <row r="141" spans="1:15" hidden="1">
      <c r="A141" s="74"/>
      <c r="B141" s="74"/>
      <c r="C141" s="74"/>
      <c r="D141" s="74"/>
      <c r="E141" s="74"/>
      <c r="F141" s="74"/>
      <c r="G141" s="74"/>
      <c r="H141" s="74"/>
      <c r="I141" s="74"/>
      <c r="J141" s="74"/>
      <c r="K141" s="74"/>
      <c r="L141" s="74"/>
      <c r="M141" s="74"/>
      <c r="N141" s="74"/>
      <c r="O141" s="74"/>
    </row>
    <row r="142" spans="1:15">
      <c r="A142" s="255" t="s">
        <v>1385</v>
      </c>
      <c r="B142" s="255" t="s">
        <v>1386</v>
      </c>
      <c r="C142" s="255" t="s">
        <v>1327</v>
      </c>
      <c r="D142" s="255" t="s">
        <v>1382</v>
      </c>
      <c r="E142" s="255" t="s">
        <v>1327</v>
      </c>
      <c r="F142" s="255" t="s">
        <v>1387</v>
      </c>
      <c r="G142" s="255" t="s">
        <v>1304</v>
      </c>
      <c r="H142" s="255" t="s">
        <v>1388</v>
      </c>
      <c r="I142" s="256">
        <v>25</v>
      </c>
      <c r="J142" s="255" t="s">
        <v>1385</v>
      </c>
      <c r="K142" s="74"/>
      <c r="L142" s="74"/>
      <c r="M142" s="74"/>
      <c r="N142" s="74"/>
      <c r="O142" s="74"/>
    </row>
    <row r="143" spans="1:15" hidden="1">
      <c r="A143" s="192" t="s">
        <v>2823</v>
      </c>
      <c r="B143" s="192" t="s">
        <v>2824</v>
      </c>
      <c r="C143" s="192" t="s">
        <v>1464</v>
      </c>
      <c r="D143" s="192" t="s">
        <v>2825</v>
      </c>
      <c r="E143" s="192" t="s">
        <v>1464</v>
      </c>
      <c r="F143" s="192" t="s">
        <v>2826</v>
      </c>
      <c r="G143" s="192" t="s">
        <v>1454</v>
      </c>
      <c r="H143" s="192" t="s">
        <v>1498</v>
      </c>
      <c r="I143" s="193">
        <v>40</v>
      </c>
      <c r="J143" s="192" t="s">
        <v>2823</v>
      </c>
      <c r="K143" s="192" t="s">
        <v>2827</v>
      </c>
      <c r="L143" s="192" t="s">
        <v>1879</v>
      </c>
      <c r="M143" s="192" t="s">
        <v>1879</v>
      </c>
      <c r="N143" s="192" t="s">
        <v>2821</v>
      </c>
      <c r="O143" s="74"/>
    </row>
    <row r="144" spans="1:15" hidden="1">
      <c r="A144" s="192" t="s">
        <v>2828</v>
      </c>
      <c r="B144" s="192" t="s">
        <v>2829</v>
      </c>
      <c r="C144" s="192" t="s">
        <v>1464</v>
      </c>
      <c r="D144" s="192" t="s">
        <v>2825</v>
      </c>
      <c r="E144" s="192" t="s">
        <v>1464</v>
      </c>
      <c r="F144" s="192" t="s">
        <v>2826</v>
      </c>
      <c r="G144" s="192" t="s">
        <v>1454</v>
      </c>
      <c r="H144" s="192" t="s">
        <v>1498</v>
      </c>
      <c r="I144" s="193">
        <v>20</v>
      </c>
      <c r="J144" s="192" t="s">
        <v>2828</v>
      </c>
      <c r="K144" s="192" t="s">
        <v>2827</v>
      </c>
      <c r="L144" s="192" t="s">
        <v>1879</v>
      </c>
      <c r="M144" s="192" t="s">
        <v>1879</v>
      </c>
      <c r="N144" s="192" t="s">
        <v>2821</v>
      </c>
      <c r="O144" s="74"/>
    </row>
    <row r="145" spans="1:15" hidden="1">
      <c r="A145" s="192" t="s">
        <v>2830</v>
      </c>
      <c r="B145" s="192" t="s">
        <v>2831</v>
      </c>
      <c r="C145" s="192" t="s">
        <v>1464</v>
      </c>
      <c r="D145" s="192" t="s">
        <v>2825</v>
      </c>
      <c r="E145" s="192" t="s">
        <v>1464</v>
      </c>
      <c r="F145" s="192" t="s">
        <v>2826</v>
      </c>
      <c r="G145" s="192" t="s">
        <v>1454</v>
      </c>
      <c r="H145" s="192" t="s">
        <v>1498</v>
      </c>
      <c r="I145" s="193">
        <v>45</v>
      </c>
      <c r="J145" s="192" t="s">
        <v>2830</v>
      </c>
      <c r="K145" s="192" t="s">
        <v>2832</v>
      </c>
      <c r="L145" s="192" t="s">
        <v>1879</v>
      </c>
      <c r="M145" s="192" t="s">
        <v>1879</v>
      </c>
      <c r="N145" s="192" t="s">
        <v>2821</v>
      </c>
      <c r="O145" s="74"/>
    </row>
    <row r="146" spans="1:15" hidden="1">
      <c r="A146" s="192" t="s">
        <v>2833</v>
      </c>
      <c r="B146" s="192" t="s">
        <v>2834</v>
      </c>
      <c r="C146" s="192" t="s">
        <v>1464</v>
      </c>
      <c r="D146" s="192" t="s">
        <v>2825</v>
      </c>
      <c r="E146" s="192" t="s">
        <v>1464</v>
      </c>
      <c r="F146" s="192" t="s">
        <v>2826</v>
      </c>
      <c r="G146" s="192" t="s">
        <v>1454</v>
      </c>
      <c r="H146" s="192" t="s">
        <v>1498</v>
      </c>
      <c r="I146" s="193">
        <v>15</v>
      </c>
      <c r="J146" s="192" t="s">
        <v>2833</v>
      </c>
      <c r="K146" s="192" t="s">
        <v>2832</v>
      </c>
      <c r="L146" s="192" t="s">
        <v>1879</v>
      </c>
      <c r="M146" s="192" t="s">
        <v>1879</v>
      </c>
      <c r="N146" s="192" t="s">
        <v>2821</v>
      </c>
      <c r="O146" s="74"/>
    </row>
    <row r="147" spans="1:15" hidden="1">
      <c r="A147" s="266" t="s">
        <v>2835</v>
      </c>
      <c r="B147" s="266" t="s">
        <v>2836</v>
      </c>
      <c r="C147" s="266" t="s">
        <v>1464</v>
      </c>
      <c r="D147" s="266" t="s">
        <v>2825</v>
      </c>
      <c r="E147" s="266" t="s">
        <v>1464</v>
      </c>
      <c r="F147" s="266" t="s">
        <v>2826</v>
      </c>
      <c r="G147" s="266" t="s">
        <v>1454</v>
      </c>
      <c r="H147" s="266" t="s">
        <v>1498</v>
      </c>
      <c r="I147" s="267">
        <v>30</v>
      </c>
      <c r="J147" s="266" t="s">
        <v>2835</v>
      </c>
      <c r="K147" s="266" t="s">
        <v>2837</v>
      </c>
      <c r="L147" s="266" t="s">
        <v>1874</v>
      </c>
      <c r="M147" s="192" t="s">
        <v>1879</v>
      </c>
      <c r="N147" s="192" t="s">
        <v>2821</v>
      </c>
      <c r="O147" s="74"/>
    </row>
    <row r="148" spans="1:15" hidden="1">
      <c r="A148" s="266" t="s">
        <v>2838</v>
      </c>
      <c r="B148" s="266" t="s">
        <v>2839</v>
      </c>
      <c r="C148" s="266" t="s">
        <v>1464</v>
      </c>
      <c r="D148" s="266" t="s">
        <v>2825</v>
      </c>
      <c r="E148" s="266" t="s">
        <v>1464</v>
      </c>
      <c r="F148" s="266" t="s">
        <v>2826</v>
      </c>
      <c r="G148" s="266" t="s">
        <v>1454</v>
      </c>
      <c r="H148" s="266" t="s">
        <v>1498</v>
      </c>
      <c r="I148" s="267">
        <v>35</v>
      </c>
      <c r="J148" s="266" t="s">
        <v>2838</v>
      </c>
      <c r="K148" s="266" t="s">
        <v>2837</v>
      </c>
      <c r="L148" s="266" t="s">
        <v>1874</v>
      </c>
      <c r="M148" s="192" t="s">
        <v>1879</v>
      </c>
      <c r="N148" s="192" t="s">
        <v>2821</v>
      </c>
      <c r="O148" s="74"/>
    </row>
    <row r="149" spans="1:15" hidden="1">
      <c r="A149" s="74"/>
      <c r="B149" s="74"/>
      <c r="C149" s="74"/>
      <c r="D149" s="74"/>
      <c r="E149" s="74"/>
      <c r="F149" s="74"/>
      <c r="G149" s="74"/>
      <c r="H149" s="74"/>
      <c r="I149" s="74"/>
      <c r="J149" s="74"/>
      <c r="K149" s="74"/>
      <c r="L149" s="74"/>
      <c r="M149" s="74"/>
      <c r="N149" s="74"/>
      <c r="O149" s="74"/>
    </row>
    <row r="150" spans="1:15">
      <c r="A150" s="249" t="s">
        <v>1389</v>
      </c>
      <c r="B150" s="249" t="s">
        <v>3086</v>
      </c>
      <c r="C150" s="249" t="s">
        <v>1302</v>
      </c>
      <c r="D150" s="249" t="s">
        <v>1382</v>
      </c>
      <c r="E150" s="249" t="s">
        <v>1302</v>
      </c>
      <c r="F150" s="249" t="s">
        <v>1390</v>
      </c>
      <c r="G150" s="249" t="s">
        <v>1391</v>
      </c>
      <c r="H150" s="249" t="s">
        <v>1392</v>
      </c>
      <c r="I150" s="250">
        <v>30</v>
      </c>
      <c r="J150" s="249" t="s">
        <v>1389</v>
      </c>
      <c r="K150" s="251" t="s">
        <v>1306</v>
      </c>
      <c r="L150" s="74"/>
      <c r="M150" s="74"/>
      <c r="N150" s="74"/>
      <c r="O150" s="74"/>
    </row>
    <row r="151" spans="1:15" hidden="1">
      <c r="A151" s="74"/>
      <c r="B151" s="74"/>
      <c r="C151" s="74"/>
      <c r="D151" s="74"/>
      <c r="E151" s="74"/>
      <c r="F151" s="74"/>
      <c r="G151" s="74"/>
      <c r="H151" s="74"/>
      <c r="I151" s="74"/>
      <c r="J151" s="74"/>
      <c r="K151" s="74"/>
      <c r="L151" s="74"/>
      <c r="M151" s="74"/>
      <c r="N151" s="74"/>
      <c r="O151" s="74"/>
    </row>
    <row r="152" spans="1:15">
      <c r="A152" s="249" t="s">
        <v>1393</v>
      </c>
      <c r="B152" s="249" t="s">
        <v>1318</v>
      </c>
      <c r="C152" s="249" t="s">
        <v>1302</v>
      </c>
      <c r="D152" s="249" t="s">
        <v>1382</v>
      </c>
      <c r="E152" s="249" t="s">
        <v>1302</v>
      </c>
      <c r="F152" s="249" t="s">
        <v>1390</v>
      </c>
      <c r="G152" s="249" t="s">
        <v>1391</v>
      </c>
      <c r="H152" s="249" t="s">
        <v>1392</v>
      </c>
      <c r="I152" s="250">
        <v>30</v>
      </c>
      <c r="J152" s="249" t="s">
        <v>1393</v>
      </c>
      <c r="K152" s="251" t="s">
        <v>1306</v>
      </c>
      <c r="L152" s="74"/>
      <c r="M152" s="74"/>
      <c r="N152" s="74"/>
      <c r="O152" s="74"/>
    </row>
    <row r="153" spans="1:15" hidden="1">
      <c r="A153" s="74"/>
      <c r="B153" s="74"/>
      <c r="C153" s="74"/>
      <c r="D153" s="74"/>
      <c r="E153" s="74"/>
      <c r="F153" s="74"/>
      <c r="G153" s="74"/>
      <c r="H153" s="74"/>
      <c r="I153" s="74"/>
      <c r="J153" s="74"/>
      <c r="K153" s="74"/>
      <c r="L153" s="74"/>
      <c r="M153" s="74"/>
      <c r="N153" s="74"/>
      <c r="O153" s="74"/>
    </row>
    <row r="154" spans="1:15">
      <c r="A154" s="255" t="s">
        <v>1394</v>
      </c>
      <c r="B154" s="255" t="s">
        <v>1395</v>
      </c>
      <c r="C154" s="255" t="s">
        <v>1327</v>
      </c>
      <c r="D154" s="255" t="s">
        <v>1382</v>
      </c>
      <c r="E154" s="255" t="s">
        <v>1327</v>
      </c>
      <c r="F154" s="255" t="s">
        <v>1396</v>
      </c>
      <c r="G154" s="255" t="s">
        <v>1299</v>
      </c>
      <c r="H154" s="255" t="s">
        <v>1397</v>
      </c>
      <c r="I154" s="256">
        <v>35</v>
      </c>
      <c r="J154" s="255" t="s">
        <v>1394</v>
      </c>
      <c r="K154" s="74"/>
      <c r="L154" s="74"/>
      <c r="M154" s="74"/>
      <c r="N154" s="74"/>
      <c r="O154" s="74"/>
    </row>
    <row r="155" spans="1:15" hidden="1">
      <c r="A155" s="192" t="s">
        <v>2847</v>
      </c>
      <c r="B155" s="192" t="s">
        <v>2848</v>
      </c>
      <c r="C155" s="192" t="s">
        <v>1464</v>
      </c>
      <c r="D155" s="192" t="s">
        <v>2849</v>
      </c>
      <c r="E155" s="192" t="s">
        <v>1464</v>
      </c>
      <c r="F155" s="192" t="s">
        <v>2818</v>
      </c>
      <c r="G155" s="192" t="s">
        <v>1454</v>
      </c>
      <c r="H155" s="192" t="s">
        <v>1498</v>
      </c>
      <c r="I155" s="193">
        <v>20</v>
      </c>
      <c r="J155" s="192" t="s">
        <v>2847</v>
      </c>
      <c r="K155" s="192"/>
      <c r="L155" s="192" t="s">
        <v>1879</v>
      </c>
      <c r="M155" s="192" t="s">
        <v>1879</v>
      </c>
      <c r="N155" s="192" t="s">
        <v>1879</v>
      </c>
      <c r="O155" s="192" t="s">
        <v>1896</v>
      </c>
    </row>
    <row r="156" spans="1:15" hidden="1">
      <c r="A156" s="192" t="s">
        <v>2850</v>
      </c>
      <c r="B156" s="192" t="s">
        <v>2851</v>
      </c>
      <c r="C156" s="192" t="s">
        <v>1464</v>
      </c>
      <c r="D156" s="192" t="s">
        <v>2849</v>
      </c>
      <c r="E156" s="192" t="s">
        <v>1464</v>
      </c>
      <c r="F156" s="192" t="s">
        <v>2818</v>
      </c>
      <c r="G156" s="192" t="s">
        <v>1454</v>
      </c>
      <c r="H156" s="192" t="s">
        <v>1498</v>
      </c>
      <c r="I156" s="193">
        <v>30</v>
      </c>
      <c r="J156" s="192" t="s">
        <v>2850</v>
      </c>
      <c r="K156" s="192"/>
      <c r="L156" s="192" t="s">
        <v>1879</v>
      </c>
      <c r="M156" s="192" t="s">
        <v>1879</v>
      </c>
      <c r="N156" s="192" t="s">
        <v>1879</v>
      </c>
      <c r="O156" s="192" t="s">
        <v>1898</v>
      </c>
    </row>
    <row r="157" spans="1:15" hidden="1">
      <c r="A157" s="192" t="s">
        <v>2852</v>
      </c>
      <c r="B157" s="192" t="s">
        <v>2853</v>
      </c>
      <c r="C157" s="192" t="s">
        <v>1464</v>
      </c>
      <c r="D157" s="192" t="s">
        <v>2849</v>
      </c>
      <c r="E157" s="192" t="s">
        <v>1464</v>
      </c>
      <c r="F157" s="192" t="s">
        <v>2818</v>
      </c>
      <c r="G157" s="192" t="s">
        <v>1454</v>
      </c>
      <c r="H157" s="192" t="s">
        <v>1498</v>
      </c>
      <c r="I157" s="193">
        <v>30</v>
      </c>
      <c r="J157" s="192" t="s">
        <v>2852</v>
      </c>
      <c r="K157" s="192" t="s">
        <v>2854</v>
      </c>
      <c r="L157" s="192"/>
      <c r="M157" s="192"/>
      <c r="N157" s="192"/>
      <c r="O157" s="192" t="s">
        <v>1899</v>
      </c>
    </row>
    <row r="158" spans="1:15" hidden="1">
      <c r="A158" s="192" t="s">
        <v>2855</v>
      </c>
      <c r="B158" s="192" t="s">
        <v>2856</v>
      </c>
      <c r="C158" s="192" t="s">
        <v>1464</v>
      </c>
      <c r="D158" s="192" t="s">
        <v>2849</v>
      </c>
      <c r="E158" s="192" t="s">
        <v>1464</v>
      </c>
      <c r="F158" s="192" t="s">
        <v>2818</v>
      </c>
      <c r="G158" s="192" t="s">
        <v>1454</v>
      </c>
      <c r="H158" s="192" t="s">
        <v>1498</v>
      </c>
      <c r="I158" s="193">
        <v>30</v>
      </c>
      <c r="J158" s="192" t="s">
        <v>2855</v>
      </c>
      <c r="K158" s="192"/>
      <c r="L158" s="192"/>
      <c r="M158" s="192"/>
      <c r="N158" s="192"/>
      <c r="O158" s="192" t="s">
        <v>1902</v>
      </c>
    </row>
    <row r="159" spans="1:15" hidden="1">
      <c r="A159" s="192" t="s">
        <v>2857</v>
      </c>
      <c r="B159" s="192" t="s">
        <v>2858</v>
      </c>
      <c r="C159" s="192" t="s">
        <v>1464</v>
      </c>
      <c r="D159" s="192" t="s">
        <v>2849</v>
      </c>
      <c r="E159" s="192" t="s">
        <v>1464</v>
      </c>
      <c r="F159" s="192" t="s">
        <v>2818</v>
      </c>
      <c r="G159" s="192" t="s">
        <v>1454</v>
      </c>
      <c r="H159" s="192" t="s">
        <v>1498</v>
      </c>
      <c r="I159" s="193">
        <v>20</v>
      </c>
      <c r="J159" s="192" t="s">
        <v>2857</v>
      </c>
      <c r="K159" s="192"/>
      <c r="L159" s="192"/>
      <c r="M159" s="192"/>
      <c r="N159" s="192"/>
      <c r="O159" s="192" t="s">
        <v>1896</v>
      </c>
    </row>
    <row r="160" spans="1:15" hidden="1">
      <c r="A160" s="192" t="s">
        <v>2860</v>
      </c>
      <c r="B160" s="192" t="s">
        <v>2859</v>
      </c>
      <c r="C160" s="192" t="s">
        <v>1464</v>
      </c>
      <c r="D160" s="192" t="s">
        <v>2849</v>
      </c>
      <c r="E160" s="192" t="s">
        <v>1464</v>
      </c>
      <c r="F160" s="192" t="s">
        <v>2818</v>
      </c>
      <c r="G160" s="192" t="s">
        <v>1454</v>
      </c>
      <c r="H160" s="192" t="s">
        <v>1498</v>
      </c>
      <c r="I160" s="193">
        <v>30</v>
      </c>
      <c r="J160" s="192" t="s">
        <v>2860</v>
      </c>
      <c r="K160" s="192"/>
      <c r="L160" s="192"/>
      <c r="M160" s="192"/>
      <c r="N160" s="192"/>
      <c r="O160" s="192" t="s">
        <v>1898</v>
      </c>
    </row>
    <row r="161" spans="1:15" hidden="1">
      <c r="A161" s="192" t="s">
        <v>2861</v>
      </c>
      <c r="B161" s="192" t="s">
        <v>2862</v>
      </c>
      <c r="C161" s="192" t="s">
        <v>1464</v>
      </c>
      <c r="D161" s="192" t="s">
        <v>2849</v>
      </c>
      <c r="E161" s="192" t="s">
        <v>1464</v>
      </c>
      <c r="F161" s="192" t="s">
        <v>2818</v>
      </c>
      <c r="G161" s="192" t="s">
        <v>1454</v>
      </c>
      <c r="H161" s="192" t="s">
        <v>1498</v>
      </c>
      <c r="I161" s="193">
        <v>30</v>
      </c>
      <c r="J161" s="192" t="s">
        <v>2861</v>
      </c>
      <c r="K161" s="192" t="s">
        <v>2854</v>
      </c>
      <c r="L161" s="192"/>
      <c r="M161" s="192"/>
      <c r="N161" s="192"/>
      <c r="O161" s="192" t="s">
        <v>1899</v>
      </c>
    </row>
    <row r="162" spans="1:15" hidden="1">
      <c r="A162" s="192" t="s">
        <v>2863</v>
      </c>
      <c r="B162" s="192" t="s">
        <v>2864</v>
      </c>
      <c r="C162" s="192" t="s">
        <v>1464</v>
      </c>
      <c r="D162" s="192" t="s">
        <v>2849</v>
      </c>
      <c r="E162" s="192" t="s">
        <v>1464</v>
      </c>
      <c r="F162" s="192" t="s">
        <v>2818</v>
      </c>
      <c r="G162" s="192" t="s">
        <v>1454</v>
      </c>
      <c r="H162" s="192" t="s">
        <v>1498</v>
      </c>
      <c r="I162" s="193">
        <v>30</v>
      </c>
      <c r="J162" s="192" t="s">
        <v>2863</v>
      </c>
      <c r="K162" s="192"/>
      <c r="L162" s="192"/>
      <c r="M162" s="192"/>
      <c r="N162" s="192"/>
      <c r="O162" s="192" t="s">
        <v>1902</v>
      </c>
    </row>
    <row r="163" spans="1:15">
      <c r="A163" s="255" t="s">
        <v>1398</v>
      </c>
      <c r="B163" s="255" t="s">
        <v>1399</v>
      </c>
      <c r="C163" s="255" t="s">
        <v>1327</v>
      </c>
      <c r="D163" s="255" t="s">
        <v>1382</v>
      </c>
      <c r="E163" s="255" t="s">
        <v>1327</v>
      </c>
      <c r="F163" s="255" t="s">
        <v>1400</v>
      </c>
      <c r="G163" s="255" t="s">
        <v>1312</v>
      </c>
      <c r="H163" s="255" t="s">
        <v>1401</v>
      </c>
      <c r="I163" s="256">
        <v>65</v>
      </c>
      <c r="J163" s="255" t="s">
        <v>1398</v>
      </c>
      <c r="K163" s="74"/>
      <c r="L163" s="74"/>
      <c r="M163" s="74"/>
      <c r="N163" s="74"/>
      <c r="O163" s="74"/>
    </row>
    <row r="164" spans="1:15" hidden="1">
      <c r="A164" s="192" t="s">
        <v>2865</v>
      </c>
      <c r="B164" s="192" t="s">
        <v>2866</v>
      </c>
      <c r="C164" s="192" t="s">
        <v>1464</v>
      </c>
      <c r="D164" s="192" t="s">
        <v>2867</v>
      </c>
      <c r="E164" s="192" t="s">
        <v>1464</v>
      </c>
      <c r="F164" s="192" t="s">
        <v>2826</v>
      </c>
      <c r="G164" s="192" t="s">
        <v>1437</v>
      </c>
      <c r="H164" s="192" t="s">
        <v>2868</v>
      </c>
      <c r="I164" s="193">
        <v>45</v>
      </c>
      <c r="J164" s="192" t="s">
        <v>2865</v>
      </c>
      <c r="K164" s="192"/>
      <c r="L164" s="192"/>
      <c r="M164" s="192"/>
      <c r="N164" s="192"/>
      <c r="O164" s="192" t="s">
        <v>1981</v>
      </c>
    </row>
    <row r="165" spans="1:15" hidden="1">
      <c r="A165" s="192" t="s">
        <v>2869</v>
      </c>
      <c r="B165" s="192" t="s">
        <v>2870</v>
      </c>
      <c r="C165" s="192" t="s">
        <v>1464</v>
      </c>
      <c r="D165" s="192" t="s">
        <v>2867</v>
      </c>
      <c r="E165" s="192" t="s">
        <v>1464</v>
      </c>
      <c r="F165" s="192" t="s">
        <v>2826</v>
      </c>
      <c r="G165" s="192" t="s">
        <v>1437</v>
      </c>
      <c r="H165" s="192" t="s">
        <v>2868</v>
      </c>
      <c r="I165" s="193">
        <v>10</v>
      </c>
      <c r="J165" s="192" t="s">
        <v>2869</v>
      </c>
      <c r="K165" s="192"/>
      <c r="L165" s="192"/>
      <c r="M165" s="192"/>
      <c r="N165" s="192"/>
      <c r="O165" s="192" t="s">
        <v>2021</v>
      </c>
    </row>
    <row r="166" spans="1:15" hidden="1">
      <c r="A166" s="192" t="s">
        <v>2871</v>
      </c>
      <c r="B166" s="192" t="s">
        <v>2872</v>
      </c>
      <c r="C166" s="192" t="s">
        <v>1464</v>
      </c>
      <c r="D166" s="192" t="s">
        <v>2867</v>
      </c>
      <c r="E166" s="192" t="s">
        <v>1464</v>
      </c>
      <c r="F166" s="192" t="s">
        <v>2826</v>
      </c>
      <c r="G166" s="192" t="s">
        <v>1437</v>
      </c>
      <c r="H166" s="192" t="s">
        <v>2868</v>
      </c>
      <c r="I166" s="193">
        <v>10</v>
      </c>
      <c r="J166" s="192" t="s">
        <v>2871</v>
      </c>
      <c r="K166" s="192"/>
      <c r="L166" s="192"/>
      <c r="M166" s="192"/>
      <c r="N166" s="192"/>
      <c r="O166" s="192" t="s">
        <v>2021</v>
      </c>
    </row>
    <row r="167" spans="1:15" hidden="1">
      <c r="A167" s="192" t="s">
        <v>2873</v>
      </c>
      <c r="B167" s="192" t="s">
        <v>2874</v>
      </c>
      <c r="C167" s="192" t="s">
        <v>1464</v>
      </c>
      <c r="D167" s="192" t="s">
        <v>2867</v>
      </c>
      <c r="E167" s="192" t="s">
        <v>1464</v>
      </c>
      <c r="F167" s="192" t="s">
        <v>2826</v>
      </c>
      <c r="G167" s="192" t="s">
        <v>1437</v>
      </c>
      <c r="H167" s="192" t="s">
        <v>2868</v>
      </c>
      <c r="I167" s="193">
        <v>15</v>
      </c>
      <c r="J167" s="192" t="s">
        <v>2873</v>
      </c>
      <c r="K167" s="192"/>
      <c r="L167" s="192"/>
      <c r="M167" s="192"/>
      <c r="N167" s="192"/>
      <c r="O167" s="192" t="s">
        <v>2026</v>
      </c>
    </row>
    <row r="168" spans="1:15" hidden="1">
      <c r="A168" s="192" t="s">
        <v>2875</v>
      </c>
      <c r="B168" s="192" t="s">
        <v>2876</v>
      </c>
      <c r="C168" s="192" t="s">
        <v>1464</v>
      </c>
      <c r="D168" s="192" t="s">
        <v>2867</v>
      </c>
      <c r="E168" s="192" t="s">
        <v>1464</v>
      </c>
      <c r="F168" s="192" t="s">
        <v>2826</v>
      </c>
      <c r="G168" s="192" t="s">
        <v>1437</v>
      </c>
      <c r="H168" s="192" t="s">
        <v>2868</v>
      </c>
      <c r="I168" s="193">
        <v>15</v>
      </c>
      <c r="J168" s="192" t="s">
        <v>2875</v>
      </c>
      <c r="K168" s="192"/>
      <c r="L168" s="192"/>
      <c r="M168" s="192"/>
      <c r="N168" s="192"/>
      <c r="O168" s="192" t="s">
        <v>2026</v>
      </c>
    </row>
    <row r="169" spans="1:15" hidden="1">
      <c r="A169" s="74"/>
      <c r="B169" s="74"/>
      <c r="C169" s="74"/>
      <c r="D169" s="74"/>
      <c r="E169" s="74"/>
      <c r="F169" s="74"/>
      <c r="G169" s="74"/>
      <c r="H169" s="74"/>
      <c r="I169" s="74"/>
      <c r="J169" s="74"/>
      <c r="K169" s="74"/>
      <c r="L169" s="74"/>
      <c r="M169" s="74"/>
      <c r="N169" s="74"/>
      <c r="O169" s="74"/>
    </row>
    <row r="170" spans="1:15">
      <c r="A170" s="255" t="s">
        <v>1402</v>
      </c>
      <c r="B170" s="255" t="s">
        <v>1403</v>
      </c>
      <c r="C170" s="255" t="s">
        <v>1327</v>
      </c>
      <c r="D170" s="255" t="s">
        <v>1382</v>
      </c>
      <c r="E170" s="255" t="s">
        <v>1327</v>
      </c>
      <c r="F170" s="255" t="s">
        <v>1441</v>
      </c>
      <c r="G170" s="255" t="s">
        <v>3354</v>
      </c>
      <c r="H170" s="255" t="s">
        <v>1388</v>
      </c>
      <c r="I170" s="256">
        <v>40</v>
      </c>
      <c r="J170" s="255" t="s">
        <v>1402</v>
      </c>
      <c r="K170" s="74"/>
      <c r="L170" s="74"/>
      <c r="M170" s="74"/>
      <c r="N170" s="74"/>
      <c r="O170" s="74"/>
    </row>
    <row r="171" spans="1:15" hidden="1">
      <c r="A171" s="192" t="s">
        <v>2840</v>
      </c>
      <c r="B171" s="192" t="s">
        <v>2841</v>
      </c>
      <c r="C171" s="192" t="s">
        <v>1464</v>
      </c>
      <c r="D171" s="192" t="s">
        <v>2842</v>
      </c>
      <c r="E171" s="192" t="s">
        <v>1464</v>
      </c>
      <c r="F171" s="192" t="s">
        <v>2826</v>
      </c>
      <c r="G171" s="192" t="s">
        <v>1454</v>
      </c>
      <c r="H171" s="192" t="s">
        <v>1498</v>
      </c>
      <c r="I171" s="193">
        <v>20</v>
      </c>
      <c r="J171" s="192" t="s">
        <v>2840</v>
      </c>
      <c r="K171" s="192"/>
      <c r="L171" s="192" t="s">
        <v>1879</v>
      </c>
      <c r="M171" s="192" t="s">
        <v>1879</v>
      </c>
      <c r="N171" s="192" t="s">
        <v>2821</v>
      </c>
      <c r="O171" s="74"/>
    </row>
    <row r="172" spans="1:15" hidden="1">
      <c r="A172" s="192" t="s">
        <v>2843</v>
      </c>
      <c r="B172" s="192" t="s">
        <v>2844</v>
      </c>
      <c r="C172" s="192" t="s">
        <v>1464</v>
      </c>
      <c r="D172" s="192" t="s">
        <v>2842</v>
      </c>
      <c r="E172" s="192" t="s">
        <v>1464</v>
      </c>
      <c r="F172" s="192" t="s">
        <v>2826</v>
      </c>
      <c r="G172" s="192" t="s">
        <v>1454</v>
      </c>
      <c r="H172" s="192" t="s">
        <v>1498</v>
      </c>
      <c r="I172" s="193">
        <v>30</v>
      </c>
      <c r="J172" s="192" t="s">
        <v>2843</v>
      </c>
      <c r="K172" s="192" t="s">
        <v>2845</v>
      </c>
      <c r="L172" s="192" t="s">
        <v>1879</v>
      </c>
      <c r="M172" s="192" t="s">
        <v>1879</v>
      </c>
      <c r="N172" s="192" t="s">
        <v>2821</v>
      </c>
      <c r="O172" s="74"/>
    </row>
    <row r="173" spans="1:15" hidden="1">
      <c r="A173" s="198" t="s">
        <v>2877</v>
      </c>
      <c r="B173" s="198" t="s">
        <v>2878</v>
      </c>
      <c r="C173" s="198" t="s">
        <v>1464</v>
      </c>
      <c r="D173" s="198" t="s">
        <v>2842</v>
      </c>
      <c r="E173" s="198" t="s">
        <v>1464</v>
      </c>
      <c r="F173" s="198" t="s">
        <v>2826</v>
      </c>
      <c r="G173" s="198" t="s">
        <v>1454</v>
      </c>
      <c r="H173" s="198" t="s">
        <v>1498</v>
      </c>
      <c r="I173" s="199">
        <v>20</v>
      </c>
      <c r="J173" s="198" t="s">
        <v>2877</v>
      </c>
      <c r="K173" s="198"/>
      <c r="L173" s="198" t="s">
        <v>1879</v>
      </c>
      <c r="M173" s="198" t="s">
        <v>1874</v>
      </c>
      <c r="N173" s="198" t="s">
        <v>1879</v>
      </c>
      <c r="O173" s="128" t="s">
        <v>2021</v>
      </c>
    </row>
    <row r="174" spans="1:15" ht="24.6" hidden="1" customHeight="1">
      <c r="A174" s="128" t="s">
        <v>2879</v>
      </c>
      <c r="B174" s="128" t="s">
        <v>2880</v>
      </c>
      <c r="C174" s="128" t="s">
        <v>1464</v>
      </c>
      <c r="D174" s="128" t="s">
        <v>2842</v>
      </c>
      <c r="E174" s="128" t="s">
        <v>1464</v>
      </c>
      <c r="F174" s="128" t="s">
        <v>2826</v>
      </c>
      <c r="G174" s="128" t="s">
        <v>1454</v>
      </c>
      <c r="H174" s="128" t="s">
        <v>1498</v>
      </c>
      <c r="I174" s="129">
        <v>30</v>
      </c>
      <c r="J174" s="128" t="s">
        <v>2879</v>
      </c>
      <c r="K174" s="128"/>
      <c r="L174" s="128"/>
      <c r="M174" s="128"/>
      <c r="N174" s="128"/>
      <c r="O174" s="128" t="s">
        <v>2021</v>
      </c>
    </row>
    <row r="175" spans="1:15" hidden="1">
      <c r="A175" s="74"/>
      <c r="B175" s="74"/>
      <c r="C175" s="74"/>
      <c r="D175" s="74"/>
      <c r="E175" s="74"/>
      <c r="F175" s="74"/>
      <c r="G175" s="74"/>
      <c r="H175" s="74"/>
      <c r="I175" s="74"/>
      <c r="J175" s="74"/>
      <c r="K175" s="74"/>
      <c r="L175" s="74"/>
      <c r="M175" s="74"/>
      <c r="N175" s="74"/>
      <c r="O175" s="74"/>
    </row>
    <row r="176" spans="1:15" ht="30.6">
      <c r="A176" s="249" t="s">
        <v>1404</v>
      </c>
      <c r="B176" s="249" t="s">
        <v>1405</v>
      </c>
      <c r="C176" s="249" t="s">
        <v>1327</v>
      </c>
      <c r="D176" s="249" t="s">
        <v>1382</v>
      </c>
      <c r="E176" s="249" t="s">
        <v>1327</v>
      </c>
      <c r="F176" s="249" t="s">
        <v>1400</v>
      </c>
      <c r="G176" s="249" t="s">
        <v>1312</v>
      </c>
      <c r="H176" s="249" t="s">
        <v>1401</v>
      </c>
      <c r="I176" s="250">
        <v>65</v>
      </c>
      <c r="J176" s="249" t="s">
        <v>1404</v>
      </c>
      <c r="K176" s="252" t="s">
        <v>3080</v>
      </c>
      <c r="L176" s="74"/>
      <c r="M176" s="74"/>
      <c r="N176" s="74"/>
      <c r="O176" s="74"/>
    </row>
    <row r="177" spans="1:15" hidden="1">
      <c r="A177" s="74"/>
      <c r="B177" s="74"/>
      <c r="C177" s="74"/>
      <c r="D177" s="74"/>
      <c r="E177" s="74"/>
      <c r="F177" s="74"/>
      <c r="G177" s="74"/>
      <c r="H177" s="74"/>
      <c r="I177" s="74"/>
      <c r="J177" s="74"/>
      <c r="K177" s="74"/>
      <c r="L177" s="74"/>
      <c r="M177" s="74"/>
      <c r="N177" s="74"/>
      <c r="O177" s="74"/>
    </row>
    <row r="178" spans="1:15" ht="20.399999999999999">
      <c r="A178" s="249" t="s">
        <v>1406</v>
      </c>
      <c r="B178" s="249" t="s">
        <v>1407</v>
      </c>
      <c r="C178" s="249" t="s">
        <v>1327</v>
      </c>
      <c r="D178" s="249" t="s">
        <v>1382</v>
      </c>
      <c r="E178" s="249" t="s">
        <v>1327</v>
      </c>
      <c r="F178" s="249" t="s">
        <v>1400</v>
      </c>
      <c r="G178" s="249" t="s">
        <v>1312</v>
      </c>
      <c r="H178" s="249" t="s">
        <v>1401</v>
      </c>
      <c r="I178" s="250">
        <v>65</v>
      </c>
      <c r="J178" s="249" t="s">
        <v>1406</v>
      </c>
      <c r="K178" s="252" t="s">
        <v>3081</v>
      </c>
      <c r="L178" s="74"/>
      <c r="M178" s="74"/>
      <c r="N178" s="74"/>
      <c r="O178" s="74"/>
    </row>
    <row r="179" spans="1:15" hidden="1">
      <c r="A179" s="74"/>
      <c r="B179" s="74"/>
      <c r="C179" s="74"/>
      <c r="D179" s="74"/>
      <c r="E179" s="74"/>
      <c r="F179" s="74"/>
      <c r="G179" s="74"/>
      <c r="H179" s="74"/>
      <c r="I179" s="74"/>
      <c r="J179" s="74"/>
      <c r="K179" s="74"/>
      <c r="L179" s="74"/>
      <c r="M179" s="74"/>
      <c r="N179" s="74"/>
      <c r="O179" s="74"/>
    </row>
    <row r="180" spans="1:15" ht="20.399999999999999">
      <c r="A180" s="249" t="s">
        <v>1408</v>
      </c>
      <c r="B180" s="249" t="s">
        <v>1409</v>
      </c>
      <c r="C180" s="249" t="s">
        <v>1327</v>
      </c>
      <c r="D180" s="249" t="s">
        <v>1382</v>
      </c>
      <c r="E180" s="249" t="s">
        <v>1327</v>
      </c>
      <c r="F180" s="249" t="s">
        <v>1400</v>
      </c>
      <c r="G180" s="249" t="s">
        <v>1312</v>
      </c>
      <c r="H180" s="249" t="s">
        <v>1401</v>
      </c>
      <c r="I180" s="250">
        <v>65</v>
      </c>
      <c r="J180" s="249" t="s">
        <v>1408</v>
      </c>
      <c r="K180" s="252" t="s">
        <v>3082</v>
      </c>
      <c r="L180" s="74"/>
      <c r="M180" s="74"/>
      <c r="N180" s="74"/>
      <c r="O180" s="74"/>
    </row>
    <row r="181" spans="1:15" hidden="1">
      <c r="A181" s="74"/>
      <c r="B181" s="74"/>
      <c r="C181" s="74"/>
      <c r="D181" s="74"/>
      <c r="E181" s="74"/>
      <c r="F181" s="74"/>
      <c r="G181" s="74"/>
      <c r="H181" s="74"/>
      <c r="I181" s="74"/>
      <c r="J181" s="74"/>
      <c r="K181" s="74"/>
      <c r="L181" s="74"/>
      <c r="M181" s="74"/>
      <c r="N181" s="74"/>
      <c r="O181" s="74"/>
    </row>
    <row r="182" spans="1:15" ht="20.399999999999999">
      <c r="A182" s="253" t="s">
        <v>1410</v>
      </c>
      <c r="B182" s="253" t="s">
        <v>1411</v>
      </c>
      <c r="C182" s="253" t="s">
        <v>1302</v>
      </c>
      <c r="D182" s="253" t="s">
        <v>1382</v>
      </c>
      <c r="E182" s="253" t="s">
        <v>1302</v>
      </c>
      <c r="F182" s="253" t="s">
        <v>1496</v>
      </c>
      <c r="G182" s="253" t="s">
        <v>1312</v>
      </c>
      <c r="H182" s="253" t="s">
        <v>1392</v>
      </c>
      <c r="I182" s="254">
        <v>70</v>
      </c>
      <c r="J182" s="253" t="s">
        <v>1410</v>
      </c>
      <c r="K182" s="261" t="s">
        <v>3087</v>
      </c>
      <c r="L182" s="74"/>
      <c r="M182" s="74"/>
      <c r="N182" s="74"/>
      <c r="O182" s="74"/>
    </row>
    <row r="183" spans="1:15" hidden="1">
      <c r="A183" s="74"/>
      <c r="B183" s="74" t="s">
        <v>2056</v>
      </c>
      <c r="C183" s="74"/>
      <c r="D183" s="74"/>
      <c r="E183" s="74"/>
      <c r="F183" s="74"/>
      <c r="G183" s="74"/>
      <c r="H183" s="74"/>
      <c r="I183" s="74"/>
      <c r="J183" s="74"/>
      <c r="K183" s="74"/>
      <c r="L183" s="74"/>
      <c r="M183" s="74"/>
      <c r="N183" s="74"/>
      <c r="O183" s="74"/>
    </row>
    <row r="184" spans="1:15" ht="30.6">
      <c r="A184" s="249" t="s">
        <v>1412</v>
      </c>
      <c r="B184" s="249" t="s">
        <v>1413</v>
      </c>
      <c r="C184" s="249" t="s">
        <v>1296</v>
      </c>
      <c r="D184" s="249" t="s">
        <v>1382</v>
      </c>
      <c r="E184" s="249" t="s">
        <v>1296</v>
      </c>
      <c r="F184" s="249" t="s">
        <v>1383</v>
      </c>
      <c r="G184" s="249" t="s">
        <v>1299</v>
      </c>
      <c r="H184" s="249" t="s">
        <v>1384</v>
      </c>
      <c r="I184" s="250">
        <v>65</v>
      </c>
      <c r="J184" s="249" t="s">
        <v>1412</v>
      </c>
      <c r="K184" s="252" t="s">
        <v>3066</v>
      </c>
      <c r="L184" s="74" t="s">
        <v>1879</v>
      </c>
      <c r="M184" s="74"/>
      <c r="N184" s="74"/>
      <c r="O184" s="74"/>
    </row>
    <row r="185" spans="1:15" hidden="1">
      <c r="A185" s="74"/>
      <c r="B185" s="74"/>
      <c r="C185" s="74"/>
      <c r="D185" s="74"/>
      <c r="E185" s="74"/>
      <c r="F185" s="74"/>
      <c r="G185" s="74"/>
      <c r="H185" s="74"/>
      <c r="I185" s="74"/>
      <c r="J185" s="74"/>
      <c r="K185" s="74"/>
      <c r="L185" s="74"/>
      <c r="M185" s="74"/>
      <c r="N185" s="74"/>
      <c r="O185" s="74"/>
    </row>
    <row r="186" spans="1:15" ht="20.399999999999999">
      <c r="A186" s="249" t="s">
        <v>1414</v>
      </c>
      <c r="B186" s="249" t="s">
        <v>1415</v>
      </c>
      <c r="C186" s="249" t="s">
        <v>1296</v>
      </c>
      <c r="D186" s="249" t="s">
        <v>1382</v>
      </c>
      <c r="E186" s="249" t="s">
        <v>1296</v>
      </c>
      <c r="F186" s="249" t="s">
        <v>1383</v>
      </c>
      <c r="G186" s="249" t="s">
        <v>1299</v>
      </c>
      <c r="H186" s="249" t="s">
        <v>1384</v>
      </c>
      <c r="I186" s="250">
        <v>65</v>
      </c>
      <c r="J186" s="249" t="s">
        <v>1414</v>
      </c>
      <c r="K186" s="252" t="s">
        <v>3067</v>
      </c>
      <c r="L186" s="74" t="s">
        <v>1879</v>
      </c>
      <c r="M186" s="74"/>
      <c r="N186" s="74"/>
      <c r="O186" s="74"/>
    </row>
    <row r="187" spans="1:15" hidden="1">
      <c r="A187" s="74"/>
      <c r="B187" s="74"/>
      <c r="C187" s="74"/>
      <c r="D187" s="74"/>
      <c r="E187" s="74"/>
      <c r="F187" s="74"/>
      <c r="G187" s="74"/>
      <c r="H187" s="74"/>
      <c r="I187" s="74"/>
      <c r="J187" s="74"/>
      <c r="K187" s="74"/>
      <c r="L187" s="74"/>
      <c r="M187" s="74"/>
      <c r="N187" s="74"/>
      <c r="O187" s="74"/>
    </row>
    <row r="188" spans="1:15" ht="20.399999999999999">
      <c r="A188" s="249" t="s">
        <v>1416</v>
      </c>
      <c r="B188" s="249" t="s">
        <v>1417</v>
      </c>
      <c r="C188" s="249" t="s">
        <v>1296</v>
      </c>
      <c r="D188" s="249" t="s">
        <v>1382</v>
      </c>
      <c r="E188" s="249" t="s">
        <v>1296</v>
      </c>
      <c r="F188" s="249" t="s">
        <v>1383</v>
      </c>
      <c r="G188" s="249" t="s">
        <v>1299</v>
      </c>
      <c r="H188" s="249" t="s">
        <v>1384</v>
      </c>
      <c r="I188" s="250">
        <v>65</v>
      </c>
      <c r="J188" s="249" t="s">
        <v>1416</v>
      </c>
      <c r="K188" s="252" t="s">
        <v>3068</v>
      </c>
      <c r="L188" s="74" t="s">
        <v>1879</v>
      </c>
      <c r="M188" s="74"/>
      <c r="N188" s="74"/>
      <c r="O188" s="74"/>
    </row>
    <row r="189" spans="1:15" hidden="1">
      <c r="A189" s="74"/>
      <c r="B189" s="74"/>
      <c r="C189" s="74"/>
      <c r="D189" s="74"/>
      <c r="E189" s="74"/>
      <c r="F189" s="74"/>
      <c r="G189" s="74"/>
      <c r="H189" s="74"/>
      <c r="I189" s="74"/>
      <c r="J189" s="74"/>
      <c r="K189" s="74"/>
      <c r="L189" s="74"/>
      <c r="M189" s="74"/>
      <c r="N189" s="74"/>
      <c r="O189" s="74"/>
    </row>
    <row r="190" spans="1:15" ht="20.399999999999999">
      <c r="A190" s="249" t="s">
        <v>1418</v>
      </c>
      <c r="B190" s="249" t="s">
        <v>1419</v>
      </c>
      <c r="C190" s="249" t="s">
        <v>1296</v>
      </c>
      <c r="D190" s="249" t="s">
        <v>1382</v>
      </c>
      <c r="E190" s="249" t="s">
        <v>1296</v>
      </c>
      <c r="F190" s="249" t="s">
        <v>1383</v>
      </c>
      <c r="G190" s="249" t="s">
        <v>1299</v>
      </c>
      <c r="H190" s="249" t="s">
        <v>1384</v>
      </c>
      <c r="I190" s="250">
        <v>70</v>
      </c>
      <c r="J190" s="249" t="s">
        <v>1418</v>
      </c>
      <c r="K190" s="252" t="s">
        <v>3065</v>
      </c>
      <c r="L190" s="74" t="s">
        <v>1879</v>
      </c>
      <c r="M190" s="74"/>
      <c r="N190" s="74"/>
      <c r="O190" s="74"/>
    </row>
    <row r="191" spans="1:15">
      <c r="A191" s="255" t="s">
        <v>1420</v>
      </c>
      <c r="B191" s="255" t="s">
        <v>1421</v>
      </c>
      <c r="C191" s="255" t="s">
        <v>1327</v>
      </c>
      <c r="D191" s="255" t="s">
        <v>1382</v>
      </c>
      <c r="E191" s="255" t="s">
        <v>1327</v>
      </c>
      <c r="F191" s="255" t="s">
        <v>1396</v>
      </c>
      <c r="G191" s="255" t="s">
        <v>1299</v>
      </c>
      <c r="H191" s="255" t="s">
        <v>1397</v>
      </c>
      <c r="I191" s="256">
        <v>70</v>
      </c>
      <c r="J191" s="255" t="s">
        <v>1420</v>
      </c>
      <c r="K191" s="257"/>
      <c r="L191" s="74"/>
      <c r="M191" s="74"/>
      <c r="N191" s="74"/>
      <c r="O191" s="74"/>
    </row>
    <row r="192" spans="1:15" hidden="1">
      <c r="A192" s="128" t="s">
        <v>2881</v>
      </c>
      <c r="B192" s="128" t="s">
        <v>2882</v>
      </c>
      <c r="C192" s="128" t="s">
        <v>1464</v>
      </c>
      <c r="D192" s="128" t="s">
        <v>2846</v>
      </c>
      <c r="E192" s="128" t="s">
        <v>1464</v>
      </c>
      <c r="F192" s="128" t="s">
        <v>2818</v>
      </c>
      <c r="G192" s="128" t="s">
        <v>1454</v>
      </c>
      <c r="H192" s="128" t="s">
        <v>1498</v>
      </c>
      <c r="I192" s="129">
        <v>15</v>
      </c>
      <c r="J192" s="128" t="s">
        <v>2881</v>
      </c>
      <c r="K192" s="128"/>
      <c r="L192" s="128" t="s">
        <v>1879</v>
      </c>
      <c r="M192" s="128" t="s">
        <v>1874</v>
      </c>
      <c r="N192" s="128" t="s">
        <v>1879</v>
      </c>
      <c r="O192" s="128" t="s">
        <v>2021</v>
      </c>
    </row>
    <row r="193" spans="1:15" hidden="1">
      <c r="A193" s="192" t="s">
        <v>2883</v>
      </c>
      <c r="B193" s="192" t="s">
        <v>2884</v>
      </c>
      <c r="C193" s="192" t="s">
        <v>1464</v>
      </c>
      <c r="D193" s="192" t="s">
        <v>2846</v>
      </c>
      <c r="E193" s="192" t="s">
        <v>1464</v>
      </c>
      <c r="F193" s="192" t="s">
        <v>2818</v>
      </c>
      <c r="G193" s="192" t="s">
        <v>1454</v>
      </c>
      <c r="H193" s="192" t="s">
        <v>1498</v>
      </c>
      <c r="I193" s="193">
        <v>15</v>
      </c>
      <c r="J193" s="192" t="s">
        <v>2883</v>
      </c>
      <c r="K193" s="192"/>
      <c r="L193" s="192" t="s">
        <v>1879</v>
      </c>
      <c r="M193" s="192" t="s">
        <v>1879</v>
      </c>
      <c r="N193" s="192" t="s">
        <v>1879</v>
      </c>
      <c r="O193" s="192" t="s">
        <v>2021</v>
      </c>
    </row>
    <row r="194" spans="1:15" hidden="1">
      <c r="A194" s="192" t="s">
        <v>2885</v>
      </c>
      <c r="B194" s="192" t="s">
        <v>2886</v>
      </c>
      <c r="C194" s="192" t="s">
        <v>1464</v>
      </c>
      <c r="D194" s="192" t="s">
        <v>2846</v>
      </c>
      <c r="E194" s="192" t="s">
        <v>1464</v>
      </c>
      <c r="F194" s="192" t="s">
        <v>2818</v>
      </c>
      <c r="G194" s="192" t="s">
        <v>1454</v>
      </c>
      <c r="H194" s="192" t="s">
        <v>1498</v>
      </c>
      <c r="I194" s="193">
        <v>15</v>
      </c>
      <c r="J194" s="192" t="s">
        <v>2885</v>
      </c>
      <c r="K194" s="192"/>
      <c r="L194" s="192" t="s">
        <v>1879</v>
      </c>
      <c r="M194" s="192" t="s">
        <v>1879</v>
      </c>
      <c r="N194" s="192" t="s">
        <v>1879</v>
      </c>
      <c r="O194" s="192"/>
    </row>
    <row r="195" spans="1:15" hidden="1">
      <c r="A195" s="74"/>
      <c r="B195" s="74"/>
      <c r="C195" s="74"/>
      <c r="D195" s="74"/>
      <c r="E195" s="74"/>
      <c r="F195" s="74"/>
      <c r="G195" s="74"/>
      <c r="H195" s="74"/>
      <c r="I195" s="74"/>
      <c r="J195" s="74"/>
      <c r="K195" s="74"/>
      <c r="L195" s="74"/>
      <c r="M195" s="74"/>
      <c r="N195" s="74"/>
      <c r="O195" s="74"/>
    </row>
    <row r="196" spans="1:15" hidden="1">
      <c r="A196" s="192" t="s">
        <v>2889</v>
      </c>
      <c r="B196" s="192" t="s">
        <v>2890</v>
      </c>
      <c r="C196" s="192" t="s">
        <v>1464</v>
      </c>
      <c r="D196" s="192" t="s">
        <v>2846</v>
      </c>
      <c r="E196" s="192" t="s">
        <v>1464</v>
      </c>
      <c r="F196" s="192" t="s">
        <v>2818</v>
      </c>
      <c r="G196" s="192" t="s">
        <v>1454</v>
      </c>
      <c r="H196" s="192" t="s">
        <v>1498</v>
      </c>
      <c r="I196" s="193">
        <v>15</v>
      </c>
      <c r="J196" s="192" t="s">
        <v>2889</v>
      </c>
      <c r="K196" s="192"/>
      <c r="L196" s="192" t="s">
        <v>1879</v>
      </c>
      <c r="M196" s="192" t="s">
        <v>1879</v>
      </c>
      <c r="N196" s="192" t="s">
        <v>1879</v>
      </c>
      <c r="O196" s="192" t="s">
        <v>2026</v>
      </c>
    </row>
    <row r="197" spans="1:15" hidden="1">
      <c r="A197" s="192" t="s">
        <v>2891</v>
      </c>
      <c r="B197" s="192" t="s">
        <v>2892</v>
      </c>
      <c r="C197" s="192" t="s">
        <v>1464</v>
      </c>
      <c r="D197" s="192" t="s">
        <v>2846</v>
      </c>
      <c r="E197" s="192" t="s">
        <v>1464</v>
      </c>
      <c r="F197" s="192" t="s">
        <v>2818</v>
      </c>
      <c r="G197" s="192" t="s">
        <v>1454</v>
      </c>
      <c r="H197" s="192" t="s">
        <v>1498</v>
      </c>
      <c r="I197" s="193">
        <v>15</v>
      </c>
      <c r="J197" s="192" t="s">
        <v>2891</v>
      </c>
      <c r="K197" s="192"/>
      <c r="L197" s="192" t="s">
        <v>1879</v>
      </c>
      <c r="M197" s="192" t="s">
        <v>1879</v>
      </c>
      <c r="N197" s="192" t="s">
        <v>1879</v>
      </c>
      <c r="O197" s="192" t="s">
        <v>2026</v>
      </c>
    </row>
    <row r="198" spans="1:15" hidden="1">
      <c r="A198" s="192" t="s">
        <v>2893</v>
      </c>
      <c r="B198" s="192" t="s">
        <v>2894</v>
      </c>
      <c r="C198" s="192" t="s">
        <v>1464</v>
      </c>
      <c r="D198" s="192" t="s">
        <v>2846</v>
      </c>
      <c r="E198" s="192" t="s">
        <v>1464</v>
      </c>
      <c r="F198" s="192" t="s">
        <v>2818</v>
      </c>
      <c r="G198" s="192" t="s">
        <v>1454</v>
      </c>
      <c r="H198" s="192" t="s">
        <v>1498</v>
      </c>
      <c r="I198" s="193">
        <v>25</v>
      </c>
      <c r="J198" s="192" t="s">
        <v>2893</v>
      </c>
      <c r="K198" s="192"/>
      <c r="L198" s="192" t="s">
        <v>1879</v>
      </c>
      <c r="M198" s="192" t="s">
        <v>1879</v>
      </c>
      <c r="N198" s="192" t="s">
        <v>1879</v>
      </c>
      <c r="O198" s="192" t="s">
        <v>2026</v>
      </c>
    </row>
    <row r="199" spans="1:15" hidden="1">
      <c r="A199" s="192" t="s">
        <v>2895</v>
      </c>
      <c r="B199" s="192" t="s">
        <v>2896</v>
      </c>
      <c r="C199" s="192" t="s">
        <v>1464</v>
      </c>
      <c r="D199" s="192" t="s">
        <v>2846</v>
      </c>
      <c r="E199" s="192" t="s">
        <v>1464</v>
      </c>
      <c r="F199" s="192" t="s">
        <v>2818</v>
      </c>
      <c r="G199" s="192" t="s">
        <v>1454</v>
      </c>
      <c r="H199" s="192" t="s">
        <v>1498</v>
      </c>
      <c r="I199" s="193">
        <v>15</v>
      </c>
      <c r="J199" s="192" t="s">
        <v>2895</v>
      </c>
      <c r="K199" s="192"/>
      <c r="L199" s="192" t="s">
        <v>1879</v>
      </c>
      <c r="M199" s="192" t="s">
        <v>1879</v>
      </c>
      <c r="N199" s="192" t="s">
        <v>1879</v>
      </c>
      <c r="O199" s="192" t="s">
        <v>2031</v>
      </c>
    </row>
    <row r="200" spans="1:15" hidden="1">
      <c r="A200" s="192" t="s">
        <v>2897</v>
      </c>
      <c r="B200" s="192" t="s">
        <v>2898</v>
      </c>
      <c r="C200" s="192" t="s">
        <v>1464</v>
      </c>
      <c r="D200" s="192" t="s">
        <v>2846</v>
      </c>
      <c r="E200" s="192" t="s">
        <v>1464</v>
      </c>
      <c r="F200" s="192" t="s">
        <v>2818</v>
      </c>
      <c r="G200" s="192" t="s">
        <v>1454</v>
      </c>
      <c r="H200" s="192" t="s">
        <v>1498</v>
      </c>
      <c r="I200" s="193">
        <v>15</v>
      </c>
      <c r="J200" s="192" t="s">
        <v>2897</v>
      </c>
      <c r="K200" s="192" t="s">
        <v>2899</v>
      </c>
      <c r="L200" s="192" t="s">
        <v>1879</v>
      </c>
      <c r="M200" s="192" t="s">
        <v>1879</v>
      </c>
      <c r="N200" s="192" t="s">
        <v>1879</v>
      </c>
      <c r="O200" s="192" t="s">
        <v>2031</v>
      </c>
    </row>
    <row r="201" spans="1:15" hidden="1">
      <c r="A201" s="128" t="s">
        <v>2900</v>
      </c>
      <c r="B201" s="128" t="s">
        <v>2901</v>
      </c>
      <c r="C201" s="128" t="s">
        <v>1464</v>
      </c>
      <c r="D201" s="128" t="s">
        <v>2846</v>
      </c>
      <c r="E201" s="128" t="s">
        <v>1464</v>
      </c>
      <c r="F201" s="128" t="s">
        <v>2818</v>
      </c>
      <c r="G201" s="128" t="s">
        <v>1454</v>
      </c>
      <c r="H201" s="128" t="s">
        <v>1498</v>
      </c>
      <c r="I201" s="129">
        <v>45</v>
      </c>
      <c r="J201" s="128" t="s">
        <v>2900</v>
      </c>
      <c r="K201" s="128"/>
      <c r="L201" s="128" t="s">
        <v>1879</v>
      </c>
      <c r="M201" s="132" t="s">
        <v>1874</v>
      </c>
      <c r="N201" s="128" t="s">
        <v>1879</v>
      </c>
      <c r="O201" s="128" t="s">
        <v>1981</v>
      </c>
    </row>
    <row r="202" spans="1:15" hidden="1">
      <c r="A202" s="74"/>
      <c r="B202" s="74"/>
      <c r="C202" s="74"/>
      <c r="D202" s="74"/>
      <c r="E202" s="74"/>
      <c r="F202" s="74"/>
      <c r="G202" s="74"/>
      <c r="H202" s="74"/>
      <c r="I202" s="74"/>
      <c r="J202" s="74"/>
      <c r="K202" s="74"/>
      <c r="L202" s="74"/>
      <c r="M202" s="74"/>
      <c r="N202" s="74"/>
      <c r="O202" s="74"/>
    </row>
    <row r="203" spans="1:15">
      <c r="A203" s="255" t="s">
        <v>1422</v>
      </c>
      <c r="B203" s="255" t="s">
        <v>1423</v>
      </c>
      <c r="C203" s="255" t="s">
        <v>1296</v>
      </c>
      <c r="D203" s="255" t="s">
        <v>1382</v>
      </c>
      <c r="E203" s="255" t="s">
        <v>1296</v>
      </c>
      <c r="F203" s="255" t="s">
        <v>1383</v>
      </c>
      <c r="G203" s="255" t="s">
        <v>1299</v>
      </c>
      <c r="H203" s="255" t="s">
        <v>1384</v>
      </c>
      <c r="I203" s="256">
        <v>30</v>
      </c>
      <c r="J203" s="255" t="s">
        <v>1422</v>
      </c>
      <c r="K203" s="74"/>
      <c r="L203" s="74"/>
      <c r="M203" s="74"/>
      <c r="N203" s="74"/>
      <c r="O203" s="74"/>
    </row>
    <row r="204" spans="1:15" hidden="1">
      <c r="A204" s="192" t="s">
        <v>2902</v>
      </c>
      <c r="B204" s="192" t="s">
        <v>2903</v>
      </c>
      <c r="C204" s="192" t="s">
        <v>1464</v>
      </c>
      <c r="D204" s="192" t="s">
        <v>2904</v>
      </c>
      <c r="E204" s="192" t="s">
        <v>1464</v>
      </c>
      <c r="F204" s="192" t="s">
        <v>2818</v>
      </c>
      <c r="G204" s="192" t="s">
        <v>1454</v>
      </c>
      <c r="H204" s="192" t="s">
        <v>1498</v>
      </c>
      <c r="I204" s="193">
        <v>40</v>
      </c>
      <c r="J204" s="192" t="s">
        <v>2902</v>
      </c>
      <c r="K204" s="192"/>
      <c r="L204" s="192"/>
      <c r="M204" s="192"/>
      <c r="N204" s="192"/>
      <c r="O204" s="192" t="s">
        <v>2037</v>
      </c>
    </row>
    <row r="205" spans="1:15" hidden="1">
      <c r="A205" s="192" t="s">
        <v>2905</v>
      </c>
      <c r="B205" s="192" t="s">
        <v>2906</v>
      </c>
      <c r="C205" s="192" t="s">
        <v>1464</v>
      </c>
      <c r="D205" s="192" t="s">
        <v>2904</v>
      </c>
      <c r="E205" s="192" t="s">
        <v>1464</v>
      </c>
      <c r="F205" s="192" t="s">
        <v>2818</v>
      </c>
      <c r="G205" s="192" t="s">
        <v>1454</v>
      </c>
      <c r="H205" s="192" t="s">
        <v>1498</v>
      </c>
      <c r="I205" s="193">
        <v>40</v>
      </c>
      <c r="J205" s="192" t="s">
        <v>2905</v>
      </c>
      <c r="K205" s="192"/>
      <c r="L205" s="192"/>
      <c r="M205" s="192"/>
      <c r="N205" s="192"/>
      <c r="O205" s="192" t="s">
        <v>2037</v>
      </c>
    </row>
    <row r="206" spans="1:15" hidden="1">
      <c r="A206" s="192" t="s">
        <v>2907</v>
      </c>
      <c r="B206" s="192" t="s">
        <v>2908</v>
      </c>
      <c r="C206" s="192" t="s">
        <v>1464</v>
      </c>
      <c r="D206" s="192" t="s">
        <v>2904</v>
      </c>
      <c r="E206" s="192" t="s">
        <v>1464</v>
      </c>
      <c r="F206" s="192" t="s">
        <v>2818</v>
      </c>
      <c r="G206" s="192" t="s">
        <v>1454</v>
      </c>
      <c r="H206" s="192" t="s">
        <v>1498</v>
      </c>
      <c r="I206" s="193">
        <v>40</v>
      </c>
      <c r="J206" s="192" t="s">
        <v>2907</v>
      </c>
      <c r="K206" s="192"/>
      <c r="L206" s="192"/>
      <c r="M206" s="192"/>
      <c r="N206" s="192"/>
      <c r="O206" s="192" t="s">
        <v>2037</v>
      </c>
    </row>
    <row r="207" spans="1:15" hidden="1">
      <c r="A207" s="74"/>
      <c r="B207" s="74"/>
      <c r="C207" s="74"/>
      <c r="D207" s="74"/>
      <c r="E207" s="74"/>
      <c r="F207" s="74"/>
      <c r="G207" s="74"/>
      <c r="H207" s="74"/>
      <c r="I207" s="74"/>
      <c r="J207" s="74"/>
      <c r="K207" s="74"/>
      <c r="L207" s="74"/>
      <c r="M207" s="74"/>
      <c r="N207" s="74"/>
      <c r="O207" s="74"/>
    </row>
    <row r="208" spans="1:15" ht="28.8">
      <c r="A208" s="248" t="s">
        <v>1424</v>
      </c>
      <c r="B208" s="248" t="s">
        <v>1425</v>
      </c>
      <c r="C208" s="248" t="s">
        <v>1426</v>
      </c>
      <c r="D208" s="248" t="s">
        <v>1427</v>
      </c>
      <c r="E208" s="248" t="s">
        <v>1426</v>
      </c>
      <c r="F208" s="248" t="s">
        <v>1428</v>
      </c>
      <c r="G208" s="248" t="s">
        <v>1429</v>
      </c>
      <c r="H208" s="248" t="s">
        <v>1430</v>
      </c>
      <c r="I208" s="248">
        <v>35</v>
      </c>
      <c r="J208" s="248" t="s">
        <v>1424</v>
      </c>
      <c r="K208" s="248" t="s">
        <v>3064</v>
      </c>
      <c r="L208" s="74" t="s">
        <v>1879</v>
      </c>
      <c r="M208" s="74"/>
      <c r="N208" s="74"/>
      <c r="O208" s="74"/>
    </row>
    <row r="209" spans="1:15" hidden="1">
      <c r="A209" s="74"/>
      <c r="B209" s="74"/>
      <c r="C209" s="74"/>
      <c r="D209" s="74"/>
      <c r="E209" s="74"/>
      <c r="F209" s="74"/>
      <c r="G209" s="74"/>
      <c r="H209" s="74"/>
      <c r="I209" s="74"/>
      <c r="J209" s="74"/>
      <c r="K209" s="74"/>
      <c r="L209" s="74"/>
      <c r="M209" s="74"/>
      <c r="N209" s="74"/>
      <c r="O209" s="74"/>
    </row>
    <row r="210" spans="1:15" ht="28.8">
      <c r="A210" s="248" t="s">
        <v>1431</v>
      </c>
      <c r="B210" s="248" t="s">
        <v>1432</v>
      </c>
      <c r="C210" s="248" t="s">
        <v>1426</v>
      </c>
      <c r="D210" s="248" t="s">
        <v>1427</v>
      </c>
      <c r="E210" s="248" t="s">
        <v>1426</v>
      </c>
      <c r="F210" s="248" t="s">
        <v>1428</v>
      </c>
      <c r="G210" s="248" t="s">
        <v>1429</v>
      </c>
      <c r="H210" s="248" t="s">
        <v>1430</v>
      </c>
      <c r="I210" s="248">
        <v>35</v>
      </c>
      <c r="J210" s="248" t="s">
        <v>1431</v>
      </c>
      <c r="K210" s="248" t="s">
        <v>3064</v>
      </c>
      <c r="L210" s="74" t="s">
        <v>1879</v>
      </c>
      <c r="M210" s="74"/>
      <c r="N210" s="74"/>
      <c r="O210" s="74"/>
    </row>
    <row r="211" spans="1:15" hidden="1">
      <c r="A211" s="74"/>
      <c r="B211" s="74"/>
      <c r="C211" s="74"/>
      <c r="D211" s="74"/>
      <c r="E211" s="74"/>
      <c r="F211" s="74"/>
      <c r="G211" s="74"/>
      <c r="H211" s="74"/>
      <c r="I211" s="74"/>
      <c r="J211" s="74"/>
      <c r="K211" s="74"/>
      <c r="L211" s="74"/>
      <c r="M211" s="74"/>
      <c r="N211" s="74"/>
      <c r="O211" s="74"/>
    </row>
    <row r="212" spans="1:15" ht="28.8">
      <c r="A212" s="248" t="s">
        <v>1433</v>
      </c>
      <c r="B212" s="248" t="s">
        <v>1434</v>
      </c>
      <c r="C212" s="248" t="s">
        <v>1435</v>
      </c>
      <c r="D212" s="248" t="s">
        <v>1427</v>
      </c>
      <c r="E212" s="248" t="s">
        <v>1435</v>
      </c>
      <c r="F212" s="248" t="s">
        <v>1436</v>
      </c>
      <c r="G212" s="248" t="s">
        <v>1437</v>
      </c>
      <c r="H212" s="248" t="s">
        <v>1438</v>
      </c>
      <c r="I212" s="248">
        <v>35</v>
      </c>
      <c r="J212" s="248" t="s">
        <v>1433</v>
      </c>
      <c r="K212" s="248" t="s">
        <v>3064</v>
      </c>
      <c r="L212" s="74"/>
      <c r="M212" s="74"/>
      <c r="N212" s="74"/>
      <c r="O212" s="74"/>
    </row>
    <row r="213" spans="1:15" hidden="1">
      <c r="A213" s="74"/>
      <c r="B213" s="74"/>
      <c r="C213" s="74"/>
      <c r="D213" s="74"/>
      <c r="E213" s="74"/>
      <c r="F213" s="74"/>
      <c r="G213" s="74"/>
      <c r="H213" s="74"/>
      <c r="I213" s="74"/>
      <c r="J213" s="74"/>
      <c r="K213" s="74"/>
      <c r="L213" s="74"/>
      <c r="M213" s="74"/>
      <c r="N213" s="74"/>
      <c r="O213" s="74"/>
    </row>
    <row r="214" spans="1:15" ht="28.8">
      <c r="A214" s="248" t="s">
        <v>1439</v>
      </c>
      <c r="B214" s="248" t="s">
        <v>1440</v>
      </c>
      <c r="C214" s="248" t="s">
        <v>1435</v>
      </c>
      <c r="D214" s="248" t="s">
        <v>1427</v>
      </c>
      <c r="E214" s="248" t="s">
        <v>1435</v>
      </c>
      <c r="F214" s="248" t="s">
        <v>1441</v>
      </c>
      <c r="G214" s="248" t="s">
        <v>1437</v>
      </c>
      <c r="H214" s="248" t="s">
        <v>1442</v>
      </c>
      <c r="I214" s="248">
        <v>35</v>
      </c>
      <c r="J214" s="248" t="s">
        <v>1439</v>
      </c>
      <c r="K214" s="248" t="s">
        <v>3064</v>
      </c>
      <c r="L214" s="74"/>
      <c r="M214" s="74"/>
      <c r="N214" s="74"/>
      <c r="O214" s="74"/>
    </row>
    <row r="215" spans="1:15" hidden="1">
      <c r="A215" s="74"/>
      <c r="B215" s="74"/>
      <c r="C215" s="74"/>
      <c r="D215" s="74"/>
      <c r="E215" s="74"/>
      <c r="F215" s="74"/>
      <c r="G215" s="74"/>
      <c r="H215" s="74"/>
      <c r="I215" s="74"/>
      <c r="J215" s="74"/>
      <c r="K215" s="74"/>
      <c r="L215" s="74"/>
      <c r="M215" s="74"/>
      <c r="N215" s="74"/>
      <c r="O215" s="74"/>
    </row>
    <row r="216" spans="1:15" ht="28.8" hidden="1">
      <c r="A216" s="248" t="s">
        <v>1443</v>
      </c>
      <c r="B216" s="248" t="s">
        <v>1444</v>
      </c>
      <c r="C216" s="248" t="s">
        <v>1445</v>
      </c>
      <c r="D216" s="248" t="s">
        <v>1446</v>
      </c>
      <c r="E216" s="248" t="s">
        <v>1445</v>
      </c>
      <c r="F216" s="248" t="s">
        <v>1447</v>
      </c>
      <c r="G216" s="248" t="s">
        <v>1429</v>
      </c>
      <c r="H216" s="248" t="s">
        <v>1448</v>
      </c>
      <c r="I216" s="248">
        <v>35</v>
      </c>
      <c r="J216" s="248" t="s">
        <v>1443</v>
      </c>
      <c r="K216" s="248" t="s">
        <v>3057</v>
      </c>
      <c r="L216" s="74"/>
      <c r="M216" s="74"/>
      <c r="N216" s="74"/>
      <c r="O216" s="74"/>
    </row>
    <row r="217" spans="1:15" hidden="1">
      <c r="A217" s="74"/>
      <c r="B217" s="74"/>
      <c r="C217" s="74"/>
      <c r="D217" s="74"/>
      <c r="E217" s="74"/>
      <c r="F217" s="74"/>
      <c r="G217" s="74"/>
      <c r="H217" s="74"/>
      <c r="I217" s="74"/>
      <c r="J217" s="74"/>
      <c r="K217" s="74"/>
      <c r="L217" s="74"/>
      <c r="M217" s="74"/>
      <c r="N217" s="74"/>
      <c r="O217" s="74"/>
    </row>
    <row r="218" spans="1:15" ht="57.6" hidden="1">
      <c r="A218" s="248" t="s">
        <v>1449</v>
      </c>
      <c r="B218" s="248" t="s">
        <v>1450</v>
      </c>
      <c r="C218" s="248" t="s">
        <v>1426</v>
      </c>
      <c r="D218" s="248" t="s">
        <v>1446</v>
      </c>
      <c r="E218" s="248" t="s">
        <v>1426</v>
      </c>
      <c r="F218" s="248" t="s">
        <v>1451</v>
      </c>
      <c r="G218" s="248" t="s">
        <v>1437</v>
      </c>
      <c r="H218" s="248" t="s">
        <v>1452</v>
      </c>
      <c r="I218" s="248">
        <v>35</v>
      </c>
      <c r="J218" s="248" t="s">
        <v>1449</v>
      </c>
      <c r="K218" s="248" t="s">
        <v>3085</v>
      </c>
      <c r="L218" s="74"/>
      <c r="M218" s="74"/>
      <c r="N218" s="74"/>
      <c r="O218" s="74"/>
    </row>
    <row r="219" spans="1:15" hidden="1">
      <c r="A219" s="74"/>
      <c r="B219" s="74"/>
      <c r="C219" s="74"/>
      <c r="D219" s="74"/>
      <c r="E219" s="74"/>
      <c r="F219" s="74"/>
      <c r="G219" s="74"/>
      <c r="H219" s="74"/>
      <c r="I219" s="74"/>
      <c r="J219" s="74"/>
      <c r="K219" s="74"/>
      <c r="L219" s="74"/>
      <c r="M219" s="74"/>
      <c r="N219" s="74"/>
      <c r="O219" s="74"/>
    </row>
    <row r="220" spans="1:15" ht="57.6" hidden="1">
      <c r="A220" s="248" t="s">
        <v>1453</v>
      </c>
      <c r="B220" s="248" t="s">
        <v>1450</v>
      </c>
      <c r="C220" s="248" t="s">
        <v>1426</v>
      </c>
      <c r="D220" s="248" t="s">
        <v>1446</v>
      </c>
      <c r="E220" s="248" t="s">
        <v>1426</v>
      </c>
      <c r="F220" s="248" t="s">
        <v>1451</v>
      </c>
      <c r="G220" s="248" t="s">
        <v>1454</v>
      </c>
      <c r="H220" s="248" t="s">
        <v>1455</v>
      </c>
      <c r="I220" s="248">
        <v>35</v>
      </c>
      <c r="J220" s="248" t="s">
        <v>1453</v>
      </c>
      <c r="K220" s="248" t="s">
        <v>3085</v>
      </c>
      <c r="L220" s="74"/>
      <c r="M220" s="74"/>
      <c r="N220" s="74"/>
      <c r="O220" s="74"/>
    </row>
    <row r="221" spans="1:15" hidden="1">
      <c r="A221" s="74"/>
      <c r="B221" s="74"/>
      <c r="C221" s="74"/>
      <c r="D221" s="74"/>
      <c r="E221" s="74"/>
      <c r="F221" s="74"/>
      <c r="G221" s="74"/>
      <c r="H221" s="74"/>
      <c r="I221" s="74"/>
      <c r="J221" s="74"/>
      <c r="K221" s="74"/>
      <c r="L221" s="74"/>
      <c r="M221" s="74"/>
      <c r="N221" s="74"/>
      <c r="O221" s="74"/>
    </row>
    <row r="222" spans="1:15" ht="57.6">
      <c r="A222" s="248" t="s">
        <v>1456</v>
      </c>
      <c r="B222" s="248" t="s">
        <v>1450</v>
      </c>
      <c r="C222" s="248" t="s">
        <v>1426</v>
      </c>
      <c r="D222" s="248" t="s">
        <v>1427</v>
      </c>
      <c r="E222" s="248" t="s">
        <v>1426</v>
      </c>
      <c r="F222" s="248" t="s">
        <v>1441</v>
      </c>
      <c r="G222" s="248" t="s">
        <v>1437</v>
      </c>
      <c r="H222" s="248" t="s">
        <v>1442</v>
      </c>
      <c r="I222" s="248">
        <v>35</v>
      </c>
      <c r="J222" s="248" t="s">
        <v>1456</v>
      </c>
      <c r="K222" s="248" t="s">
        <v>3085</v>
      </c>
      <c r="L222" s="74"/>
      <c r="M222" s="74"/>
      <c r="N222" s="74"/>
      <c r="O222" s="74"/>
    </row>
    <row r="223" spans="1:15" ht="34.950000000000003" hidden="1" customHeight="1">
      <c r="A223" s="248" t="s">
        <v>1457</v>
      </c>
      <c r="B223" s="248" t="s">
        <v>1458</v>
      </c>
      <c r="C223" s="248" t="s">
        <v>1426</v>
      </c>
      <c r="D223" s="248" t="s">
        <v>3049</v>
      </c>
      <c r="E223" s="248" t="s">
        <v>1426</v>
      </c>
      <c r="F223" s="248" t="s">
        <v>1451</v>
      </c>
      <c r="G223" s="248" t="s">
        <v>1437</v>
      </c>
      <c r="H223" s="248" t="s">
        <v>1452</v>
      </c>
      <c r="I223" s="248">
        <v>15</v>
      </c>
      <c r="J223" s="248" t="s">
        <v>1457</v>
      </c>
      <c r="K223" s="248" t="s">
        <v>3064</v>
      </c>
      <c r="L223" s="74"/>
      <c r="M223" s="74"/>
      <c r="N223" s="74"/>
      <c r="O223" s="74"/>
    </row>
    <row r="224" spans="1:15" hidden="1">
      <c r="A224" s="74"/>
      <c r="B224" s="74"/>
      <c r="C224" s="74"/>
      <c r="D224" s="74"/>
      <c r="E224" s="74"/>
      <c r="F224" s="74"/>
      <c r="G224" s="74"/>
      <c r="H224" s="74"/>
      <c r="I224" s="74"/>
      <c r="J224" s="74"/>
      <c r="K224" s="74"/>
      <c r="L224" s="74"/>
      <c r="M224" s="74"/>
      <c r="N224" s="74"/>
      <c r="O224" s="74"/>
    </row>
    <row r="225" spans="1:15" ht="28.8" hidden="1">
      <c r="A225" s="248" t="s">
        <v>1460</v>
      </c>
      <c r="B225" s="248" t="s">
        <v>1458</v>
      </c>
      <c r="C225" s="248" t="s">
        <v>1426</v>
      </c>
      <c r="D225" s="248" t="s">
        <v>1459</v>
      </c>
      <c r="E225" s="248" t="s">
        <v>1426</v>
      </c>
      <c r="F225" s="248" t="s">
        <v>1451</v>
      </c>
      <c r="G225" s="248" t="s">
        <v>1437</v>
      </c>
      <c r="H225" s="248" t="s">
        <v>1452</v>
      </c>
      <c r="I225" s="248">
        <v>15</v>
      </c>
      <c r="J225" s="248" t="s">
        <v>1460</v>
      </c>
      <c r="K225" s="248" t="s">
        <v>3064</v>
      </c>
      <c r="L225" s="74"/>
      <c r="M225" s="74"/>
      <c r="N225" s="74"/>
      <c r="O225" s="74"/>
    </row>
    <row r="226" spans="1:15" hidden="1">
      <c r="A226" s="74"/>
      <c r="B226" s="74"/>
      <c r="C226" s="74"/>
      <c r="D226" s="74"/>
      <c r="E226" s="74"/>
      <c r="F226" s="74"/>
      <c r="G226" s="74"/>
      <c r="H226" s="74"/>
      <c r="I226" s="74"/>
      <c r="J226" s="74"/>
      <c r="K226" s="74"/>
      <c r="L226" s="74"/>
      <c r="M226" s="74"/>
      <c r="N226" s="74"/>
      <c r="O226" s="74"/>
    </row>
    <row r="227" spans="1:15" ht="28.8" hidden="1">
      <c r="A227" s="248" t="s">
        <v>1461</v>
      </c>
      <c r="B227" s="248" t="s">
        <v>1458</v>
      </c>
      <c r="C227" s="248" t="s">
        <v>1426</v>
      </c>
      <c r="D227" s="248" t="s">
        <v>1459</v>
      </c>
      <c r="E227" s="248" t="s">
        <v>1426</v>
      </c>
      <c r="F227" s="248" t="s">
        <v>1451</v>
      </c>
      <c r="G227" s="248" t="s">
        <v>1437</v>
      </c>
      <c r="H227" s="248" t="s">
        <v>1452</v>
      </c>
      <c r="I227" s="248">
        <v>15</v>
      </c>
      <c r="J227" s="248" t="s">
        <v>1461</v>
      </c>
      <c r="K227" s="248" t="s">
        <v>3064</v>
      </c>
      <c r="L227" s="74"/>
      <c r="M227" s="74"/>
      <c r="N227" s="74"/>
      <c r="O227" s="74"/>
    </row>
    <row r="228" spans="1:15" hidden="1">
      <c r="A228" s="74"/>
      <c r="B228" s="74"/>
      <c r="C228" s="74"/>
      <c r="D228" s="74"/>
      <c r="E228" s="74"/>
      <c r="F228" s="74"/>
      <c r="G228" s="74"/>
      <c r="H228" s="74"/>
      <c r="I228" s="74"/>
      <c r="J228" s="74"/>
      <c r="K228" s="74"/>
      <c r="L228" s="74"/>
      <c r="M228" s="74"/>
      <c r="N228" s="74"/>
      <c r="O228" s="74"/>
    </row>
    <row r="229" spans="1:15" ht="28.8" hidden="1">
      <c r="A229" s="248" t="s">
        <v>1462</v>
      </c>
      <c r="B229" s="248" t="s">
        <v>1463</v>
      </c>
      <c r="C229" s="248" t="s">
        <v>1464</v>
      </c>
      <c r="D229" s="248" t="s">
        <v>1459</v>
      </c>
      <c r="E229" s="248" t="s">
        <v>1464</v>
      </c>
      <c r="F229" s="248" t="s">
        <v>1465</v>
      </c>
      <c r="G229" s="248" t="s">
        <v>1454</v>
      </c>
      <c r="H229" s="248" t="s">
        <v>1466</v>
      </c>
      <c r="I229" s="248">
        <v>15</v>
      </c>
      <c r="J229" s="248" t="s">
        <v>1462</v>
      </c>
      <c r="K229" s="248" t="s">
        <v>3088</v>
      </c>
      <c r="L229" s="74"/>
      <c r="M229" s="74"/>
      <c r="N229" s="74"/>
      <c r="O229" s="74"/>
    </row>
    <row r="230" spans="1:15" hidden="1">
      <c r="A230" s="74"/>
      <c r="B230" s="74"/>
      <c r="C230" s="74"/>
      <c r="D230" s="74"/>
      <c r="E230" s="74"/>
      <c r="F230" s="74"/>
      <c r="G230" s="74"/>
      <c r="H230" s="74"/>
      <c r="I230" s="74"/>
      <c r="J230" s="74"/>
      <c r="K230" s="74"/>
      <c r="L230" s="74"/>
      <c r="M230" s="74"/>
      <c r="N230" s="74"/>
      <c r="O230" s="74"/>
    </row>
    <row r="231" spans="1:15" ht="28.8" hidden="1">
      <c r="A231" s="248" t="s">
        <v>1467</v>
      </c>
      <c r="B231" s="248" t="s">
        <v>1468</v>
      </c>
      <c r="C231" s="248" t="s">
        <v>1445</v>
      </c>
      <c r="D231" s="248" t="s">
        <v>1459</v>
      </c>
      <c r="E231" s="248" t="s">
        <v>1445</v>
      </c>
      <c r="F231" s="248" t="s">
        <v>1469</v>
      </c>
      <c r="G231" s="248" t="s">
        <v>1454</v>
      </c>
      <c r="H231" s="248" t="s">
        <v>1470</v>
      </c>
      <c r="I231" s="248">
        <v>15</v>
      </c>
      <c r="J231" s="248" t="s">
        <v>1467</v>
      </c>
      <c r="K231" s="248" t="s">
        <v>3079</v>
      </c>
      <c r="L231" s="74"/>
      <c r="M231" s="74"/>
      <c r="N231" s="74"/>
      <c r="O231" s="74"/>
    </row>
    <row r="232" spans="1:15" hidden="1">
      <c r="A232" s="74"/>
      <c r="B232" s="74"/>
      <c r="C232" s="74"/>
      <c r="D232" s="74"/>
      <c r="E232" s="74"/>
      <c r="F232" s="74"/>
      <c r="G232" s="74"/>
      <c r="H232" s="74"/>
      <c r="I232" s="74"/>
      <c r="J232" s="74"/>
      <c r="K232" s="74"/>
      <c r="L232" s="74"/>
      <c r="M232" s="74"/>
      <c r="N232" s="74"/>
      <c r="O232" s="74"/>
    </row>
    <row r="233" spans="1:15" ht="28.8" hidden="1">
      <c r="A233" s="248" t="s">
        <v>1471</v>
      </c>
      <c r="B233" s="248" t="s">
        <v>1472</v>
      </c>
      <c r="C233" s="248" t="s">
        <v>1464</v>
      </c>
      <c r="D233" s="248" t="s">
        <v>1459</v>
      </c>
      <c r="E233" s="248" t="s">
        <v>1464</v>
      </c>
      <c r="F233" s="248" t="s">
        <v>1465</v>
      </c>
      <c r="G233" s="248" t="s">
        <v>1437</v>
      </c>
      <c r="H233" s="248" t="s">
        <v>1473</v>
      </c>
      <c r="I233" s="248">
        <v>15</v>
      </c>
      <c r="J233" s="248" t="s">
        <v>1471</v>
      </c>
      <c r="K233" s="248" t="s">
        <v>3089</v>
      </c>
      <c r="L233" s="74"/>
      <c r="M233" s="74"/>
      <c r="N233" s="74"/>
      <c r="O233" s="74"/>
    </row>
    <row r="234" spans="1:15" hidden="1">
      <c r="A234" s="74"/>
      <c r="B234" s="74"/>
      <c r="C234" s="74"/>
      <c r="D234" s="74"/>
      <c r="E234" s="74"/>
      <c r="F234" s="74"/>
      <c r="G234" s="74"/>
      <c r="H234" s="74"/>
      <c r="I234" s="74"/>
      <c r="J234" s="74"/>
      <c r="K234" s="74"/>
      <c r="L234" s="74"/>
      <c r="M234" s="74"/>
      <c r="N234" s="74"/>
      <c r="O234" s="74"/>
    </row>
    <row r="235" spans="1:15" ht="43.2" hidden="1">
      <c r="A235" s="259" t="s">
        <v>1474</v>
      </c>
      <c r="B235" s="259" t="s">
        <v>1458</v>
      </c>
      <c r="C235" s="259" t="s">
        <v>1464</v>
      </c>
      <c r="D235" s="259" t="s">
        <v>1459</v>
      </c>
      <c r="E235" s="259" t="s">
        <v>1464</v>
      </c>
      <c r="F235" s="259" t="s">
        <v>1475</v>
      </c>
      <c r="G235" s="259" t="s">
        <v>1476</v>
      </c>
      <c r="H235" s="259" t="s">
        <v>1477</v>
      </c>
      <c r="I235" s="259">
        <v>15</v>
      </c>
      <c r="J235" s="259" t="s">
        <v>1474</v>
      </c>
      <c r="K235" s="248" t="s">
        <v>3083</v>
      </c>
      <c r="L235" s="74"/>
      <c r="M235" s="74"/>
      <c r="N235" s="74"/>
      <c r="O235" s="74"/>
    </row>
    <row r="236" spans="1:15" hidden="1">
      <c r="A236" s="259"/>
      <c r="B236" s="259"/>
      <c r="C236" s="259"/>
      <c r="D236" s="259"/>
      <c r="E236" s="259"/>
      <c r="F236" s="259"/>
      <c r="G236" s="259"/>
      <c r="H236" s="259"/>
      <c r="I236" s="259"/>
      <c r="J236" s="259"/>
      <c r="K236" s="259"/>
      <c r="L236" s="74"/>
      <c r="M236" s="74"/>
      <c r="N236" s="74"/>
      <c r="O236" s="74"/>
    </row>
    <row r="237" spans="1:15" ht="43.2" hidden="1">
      <c r="A237" s="259" t="s">
        <v>1478</v>
      </c>
      <c r="B237" s="259" t="s">
        <v>1479</v>
      </c>
      <c r="C237" s="259" t="s">
        <v>1464</v>
      </c>
      <c r="D237" s="259" t="s">
        <v>1459</v>
      </c>
      <c r="E237" s="259" t="s">
        <v>1464</v>
      </c>
      <c r="F237" s="259" t="s">
        <v>1475</v>
      </c>
      <c r="G237" s="259" t="s">
        <v>1476</v>
      </c>
      <c r="H237" s="259" t="s">
        <v>1477</v>
      </c>
      <c r="I237" s="259">
        <v>15</v>
      </c>
      <c r="J237" s="259" t="s">
        <v>1478</v>
      </c>
      <c r="K237" s="248" t="s">
        <v>3083</v>
      </c>
      <c r="L237" s="74"/>
      <c r="M237" s="74"/>
      <c r="N237" s="74"/>
      <c r="O237" s="74"/>
    </row>
    <row r="238" spans="1:15" hidden="1">
      <c r="A238" s="259"/>
      <c r="B238" s="259"/>
      <c r="C238" s="259"/>
      <c r="D238" s="259"/>
      <c r="E238" s="259"/>
      <c r="F238" s="259"/>
      <c r="G238" s="259"/>
      <c r="H238" s="259"/>
      <c r="I238" s="259"/>
      <c r="J238" s="259"/>
      <c r="K238" s="259"/>
      <c r="L238" s="74"/>
      <c r="M238" s="74"/>
      <c r="N238" s="74"/>
      <c r="O238" s="74"/>
    </row>
    <row r="239" spans="1:15" ht="43.2" hidden="1">
      <c r="A239" s="259" t="s">
        <v>1480</v>
      </c>
      <c r="B239" s="259" t="s">
        <v>1481</v>
      </c>
      <c r="C239" s="259" t="s">
        <v>1464</v>
      </c>
      <c r="D239" s="259" t="s">
        <v>1459</v>
      </c>
      <c r="E239" s="259" t="s">
        <v>1464</v>
      </c>
      <c r="F239" s="259" t="s">
        <v>1475</v>
      </c>
      <c r="G239" s="259" t="s">
        <v>1476</v>
      </c>
      <c r="H239" s="259" t="s">
        <v>1477</v>
      </c>
      <c r="I239" s="259">
        <v>15</v>
      </c>
      <c r="J239" s="259" t="s">
        <v>1480</v>
      </c>
      <c r="K239" s="248" t="s">
        <v>3083</v>
      </c>
      <c r="L239" s="74"/>
      <c r="M239" s="74"/>
      <c r="N239" s="74"/>
      <c r="O239" s="74"/>
    </row>
    <row r="240" spans="1:15" hidden="1">
      <c r="A240" s="259"/>
      <c r="B240" s="259"/>
      <c r="C240" s="259"/>
      <c r="D240" s="259"/>
      <c r="E240" s="259"/>
      <c r="F240" s="259"/>
      <c r="G240" s="259"/>
      <c r="H240" s="259"/>
      <c r="I240" s="259"/>
      <c r="J240" s="259"/>
      <c r="K240" s="259"/>
      <c r="L240" s="74"/>
      <c r="M240" s="74"/>
      <c r="N240" s="74"/>
      <c r="O240" s="74"/>
    </row>
    <row r="241" spans="1:15" ht="43.2" hidden="1">
      <c r="A241" s="259" t="s">
        <v>1482</v>
      </c>
      <c r="B241" s="259" t="s">
        <v>1483</v>
      </c>
      <c r="C241" s="259" t="s">
        <v>1464</v>
      </c>
      <c r="D241" s="259" t="s">
        <v>1459</v>
      </c>
      <c r="E241" s="259" t="s">
        <v>1464</v>
      </c>
      <c r="F241" s="259" t="s">
        <v>1475</v>
      </c>
      <c r="G241" s="259" t="s">
        <v>1476</v>
      </c>
      <c r="H241" s="259" t="s">
        <v>1477</v>
      </c>
      <c r="I241" s="259">
        <v>15</v>
      </c>
      <c r="J241" s="259" t="s">
        <v>1482</v>
      </c>
      <c r="K241" s="248" t="s">
        <v>3083</v>
      </c>
      <c r="L241" s="74"/>
      <c r="M241" s="74"/>
      <c r="N241" s="74"/>
      <c r="O241" s="74"/>
    </row>
    <row r="242" spans="1:15" hidden="1">
      <c r="A242" s="259"/>
      <c r="B242" s="259"/>
      <c r="C242" s="259"/>
      <c r="D242" s="259"/>
      <c r="E242" s="259"/>
      <c r="F242" s="259"/>
      <c r="G242" s="259"/>
      <c r="H242" s="259"/>
      <c r="I242" s="259"/>
      <c r="J242" s="259"/>
      <c r="K242" s="259"/>
      <c r="L242" s="74"/>
      <c r="M242" s="74"/>
      <c r="N242" s="74"/>
      <c r="O242" s="74"/>
    </row>
    <row r="243" spans="1:15" ht="43.2" hidden="1">
      <c r="A243" s="259" t="s">
        <v>1484</v>
      </c>
      <c r="B243" s="259" t="s">
        <v>1463</v>
      </c>
      <c r="C243" s="259" t="s">
        <v>1464</v>
      </c>
      <c r="D243" s="259" t="s">
        <v>1459</v>
      </c>
      <c r="E243" s="259" t="s">
        <v>1464</v>
      </c>
      <c r="F243" s="259" t="s">
        <v>1475</v>
      </c>
      <c r="G243" s="259" t="s">
        <v>1476</v>
      </c>
      <c r="H243" s="259" t="s">
        <v>1477</v>
      </c>
      <c r="I243" s="259">
        <v>15</v>
      </c>
      <c r="J243" s="259" t="s">
        <v>1484</v>
      </c>
      <c r="K243" s="248" t="s">
        <v>3083</v>
      </c>
      <c r="L243" s="74"/>
      <c r="M243" s="74"/>
      <c r="N243" s="74"/>
      <c r="O243" s="74"/>
    </row>
    <row r="244" spans="1:15" hidden="1">
      <c r="A244" s="259"/>
      <c r="B244" s="259"/>
      <c r="C244" s="259"/>
      <c r="D244" s="259"/>
      <c r="E244" s="259"/>
      <c r="F244" s="259"/>
      <c r="G244" s="259"/>
      <c r="H244" s="259"/>
      <c r="I244" s="259"/>
      <c r="J244" s="259"/>
      <c r="K244" s="259"/>
      <c r="L244" s="74"/>
      <c r="M244" s="74"/>
      <c r="N244" s="74"/>
      <c r="O244" s="74"/>
    </row>
    <row r="245" spans="1:15" ht="43.2" hidden="1">
      <c r="A245" s="259" t="s">
        <v>1485</v>
      </c>
      <c r="B245" s="259" t="s">
        <v>1486</v>
      </c>
      <c r="C245" s="259" t="s">
        <v>1464</v>
      </c>
      <c r="D245" s="259" t="s">
        <v>1459</v>
      </c>
      <c r="E245" s="259" t="s">
        <v>1464</v>
      </c>
      <c r="F245" s="259" t="s">
        <v>1475</v>
      </c>
      <c r="G245" s="259" t="s">
        <v>1476</v>
      </c>
      <c r="H245" s="259" t="s">
        <v>1477</v>
      </c>
      <c r="I245" s="259">
        <v>15</v>
      </c>
      <c r="J245" s="259" t="s">
        <v>1485</v>
      </c>
      <c r="K245" s="248" t="s">
        <v>3083</v>
      </c>
      <c r="L245" s="74"/>
      <c r="M245" s="74"/>
      <c r="N245" s="74"/>
      <c r="O245" s="74"/>
    </row>
    <row r="246" spans="1:15" hidden="1">
      <c r="A246" s="259"/>
      <c r="B246" s="259"/>
      <c r="C246" s="259"/>
      <c r="D246" s="259"/>
      <c r="E246" s="259"/>
      <c r="F246" s="259"/>
      <c r="G246" s="259"/>
      <c r="H246" s="259"/>
      <c r="I246" s="259"/>
      <c r="J246" s="259"/>
      <c r="K246" s="259"/>
      <c r="L246" s="74"/>
      <c r="M246" s="74"/>
      <c r="N246" s="74"/>
      <c r="O246" s="74"/>
    </row>
    <row r="247" spans="1:15" ht="57.6" hidden="1">
      <c r="A247" s="259" t="s">
        <v>1487</v>
      </c>
      <c r="B247" s="259" t="s">
        <v>1488</v>
      </c>
      <c r="C247" s="259" t="s">
        <v>1464</v>
      </c>
      <c r="D247" s="259" t="s">
        <v>1459</v>
      </c>
      <c r="E247" s="259" t="s">
        <v>1464</v>
      </c>
      <c r="F247" s="259" t="s">
        <v>1475</v>
      </c>
      <c r="G247" s="259" t="s">
        <v>1476</v>
      </c>
      <c r="H247" s="259" t="s">
        <v>1477</v>
      </c>
      <c r="I247" s="259">
        <v>30</v>
      </c>
      <c r="J247" s="259" t="s">
        <v>1487</v>
      </c>
      <c r="K247" s="248" t="s">
        <v>3090</v>
      </c>
      <c r="L247" s="74"/>
      <c r="M247" s="74"/>
      <c r="N247" s="74"/>
      <c r="O247" s="74"/>
    </row>
    <row r="248" spans="1:15" hidden="1">
      <c r="A248" s="259"/>
      <c r="B248" s="259"/>
      <c r="C248" s="259"/>
      <c r="D248" s="259"/>
      <c r="E248" s="259"/>
      <c r="F248" s="259"/>
      <c r="G248" s="259"/>
      <c r="H248" s="259"/>
      <c r="I248" s="259"/>
      <c r="J248" s="259"/>
      <c r="K248" s="259"/>
      <c r="L248" s="74"/>
      <c r="M248" s="74"/>
      <c r="N248" s="74"/>
      <c r="O248" s="74"/>
    </row>
    <row r="249" spans="1:15" ht="57.6" hidden="1">
      <c r="A249" s="259" t="s">
        <v>1489</v>
      </c>
      <c r="B249" s="259" t="s">
        <v>1490</v>
      </c>
      <c r="C249" s="259" t="s">
        <v>1464</v>
      </c>
      <c r="D249" s="259" t="s">
        <v>1459</v>
      </c>
      <c r="E249" s="259" t="s">
        <v>1464</v>
      </c>
      <c r="F249" s="259" t="s">
        <v>1475</v>
      </c>
      <c r="G249" s="259" t="s">
        <v>1476</v>
      </c>
      <c r="H249" s="259" t="s">
        <v>1477</v>
      </c>
      <c r="I249" s="259">
        <v>30</v>
      </c>
      <c r="J249" s="259" t="s">
        <v>1489</v>
      </c>
      <c r="K249" s="248" t="s">
        <v>3090</v>
      </c>
      <c r="L249" s="74"/>
      <c r="M249" s="74"/>
      <c r="N249" s="74"/>
      <c r="O249" s="74"/>
    </row>
    <row r="250" spans="1:15" ht="41.4" customHeight="1">
      <c r="A250" s="248" t="s">
        <v>1491</v>
      </c>
      <c r="B250" s="248" t="s">
        <v>1468</v>
      </c>
      <c r="C250" s="248" t="s">
        <v>1426</v>
      </c>
      <c r="D250" s="248" t="s">
        <v>1427</v>
      </c>
      <c r="E250" s="248" t="s">
        <v>1426</v>
      </c>
      <c r="F250" s="248" t="s">
        <v>1441</v>
      </c>
      <c r="G250" s="248" t="s">
        <v>1492</v>
      </c>
      <c r="H250" s="248" t="s">
        <v>1442</v>
      </c>
      <c r="I250" s="248">
        <v>15</v>
      </c>
      <c r="J250" s="248" t="s">
        <v>1491</v>
      </c>
      <c r="K250" s="248" t="s">
        <v>3079</v>
      </c>
      <c r="L250" s="74"/>
      <c r="M250" s="74"/>
      <c r="N250" s="74"/>
      <c r="O250" s="74"/>
    </row>
    <row r="251" spans="1:15" hidden="1">
      <c r="A251" s="74"/>
      <c r="B251" s="74"/>
      <c r="C251" s="74"/>
      <c r="D251" s="74"/>
      <c r="E251" s="74"/>
      <c r="F251" s="74"/>
      <c r="G251" s="74"/>
      <c r="H251" s="74"/>
      <c r="I251" s="74"/>
      <c r="J251" s="74"/>
      <c r="K251" s="74"/>
      <c r="L251" s="74"/>
      <c r="M251" s="74"/>
      <c r="N251" s="74"/>
      <c r="O251" s="74"/>
    </row>
    <row r="252" spans="1:15" ht="28.8">
      <c r="A252" s="248" t="s">
        <v>1493</v>
      </c>
      <c r="B252" s="248" t="s">
        <v>1458</v>
      </c>
      <c r="C252" s="248" t="s">
        <v>1435</v>
      </c>
      <c r="D252" s="248" t="s">
        <v>1427</v>
      </c>
      <c r="E252" s="248" t="s">
        <v>1435</v>
      </c>
      <c r="F252" s="248" t="s">
        <v>1436</v>
      </c>
      <c r="G252" s="248" t="s">
        <v>1492</v>
      </c>
      <c r="H252" s="248" t="s">
        <v>1438</v>
      </c>
      <c r="I252" s="248">
        <v>15</v>
      </c>
      <c r="J252" s="248" t="s">
        <v>1493</v>
      </c>
      <c r="K252" s="248" t="s">
        <v>3064</v>
      </c>
      <c r="L252" s="74"/>
      <c r="M252" s="74"/>
      <c r="N252" s="74"/>
      <c r="O252" s="74"/>
    </row>
    <row r="253" spans="1:15" hidden="1">
      <c r="A253" s="74"/>
      <c r="B253" s="74"/>
      <c r="C253" s="74"/>
      <c r="D253" s="74"/>
      <c r="E253" s="74"/>
      <c r="F253" s="74"/>
      <c r="G253" s="74"/>
      <c r="H253" s="74"/>
      <c r="I253" s="74"/>
      <c r="J253" s="74"/>
      <c r="K253" s="74"/>
      <c r="L253" s="74"/>
      <c r="M253" s="74"/>
      <c r="N253" s="74"/>
      <c r="O253" s="74"/>
    </row>
    <row r="254" spans="1:15" ht="28.8">
      <c r="A254" s="248" t="s">
        <v>1494</v>
      </c>
      <c r="B254" s="248" t="s">
        <v>1458</v>
      </c>
      <c r="C254" s="248" t="s">
        <v>1435</v>
      </c>
      <c r="D254" s="248" t="s">
        <v>1427</v>
      </c>
      <c r="E254" s="248" t="s">
        <v>1435</v>
      </c>
      <c r="F254" s="248" t="s">
        <v>1436</v>
      </c>
      <c r="G254" s="248" t="s">
        <v>1492</v>
      </c>
      <c r="H254" s="248" t="s">
        <v>1438</v>
      </c>
      <c r="I254" s="248">
        <v>15</v>
      </c>
      <c r="J254" s="248" t="s">
        <v>1494</v>
      </c>
      <c r="K254" s="248" t="s">
        <v>3064</v>
      </c>
      <c r="L254" s="74"/>
      <c r="M254" s="74"/>
      <c r="N254" s="74"/>
      <c r="O254" s="74"/>
    </row>
    <row r="255" spans="1:15" hidden="1">
      <c r="A255" s="74"/>
      <c r="B255" s="74"/>
      <c r="C255" s="74"/>
      <c r="D255" s="74"/>
      <c r="E255" s="74"/>
      <c r="F255" s="74"/>
      <c r="G255" s="74"/>
      <c r="H255" s="74"/>
      <c r="I255" s="74"/>
      <c r="J255" s="74"/>
      <c r="K255" s="74"/>
      <c r="L255" s="74"/>
      <c r="M255" s="74"/>
      <c r="N255" s="74"/>
      <c r="O255" s="74"/>
    </row>
    <row r="256" spans="1:15">
      <c r="A256" s="248" t="s">
        <v>1495</v>
      </c>
      <c r="B256" s="248" t="s">
        <v>1458</v>
      </c>
      <c r="C256" s="248" t="s">
        <v>1464</v>
      </c>
      <c r="D256" s="248" t="s">
        <v>1427</v>
      </c>
      <c r="E256" s="248" t="s">
        <v>1464</v>
      </c>
      <c r="F256" s="248" t="s">
        <v>1496</v>
      </c>
      <c r="G256" s="248" t="s">
        <v>1497</v>
      </c>
      <c r="H256" s="248" t="s">
        <v>1498</v>
      </c>
      <c r="I256" s="248">
        <v>15</v>
      </c>
      <c r="J256" s="248" t="s">
        <v>1495</v>
      </c>
      <c r="K256" s="248" t="s">
        <v>1499</v>
      </c>
      <c r="L256" s="74"/>
      <c r="M256" s="74"/>
      <c r="N256" s="74"/>
      <c r="O256" s="74"/>
    </row>
    <row r="257" spans="1:15" hidden="1">
      <c r="A257" s="74"/>
      <c r="B257" s="74"/>
      <c r="C257" s="74"/>
      <c r="D257" s="74"/>
      <c r="E257" s="74"/>
      <c r="F257" s="74"/>
      <c r="G257" s="74"/>
      <c r="H257" s="74"/>
      <c r="I257" s="74"/>
      <c r="J257" s="74"/>
      <c r="K257" s="74"/>
      <c r="L257" s="74"/>
      <c r="M257" s="74"/>
      <c r="N257" s="74"/>
      <c r="O257" s="74"/>
    </row>
    <row r="258" spans="1:15" ht="28.8">
      <c r="A258" s="74" t="s">
        <v>1500</v>
      </c>
      <c r="B258" s="74" t="s">
        <v>1486</v>
      </c>
      <c r="C258" s="74" t="s">
        <v>1464</v>
      </c>
      <c r="D258" s="74" t="s">
        <v>1427</v>
      </c>
      <c r="E258" s="74" t="s">
        <v>1464</v>
      </c>
      <c r="F258" s="74" t="s">
        <v>1496</v>
      </c>
      <c r="G258" s="74" t="s">
        <v>1497</v>
      </c>
      <c r="H258" s="74" t="s">
        <v>1498</v>
      </c>
      <c r="I258" s="74">
        <v>15</v>
      </c>
      <c r="J258" s="74" t="s">
        <v>1500</v>
      </c>
      <c r="K258" s="74" t="s">
        <v>1501</v>
      </c>
      <c r="L258" s="74"/>
      <c r="M258" s="74"/>
      <c r="N258" s="74"/>
      <c r="O258" s="74"/>
    </row>
    <row r="259" spans="1:15" ht="28.8" hidden="1">
      <c r="A259" s="74" t="s">
        <v>3134</v>
      </c>
      <c r="B259" s="74" t="s">
        <v>3077</v>
      </c>
      <c r="C259" s="74" t="s">
        <v>1426</v>
      </c>
      <c r="D259" s="74" t="s">
        <v>1459</v>
      </c>
      <c r="E259" s="74" t="s">
        <v>1426</v>
      </c>
      <c r="F259" s="74" t="s">
        <v>3153</v>
      </c>
      <c r="G259" s="74" t="s">
        <v>1497</v>
      </c>
      <c r="H259" s="74" t="s">
        <v>3154</v>
      </c>
      <c r="I259" s="74">
        <v>25</v>
      </c>
      <c r="J259" s="74" t="s">
        <v>3134</v>
      </c>
      <c r="K259" s="74" t="s">
        <v>3155</v>
      </c>
      <c r="L259" s="74"/>
      <c r="M259" s="74"/>
      <c r="N259" s="74"/>
      <c r="O259" s="74"/>
    </row>
    <row r="260" spans="1:15">
      <c r="A260" s="274"/>
      <c r="B260" s="275"/>
      <c r="C260" s="274"/>
      <c r="D260" s="274"/>
      <c r="E260" s="74"/>
      <c r="F260" s="74"/>
      <c r="G260" s="74"/>
      <c r="H260" s="74"/>
      <c r="I260" s="74"/>
      <c r="J260" s="274"/>
      <c r="K260" s="74"/>
      <c r="L260" s="74"/>
      <c r="M260" s="74"/>
      <c r="N260" s="74"/>
      <c r="O260" s="74"/>
    </row>
    <row r="261" spans="1:15">
      <c r="A261" s="276" t="s">
        <v>3136</v>
      </c>
      <c r="B261" s="10" t="s">
        <v>3156</v>
      </c>
      <c r="C261" s="276" t="s">
        <v>1464</v>
      </c>
      <c r="D261" s="276" t="s">
        <v>1459</v>
      </c>
      <c r="E261" s="74" t="s">
        <v>1464</v>
      </c>
      <c r="F261" s="74" t="s">
        <v>3157</v>
      </c>
      <c r="G261" s="74" t="s">
        <v>1454</v>
      </c>
      <c r="H261" s="74" t="s">
        <v>1498</v>
      </c>
      <c r="I261" s="74">
        <v>25</v>
      </c>
      <c r="J261" s="276" t="s">
        <v>3136</v>
      </c>
      <c r="K261" s="74" t="s">
        <v>3155</v>
      </c>
      <c r="L261" s="74"/>
      <c r="M261" s="74"/>
      <c r="N261" s="74"/>
      <c r="O261" s="74"/>
    </row>
    <row r="262" spans="1:15">
      <c r="A262" s="274"/>
      <c r="B262" s="275"/>
      <c r="C262" s="274"/>
      <c r="D262" s="274"/>
      <c r="E262" s="74"/>
      <c r="F262" s="74"/>
      <c r="G262" s="74"/>
      <c r="H262" s="74"/>
      <c r="I262" s="74"/>
      <c r="J262" s="274"/>
      <c r="K262" s="74"/>
      <c r="L262" s="74"/>
      <c r="M262" s="74"/>
      <c r="N262" s="74"/>
      <c r="O262" s="74"/>
    </row>
    <row r="263" spans="1:15">
      <c r="A263" s="276" t="s">
        <v>3158</v>
      </c>
      <c r="B263" s="10" t="s">
        <v>2057</v>
      </c>
      <c r="C263" s="276" t="s">
        <v>1464</v>
      </c>
      <c r="D263" s="276" t="s">
        <v>1459</v>
      </c>
      <c r="E263" s="74" t="s">
        <v>1464</v>
      </c>
      <c r="F263" s="74" t="s">
        <v>3157</v>
      </c>
      <c r="G263" s="74" t="s">
        <v>1454</v>
      </c>
      <c r="H263" s="74" t="s">
        <v>1498</v>
      </c>
      <c r="I263" s="74">
        <v>30</v>
      </c>
      <c r="J263" s="276" t="s">
        <v>3158</v>
      </c>
      <c r="K263" s="74" t="s">
        <v>3159</v>
      </c>
      <c r="L263" s="74"/>
      <c r="M263" s="74"/>
      <c r="N263" s="74"/>
      <c r="O263" s="74"/>
    </row>
    <row r="264" spans="1:15">
      <c r="A264" s="274"/>
      <c r="B264" s="275"/>
      <c r="C264" s="274"/>
      <c r="D264" s="274"/>
      <c r="E264" s="74"/>
      <c r="F264" s="74"/>
      <c r="G264" s="74"/>
      <c r="H264" s="74"/>
      <c r="I264" s="74"/>
      <c r="J264" s="274"/>
      <c r="K264" s="74"/>
      <c r="L264" s="74"/>
      <c r="M264" s="74"/>
      <c r="N264" s="74"/>
      <c r="O264" s="74"/>
    </row>
    <row r="265" spans="1:15">
      <c r="A265" s="276" t="s">
        <v>3135</v>
      </c>
      <c r="B265" s="10" t="s">
        <v>3076</v>
      </c>
      <c r="C265" s="276" t="s">
        <v>1445</v>
      </c>
      <c r="D265" s="276" t="s">
        <v>1459</v>
      </c>
      <c r="E265" s="74" t="s">
        <v>1445</v>
      </c>
      <c r="F265" s="74" t="s">
        <v>3160</v>
      </c>
      <c r="G265" s="74" t="s">
        <v>1497</v>
      </c>
      <c r="H265" s="74" t="s">
        <v>3161</v>
      </c>
      <c r="I265" s="74">
        <v>25</v>
      </c>
      <c r="J265" s="276" t="s">
        <v>3135</v>
      </c>
      <c r="K265" s="74" t="s">
        <v>3162</v>
      </c>
      <c r="L265" s="74"/>
      <c r="M265" s="74"/>
      <c r="N265" s="74"/>
      <c r="O265" s="74"/>
    </row>
    <row r="266" spans="1:15">
      <c r="A266" s="274"/>
      <c r="B266" s="275"/>
      <c r="C266" s="274"/>
      <c r="D266" s="274"/>
      <c r="E266" s="74"/>
      <c r="F266" s="74"/>
      <c r="G266" s="74"/>
      <c r="H266" s="74"/>
      <c r="I266" s="74"/>
      <c r="J266" s="274"/>
      <c r="K266" s="74"/>
      <c r="L266" s="74"/>
      <c r="M266" s="74"/>
      <c r="N266" s="74"/>
      <c r="O266" s="74"/>
    </row>
    <row r="267" spans="1:15">
      <c r="A267" s="276" t="s">
        <v>3163</v>
      </c>
      <c r="B267" s="10" t="s">
        <v>3164</v>
      </c>
      <c r="C267" s="276" t="s">
        <v>1464</v>
      </c>
      <c r="D267" s="276" t="s">
        <v>1459</v>
      </c>
      <c r="E267" s="74" t="s">
        <v>1464</v>
      </c>
      <c r="F267" s="74" t="s">
        <v>3165</v>
      </c>
      <c r="G267" s="74" t="s">
        <v>1454</v>
      </c>
      <c r="H267" s="74" t="s">
        <v>1498</v>
      </c>
      <c r="I267" s="74">
        <v>25</v>
      </c>
      <c r="J267" s="276" t="s">
        <v>3163</v>
      </c>
      <c r="K267" s="74" t="s">
        <v>3166</v>
      </c>
      <c r="L267" s="74"/>
      <c r="M267" s="74"/>
      <c r="N267" s="74"/>
      <c r="O267" s="74"/>
    </row>
    <row r="268" spans="1:15">
      <c r="A268" s="274"/>
      <c r="B268" s="275"/>
      <c r="C268" s="274"/>
      <c r="D268" s="274"/>
      <c r="E268" s="74"/>
      <c r="F268" s="74"/>
      <c r="G268" s="74"/>
      <c r="H268" s="74"/>
      <c r="I268" s="74"/>
      <c r="J268" s="274"/>
      <c r="K268" s="74"/>
      <c r="L268" s="74"/>
      <c r="M268" s="74"/>
      <c r="N268" s="74"/>
      <c r="O268" s="74"/>
    </row>
    <row r="269" spans="1:15">
      <c r="A269" s="276" t="s">
        <v>3137</v>
      </c>
      <c r="B269" s="10" t="s">
        <v>3167</v>
      </c>
      <c r="C269" s="276" t="s">
        <v>1464</v>
      </c>
      <c r="D269" s="276" t="s">
        <v>1459</v>
      </c>
      <c r="E269" s="74" t="s">
        <v>1464</v>
      </c>
      <c r="F269" s="74" t="s">
        <v>3168</v>
      </c>
      <c r="G269" s="74" t="s">
        <v>1454</v>
      </c>
      <c r="H269" s="74" t="s">
        <v>1498</v>
      </c>
      <c r="I269" s="74">
        <v>25</v>
      </c>
      <c r="J269" s="276" t="s">
        <v>3137</v>
      </c>
      <c r="K269" s="74" t="s">
        <v>3166</v>
      </c>
      <c r="L269" s="74"/>
      <c r="M269" s="74"/>
      <c r="N269" s="74"/>
      <c r="O269" s="74"/>
    </row>
    <row r="270" spans="1:15">
      <c r="A270" s="274"/>
      <c r="B270" s="275"/>
      <c r="C270" s="274"/>
      <c r="D270" s="274"/>
      <c r="E270" s="74"/>
      <c r="F270" s="74"/>
      <c r="G270" s="74"/>
      <c r="H270" s="74"/>
      <c r="I270" s="74"/>
      <c r="J270" s="274"/>
      <c r="K270" s="74"/>
      <c r="L270" s="74"/>
      <c r="M270" s="74"/>
      <c r="N270" s="74"/>
      <c r="O270" s="74"/>
    </row>
    <row r="271" spans="1:15">
      <c r="A271" s="276" t="s">
        <v>3198</v>
      </c>
      <c r="B271" s="276" t="s">
        <v>3197</v>
      </c>
      <c r="C271" s="276" t="s">
        <v>3139</v>
      </c>
      <c r="D271" s="276" t="s">
        <v>3196</v>
      </c>
      <c r="E271" s="276" t="s">
        <v>3139</v>
      </c>
      <c r="F271" s="276" t="s">
        <v>3140</v>
      </c>
      <c r="G271" s="276" t="s">
        <v>3195</v>
      </c>
      <c r="H271" s="276" t="s">
        <v>3142</v>
      </c>
      <c r="I271" s="276">
        <v>30</v>
      </c>
      <c r="J271" s="276" t="s">
        <v>3198</v>
      </c>
      <c r="K271" s="276"/>
      <c r="L271" s="74"/>
      <c r="M271" s="74"/>
      <c r="N271" s="74"/>
      <c r="O271" s="74"/>
    </row>
    <row r="272" spans="1:15">
      <c r="A272" s="276" t="s">
        <v>3194</v>
      </c>
      <c r="B272" s="276" t="s">
        <v>3193</v>
      </c>
      <c r="C272" s="276" t="s">
        <v>3173</v>
      </c>
      <c r="D272" s="276" t="s">
        <v>3174</v>
      </c>
      <c r="E272" s="276" t="s">
        <v>3173</v>
      </c>
      <c r="F272" s="276" t="s">
        <v>3172</v>
      </c>
      <c r="G272" s="276" t="s">
        <v>3171</v>
      </c>
      <c r="H272" s="276" t="s">
        <v>3170</v>
      </c>
      <c r="I272" s="276">
        <v>45</v>
      </c>
      <c r="J272" s="276" t="s">
        <v>3194</v>
      </c>
      <c r="K272" s="276" t="s">
        <v>3190</v>
      </c>
      <c r="L272" s="74"/>
      <c r="M272" s="74"/>
      <c r="N272" s="74"/>
      <c r="O272" s="74"/>
    </row>
    <row r="273" spans="1:15">
      <c r="A273" s="276" t="s">
        <v>3192</v>
      </c>
      <c r="B273" s="276" t="s">
        <v>3191</v>
      </c>
      <c r="C273" s="276" t="s">
        <v>3173</v>
      </c>
      <c r="D273" s="276" t="s">
        <v>3174</v>
      </c>
      <c r="E273" s="276" t="s">
        <v>3173</v>
      </c>
      <c r="F273" s="276" t="s">
        <v>3172</v>
      </c>
      <c r="G273" s="276" t="s">
        <v>3171</v>
      </c>
      <c r="H273" s="276" t="s">
        <v>3170</v>
      </c>
      <c r="I273" s="276">
        <v>15</v>
      </c>
      <c r="J273" s="276" t="s">
        <v>3192</v>
      </c>
      <c r="K273" s="276" t="s">
        <v>3190</v>
      </c>
      <c r="L273" s="74"/>
      <c r="M273" s="74"/>
      <c r="N273" s="74"/>
      <c r="O273" s="74"/>
    </row>
    <row r="274" spans="1:15">
      <c r="A274" s="276" t="s">
        <v>3189</v>
      </c>
      <c r="B274" s="276" t="s">
        <v>3188</v>
      </c>
      <c r="C274" s="276" t="s">
        <v>3173</v>
      </c>
      <c r="D274" s="276" t="s">
        <v>3174</v>
      </c>
      <c r="E274" s="276" t="s">
        <v>3173</v>
      </c>
      <c r="F274" s="276" t="s">
        <v>3172</v>
      </c>
      <c r="G274" s="276" t="s">
        <v>3171</v>
      </c>
      <c r="H274" s="276" t="s">
        <v>3170</v>
      </c>
      <c r="I274" s="276">
        <v>35</v>
      </c>
      <c r="J274" s="276" t="s">
        <v>3189</v>
      </c>
      <c r="K274" s="276" t="s">
        <v>3187</v>
      </c>
      <c r="L274" s="74"/>
      <c r="M274" s="74"/>
      <c r="N274" s="74"/>
      <c r="O274" s="74"/>
    </row>
    <row r="275" spans="1:15">
      <c r="A275" s="276" t="s">
        <v>3186</v>
      </c>
      <c r="B275" s="276" t="s">
        <v>3185</v>
      </c>
      <c r="C275" s="276" t="s">
        <v>3173</v>
      </c>
      <c r="D275" s="276" t="s">
        <v>3174</v>
      </c>
      <c r="E275" s="276" t="s">
        <v>3173</v>
      </c>
      <c r="F275" s="276" t="s">
        <v>3172</v>
      </c>
      <c r="G275" s="276" t="s">
        <v>3171</v>
      </c>
      <c r="H275" s="276" t="s">
        <v>3170</v>
      </c>
      <c r="I275" s="276">
        <v>40</v>
      </c>
      <c r="J275" s="276" t="s">
        <v>3186</v>
      </c>
      <c r="K275" s="276" t="s">
        <v>3184</v>
      </c>
      <c r="L275" s="74"/>
      <c r="M275" s="74"/>
      <c r="N275" s="74"/>
      <c r="O275" s="74"/>
    </row>
    <row r="276" spans="1:15">
      <c r="A276" s="276" t="s">
        <v>3183</v>
      </c>
      <c r="B276" s="276" t="s">
        <v>3182</v>
      </c>
      <c r="C276" s="276" t="s">
        <v>3173</v>
      </c>
      <c r="D276" s="276" t="s">
        <v>3174</v>
      </c>
      <c r="E276" s="276" t="s">
        <v>3173</v>
      </c>
      <c r="F276" s="276" t="s">
        <v>3172</v>
      </c>
      <c r="G276" s="276" t="s">
        <v>3171</v>
      </c>
      <c r="H276" s="276" t="s">
        <v>3170</v>
      </c>
      <c r="I276" s="276">
        <v>40</v>
      </c>
      <c r="J276" s="276" t="s">
        <v>3183</v>
      </c>
      <c r="K276" s="276" t="s">
        <v>3179</v>
      </c>
      <c r="L276" s="74"/>
      <c r="M276" s="74"/>
      <c r="N276" s="74"/>
      <c r="O276" s="74"/>
    </row>
    <row r="277" spans="1:15">
      <c r="A277" s="276" t="s">
        <v>3181</v>
      </c>
      <c r="B277" s="276" t="s">
        <v>3180</v>
      </c>
      <c r="C277" s="276" t="s">
        <v>3173</v>
      </c>
      <c r="D277" s="276" t="s">
        <v>3174</v>
      </c>
      <c r="E277" s="276" t="s">
        <v>3173</v>
      </c>
      <c r="F277" s="276" t="s">
        <v>3172</v>
      </c>
      <c r="G277" s="276" t="s">
        <v>3171</v>
      </c>
      <c r="H277" s="276" t="s">
        <v>3170</v>
      </c>
      <c r="I277" s="276">
        <v>30</v>
      </c>
      <c r="J277" s="276" t="s">
        <v>3181</v>
      </c>
      <c r="K277" s="276" t="s">
        <v>3179</v>
      </c>
      <c r="L277" s="74"/>
      <c r="M277" s="74"/>
      <c r="N277" s="74"/>
      <c r="O277" s="74"/>
    </row>
    <row r="278" spans="1:15">
      <c r="A278" s="276" t="s">
        <v>3178</v>
      </c>
      <c r="B278" s="276" t="s">
        <v>3177</v>
      </c>
      <c r="C278" s="276" t="s">
        <v>3173</v>
      </c>
      <c r="D278" s="276" t="s">
        <v>3174</v>
      </c>
      <c r="E278" s="276" t="s">
        <v>3173</v>
      </c>
      <c r="F278" s="276" t="s">
        <v>3172</v>
      </c>
      <c r="G278" s="276" t="s">
        <v>3171</v>
      </c>
      <c r="H278" s="276" t="s">
        <v>3170</v>
      </c>
      <c r="I278" s="276">
        <v>25</v>
      </c>
      <c r="J278" s="276" t="s">
        <v>3178</v>
      </c>
      <c r="K278" s="276" t="s">
        <v>3169</v>
      </c>
      <c r="L278" s="74"/>
      <c r="M278" s="74"/>
      <c r="N278" s="74"/>
      <c r="O278" s="74"/>
    </row>
    <row r="279" spans="1:15">
      <c r="A279" s="276" t="s">
        <v>3176</v>
      </c>
      <c r="B279" s="276" t="s">
        <v>3175</v>
      </c>
      <c r="C279" s="276" t="s">
        <v>3173</v>
      </c>
      <c r="D279" s="276" t="s">
        <v>3174</v>
      </c>
      <c r="E279" s="276" t="s">
        <v>3173</v>
      </c>
      <c r="F279" s="276" t="s">
        <v>3172</v>
      </c>
      <c r="G279" s="276" t="s">
        <v>3171</v>
      </c>
      <c r="H279" s="276" t="s">
        <v>3170</v>
      </c>
      <c r="I279" s="276">
        <v>35</v>
      </c>
      <c r="J279" s="276" t="s">
        <v>3176</v>
      </c>
      <c r="K279" s="276" t="s">
        <v>3169</v>
      </c>
      <c r="L279" s="74"/>
      <c r="M279" s="74"/>
      <c r="N279" s="74"/>
      <c r="O279" s="74"/>
    </row>
    <row r="280" spans="1:15">
      <c r="A280" s="276"/>
      <c r="B280" s="276"/>
      <c r="C280" s="276"/>
      <c r="D280" s="276"/>
      <c r="E280" s="276"/>
      <c r="F280" s="276"/>
      <c r="G280" s="276"/>
      <c r="H280" s="276"/>
      <c r="I280" s="276"/>
      <c r="J280" s="276"/>
      <c r="K280" s="276"/>
      <c r="L280" s="74"/>
      <c r="M280" s="74"/>
      <c r="N280" s="74"/>
      <c r="O280" s="74"/>
    </row>
    <row r="281" spans="1:15">
      <c r="A281" s="276" t="s">
        <v>3226</v>
      </c>
      <c r="B281" s="276" t="s">
        <v>3225</v>
      </c>
      <c r="C281" s="276" t="s">
        <v>3149</v>
      </c>
      <c r="D281" s="276" t="s">
        <v>3196</v>
      </c>
      <c r="E281" s="276" t="s">
        <v>3149</v>
      </c>
      <c r="F281" s="276" t="s">
        <v>3150</v>
      </c>
      <c r="G281" s="276" t="s">
        <v>3141</v>
      </c>
      <c r="H281" s="276" t="s">
        <v>3151</v>
      </c>
      <c r="I281" s="276">
        <v>30</v>
      </c>
      <c r="J281" s="276" t="s">
        <v>3226</v>
      </c>
      <c r="K281" s="276"/>
      <c r="L281" s="74"/>
      <c r="M281" s="74"/>
      <c r="N281" s="74"/>
      <c r="O281" s="74"/>
    </row>
    <row r="282" spans="1:15">
      <c r="A282" s="276" t="s">
        <v>3224</v>
      </c>
      <c r="B282" s="276" t="s">
        <v>3223</v>
      </c>
      <c r="C282" s="276" t="s">
        <v>3173</v>
      </c>
      <c r="D282" s="276" t="s">
        <v>3220</v>
      </c>
      <c r="E282" s="276" t="s">
        <v>3173</v>
      </c>
      <c r="F282" s="276" t="s">
        <v>3172</v>
      </c>
      <c r="G282" s="276" t="s">
        <v>3171</v>
      </c>
      <c r="H282" s="276" t="s">
        <v>3170</v>
      </c>
      <c r="I282" s="276">
        <v>45</v>
      </c>
      <c r="J282" s="276" t="s">
        <v>3224</v>
      </c>
      <c r="K282" s="276" t="s">
        <v>3190</v>
      </c>
      <c r="L282" s="74"/>
      <c r="M282" s="74"/>
      <c r="N282" s="74"/>
      <c r="O282" s="74"/>
    </row>
    <row r="283" spans="1:15">
      <c r="A283" s="276" t="s">
        <v>3222</v>
      </c>
      <c r="B283" s="276" t="s">
        <v>3221</v>
      </c>
      <c r="C283" s="276" t="s">
        <v>3173</v>
      </c>
      <c r="D283" s="276" t="s">
        <v>3220</v>
      </c>
      <c r="E283" s="276" t="s">
        <v>3173</v>
      </c>
      <c r="F283" s="276" t="s">
        <v>3172</v>
      </c>
      <c r="G283" s="276" t="s">
        <v>3171</v>
      </c>
      <c r="H283" s="276" t="s">
        <v>3170</v>
      </c>
      <c r="I283" s="276">
        <v>15</v>
      </c>
      <c r="J283" s="276" t="s">
        <v>3222</v>
      </c>
      <c r="K283" s="276" t="s">
        <v>3190</v>
      </c>
      <c r="L283" s="74"/>
      <c r="M283" s="74"/>
      <c r="N283" s="74"/>
      <c r="O283" s="74"/>
    </row>
    <row r="284" spans="1:15">
      <c r="A284" s="276"/>
      <c r="B284" s="276"/>
      <c r="C284" s="276"/>
      <c r="D284" s="276"/>
      <c r="E284" s="276"/>
      <c r="F284" s="276"/>
      <c r="G284" s="276"/>
      <c r="H284" s="276"/>
      <c r="I284" s="276"/>
      <c r="J284" s="276"/>
      <c r="K284" s="276"/>
      <c r="L284" s="74"/>
      <c r="M284" s="74"/>
      <c r="N284" s="74"/>
      <c r="O284" s="74"/>
    </row>
    <row r="285" spans="1:15">
      <c r="A285" s="276" t="s">
        <v>3219</v>
      </c>
      <c r="B285" s="276" t="s">
        <v>3218</v>
      </c>
      <c r="C285" s="276" t="s">
        <v>3144</v>
      </c>
      <c r="D285" s="276" t="s">
        <v>3196</v>
      </c>
      <c r="E285" s="276" t="s">
        <v>3144</v>
      </c>
      <c r="F285" s="276" t="s">
        <v>3215</v>
      </c>
      <c r="G285" s="276" t="s">
        <v>3195</v>
      </c>
      <c r="H285" s="276" t="s">
        <v>3214</v>
      </c>
      <c r="I285" s="276">
        <v>20</v>
      </c>
      <c r="J285" s="276" t="s">
        <v>3219</v>
      </c>
      <c r="K285" s="276" t="s">
        <v>3213</v>
      </c>
      <c r="L285" s="74"/>
      <c r="M285" s="74"/>
      <c r="N285" s="74"/>
      <c r="O285" s="74"/>
    </row>
    <row r="286" spans="1:15">
      <c r="A286" s="276"/>
      <c r="B286" s="276"/>
      <c r="C286" s="276"/>
      <c r="D286" s="276"/>
      <c r="E286" s="276"/>
      <c r="F286" s="276"/>
      <c r="G286" s="276"/>
      <c r="H286" s="276"/>
      <c r="I286" s="276"/>
      <c r="J286" s="276"/>
      <c r="K286" s="276"/>
      <c r="L286" s="74"/>
      <c r="M286" s="74"/>
      <c r="N286" s="74"/>
      <c r="O286" s="74"/>
    </row>
    <row r="287" spans="1:15">
      <c r="A287" s="276" t="s">
        <v>3217</v>
      </c>
      <c r="B287" s="276" t="s">
        <v>3216</v>
      </c>
      <c r="C287" s="276" t="s">
        <v>3144</v>
      </c>
      <c r="D287" s="276" t="s">
        <v>3196</v>
      </c>
      <c r="E287" s="276" t="s">
        <v>3144</v>
      </c>
      <c r="F287" s="276" t="s">
        <v>3215</v>
      </c>
      <c r="G287" s="276" t="s">
        <v>3195</v>
      </c>
      <c r="H287" s="276" t="s">
        <v>3214</v>
      </c>
      <c r="I287" s="276">
        <v>20</v>
      </c>
      <c r="J287" s="276" t="s">
        <v>3217</v>
      </c>
      <c r="K287" s="276" t="s">
        <v>3213</v>
      </c>
      <c r="L287" s="74"/>
      <c r="M287" s="74"/>
      <c r="N287" s="74"/>
      <c r="O287" s="74"/>
    </row>
    <row r="288" spans="1:15">
      <c r="A288" s="276"/>
      <c r="B288" s="276"/>
      <c r="C288" s="276"/>
      <c r="D288" s="276"/>
      <c r="E288" s="276"/>
      <c r="F288" s="276"/>
      <c r="G288" s="276"/>
      <c r="H288" s="276"/>
      <c r="I288" s="276"/>
      <c r="J288" s="276"/>
      <c r="K288" s="276"/>
      <c r="L288" s="74"/>
      <c r="M288" s="74"/>
      <c r="N288" s="74"/>
      <c r="O288" s="74"/>
    </row>
    <row r="289" spans="1:15">
      <c r="A289" s="276" t="s">
        <v>3212</v>
      </c>
      <c r="B289" s="276" t="s">
        <v>3211</v>
      </c>
      <c r="C289" s="276" t="s">
        <v>3144</v>
      </c>
      <c r="D289" s="276" t="s">
        <v>3196</v>
      </c>
      <c r="E289" s="276" t="s">
        <v>3144</v>
      </c>
      <c r="F289" s="276" t="s">
        <v>3200</v>
      </c>
      <c r="G289" s="276" t="s">
        <v>3195</v>
      </c>
      <c r="H289" s="276" t="s">
        <v>3146</v>
      </c>
      <c r="I289" s="276">
        <v>25</v>
      </c>
      <c r="J289" s="276" t="s">
        <v>3212</v>
      </c>
      <c r="K289" s="276" t="s">
        <v>3208</v>
      </c>
      <c r="L289" s="74"/>
      <c r="M289" s="74"/>
      <c r="N289" s="74"/>
      <c r="O289" s="74"/>
    </row>
    <row r="290" spans="1:15">
      <c r="A290" s="276"/>
      <c r="B290" s="276"/>
      <c r="C290" s="276"/>
      <c r="D290" s="276"/>
      <c r="E290" s="276"/>
      <c r="F290" s="276"/>
      <c r="G290" s="276"/>
      <c r="H290" s="276"/>
      <c r="I290" s="276"/>
      <c r="J290" s="276"/>
      <c r="K290" s="276"/>
      <c r="L290" s="74"/>
      <c r="M290" s="74"/>
      <c r="N290" s="74"/>
      <c r="O290" s="74"/>
    </row>
    <row r="291" spans="1:15">
      <c r="A291" s="276" t="s">
        <v>3210</v>
      </c>
      <c r="B291" s="276" t="s">
        <v>3209</v>
      </c>
      <c r="C291" s="276" t="s">
        <v>3144</v>
      </c>
      <c r="D291" s="276" t="s">
        <v>3196</v>
      </c>
      <c r="E291" s="276" t="s">
        <v>3144</v>
      </c>
      <c r="F291" s="276" t="s">
        <v>3200</v>
      </c>
      <c r="G291" s="276" t="s">
        <v>3195</v>
      </c>
      <c r="H291" s="276" t="s">
        <v>3146</v>
      </c>
      <c r="I291" s="276">
        <v>25</v>
      </c>
      <c r="J291" s="276" t="s">
        <v>3210</v>
      </c>
      <c r="K291" s="276" t="s">
        <v>3208</v>
      </c>
      <c r="L291" s="74"/>
      <c r="M291" s="74"/>
      <c r="N291" s="74"/>
      <c r="O291" s="74"/>
    </row>
    <row r="292" spans="1:15">
      <c r="A292" s="276"/>
      <c r="B292" s="276"/>
      <c r="C292" s="276"/>
      <c r="D292" s="276"/>
      <c r="E292" s="276"/>
      <c r="F292" s="276"/>
      <c r="G292" s="276"/>
      <c r="H292" s="276"/>
      <c r="I292" s="276"/>
      <c r="J292" s="276"/>
      <c r="K292" s="276"/>
      <c r="L292" s="74"/>
      <c r="M292" s="74"/>
      <c r="N292" s="74"/>
      <c r="O292" s="74"/>
    </row>
    <row r="293" spans="1:15">
      <c r="A293" s="276" t="s">
        <v>3207</v>
      </c>
      <c r="B293" s="276" t="s">
        <v>3206</v>
      </c>
      <c r="C293" s="276" t="s">
        <v>3144</v>
      </c>
      <c r="D293" s="276" t="s">
        <v>3196</v>
      </c>
      <c r="E293" s="276" t="s">
        <v>3144</v>
      </c>
      <c r="F293" s="276" t="s">
        <v>3200</v>
      </c>
      <c r="G293" s="276" t="s">
        <v>3195</v>
      </c>
      <c r="H293" s="276" t="s">
        <v>3146</v>
      </c>
      <c r="I293" s="276">
        <v>25</v>
      </c>
      <c r="J293" s="276" t="s">
        <v>3207</v>
      </c>
      <c r="K293" s="276" t="s">
        <v>3205</v>
      </c>
      <c r="L293" s="74"/>
      <c r="M293" s="74"/>
      <c r="N293" s="74"/>
      <c r="O293" s="74"/>
    </row>
    <row r="294" spans="1:15">
      <c r="A294" s="276"/>
      <c r="B294" s="276"/>
      <c r="C294" s="276"/>
      <c r="D294" s="276"/>
      <c r="E294" s="276"/>
      <c r="F294" s="276"/>
      <c r="G294" s="276"/>
      <c r="H294" s="276"/>
      <c r="I294" s="276"/>
      <c r="J294" s="276"/>
      <c r="K294" s="276"/>
      <c r="L294" s="74"/>
      <c r="M294" s="74"/>
      <c r="N294" s="74"/>
      <c r="O294" s="74"/>
    </row>
    <row r="295" spans="1:15">
      <c r="A295" s="276" t="s">
        <v>3204</v>
      </c>
      <c r="B295" s="276" t="s">
        <v>3203</v>
      </c>
      <c r="C295" s="276" t="s">
        <v>3144</v>
      </c>
      <c r="D295" s="276" t="s">
        <v>3196</v>
      </c>
      <c r="E295" s="276" t="s">
        <v>3144</v>
      </c>
      <c r="F295" s="276" t="s">
        <v>3200</v>
      </c>
      <c r="G295" s="276" t="s">
        <v>3195</v>
      </c>
      <c r="H295" s="276" t="s">
        <v>3146</v>
      </c>
      <c r="I295" s="276">
        <v>25</v>
      </c>
      <c r="J295" s="276" t="s">
        <v>3204</v>
      </c>
      <c r="K295" s="276" t="s">
        <v>3199</v>
      </c>
      <c r="L295" s="74"/>
      <c r="M295" s="74"/>
      <c r="N295" s="74"/>
      <c r="O295" s="74"/>
    </row>
    <row r="296" spans="1:15">
      <c r="A296" s="276"/>
      <c r="B296" s="276"/>
      <c r="C296" s="276"/>
      <c r="D296" s="276"/>
      <c r="E296" s="276"/>
      <c r="F296" s="276"/>
      <c r="G296" s="276"/>
      <c r="H296" s="276"/>
      <c r="I296" s="276"/>
      <c r="J296" s="276"/>
      <c r="K296" s="276"/>
      <c r="L296" s="74"/>
      <c r="M296" s="74"/>
      <c r="N296" s="74"/>
      <c r="O296" s="74"/>
    </row>
    <row r="297" spans="1:15">
      <c r="A297" s="276" t="s">
        <v>3202</v>
      </c>
      <c r="B297" s="276" t="s">
        <v>3201</v>
      </c>
      <c r="C297" s="276" t="s">
        <v>3144</v>
      </c>
      <c r="D297" s="276" t="s">
        <v>3196</v>
      </c>
      <c r="E297" s="276" t="s">
        <v>3144</v>
      </c>
      <c r="F297" s="276" t="s">
        <v>3200</v>
      </c>
      <c r="G297" s="276" t="s">
        <v>3195</v>
      </c>
      <c r="H297" s="276" t="s">
        <v>3146</v>
      </c>
      <c r="I297" s="276">
        <v>25</v>
      </c>
      <c r="J297" s="276" t="s">
        <v>3202</v>
      </c>
      <c r="K297" s="276" t="s">
        <v>3199</v>
      </c>
      <c r="L297" s="74"/>
      <c r="M297" s="74"/>
      <c r="N297" s="74"/>
      <c r="O297" s="74"/>
    </row>
    <row r="298" spans="1:15">
      <c r="A298" s="276"/>
      <c r="B298" s="276"/>
      <c r="C298" s="276"/>
      <c r="D298" s="276"/>
      <c r="E298" s="276"/>
      <c r="F298" s="276"/>
      <c r="G298" s="276"/>
      <c r="H298" s="276"/>
      <c r="I298" s="276"/>
      <c r="J298" s="276"/>
      <c r="K298" s="276"/>
      <c r="L298" s="74"/>
      <c r="M298" s="74"/>
      <c r="N298" s="74"/>
      <c r="O298" s="74"/>
    </row>
    <row r="299" spans="1:15" ht="28.8">
      <c r="A299" s="276" t="s">
        <v>3275</v>
      </c>
      <c r="B299" s="276" t="s">
        <v>3274</v>
      </c>
      <c r="C299" s="276" t="s">
        <v>3144</v>
      </c>
      <c r="D299" s="276" t="s">
        <v>3196</v>
      </c>
      <c r="E299" s="276" t="s">
        <v>3144</v>
      </c>
      <c r="F299" s="276" t="s">
        <v>3200</v>
      </c>
      <c r="G299" s="276" t="s">
        <v>3195</v>
      </c>
      <c r="H299" s="276" t="s">
        <v>3146</v>
      </c>
      <c r="I299" s="276">
        <v>30</v>
      </c>
      <c r="J299" s="276" t="s">
        <v>3275</v>
      </c>
      <c r="K299" s="276" t="s">
        <v>3266</v>
      </c>
      <c r="L299" s="74"/>
      <c r="M299" s="74"/>
      <c r="N299" s="74"/>
      <c r="O299" s="74"/>
    </row>
    <row r="300" spans="1:15" ht="19.2">
      <c r="A300" s="276" t="s">
        <v>3273</v>
      </c>
      <c r="B300" s="276" t="s">
        <v>3272</v>
      </c>
      <c r="C300" s="276" t="s">
        <v>3173</v>
      </c>
      <c r="D300" s="276" t="s">
        <v>3271</v>
      </c>
      <c r="E300" s="276" t="s">
        <v>3173</v>
      </c>
      <c r="F300" s="276" t="s">
        <v>3172</v>
      </c>
      <c r="G300" s="276" t="s">
        <v>3270</v>
      </c>
      <c r="H300" s="276" t="s">
        <v>3170</v>
      </c>
      <c r="I300" s="276">
        <v>20</v>
      </c>
      <c r="J300" s="276" t="s">
        <v>3273</v>
      </c>
      <c r="K300" s="276" t="s">
        <v>3269</v>
      </c>
      <c r="L300" s="74"/>
      <c r="M300" s="74"/>
      <c r="N300" s="74"/>
      <c r="O300" s="74"/>
    </row>
    <row r="301" spans="1:15">
      <c r="A301" s="276"/>
      <c r="B301" s="276"/>
      <c r="C301" s="276"/>
      <c r="D301" s="276"/>
      <c r="E301" s="276"/>
      <c r="F301" s="276"/>
      <c r="G301" s="276"/>
      <c r="H301" s="276"/>
      <c r="I301" s="276"/>
      <c r="J301" s="276"/>
      <c r="K301" s="276"/>
      <c r="L301" s="74"/>
      <c r="M301" s="74"/>
      <c r="N301" s="74"/>
      <c r="O301" s="74"/>
    </row>
    <row r="302" spans="1:15" ht="28.8">
      <c r="A302" s="276" t="s">
        <v>3268</v>
      </c>
      <c r="B302" s="276" t="s">
        <v>3267</v>
      </c>
      <c r="C302" s="276" t="s">
        <v>3144</v>
      </c>
      <c r="D302" s="276" t="s">
        <v>3196</v>
      </c>
      <c r="E302" s="276" t="s">
        <v>3144</v>
      </c>
      <c r="F302" s="276" t="s">
        <v>3200</v>
      </c>
      <c r="G302" s="276" t="s">
        <v>3195</v>
      </c>
      <c r="H302" s="276" t="s">
        <v>3146</v>
      </c>
      <c r="I302" s="276">
        <v>30</v>
      </c>
      <c r="J302" s="276" t="s">
        <v>3268</v>
      </c>
      <c r="K302" s="276" t="s">
        <v>3266</v>
      </c>
      <c r="L302" s="74"/>
      <c r="M302" s="74"/>
      <c r="N302" s="74"/>
      <c r="O302" s="74"/>
    </row>
    <row r="303" spans="1:15" ht="19.2">
      <c r="A303" s="276" t="s">
        <v>3265</v>
      </c>
      <c r="B303" s="276" t="s">
        <v>3264</v>
      </c>
      <c r="C303" s="276" t="s">
        <v>3173</v>
      </c>
      <c r="D303" s="276" t="s">
        <v>3263</v>
      </c>
      <c r="E303" s="276" t="s">
        <v>3173</v>
      </c>
      <c r="F303" s="276" t="s">
        <v>3172</v>
      </c>
      <c r="G303" s="276" t="s">
        <v>3171</v>
      </c>
      <c r="H303" s="276" t="s">
        <v>3170</v>
      </c>
      <c r="I303" s="276">
        <v>20</v>
      </c>
      <c r="J303" s="276" t="s">
        <v>3265</v>
      </c>
      <c r="K303" s="276" t="s">
        <v>3262</v>
      </c>
      <c r="L303" s="74"/>
      <c r="M303" s="74"/>
      <c r="N303" s="74"/>
      <c r="O303" s="74"/>
    </row>
    <row r="304" spans="1:15">
      <c r="A304" s="276"/>
      <c r="B304" s="276"/>
      <c r="C304" s="276"/>
      <c r="D304" s="276"/>
      <c r="E304" s="276"/>
      <c r="F304" s="276"/>
      <c r="G304" s="276"/>
      <c r="H304" s="276"/>
      <c r="I304" s="276"/>
      <c r="J304" s="276"/>
      <c r="K304" s="276"/>
      <c r="L304" s="74"/>
      <c r="M304" s="74"/>
      <c r="N304" s="74"/>
      <c r="O304" s="74"/>
    </row>
    <row r="305" spans="1:15">
      <c r="A305" s="276" t="s">
        <v>3261</v>
      </c>
      <c r="B305" s="278" t="s">
        <v>1488</v>
      </c>
      <c r="C305" s="276" t="s">
        <v>3144</v>
      </c>
      <c r="D305" s="276" t="s">
        <v>3196</v>
      </c>
      <c r="E305" s="276" t="s">
        <v>3144</v>
      </c>
      <c r="F305" s="276" t="s">
        <v>3200</v>
      </c>
      <c r="G305" s="276" t="s">
        <v>3195</v>
      </c>
      <c r="H305" s="276" t="s">
        <v>3146</v>
      </c>
      <c r="I305" s="276">
        <v>35</v>
      </c>
      <c r="J305" s="276" t="s">
        <v>3261</v>
      </c>
      <c r="K305" s="276" t="s">
        <v>3258</v>
      </c>
      <c r="L305" s="74"/>
      <c r="M305" s="74"/>
      <c r="N305" s="74"/>
      <c r="O305" s="74"/>
    </row>
    <row r="306" spans="1:15">
      <c r="A306" s="276"/>
      <c r="B306" s="276"/>
      <c r="C306" s="276"/>
      <c r="D306" s="276"/>
      <c r="E306" s="276"/>
      <c r="F306" s="276"/>
      <c r="G306" s="276"/>
      <c r="H306" s="276"/>
      <c r="I306" s="276"/>
      <c r="J306" s="276"/>
      <c r="K306" s="276"/>
      <c r="L306" s="74"/>
      <c r="M306" s="74"/>
      <c r="N306" s="74"/>
      <c r="O306" s="74"/>
    </row>
    <row r="307" spans="1:15">
      <c r="A307" s="276" t="s">
        <v>3260</v>
      </c>
      <c r="B307" s="276" t="s">
        <v>3259</v>
      </c>
      <c r="C307" s="276" t="s">
        <v>3144</v>
      </c>
      <c r="D307" s="276" t="s">
        <v>3196</v>
      </c>
      <c r="E307" s="276" t="s">
        <v>3144</v>
      </c>
      <c r="F307" s="276" t="s">
        <v>3200</v>
      </c>
      <c r="G307" s="276" t="s">
        <v>3195</v>
      </c>
      <c r="H307" s="276" t="s">
        <v>3146</v>
      </c>
      <c r="I307" s="276">
        <v>35</v>
      </c>
      <c r="J307" s="276" t="s">
        <v>3260</v>
      </c>
      <c r="K307" s="276" t="s">
        <v>3258</v>
      </c>
      <c r="L307" s="74"/>
      <c r="M307" s="74"/>
      <c r="N307" s="74"/>
      <c r="O307" s="74"/>
    </row>
    <row r="308" spans="1:15">
      <c r="A308" s="276"/>
      <c r="B308" s="276"/>
      <c r="C308" s="276"/>
      <c r="D308" s="276"/>
      <c r="E308" s="276"/>
      <c r="F308" s="276"/>
      <c r="G308" s="276"/>
      <c r="H308" s="276"/>
      <c r="I308" s="276"/>
      <c r="J308" s="276"/>
      <c r="K308" s="276"/>
      <c r="L308" s="74"/>
      <c r="M308" s="74"/>
      <c r="N308" s="74"/>
      <c r="O308" s="74"/>
    </row>
    <row r="309" spans="1:15">
      <c r="A309" s="276" t="s">
        <v>3257</v>
      </c>
      <c r="B309" s="276" t="s">
        <v>3256</v>
      </c>
      <c r="C309" s="276" t="s">
        <v>3144</v>
      </c>
      <c r="D309" s="276" t="s">
        <v>3196</v>
      </c>
      <c r="E309" s="276" t="s">
        <v>3144</v>
      </c>
      <c r="F309" s="276" t="s">
        <v>3215</v>
      </c>
      <c r="G309" s="276" t="s">
        <v>3195</v>
      </c>
      <c r="H309" s="276" t="s">
        <v>3214</v>
      </c>
      <c r="I309" s="276">
        <v>20</v>
      </c>
      <c r="J309" s="276" t="s">
        <v>3257</v>
      </c>
      <c r="K309" s="276" t="s">
        <v>3251</v>
      </c>
      <c r="L309" s="74"/>
      <c r="M309" s="74"/>
      <c r="N309" s="74"/>
      <c r="O309" s="74"/>
    </row>
    <row r="310" spans="1:15">
      <c r="A310" s="276"/>
      <c r="B310" s="276"/>
      <c r="C310" s="276"/>
      <c r="D310" s="276"/>
      <c r="E310" s="276"/>
      <c r="F310" s="276"/>
      <c r="G310" s="276"/>
      <c r="H310" s="276"/>
      <c r="I310" s="276"/>
      <c r="J310" s="276"/>
      <c r="K310" s="276"/>
      <c r="L310" s="74"/>
      <c r="M310" s="74"/>
      <c r="N310" s="74"/>
      <c r="O310" s="74"/>
    </row>
    <row r="311" spans="1:15">
      <c r="A311" s="276" t="s">
        <v>3255</v>
      </c>
      <c r="B311" s="276" t="s">
        <v>3254</v>
      </c>
      <c r="C311" s="276" t="s">
        <v>3144</v>
      </c>
      <c r="D311" s="276" t="s">
        <v>3196</v>
      </c>
      <c r="E311" s="276" t="s">
        <v>3144</v>
      </c>
      <c r="F311" s="276" t="s">
        <v>3215</v>
      </c>
      <c r="G311" s="276" t="s">
        <v>3195</v>
      </c>
      <c r="H311" s="276" t="s">
        <v>3214</v>
      </c>
      <c r="I311" s="276">
        <v>20</v>
      </c>
      <c r="J311" s="276" t="s">
        <v>3255</v>
      </c>
      <c r="K311" s="276" t="s">
        <v>3251</v>
      </c>
      <c r="L311" s="74"/>
      <c r="M311" s="74"/>
      <c r="N311" s="74"/>
      <c r="O311" s="74"/>
    </row>
    <row r="312" spans="1:15">
      <c r="A312" s="276"/>
      <c r="B312" s="276"/>
      <c r="C312" s="276"/>
      <c r="D312" s="276"/>
      <c r="E312" s="276"/>
      <c r="F312" s="276"/>
      <c r="G312" s="276"/>
      <c r="H312" s="276"/>
      <c r="I312" s="276"/>
      <c r="J312" s="276"/>
      <c r="K312" s="276"/>
      <c r="L312" s="74"/>
      <c r="M312" s="74"/>
      <c r="N312" s="74"/>
      <c r="O312" s="74"/>
    </row>
    <row r="313" spans="1:15">
      <c r="A313" s="276" t="s">
        <v>3253</v>
      </c>
      <c r="B313" s="276" t="s">
        <v>3252</v>
      </c>
      <c r="C313" s="276" t="s">
        <v>3144</v>
      </c>
      <c r="D313" s="276" t="s">
        <v>3196</v>
      </c>
      <c r="E313" s="276" t="s">
        <v>3144</v>
      </c>
      <c r="F313" s="276" t="s">
        <v>3215</v>
      </c>
      <c r="G313" s="276" t="s">
        <v>3195</v>
      </c>
      <c r="H313" s="276" t="s">
        <v>3214</v>
      </c>
      <c r="I313" s="276">
        <v>20</v>
      </c>
      <c r="J313" s="276" t="s">
        <v>3253</v>
      </c>
      <c r="K313" s="276" t="s">
        <v>3251</v>
      </c>
      <c r="L313" s="74"/>
      <c r="M313" s="74"/>
      <c r="N313" s="74"/>
      <c r="O313" s="74"/>
    </row>
    <row r="314" spans="1:15">
      <c r="A314" s="276"/>
      <c r="B314" s="276"/>
      <c r="C314" s="276"/>
      <c r="D314" s="276"/>
      <c r="E314" s="276"/>
      <c r="F314" s="276"/>
      <c r="G314" s="276"/>
      <c r="H314" s="276"/>
      <c r="I314" s="276"/>
      <c r="J314" s="276"/>
      <c r="K314" s="276"/>
      <c r="L314" s="74"/>
      <c r="M314" s="74"/>
      <c r="N314" s="74"/>
      <c r="O314" s="74"/>
    </row>
    <row r="315" spans="1:15">
      <c r="A315" s="276" t="s">
        <v>3250</v>
      </c>
      <c r="B315" s="276" t="s">
        <v>3249</v>
      </c>
      <c r="C315" s="276" t="s">
        <v>3144</v>
      </c>
      <c r="D315" s="276" t="s">
        <v>3196</v>
      </c>
      <c r="E315" s="276" t="s">
        <v>3144</v>
      </c>
      <c r="F315" s="276" t="s">
        <v>3200</v>
      </c>
      <c r="G315" s="276" t="s">
        <v>3248</v>
      </c>
      <c r="H315" s="276" t="s">
        <v>3247</v>
      </c>
      <c r="I315" s="276">
        <v>25</v>
      </c>
      <c r="J315" s="276" t="s">
        <v>3250</v>
      </c>
      <c r="K315" s="276" t="s">
        <v>3143</v>
      </c>
      <c r="L315" s="74"/>
      <c r="M315" s="74"/>
      <c r="N315" s="74"/>
      <c r="O315" s="74"/>
    </row>
    <row r="316" spans="1:15">
      <c r="A316" s="276"/>
      <c r="B316" s="276"/>
      <c r="C316" s="276"/>
      <c r="D316" s="276"/>
      <c r="E316" s="276"/>
      <c r="F316" s="276"/>
      <c r="G316" s="276"/>
      <c r="H316" s="276"/>
      <c r="I316" s="276"/>
      <c r="J316" s="276"/>
      <c r="K316" s="276"/>
      <c r="L316" s="74"/>
      <c r="M316" s="74"/>
      <c r="N316" s="74"/>
      <c r="O316" s="74"/>
    </row>
    <row r="317" spans="1:15">
      <c r="A317" s="276" t="s">
        <v>3246</v>
      </c>
      <c r="B317" s="276" t="s">
        <v>3245</v>
      </c>
      <c r="C317" s="276" t="s">
        <v>3139</v>
      </c>
      <c r="D317" s="276" t="s">
        <v>3196</v>
      </c>
      <c r="E317" s="276" t="s">
        <v>3139</v>
      </c>
      <c r="F317" s="276" t="s">
        <v>3244</v>
      </c>
      <c r="G317" s="276" t="s">
        <v>3195</v>
      </c>
      <c r="H317" s="276" t="s">
        <v>3243</v>
      </c>
      <c r="I317" s="276">
        <v>35</v>
      </c>
      <c r="J317" s="276" t="s">
        <v>3246</v>
      </c>
      <c r="K317" s="276"/>
      <c r="L317" s="74"/>
      <c r="M317" s="74"/>
      <c r="N317" s="74"/>
      <c r="O317" s="74"/>
    </row>
    <row r="318" spans="1:15">
      <c r="A318" s="276" t="s">
        <v>3242</v>
      </c>
      <c r="B318" s="276" t="s">
        <v>3241</v>
      </c>
      <c r="C318" s="276" t="s">
        <v>3173</v>
      </c>
      <c r="D318" s="276" t="s">
        <v>3238</v>
      </c>
      <c r="E318" s="276" t="s">
        <v>3173</v>
      </c>
      <c r="F318" s="276" t="s">
        <v>3237</v>
      </c>
      <c r="G318" s="276" t="s">
        <v>3171</v>
      </c>
      <c r="H318" s="276" t="s">
        <v>3236</v>
      </c>
      <c r="I318" s="276">
        <v>30</v>
      </c>
      <c r="J318" s="276" t="s">
        <v>3242</v>
      </c>
      <c r="K318" s="276"/>
      <c r="L318" s="74"/>
      <c r="M318" s="74"/>
      <c r="N318" s="74"/>
      <c r="O318" s="74"/>
    </row>
    <row r="319" spans="1:15">
      <c r="A319" s="276" t="s">
        <v>3240</v>
      </c>
      <c r="B319" s="276" t="s">
        <v>3239</v>
      </c>
      <c r="C319" s="276" t="s">
        <v>3173</v>
      </c>
      <c r="D319" s="276" t="s">
        <v>3238</v>
      </c>
      <c r="E319" s="276" t="s">
        <v>3173</v>
      </c>
      <c r="F319" s="276" t="s">
        <v>3237</v>
      </c>
      <c r="G319" s="276" t="s">
        <v>3171</v>
      </c>
      <c r="H319" s="276" t="s">
        <v>3236</v>
      </c>
      <c r="I319" s="276">
        <v>10</v>
      </c>
      <c r="J319" s="276" t="s">
        <v>3240</v>
      </c>
      <c r="K319" s="276"/>
      <c r="L319" s="74"/>
      <c r="M319" s="74"/>
      <c r="N319" s="74"/>
      <c r="O319" s="74"/>
    </row>
    <row r="320" spans="1:15">
      <c r="A320" s="276"/>
      <c r="B320" s="276"/>
      <c r="C320" s="276"/>
      <c r="D320" s="276"/>
      <c r="E320" s="276"/>
      <c r="F320" s="276"/>
      <c r="G320" s="276"/>
      <c r="H320" s="276"/>
      <c r="I320" s="276"/>
      <c r="J320" s="276"/>
      <c r="K320" s="276"/>
      <c r="L320" s="74"/>
      <c r="M320" s="74"/>
      <c r="N320" s="74"/>
      <c r="O320" s="74"/>
    </row>
    <row r="321" spans="1:15">
      <c r="A321" s="276" t="s">
        <v>3235</v>
      </c>
      <c r="B321" s="276" t="s">
        <v>3234</v>
      </c>
      <c r="C321" s="276" t="s">
        <v>3149</v>
      </c>
      <c r="D321" s="276" t="s">
        <v>3196</v>
      </c>
      <c r="E321" s="276" t="s">
        <v>3149</v>
      </c>
      <c r="F321" s="276" t="s">
        <v>3233</v>
      </c>
      <c r="G321" s="276" t="s">
        <v>3232</v>
      </c>
      <c r="H321" s="276" t="s">
        <v>3231</v>
      </c>
      <c r="I321" s="276">
        <v>30</v>
      </c>
      <c r="J321" s="276" t="s">
        <v>3235</v>
      </c>
      <c r="K321" s="276" t="s">
        <v>3147</v>
      </c>
      <c r="L321" s="74"/>
      <c r="M321" s="74"/>
      <c r="N321" s="74"/>
      <c r="O321" s="74"/>
    </row>
    <row r="322" spans="1:15">
      <c r="A322" s="276"/>
      <c r="B322" s="276"/>
      <c r="C322" s="276"/>
      <c r="D322" s="276"/>
      <c r="E322" s="276"/>
      <c r="F322" s="276"/>
      <c r="G322" s="276"/>
      <c r="H322" s="276"/>
      <c r="I322" s="276"/>
      <c r="J322" s="276"/>
      <c r="K322" s="276"/>
      <c r="L322" s="74"/>
      <c r="M322" s="74"/>
      <c r="N322" s="74"/>
      <c r="O322" s="74"/>
    </row>
    <row r="323" spans="1:15">
      <c r="A323" s="276" t="s">
        <v>3230</v>
      </c>
      <c r="B323" s="276" t="s">
        <v>3229</v>
      </c>
      <c r="C323" s="276" t="s">
        <v>3144</v>
      </c>
      <c r="D323" s="276" t="s">
        <v>3196</v>
      </c>
      <c r="E323" s="276" t="s">
        <v>3144</v>
      </c>
      <c r="F323" s="276" t="s">
        <v>3200</v>
      </c>
      <c r="G323" s="276" t="s">
        <v>3228</v>
      </c>
      <c r="H323" s="276" t="s">
        <v>3227</v>
      </c>
      <c r="I323" s="276">
        <v>30</v>
      </c>
      <c r="J323" s="276" t="s">
        <v>3230</v>
      </c>
      <c r="K323" s="276" t="s">
        <v>3147</v>
      </c>
      <c r="L323" s="74"/>
      <c r="M323" s="74"/>
      <c r="N323" s="74"/>
      <c r="O323" s="74"/>
    </row>
    <row r="324" spans="1:15">
      <c r="A324" s="276"/>
      <c r="B324" s="276"/>
      <c r="C324" s="276"/>
      <c r="D324" s="276"/>
      <c r="E324" s="276"/>
      <c r="F324" s="276"/>
      <c r="G324" s="276"/>
      <c r="H324" s="276"/>
      <c r="I324" s="276"/>
      <c r="J324" s="276"/>
      <c r="K324" s="276"/>
      <c r="L324" s="74"/>
      <c r="M324" s="74"/>
      <c r="N324" s="74"/>
      <c r="O324" s="74"/>
    </row>
    <row r="325" spans="1:15">
      <c r="A325" s="276" t="s">
        <v>3317</v>
      </c>
      <c r="B325" s="276" t="s">
        <v>3316</v>
      </c>
      <c r="C325" s="276" t="s">
        <v>3144</v>
      </c>
      <c r="D325" s="276" t="s">
        <v>3196</v>
      </c>
      <c r="E325" s="276" t="s">
        <v>3144</v>
      </c>
      <c r="F325" s="276" t="s">
        <v>3200</v>
      </c>
      <c r="G325" s="276" t="s">
        <v>3141</v>
      </c>
      <c r="H325" s="276" t="s">
        <v>3146</v>
      </c>
      <c r="I325" s="276">
        <v>30</v>
      </c>
      <c r="J325" s="276" t="s">
        <v>3317</v>
      </c>
      <c r="K325" s="276" t="s">
        <v>3147</v>
      </c>
      <c r="L325" s="74"/>
      <c r="M325" s="74"/>
      <c r="N325" s="74"/>
      <c r="O325" s="74"/>
    </row>
    <row r="326" spans="1:15">
      <c r="A326" s="276"/>
      <c r="B326" s="276"/>
      <c r="C326" s="276"/>
      <c r="D326" s="276"/>
      <c r="E326" s="276"/>
      <c r="F326" s="276"/>
      <c r="G326" s="276"/>
      <c r="H326" s="276"/>
      <c r="I326" s="276"/>
      <c r="J326" s="276"/>
      <c r="K326" s="276"/>
      <c r="L326" s="74"/>
      <c r="M326" s="74"/>
      <c r="N326" s="74"/>
      <c r="O326" s="74"/>
    </row>
    <row r="327" spans="1:15">
      <c r="A327" s="276" t="s">
        <v>3315</v>
      </c>
      <c r="B327" s="276" t="s">
        <v>3148</v>
      </c>
      <c r="C327" s="276" t="s">
        <v>3144</v>
      </c>
      <c r="D327" s="276" t="s">
        <v>3196</v>
      </c>
      <c r="E327" s="276" t="s">
        <v>3144</v>
      </c>
      <c r="F327" s="276" t="s">
        <v>3200</v>
      </c>
      <c r="G327" s="276" t="s">
        <v>3228</v>
      </c>
      <c r="H327" s="276" t="s">
        <v>3227</v>
      </c>
      <c r="I327" s="276">
        <v>25</v>
      </c>
      <c r="J327" s="276" t="s">
        <v>3315</v>
      </c>
      <c r="K327" s="276" t="s">
        <v>3314</v>
      </c>
      <c r="L327" s="74"/>
      <c r="M327" s="74"/>
      <c r="N327" s="74"/>
      <c r="O327" s="74"/>
    </row>
    <row r="328" spans="1:15">
      <c r="A328" s="276"/>
      <c r="B328" s="276"/>
      <c r="C328" s="276"/>
      <c r="D328" s="276"/>
      <c r="E328" s="276"/>
      <c r="F328" s="276"/>
      <c r="G328" s="276"/>
      <c r="H328" s="276"/>
      <c r="I328" s="276"/>
      <c r="J328" s="276"/>
      <c r="K328" s="276"/>
      <c r="L328" s="74"/>
      <c r="M328" s="74"/>
      <c r="N328" s="74"/>
      <c r="O328" s="74"/>
    </row>
    <row r="329" spans="1:15">
      <c r="A329" s="276" t="s">
        <v>3313</v>
      </c>
      <c r="B329" s="276" t="s">
        <v>3312</v>
      </c>
      <c r="C329" s="276" t="s">
        <v>3144</v>
      </c>
      <c r="D329" s="276" t="s">
        <v>3196</v>
      </c>
      <c r="E329" s="276" t="s">
        <v>3144</v>
      </c>
      <c r="F329" s="276" t="s">
        <v>3200</v>
      </c>
      <c r="G329" s="276" t="s">
        <v>3141</v>
      </c>
      <c r="H329" s="276" t="s">
        <v>3146</v>
      </c>
      <c r="I329" s="276">
        <v>25</v>
      </c>
      <c r="J329" s="276" t="s">
        <v>3313</v>
      </c>
      <c r="K329" s="276" t="s">
        <v>3152</v>
      </c>
      <c r="L329" s="74"/>
      <c r="M329" s="74"/>
      <c r="N329" s="74"/>
      <c r="O329" s="74"/>
    </row>
    <row r="330" spans="1:15">
      <c r="A330" s="276"/>
      <c r="B330" s="276"/>
      <c r="C330" s="276"/>
      <c r="D330" s="276"/>
      <c r="E330" s="276"/>
      <c r="F330" s="276"/>
      <c r="G330" s="276"/>
      <c r="H330" s="276"/>
      <c r="I330" s="276"/>
      <c r="J330" s="276"/>
      <c r="K330" s="276"/>
      <c r="L330" s="74"/>
      <c r="M330" s="74"/>
      <c r="N330" s="74"/>
      <c r="O330" s="74"/>
    </row>
    <row r="331" spans="1:15">
      <c r="A331" s="276" t="s">
        <v>3311</v>
      </c>
      <c r="B331" s="276" t="s">
        <v>3310</v>
      </c>
      <c r="C331" s="276" t="s">
        <v>3139</v>
      </c>
      <c r="D331" s="276" t="s">
        <v>3196</v>
      </c>
      <c r="E331" s="276" t="s">
        <v>3139</v>
      </c>
      <c r="F331" s="276" t="s">
        <v>3244</v>
      </c>
      <c r="G331" s="276" t="s">
        <v>3195</v>
      </c>
      <c r="H331" s="276" t="s">
        <v>3243</v>
      </c>
      <c r="I331" s="276">
        <v>25</v>
      </c>
      <c r="J331" s="276" t="s">
        <v>3311</v>
      </c>
      <c r="K331" s="276"/>
      <c r="L331" s="74"/>
      <c r="M331" s="74"/>
      <c r="N331" s="74"/>
      <c r="O331" s="74"/>
    </row>
    <row r="332" spans="1:15">
      <c r="A332" s="276" t="s">
        <v>3309</v>
      </c>
      <c r="B332" s="276" t="s">
        <v>3308</v>
      </c>
      <c r="C332" s="276" t="s">
        <v>3173</v>
      </c>
      <c r="D332" s="276" t="s">
        <v>3299</v>
      </c>
      <c r="E332" s="276" t="s">
        <v>3173</v>
      </c>
      <c r="F332" s="276" t="s">
        <v>3237</v>
      </c>
      <c r="G332" s="276" t="s">
        <v>3171</v>
      </c>
      <c r="H332" s="276" t="s">
        <v>3236</v>
      </c>
      <c r="I332" s="276">
        <v>10</v>
      </c>
      <c r="J332" s="276" t="s">
        <v>3309</v>
      </c>
      <c r="K332" s="276"/>
      <c r="L332" s="74"/>
      <c r="M332" s="74"/>
      <c r="N332" s="74"/>
      <c r="O332" s="74"/>
    </row>
    <row r="333" spans="1:15">
      <c r="A333" s="276" t="s">
        <v>3307</v>
      </c>
      <c r="B333" s="276" t="s">
        <v>3306</v>
      </c>
      <c r="C333" s="276" t="s">
        <v>3173</v>
      </c>
      <c r="D333" s="276" t="s">
        <v>3299</v>
      </c>
      <c r="E333" s="276" t="s">
        <v>3173</v>
      </c>
      <c r="F333" s="276" t="s">
        <v>3237</v>
      </c>
      <c r="G333" s="276" t="s">
        <v>3171</v>
      </c>
      <c r="H333" s="276" t="s">
        <v>3236</v>
      </c>
      <c r="I333" s="276">
        <v>20</v>
      </c>
      <c r="J333" s="276" t="s">
        <v>3307</v>
      </c>
      <c r="K333" s="276"/>
      <c r="L333" s="74"/>
      <c r="M333" s="74"/>
      <c r="N333" s="74"/>
      <c r="O333" s="74"/>
    </row>
    <row r="334" spans="1:15">
      <c r="A334" s="276" t="s">
        <v>3305</v>
      </c>
      <c r="B334" s="276" t="s">
        <v>3304</v>
      </c>
      <c r="C334" s="276" t="s">
        <v>3173</v>
      </c>
      <c r="D334" s="276" t="s">
        <v>3299</v>
      </c>
      <c r="E334" s="276" t="s">
        <v>3173</v>
      </c>
      <c r="F334" s="276" t="s">
        <v>3237</v>
      </c>
      <c r="G334" s="276" t="s">
        <v>3171</v>
      </c>
      <c r="H334" s="276" t="s">
        <v>3236</v>
      </c>
      <c r="I334" s="276">
        <v>30</v>
      </c>
      <c r="J334" s="276" t="s">
        <v>3305</v>
      </c>
      <c r="K334" s="276"/>
      <c r="L334" s="74"/>
      <c r="M334" s="74"/>
      <c r="N334" s="74"/>
      <c r="O334" s="74"/>
    </row>
    <row r="335" spans="1:15">
      <c r="A335" s="276" t="s">
        <v>3303</v>
      </c>
      <c r="B335" s="276" t="s">
        <v>3302</v>
      </c>
      <c r="C335" s="276" t="s">
        <v>3173</v>
      </c>
      <c r="D335" s="276" t="s">
        <v>3299</v>
      </c>
      <c r="E335" s="276" t="s">
        <v>3173</v>
      </c>
      <c r="F335" s="276" t="s">
        <v>3237</v>
      </c>
      <c r="G335" s="276" t="s">
        <v>3171</v>
      </c>
      <c r="H335" s="276" t="s">
        <v>3236</v>
      </c>
      <c r="I335" s="276">
        <v>20</v>
      </c>
      <c r="J335" s="276" t="s">
        <v>3303</v>
      </c>
      <c r="K335" s="276"/>
      <c r="L335" s="74"/>
      <c r="M335" s="74"/>
      <c r="N335" s="74"/>
      <c r="O335" s="74"/>
    </row>
    <row r="336" spans="1:15">
      <c r="A336" s="276" t="s">
        <v>3301</v>
      </c>
      <c r="B336" s="276" t="s">
        <v>3300</v>
      </c>
      <c r="C336" s="276" t="s">
        <v>3173</v>
      </c>
      <c r="D336" s="276" t="s">
        <v>3299</v>
      </c>
      <c r="E336" s="276" t="s">
        <v>3173</v>
      </c>
      <c r="F336" s="276" t="s">
        <v>3237</v>
      </c>
      <c r="G336" s="276" t="s">
        <v>3171</v>
      </c>
      <c r="H336" s="276" t="s">
        <v>3236</v>
      </c>
      <c r="I336" s="276">
        <v>15</v>
      </c>
      <c r="J336" s="276" t="s">
        <v>3301</v>
      </c>
      <c r="K336" s="276"/>
      <c r="L336" s="74"/>
      <c r="M336" s="74"/>
      <c r="N336" s="74"/>
      <c r="O336" s="74"/>
    </row>
    <row r="337" spans="1:15">
      <c r="A337" s="276"/>
      <c r="B337" s="276"/>
      <c r="C337" s="276"/>
      <c r="D337" s="276"/>
      <c r="E337" s="276"/>
      <c r="F337" s="276"/>
      <c r="G337" s="276"/>
      <c r="H337" s="276"/>
      <c r="I337" s="276"/>
      <c r="J337" s="276"/>
      <c r="K337" s="276"/>
      <c r="L337" s="74"/>
      <c r="M337" s="74"/>
      <c r="N337" s="74"/>
      <c r="O337" s="74"/>
    </row>
    <row r="338" spans="1:15">
      <c r="A338" s="276" t="s">
        <v>3298</v>
      </c>
      <c r="B338" s="276" t="s">
        <v>3297</v>
      </c>
      <c r="C338" s="276" t="s">
        <v>3149</v>
      </c>
      <c r="D338" s="276" t="s">
        <v>3196</v>
      </c>
      <c r="E338" s="276" t="s">
        <v>3149</v>
      </c>
      <c r="F338" s="276" t="s">
        <v>3233</v>
      </c>
      <c r="G338" s="276" t="s">
        <v>3232</v>
      </c>
      <c r="H338" s="276" t="s">
        <v>3231</v>
      </c>
      <c r="I338" s="276">
        <v>25</v>
      </c>
      <c r="J338" s="276" t="s">
        <v>3298</v>
      </c>
      <c r="K338" s="276" t="s">
        <v>3296</v>
      </c>
      <c r="L338" s="74"/>
      <c r="M338" s="74"/>
      <c r="N338" s="74"/>
      <c r="O338" s="74"/>
    </row>
    <row r="339" spans="1:15">
      <c r="A339" s="276"/>
      <c r="B339" s="276"/>
      <c r="C339" s="276"/>
      <c r="D339" s="276"/>
      <c r="E339" s="276"/>
      <c r="F339" s="276"/>
      <c r="G339" s="276"/>
      <c r="H339" s="276"/>
      <c r="I339" s="276"/>
      <c r="J339" s="276"/>
      <c r="K339" s="276"/>
      <c r="L339" s="74"/>
      <c r="M339" s="74"/>
      <c r="N339" s="74"/>
      <c r="O339" s="74"/>
    </row>
    <row r="340" spans="1:15">
      <c r="A340" s="276" t="s">
        <v>3295</v>
      </c>
      <c r="B340" s="276" t="s">
        <v>3294</v>
      </c>
      <c r="C340" s="276" t="s">
        <v>3139</v>
      </c>
      <c r="D340" s="276" t="s">
        <v>3196</v>
      </c>
      <c r="E340" s="276" t="s">
        <v>3139</v>
      </c>
      <c r="F340" s="276" t="s">
        <v>3244</v>
      </c>
      <c r="G340" s="276" t="s">
        <v>3141</v>
      </c>
      <c r="H340" s="276" t="s">
        <v>3243</v>
      </c>
      <c r="I340" s="276">
        <v>40</v>
      </c>
      <c r="J340" s="276" t="s">
        <v>3295</v>
      </c>
      <c r="K340" s="276"/>
      <c r="L340" s="74"/>
      <c r="M340" s="74"/>
      <c r="N340" s="74"/>
      <c r="O340" s="74"/>
    </row>
    <row r="341" spans="1:15">
      <c r="A341" s="276" t="s">
        <v>3293</v>
      </c>
      <c r="B341" s="276" t="s">
        <v>3292</v>
      </c>
      <c r="C341" s="276" t="s">
        <v>3173</v>
      </c>
      <c r="D341" s="276" t="s">
        <v>3283</v>
      </c>
      <c r="E341" s="276" t="s">
        <v>3173</v>
      </c>
      <c r="F341" s="276" t="s">
        <v>3237</v>
      </c>
      <c r="G341" s="276" t="s">
        <v>3171</v>
      </c>
      <c r="H341" s="276" t="s">
        <v>3236</v>
      </c>
      <c r="I341" s="276">
        <v>15</v>
      </c>
      <c r="J341" s="276" t="s">
        <v>3293</v>
      </c>
      <c r="K341" s="276"/>
      <c r="L341" s="74"/>
      <c r="M341" s="74"/>
      <c r="N341" s="74"/>
      <c r="O341" s="74"/>
    </row>
    <row r="342" spans="1:15">
      <c r="A342" s="276" t="s">
        <v>3291</v>
      </c>
      <c r="B342" s="276" t="s">
        <v>3290</v>
      </c>
      <c r="C342" s="276" t="s">
        <v>3173</v>
      </c>
      <c r="D342" s="276" t="s">
        <v>3283</v>
      </c>
      <c r="E342" s="276" t="s">
        <v>3173</v>
      </c>
      <c r="F342" s="276" t="s">
        <v>3237</v>
      </c>
      <c r="G342" s="276" t="s">
        <v>3171</v>
      </c>
      <c r="H342" s="276" t="s">
        <v>3236</v>
      </c>
      <c r="I342" s="276">
        <v>10</v>
      </c>
      <c r="J342" s="276" t="s">
        <v>3291</v>
      </c>
      <c r="K342" s="276"/>
      <c r="L342" s="74"/>
      <c r="M342" s="74"/>
      <c r="N342" s="74"/>
      <c r="O342" s="74"/>
    </row>
    <row r="343" spans="1:15">
      <c r="A343" s="276" t="s">
        <v>3289</v>
      </c>
      <c r="B343" s="276" t="s">
        <v>3288</v>
      </c>
      <c r="C343" s="276" t="s">
        <v>3173</v>
      </c>
      <c r="D343" s="276" t="s">
        <v>3283</v>
      </c>
      <c r="E343" s="276" t="s">
        <v>3173</v>
      </c>
      <c r="F343" s="276" t="s">
        <v>3237</v>
      </c>
      <c r="G343" s="276" t="s">
        <v>3171</v>
      </c>
      <c r="H343" s="276" t="s">
        <v>3236</v>
      </c>
      <c r="I343" s="276">
        <v>20</v>
      </c>
      <c r="J343" s="276" t="s">
        <v>3289</v>
      </c>
      <c r="K343" s="276"/>
      <c r="L343" s="74"/>
      <c r="M343" s="74"/>
      <c r="N343" s="74"/>
      <c r="O343" s="74"/>
    </row>
    <row r="344" spans="1:15">
      <c r="A344" s="276" t="s">
        <v>3287</v>
      </c>
      <c r="B344" s="276" t="s">
        <v>3286</v>
      </c>
      <c r="C344" s="276" t="s">
        <v>3173</v>
      </c>
      <c r="D344" s="276" t="s">
        <v>3283</v>
      </c>
      <c r="E344" s="276" t="s">
        <v>3173</v>
      </c>
      <c r="F344" s="276" t="s">
        <v>3237</v>
      </c>
      <c r="G344" s="276" t="s">
        <v>3171</v>
      </c>
      <c r="H344" s="276" t="s">
        <v>3236</v>
      </c>
      <c r="I344" s="276">
        <v>30</v>
      </c>
      <c r="J344" s="276" t="s">
        <v>3287</v>
      </c>
      <c r="K344" s="276"/>
      <c r="L344" s="74"/>
      <c r="M344" s="74"/>
      <c r="N344" s="74"/>
      <c r="O344" s="74"/>
    </row>
    <row r="345" spans="1:15">
      <c r="A345" s="276" t="s">
        <v>3285</v>
      </c>
      <c r="B345" s="276" t="s">
        <v>3284</v>
      </c>
      <c r="C345" s="276" t="s">
        <v>3173</v>
      </c>
      <c r="D345" s="276" t="s">
        <v>3283</v>
      </c>
      <c r="E345" s="276" t="s">
        <v>3173</v>
      </c>
      <c r="F345" s="276" t="s">
        <v>3237</v>
      </c>
      <c r="G345" s="276" t="s">
        <v>3171</v>
      </c>
      <c r="H345" s="276" t="s">
        <v>3236</v>
      </c>
      <c r="I345" s="276">
        <v>40</v>
      </c>
      <c r="J345" s="276" t="s">
        <v>3285</v>
      </c>
      <c r="K345" s="276"/>
      <c r="L345" s="74"/>
      <c r="M345" s="74"/>
      <c r="N345" s="74"/>
      <c r="O345" s="74"/>
    </row>
    <row r="346" spans="1:15">
      <c r="A346" s="276"/>
      <c r="B346" s="276"/>
      <c r="C346" s="276"/>
      <c r="D346" s="276"/>
      <c r="E346" s="276"/>
      <c r="F346" s="276"/>
      <c r="G346" s="276"/>
      <c r="H346" s="276"/>
      <c r="I346" s="276"/>
      <c r="J346" s="276"/>
      <c r="K346" s="276"/>
      <c r="L346" s="74"/>
      <c r="M346" s="74"/>
      <c r="N346" s="74"/>
      <c r="O346" s="74"/>
    </row>
    <row r="347" spans="1:15">
      <c r="A347" s="276" t="s">
        <v>3282</v>
      </c>
      <c r="B347" s="276" t="s">
        <v>3281</v>
      </c>
      <c r="C347" s="276" t="s">
        <v>3139</v>
      </c>
      <c r="D347" s="276" t="s">
        <v>3196</v>
      </c>
      <c r="E347" s="276" t="s">
        <v>3139</v>
      </c>
      <c r="F347" s="276" t="s">
        <v>3244</v>
      </c>
      <c r="G347" s="276" t="s">
        <v>3141</v>
      </c>
      <c r="H347" s="276" t="s">
        <v>3243</v>
      </c>
      <c r="I347" s="276">
        <v>30</v>
      </c>
      <c r="J347" s="276" t="s">
        <v>3282</v>
      </c>
      <c r="K347" s="276"/>
      <c r="L347" s="74"/>
      <c r="M347" s="74"/>
      <c r="N347" s="74"/>
      <c r="O347" s="74"/>
    </row>
    <row r="348" spans="1:15">
      <c r="A348" s="276" t="s">
        <v>3280</v>
      </c>
      <c r="B348" s="276" t="s">
        <v>3279</v>
      </c>
      <c r="C348" s="276" t="s">
        <v>3173</v>
      </c>
      <c r="D348" s="276" t="s">
        <v>3276</v>
      </c>
      <c r="E348" s="276" t="s">
        <v>3173</v>
      </c>
      <c r="F348" s="276" t="s">
        <v>3237</v>
      </c>
      <c r="G348" s="276" t="s">
        <v>3171</v>
      </c>
      <c r="H348" s="276" t="s">
        <v>3236</v>
      </c>
      <c r="I348" s="276">
        <v>10</v>
      </c>
      <c r="J348" s="276" t="s">
        <v>3280</v>
      </c>
      <c r="K348" s="276"/>
      <c r="L348" s="74"/>
      <c r="M348" s="74"/>
      <c r="N348" s="74"/>
      <c r="O348" s="74"/>
    </row>
    <row r="349" spans="1:15">
      <c r="A349" s="276" t="s">
        <v>3278</v>
      </c>
      <c r="B349" s="276" t="s">
        <v>3277</v>
      </c>
      <c r="C349" s="276" t="s">
        <v>3173</v>
      </c>
      <c r="D349" s="276" t="s">
        <v>3276</v>
      </c>
      <c r="E349" s="276" t="s">
        <v>3173</v>
      </c>
      <c r="F349" s="276" t="s">
        <v>3237</v>
      </c>
      <c r="G349" s="276" t="s">
        <v>3171</v>
      </c>
      <c r="H349" s="276" t="s">
        <v>3236</v>
      </c>
      <c r="I349" s="276">
        <v>10</v>
      </c>
      <c r="J349" s="276" t="s">
        <v>3278</v>
      </c>
      <c r="K349" s="276"/>
      <c r="L349" s="74"/>
      <c r="M349" s="74"/>
      <c r="N349" s="74"/>
      <c r="O349" s="74"/>
    </row>
    <row r="350" spans="1:15">
      <c r="A350" s="276" t="s">
        <v>3343</v>
      </c>
      <c r="B350" s="276" t="s">
        <v>3342</v>
      </c>
      <c r="C350" s="276" t="s">
        <v>3173</v>
      </c>
      <c r="D350" s="276" t="s">
        <v>3276</v>
      </c>
      <c r="E350" s="276" t="s">
        <v>3173</v>
      </c>
      <c r="F350" s="276" t="s">
        <v>3237</v>
      </c>
      <c r="G350" s="276" t="s">
        <v>3171</v>
      </c>
      <c r="H350" s="276" t="s">
        <v>3236</v>
      </c>
      <c r="I350" s="276">
        <v>35</v>
      </c>
      <c r="J350" s="276" t="s">
        <v>3343</v>
      </c>
      <c r="K350" s="276"/>
      <c r="L350" s="74"/>
      <c r="M350" s="74"/>
      <c r="N350" s="74"/>
      <c r="O350" s="74"/>
    </row>
    <row r="351" spans="1:15">
      <c r="A351" s="276" t="s">
        <v>3341</v>
      </c>
      <c r="B351" s="276" t="s">
        <v>3340</v>
      </c>
      <c r="C351" s="276" t="s">
        <v>3173</v>
      </c>
      <c r="D351" s="276" t="s">
        <v>3276</v>
      </c>
      <c r="E351" s="276" t="s">
        <v>3173</v>
      </c>
      <c r="F351" s="276" t="s">
        <v>3237</v>
      </c>
      <c r="G351" s="276" t="s">
        <v>3171</v>
      </c>
      <c r="H351" s="276" t="s">
        <v>3236</v>
      </c>
      <c r="I351" s="276">
        <v>25</v>
      </c>
      <c r="J351" s="276" t="s">
        <v>3341</v>
      </c>
      <c r="K351" s="276"/>
      <c r="L351" s="74"/>
      <c r="M351" s="74"/>
      <c r="N351" s="74"/>
      <c r="O351" s="74"/>
    </row>
    <row r="352" spans="1:15">
      <c r="A352" s="276" t="s">
        <v>3339</v>
      </c>
      <c r="B352" s="276" t="s">
        <v>3338</v>
      </c>
      <c r="C352" s="276" t="s">
        <v>3173</v>
      </c>
      <c r="D352" s="276" t="s">
        <v>3276</v>
      </c>
      <c r="E352" s="276" t="s">
        <v>3173</v>
      </c>
      <c r="F352" s="276" t="s">
        <v>3237</v>
      </c>
      <c r="G352" s="276" t="s">
        <v>3171</v>
      </c>
      <c r="H352" s="276" t="s">
        <v>3236</v>
      </c>
      <c r="I352" s="276">
        <v>10</v>
      </c>
      <c r="J352" s="276" t="s">
        <v>3339</v>
      </c>
      <c r="K352" s="276"/>
      <c r="L352" s="74"/>
      <c r="M352" s="74"/>
      <c r="N352" s="74"/>
      <c r="O352" s="74"/>
    </row>
    <row r="353" spans="1:15">
      <c r="A353" s="276"/>
      <c r="B353" s="276"/>
      <c r="C353" s="276"/>
      <c r="D353" s="276"/>
      <c r="E353" s="276"/>
      <c r="F353" s="276"/>
      <c r="G353" s="276"/>
      <c r="H353" s="276"/>
      <c r="I353" s="276"/>
      <c r="J353" s="276"/>
      <c r="K353" s="276"/>
      <c r="L353" s="74"/>
      <c r="M353" s="74"/>
      <c r="N353" s="74"/>
      <c r="O353" s="74"/>
    </row>
    <row r="354" spans="1:15">
      <c r="A354" s="276" t="s">
        <v>3337</v>
      </c>
      <c r="B354" s="276" t="s">
        <v>3336</v>
      </c>
      <c r="C354" s="276" t="s">
        <v>3139</v>
      </c>
      <c r="D354" s="276" t="s">
        <v>3196</v>
      </c>
      <c r="E354" s="276" t="s">
        <v>3139</v>
      </c>
      <c r="F354" s="276" t="s">
        <v>3244</v>
      </c>
      <c r="G354" s="276" t="s">
        <v>3195</v>
      </c>
      <c r="H354" s="276" t="s">
        <v>3243</v>
      </c>
      <c r="I354" s="276">
        <v>40</v>
      </c>
      <c r="J354" s="276" t="s">
        <v>3337</v>
      </c>
      <c r="K354" s="276"/>
      <c r="L354" s="74"/>
      <c r="M354" s="74"/>
      <c r="N354" s="74"/>
      <c r="O354" s="74"/>
    </row>
    <row r="355" spans="1:15">
      <c r="A355" s="276" t="s">
        <v>3335</v>
      </c>
      <c r="B355" s="276" t="s">
        <v>3334</v>
      </c>
      <c r="C355" s="276" t="s">
        <v>3173</v>
      </c>
      <c r="D355" s="276" t="s">
        <v>3329</v>
      </c>
      <c r="E355" s="276" t="s">
        <v>3173</v>
      </c>
      <c r="F355" s="276" t="s">
        <v>3237</v>
      </c>
      <c r="G355" s="276" t="s">
        <v>3171</v>
      </c>
      <c r="H355" s="276" t="s">
        <v>3236</v>
      </c>
      <c r="I355" s="276">
        <v>20</v>
      </c>
      <c r="J355" s="276" t="s">
        <v>3335</v>
      </c>
      <c r="K355" s="276" t="s">
        <v>3169</v>
      </c>
      <c r="L355" s="74"/>
      <c r="M355" s="74"/>
      <c r="N355" s="74"/>
      <c r="O355" s="74"/>
    </row>
    <row r="356" spans="1:15">
      <c r="A356" s="276" t="s">
        <v>3333</v>
      </c>
      <c r="B356" s="276" t="s">
        <v>3332</v>
      </c>
      <c r="C356" s="276" t="s">
        <v>3173</v>
      </c>
      <c r="D356" s="276" t="s">
        <v>3329</v>
      </c>
      <c r="E356" s="276" t="s">
        <v>3173</v>
      </c>
      <c r="F356" s="276" t="s">
        <v>3237</v>
      </c>
      <c r="G356" s="276" t="s">
        <v>3171</v>
      </c>
      <c r="H356" s="276" t="s">
        <v>3236</v>
      </c>
      <c r="I356" s="276">
        <v>15</v>
      </c>
      <c r="J356" s="276" t="s">
        <v>3333</v>
      </c>
      <c r="K356" s="276"/>
      <c r="L356" s="74"/>
      <c r="M356" s="74"/>
      <c r="N356" s="74"/>
      <c r="O356" s="74"/>
    </row>
    <row r="357" spans="1:15">
      <c r="A357" s="276" t="s">
        <v>3331</v>
      </c>
      <c r="B357" s="276" t="s">
        <v>3330</v>
      </c>
      <c r="C357" s="276" t="s">
        <v>3173</v>
      </c>
      <c r="D357" s="276" t="s">
        <v>3329</v>
      </c>
      <c r="E357" s="276" t="s">
        <v>3173</v>
      </c>
      <c r="F357" s="276" t="s">
        <v>3237</v>
      </c>
      <c r="G357" s="276" t="s">
        <v>3171</v>
      </c>
      <c r="H357" s="276" t="s">
        <v>3236</v>
      </c>
      <c r="I357" s="276">
        <v>40</v>
      </c>
      <c r="J357" s="276" t="s">
        <v>3331</v>
      </c>
      <c r="K357" s="276"/>
      <c r="L357" s="74"/>
      <c r="M357" s="74"/>
      <c r="N357" s="74"/>
      <c r="O357" s="74"/>
    </row>
    <row r="358" spans="1:15">
      <c r="A358" s="276"/>
      <c r="B358" s="276"/>
      <c r="C358" s="276"/>
      <c r="D358" s="276"/>
      <c r="E358" s="276"/>
      <c r="F358" s="276"/>
      <c r="G358" s="276"/>
      <c r="H358" s="276"/>
      <c r="I358" s="276"/>
      <c r="J358" s="276"/>
      <c r="K358" s="276"/>
      <c r="L358" s="74"/>
      <c r="M358" s="74"/>
      <c r="N358" s="74"/>
      <c r="O358" s="74"/>
    </row>
    <row r="359" spans="1:15">
      <c r="A359" s="276" t="s">
        <v>3328</v>
      </c>
      <c r="B359" s="276" t="s">
        <v>3327</v>
      </c>
      <c r="C359" s="276" t="s">
        <v>3139</v>
      </c>
      <c r="D359" s="276" t="s">
        <v>3196</v>
      </c>
      <c r="E359" s="276" t="s">
        <v>3139</v>
      </c>
      <c r="F359" s="276" t="s">
        <v>3244</v>
      </c>
      <c r="G359" s="276" t="s">
        <v>3145</v>
      </c>
      <c r="H359" s="276" t="s">
        <v>3243</v>
      </c>
      <c r="I359" s="276">
        <v>30</v>
      </c>
      <c r="J359" s="276" t="s">
        <v>3328</v>
      </c>
      <c r="K359" s="276"/>
      <c r="L359" s="74"/>
      <c r="M359" s="74"/>
      <c r="N359" s="74"/>
      <c r="O359" s="74"/>
    </row>
    <row r="360" spans="1:15">
      <c r="A360" s="276" t="s">
        <v>3326</v>
      </c>
      <c r="B360" s="276" t="s">
        <v>3325</v>
      </c>
      <c r="C360" s="276" t="s">
        <v>3173</v>
      </c>
      <c r="D360" s="276" t="s">
        <v>3318</v>
      </c>
      <c r="E360" s="276" t="s">
        <v>3173</v>
      </c>
      <c r="F360" s="276" t="s">
        <v>3237</v>
      </c>
      <c r="G360" s="276" t="s">
        <v>3171</v>
      </c>
      <c r="H360" s="276" t="s">
        <v>3236</v>
      </c>
      <c r="I360" s="276">
        <v>25</v>
      </c>
      <c r="J360" s="276" t="s">
        <v>3326</v>
      </c>
      <c r="K360" s="276" t="s">
        <v>3184</v>
      </c>
      <c r="L360" s="74"/>
      <c r="M360" s="74"/>
      <c r="N360" s="74"/>
      <c r="O360" s="74"/>
    </row>
    <row r="361" spans="1:15">
      <c r="A361" s="276" t="s">
        <v>3324</v>
      </c>
      <c r="B361" s="276" t="s">
        <v>3323</v>
      </c>
      <c r="C361" s="276" t="s">
        <v>3173</v>
      </c>
      <c r="D361" s="276" t="s">
        <v>3318</v>
      </c>
      <c r="E361" s="276" t="s">
        <v>3173</v>
      </c>
      <c r="F361" s="276" t="s">
        <v>3237</v>
      </c>
      <c r="G361" s="276" t="s">
        <v>3171</v>
      </c>
      <c r="H361" s="276" t="s">
        <v>3236</v>
      </c>
      <c r="I361" s="276">
        <v>25</v>
      </c>
      <c r="J361" s="276" t="s">
        <v>3324</v>
      </c>
      <c r="K361" s="276" t="s">
        <v>3184</v>
      </c>
      <c r="L361" s="74"/>
      <c r="M361" s="74"/>
      <c r="N361" s="74"/>
      <c r="O361" s="74"/>
    </row>
    <row r="362" spans="1:15">
      <c r="A362" s="276" t="s">
        <v>3322</v>
      </c>
      <c r="B362" s="276" t="s">
        <v>3321</v>
      </c>
      <c r="C362" s="276" t="s">
        <v>3173</v>
      </c>
      <c r="D362" s="276" t="s">
        <v>3318</v>
      </c>
      <c r="E362" s="276" t="s">
        <v>3173</v>
      </c>
      <c r="F362" s="276" t="s">
        <v>3237</v>
      </c>
      <c r="G362" s="276" t="s">
        <v>3171</v>
      </c>
      <c r="H362" s="276" t="s">
        <v>3236</v>
      </c>
      <c r="I362" s="276">
        <v>25</v>
      </c>
      <c r="J362" s="276" t="s">
        <v>3322</v>
      </c>
      <c r="K362" s="276" t="s">
        <v>3184</v>
      </c>
      <c r="L362" s="74"/>
      <c r="M362" s="74"/>
      <c r="N362" s="74"/>
      <c r="O362" s="74"/>
    </row>
    <row r="363" spans="1:15">
      <c r="A363" s="276" t="s">
        <v>3320</v>
      </c>
      <c r="B363" s="276" t="s">
        <v>3319</v>
      </c>
      <c r="C363" s="276" t="s">
        <v>3173</v>
      </c>
      <c r="D363" s="276" t="s">
        <v>3318</v>
      </c>
      <c r="E363" s="276" t="s">
        <v>3173</v>
      </c>
      <c r="F363" s="276" t="s">
        <v>3237</v>
      </c>
      <c r="G363" s="276" t="s">
        <v>3171</v>
      </c>
      <c r="H363" s="276" t="s">
        <v>3236</v>
      </c>
      <c r="I363" s="276">
        <v>25</v>
      </c>
      <c r="J363" s="276" t="s">
        <v>3320</v>
      </c>
      <c r="K363" s="276" t="s">
        <v>3184</v>
      </c>
      <c r="L363" s="74"/>
      <c r="M363" s="74"/>
      <c r="N363" s="74"/>
      <c r="O363" s="74"/>
    </row>
    <row r="364" spans="1:15">
      <c r="A364" s="276" t="s">
        <v>3353</v>
      </c>
      <c r="B364" s="276"/>
      <c r="C364" s="276" t="s">
        <v>3144</v>
      </c>
      <c r="D364" s="276" t="s">
        <v>3196</v>
      </c>
      <c r="E364" s="276"/>
      <c r="F364" s="276" t="s">
        <v>3200</v>
      </c>
      <c r="G364" s="276" t="s">
        <v>3228</v>
      </c>
      <c r="H364" s="276" t="s">
        <v>3227</v>
      </c>
      <c r="I364" s="276">
        <v>15</v>
      </c>
      <c r="J364" s="276" t="s">
        <v>3353</v>
      </c>
      <c r="K364" s="276" t="s">
        <v>3352</v>
      </c>
      <c r="L364" s="74"/>
      <c r="M364" s="74"/>
      <c r="N364" s="74"/>
      <c r="O364" s="74"/>
    </row>
    <row r="365" spans="1:15">
      <c r="A365" s="276"/>
      <c r="B365" s="276"/>
      <c r="C365" s="276"/>
      <c r="D365" s="276"/>
      <c r="E365" s="276"/>
      <c r="F365" s="276"/>
      <c r="G365" s="276"/>
      <c r="H365" s="276"/>
      <c r="I365" s="276"/>
      <c r="J365" s="276"/>
      <c r="K365" s="276"/>
      <c r="L365" s="74"/>
      <c r="M365" s="74"/>
      <c r="N365" s="74"/>
      <c r="O365" s="74"/>
    </row>
    <row r="366" spans="1:15" ht="19.2">
      <c r="A366" s="276" t="s">
        <v>3351</v>
      </c>
      <c r="B366" s="276"/>
      <c r="C366" s="276" t="s">
        <v>3139</v>
      </c>
      <c r="D366" s="276" t="s">
        <v>3196</v>
      </c>
      <c r="E366" s="276"/>
      <c r="F366" s="276" t="s">
        <v>3150</v>
      </c>
      <c r="G366" s="276" t="s">
        <v>3228</v>
      </c>
      <c r="H366" s="276" t="s">
        <v>3350</v>
      </c>
      <c r="I366" s="276">
        <v>15</v>
      </c>
      <c r="J366" s="276" t="s">
        <v>3351</v>
      </c>
      <c r="K366" s="276" t="s">
        <v>3349</v>
      </c>
      <c r="L366" s="74"/>
      <c r="M366" s="74"/>
      <c r="N366" s="74"/>
      <c r="O366" s="74"/>
    </row>
    <row r="367" spans="1:15">
      <c r="A367" s="276"/>
      <c r="B367" s="276"/>
      <c r="C367" s="276"/>
      <c r="D367" s="276"/>
      <c r="E367" s="276"/>
      <c r="F367" s="276"/>
      <c r="G367" s="276"/>
      <c r="H367" s="276"/>
      <c r="I367" s="276"/>
      <c r="J367" s="276"/>
      <c r="K367" s="276"/>
      <c r="L367" s="74"/>
      <c r="M367" s="74"/>
      <c r="N367" s="74"/>
      <c r="O367" s="74"/>
    </row>
    <row r="368" spans="1:15">
      <c r="A368" s="276" t="s">
        <v>3348</v>
      </c>
      <c r="B368" s="276"/>
      <c r="C368" s="276" t="s">
        <v>3144</v>
      </c>
      <c r="D368" s="276" t="s">
        <v>3196</v>
      </c>
      <c r="E368" s="276"/>
      <c r="F368" s="276" t="s">
        <v>3200</v>
      </c>
      <c r="G368" s="276" t="s">
        <v>3228</v>
      </c>
      <c r="H368" s="276" t="s">
        <v>3345</v>
      </c>
      <c r="I368" s="276">
        <v>15</v>
      </c>
      <c r="J368" s="276" t="s">
        <v>3348</v>
      </c>
      <c r="K368" s="276" t="s">
        <v>3347</v>
      </c>
      <c r="L368" s="74"/>
      <c r="M368" s="74"/>
      <c r="N368" s="74"/>
      <c r="O368" s="74"/>
    </row>
    <row r="369" spans="1:15">
      <c r="A369" s="276"/>
      <c r="B369" s="276"/>
      <c r="C369" s="276"/>
      <c r="D369" s="276"/>
      <c r="E369" s="276"/>
      <c r="F369" s="276"/>
      <c r="G369" s="276"/>
      <c r="H369" s="276"/>
      <c r="I369" s="276"/>
      <c r="J369" s="276"/>
      <c r="K369" s="276"/>
      <c r="L369" s="74"/>
      <c r="M369" s="74"/>
      <c r="N369" s="74"/>
      <c r="O369" s="74"/>
    </row>
    <row r="370" spans="1:15">
      <c r="A370" s="276" t="s">
        <v>3346</v>
      </c>
      <c r="B370" s="276"/>
      <c r="C370" s="276" t="s">
        <v>3144</v>
      </c>
      <c r="D370" s="276" t="s">
        <v>3196</v>
      </c>
      <c r="E370" s="276"/>
      <c r="F370" s="276" t="s">
        <v>3200</v>
      </c>
      <c r="G370" s="276" t="s">
        <v>3228</v>
      </c>
      <c r="H370" s="276" t="s">
        <v>3345</v>
      </c>
      <c r="I370" s="276">
        <v>15</v>
      </c>
      <c r="J370" s="276" t="s">
        <v>3346</v>
      </c>
      <c r="K370" s="276" t="s">
        <v>3344</v>
      </c>
      <c r="L370" s="74"/>
      <c r="M370" s="74"/>
      <c r="N370" s="74"/>
      <c r="O370" s="74"/>
    </row>
  </sheetData>
  <autoFilter ref="A1:O259" xr:uid="{00000000-0009-0000-0000-000002000000}">
    <filterColumn colId="3">
      <filters>
        <filter val="SIS MARSHALLING CABINET 100-SIS-001B"/>
      </filters>
    </filterColumn>
  </autoFilter>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048562"/>
  <sheetViews>
    <sheetView zoomScale="115" zoomScaleNormal="115" workbookViewId="0">
      <pane xSplit="5" ySplit="3" topLeftCell="F187" activePane="bottomRight" state="frozen"/>
      <selection pane="topRight" activeCell="F1" sqref="F1"/>
      <selection pane="bottomLeft" activeCell="A4" sqref="A4"/>
      <selection pane="bottomRight" activeCell="E190" sqref="E190"/>
    </sheetView>
  </sheetViews>
  <sheetFormatPr defaultRowHeight="14.4"/>
  <cols>
    <col min="1" max="1" width="3.77734375" customWidth="1"/>
    <col min="2" max="2" width="3.44140625" customWidth="1"/>
    <col min="4" max="4" width="16.77734375" customWidth="1"/>
    <col min="5" max="5" width="19" customWidth="1"/>
    <col min="6" max="6" width="14" customWidth="1"/>
    <col min="7" max="7" width="5.77734375" customWidth="1"/>
    <col min="8" max="8" width="5.44140625" customWidth="1"/>
    <col min="9" max="9" width="5" style="151" customWidth="1"/>
    <col min="10" max="10" width="6.21875" customWidth="1"/>
    <col min="11" max="11" width="5.77734375" style="151" customWidth="1"/>
    <col min="12" max="12" width="5.44140625" style="151" customWidth="1"/>
    <col min="14" max="14" width="4.109375" style="151" customWidth="1"/>
    <col min="15" max="15" width="9.33203125" customWidth="1"/>
    <col min="16" max="16" width="21.44140625" customWidth="1"/>
    <col min="17" max="21" width="8.77734375" style="152"/>
  </cols>
  <sheetData>
    <row r="1" spans="1:21" ht="13.95" customHeight="1">
      <c r="A1" s="349"/>
      <c r="B1" s="350"/>
      <c r="C1" s="350"/>
      <c r="D1" s="350"/>
      <c r="E1" s="351"/>
      <c r="F1" s="355" t="s">
        <v>2812</v>
      </c>
      <c r="G1" s="356"/>
      <c r="H1" s="356"/>
      <c r="I1" s="356"/>
      <c r="J1" s="356"/>
      <c r="K1" s="356"/>
      <c r="L1" s="356"/>
      <c r="M1" s="356"/>
      <c r="N1" s="356"/>
      <c r="O1" s="357"/>
      <c r="P1" s="358" t="s">
        <v>1938</v>
      </c>
      <c r="Q1" s="343" t="s">
        <v>2944</v>
      </c>
      <c r="R1" s="344"/>
      <c r="S1" s="344"/>
      <c r="T1" s="344"/>
      <c r="U1" s="345"/>
    </row>
    <row r="2" spans="1:21" ht="33" customHeight="1">
      <c r="A2" s="352"/>
      <c r="B2" s="353"/>
      <c r="C2" s="353"/>
      <c r="D2" s="353"/>
      <c r="E2" s="354"/>
      <c r="F2" s="360" t="s">
        <v>2058</v>
      </c>
      <c r="G2" s="361"/>
      <c r="H2" s="361"/>
      <c r="I2" s="361"/>
      <c r="J2" s="361"/>
      <c r="K2" s="361"/>
      <c r="L2" s="361"/>
      <c r="M2" s="361"/>
      <c r="N2" s="361"/>
      <c r="O2" s="362"/>
      <c r="P2" s="359"/>
      <c r="Q2" s="346"/>
      <c r="R2" s="347"/>
      <c r="S2" s="347"/>
      <c r="T2" s="347"/>
      <c r="U2" s="348"/>
    </row>
    <row r="3" spans="1:21" s="151" customFormat="1" ht="56.4" customHeight="1">
      <c r="A3" s="159" t="s">
        <v>1942</v>
      </c>
      <c r="B3" s="159" t="s">
        <v>2062</v>
      </c>
      <c r="C3" s="159" t="s">
        <v>2063</v>
      </c>
      <c r="D3" s="159" t="s">
        <v>2064</v>
      </c>
      <c r="E3" s="159" t="s">
        <v>2065</v>
      </c>
      <c r="F3" s="159" t="s">
        <v>2066</v>
      </c>
      <c r="G3" s="159" t="s">
        <v>2067</v>
      </c>
      <c r="H3" s="159" t="s">
        <v>2068</v>
      </c>
      <c r="I3" s="159" t="s">
        <v>2069</v>
      </c>
      <c r="J3" s="159" t="s">
        <v>2070</v>
      </c>
      <c r="K3" s="159" t="s">
        <v>2071</v>
      </c>
      <c r="L3" s="159" t="s">
        <v>2072</v>
      </c>
      <c r="M3" s="159" t="s">
        <v>2073</v>
      </c>
      <c r="N3" s="159" t="s">
        <v>2074</v>
      </c>
      <c r="O3" s="159" t="s">
        <v>2075</v>
      </c>
      <c r="P3" s="159" t="s">
        <v>2076</v>
      </c>
      <c r="Q3" s="159" t="s">
        <v>1939</v>
      </c>
      <c r="R3" s="159" t="s">
        <v>2060</v>
      </c>
      <c r="S3" s="159" t="s">
        <v>1940</v>
      </c>
      <c r="T3" s="159" t="s">
        <v>1941</v>
      </c>
      <c r="U3" s="159" t="s">
        <v>2059</v>
      </c>
    </row>
    <row r="4" spans="1:21" ht="19.2" customHeight="1">
      <c r="A4" s="177">
        <v>1</v>
      </c>
      <c r="B4" s="172">
        <v>3</v>
      </c>
      <c r="C4" s="160" t="s">
        <v>1526</v>
      </c>
      <c r="D4" s="160" t="s">
        <v>2511</v>
      </c>
      <c r="E4" s="160" t="s">
        <v>2283</v>
      </c>
      <c r="F4" s="160" t="s">
        <v>1546</v>
      </c>
      <c r="G4" s="160" t="s">
        <v>2277</v>
      </c>
      <c r="H4" s="160" t="s">
        <v>2476</v>
      </c>
      <c r="I4" s="160" t="s">
        <v>2469</v>
      </c>
      <c r="J4" s="165"/>
      <c r="K4" s="165"/>
      <c r="L4" s="165"/>
      <c r="M4" s="165"/>
      <c r="N4" s="160" t="s">
        <v>2084</v>
      </c>
      <c r="O4" s="160" t="s">
        <v>2278</v>
      </c>
      <c r="P4" s="165"/>
      <c r="Q4" s="189" t="s">
        <v>1879</v>
      </c>
      <c r="R4" s="189" t="s">
        <v>1879</v>
      </c>
      <c r="S4" s="166" t="s">
        <v>1874</v>
      </c>
      <c r="T4" s="189" t="s">
        <v>1879</v>
      </c>
      <c r="U4" s="162" t="s">
        <v>2061</v>
      </c>
    </row>
    <row r="5" spans="1:21" ht="19.2" customHeight="1">
      <c r="A5" s="177">
        <v>2</v>
      </c>
      <c r="B5" s="172">
        <v>3</v>
      </c>
      <c r="C5" s="160" t="s">
        <v>1527</v>
      </c>
      <c r="D5" s="160" t="s">
        <v>2511</v>
      </c>
      <c r="E5" s="160" t="s">
        <v>2291</v>
      </c>
      <c r="F5" s="160" t="s">
        <v>1546</v>
      </c>
      <c r="G5" s="160" t="s">
        <v>2277</v>
      </c>
      <c r="H5" s="160" t="s">
        <v>2476</v>
      </c>
      <c r="I5" s="160" t="s">
        <v>2469</v>
      </c>
      <c r="J5" s="165"/>
      <c r="K5" s="165"/>
      <c r="L5" s="165"/>
      <c r="M5" s="165"/>
      <c r="N5" s="160" t="s">
        <v>2084</v>
      </c>
      <c r="O5" s="160" t="s">
        <v>2288</v>
      </c>
      <c r="P5" s="165"/>
      <c r="Q5" s="189" t="s">
        <v>1879</v>
      </c>
      <c r="R5" s="189" t="s">
        <v>1879</v>
      </c>
      <c r="S5" s="166" t="s">
        <v>1874</v>
      </c>
      <c r="T5" s="189" t="s">
        <v>1879</v>
      </c>
      <c r="U5" s="162" t="s">
        <v>2061</v>
      </c>
    </row>
    <row r="6" spans="1:21" ht="19.2" customHeight="1">
      <c r="A6" s="177">
        <v>3</v>
      </c>
      <c r="B6" s="188">
        <v>3</v>
      </c>
      <c r="C6" s="189" t="s">
        <v>1130</v>
      </c>
      <c r="D6" s="189" t="s">
        <v>2467</v>
      </c>
      <c r="E6" s="189" t="s">
        <v>2479</v>
      </c>
      <c r="F6" s="189" t="s">
        <v>1128</v>
      </c>
      <c r="G6" s="189" t="s">
        <v>2079</v>
      </c>
      <c r="H6" s="189" t="s">
        <v>2080</v>
      </c>
      <c r="I6" s="189" t="s">
        <v>2469</v>
      </c>
      <c r="J6" s="189" t="s">
        <v>2222</v>
      </c>
      <c r="K6" s="194">
        <v>109</v>
      </c>
      <c r="L6" s="189" t="s">
        <v>2083</v>
      </c>
      <c r="M6" s="190"/>
      <c r="N6" s="189" t="s">
        <v>2084</v>
      </c>
      <c r="O6" s="189" t="s">
        <v>2480</v>
      </c>
      <c r="P6" s="190"/>
      <c r="Q6" s="189" t="s">
        <v>1879</v>
      </c>
      <c r="R6" s="189" t="s">
        <v>1879</v>
      </c>
      <c r="S6" s="189" t="s">
        <v>1879</v>
      </c>
      <c r="T6" s="189" t="s">
        <v>1879</v>
      </c>
      <c r="U6" s="162" t="s">
        <v>2061</v>
      </c>
    </row>
    <row r="7" spans="1:21" ht="19.2" customHeight="1">
      <c r="A7" s="177">
        <v>4</v>
      </c>
      <c r="B7" s="188">
        <v>3</v>
      </c>
      <c r="C7" s="189" t="s">
        <v>1134</v>
      </c>
      <c r="D7" s="189" t="s">
        <v>2467</v>
      </c>
      <c r="E7" s="189" t="s">
        <v>2479</v>
      </c>
      <c r="F7" s="189" t="s">
        <v>1128</v>
      </c>
      <c r="G7" s="189" t="s">
        <v>2079</v>
      </c>
      <c r="H7" s="189" t="s">
        <v>2080</v>
      </c>
      <c r="I7" s="189" t="s">
        <v>2469</v>
      </c>
      <c r="J7" s="189" t="s">
        <v>2222</v>
      </c>
      <c r="K7" s="189" t="s">
        <v>2083</v>
      </c>
      <c r="L7" s="189" t="s">
        <v>2481</v>
      </c>
      <c r="M7" s="190"/>
      <c r="N7" s="189" t="s">
        <v>2084</v>
      </c>
      <c r="O7" s="189" t="s">
        <v>2480</v>
      </c>
      <c r="P7" s="190"/>
      <c r="Q7" s="189" t="s">
        <v>1879</v>
      </c>
      <c r="R7" s="189" t="s">
        <v>1879</v>
      </c>
      <c r="S7" s="189" t="s">
        <v>1879</v>
      </c>
      <c r="T7" s="189" t="s">
        <v>1879</v>
      </c>
      <c r="U7" s="162" t="s">
        <v>2061</v>
      </c>
    </row>
    <row r="8" spans="1:21" ht="19.2" customHeight="1">
      <c r="A8" s="177">
        <v>5</v>
      </c>
      <c r="B8" s="188">
        <v>3</v>
      </c>
      <c r="C8" s="189" t="s">
        <v>1137</v>
      </c>
      <c r="D8" s="189" t="s">
        <v>2467</v>
      </c>
      <c r="E8" s="189" t="s">
        <v>2479</v>
      </c>
      <c r="F8" s="189" t="s">
        <v>1135</v>
      </c>
      <c r="G8" s="189" t="s">
        <v>2079</v>
      </c>
      <c r="H8" s="189" t="s">
        <v>2080</v>
      </c>
      <c r="I8" s="189" t="s">
        <v>2469</v>
      </c>
      <c r="J8" s="189" t="s">
        <v>2222</v>
      </c>
      <c r="K8" s="194">
        <v>109</v>
      </c>
      <c r="L8" s="189" t="s">
        <v>2083</v>
      </c>
      <c r="M8" s="190"/>
      <c r="N8" s="189" t="s">
        <v>2084</v>
      </c>
      <c r="O8" s="189" t="s">
        <v>2480</v>
      </c>
      <c r="P8" s="190"/>
      <c r="Q8" s="189" t="s">
        <v>1879</v>
      </c>
      <c r="R8" s="189" t="s">
        <v>1879</v>
      </c>
      <c r="S8" s="189" t="s">
        <v>1879</v>
      </c>
      <c r="T8" s="189" t="s">
        <v>1879</v>
      </c>
      <c r="U8" s="162" t="s">
        <v>2061</v>
      </c>
    </row>
    <row r="9" spans="1:21" ht="19.2" customHeight="1">
      <c r="A9" s="177">
        <v>6</v>
      </c>
      <c r="B9" s="188">
        <v>3</v>
      </c>
      <c r="C9" s="189" t="s">
        <v>1139</v>
      </c>
      <c r="D9" s="189" t="s">
        <v>2467</v>
      </c>
      <c r="E9" s="189" t="s">
        <v>2479</v>
      </c>
      <c r="F9" s="189" t="s">
        <v>1135</v>
      </c>
      <c r="G9" s="189" t="s">
        <v>2079</v>
      </c>
      <c r="H9" s="189" t="s">
        <v>2080</v>
      </c>
      <c r="I9" s="189" t="s">
        <v>2469</v>
      </c>
      <c r="J9" s="189" t="s">
        <v>2222</v>
      </c>
      <c r="K9" s="189" t="s">
        <v>2083</v>
      </c>
      <c r="L9" s="189" t="s">
        <v>2481</v>
      </c>
      <c r="M9" s="190"/>
      <c r="N9" s="189" t="s">
        <v>2084</v>
      </c>
      <c r="O9" s="189" t="s">
        <v>2480</v>
      </c>
      <c r="P9" s="190"/>
      <c r="Q9" s="189" t="s">
        <v>1879</v>
      </c>
      <c r="R9" s="189" t="s">
        <v>1879</v>
      </c>
      <c r="S9" s="189" t="s">
        <v>1879</v>
      </c>
      <c r="T9" s="189" t="s">
        <v>1879</v>
      </c>
      <c r="U9" s="162" t="s">
        <v>2061</v>
      </c>
    </row>
    <row r="10" spans="1:21" ht="19.2" customHeight="1">
      <c r="A10" s="177">
        <v>7</v>
      </c>
      <c r="B10" s="188">
        <v>3</v>
      </c>
      <c r="C10" s="189" t="s">
        <v>1142</v>
      </c>
      <c r="D10" s="189" t="s">
        <v>2467</v>
      </c>
      <c r="E10" s="189" t="s">
        <v>2479</v>
      </c>
      <c r="F10" s="189" t="s">
        <v>1140</v>
      </c>
      <c r="G10" s="189" t="s">
        <v>2079</v>
      </c>
      <c r="H10" s="189" t="s">
        <v>2080</v>
      </c>
      <c r="I10" s="189" t="s">
        <v>2469</v>
      </c>
      <c r="J10" s="189" t="s">
        <v>2222</v>
      </c>
      <c r="K10" s="194">
        <v>109</v>
      </c>
      <c r="L10" s="189" t="s">
        <v>2083</v>
      </c>
      <c r="M10" s="190"/>
      <c r="N10" s="189" t="s">
        <v>2084</v>
      </c>
      <c r="O10" s="189" t="s">
        <v>2480</v>
      </c>
      <c r="P10" s="190"/>
      <c r="Q10" s="189" t="s">
        <v>1879</v>
      </c>
      <c r="R10" s="189" t="s">
        <v>1879</v>
      </c>
      <c r="S10" s="189" t="s">
        <v>1879</v>
      </c>
      <c r="T10" s="189" t="s">
        <v>1879</v>
      </c>
      <c r="U10" s="162" t="s">
        <v>2061</v>
      </c>
    </row>
    <row r="11" spans="1:21" ht="19.2" customHeight="1">
      <c r="A11" s="177">
        <v>8</v>
      </c>
      <c r="B11" s="188">
        <v>3</v>
      </c>
      <c r="C11" s="189" t="s">
        <v>1144</v>
      </c>
      <c r="D11" s="189" t="s">
        <v>2467</v>
      </c>
      <c r="E11" s="189" t="s">
        <v>2479</v>
      </c>
      <c r="F11" s="189" t="s">
        <v>1140</v>
      </c>
      <c r="G11" s="189" t="s">
        <v>2079</v>
      </c>
      <c r="H11" s="189" t="s">
        <v>2080</v>
      </c>
      <c r="I11" s="189" t="s">
        <v>2469</v>
      </c>
      <c r="J11" s="189" t="s">
        <v>2222</v>
      </c>
      <c r="K11" s="189" t="s">
        <v>2083</v>
      </c>
      <c r="L11" s="189" t="s">
        <v>2481</v>
      </c>
      <c r="M11" s="190"/>
      <c r="N11" s="189" t="s">
        <v>2084</v>
      </c>
      <c r="O11" s="189" t="s">
        <v>2480</v>
      </c>
      <c r="P11" s="190"/>
      <c r="Q11" s="189" t="s">
        <v>1879</v>
      </c>
      <c r="R11" s="189" t="s">
        <v>1879</v>
      </c>
      <c r="S11" s="189" t="s">
        <v>1879</v>
      </c>
      <c r="T11" s="189" t="s">
        <v>1879</v>
      </c>
      <c r="U11" s="162" t="s">
        <v>2061</v>
      </c>
    </row>
    <row r="12" spans="1:21" ht="19.2" customHeight="1">
      <c r="A12" s="177">
        <v>9</v>
      </c>
      <c r="B12" s="188">
        <v>3</v>
      </c>
      <c r="C12" s="189" t="s">
        <v>1147</v>
      </c>
      <c r="D12" s="189" t="s">
        <v>2467</v>
      </c>
      <c r="E12" s="189" t="s">
        <v>2479</v>
      </c>
      <c r="F12" s="189" t="s">
        <v>1145</v>
      </c>
      <c r="G12" s="189" t="s">
        <v>2079</v>
      </c>
      <c r="H12" s="189" t="s">
        <v>2080</v>
      </c>
      <c r="I12" s="189" t="s">
        <v>2469</v>
      </c>
      <c r="J12" s="189" t="s">
        <v>2222</v>
      </c>
      <c r="K12" s="194">
        <v>109</v>
      </c>
      <c r="L12" s="189" t="s">
        <v>2083</v>
      </c>
      <c r="M12" s="190"/>
      <c r="N12" s="189" t="s">
        <v>2084</v>
      </c>
      <c r="O12" s="189" t="s">
        <v>2480</v>
      </c>
      <c r="P12" s="190"/>
      <c r="Q12" s="189" t="s">
        <v>1879</v>
      </c>
      <c r="R12" s="189" t="s">
        <v>1879</v>
      </c>
      <c r="S12" s="189" t="s">
        <v>1879</v>
      </c>
      <c r="T12" s="189" t="s">
        <v>1879</v>
      </c>
      <c r="U12" s="162" t="s">
        <v>2061</v>
      </c>
    </row>
    <row r="13" spans="1:21" ht="19.2" customHeight="1">
      <c r="A13" s="177">
        <v>10</v>
      </c>
      <c r="B13" s="188">
        <v>3</v>
      </c>
      <c r="C13" s="189" t="s">
        <v>1149</v>
      </c>
      <c r="D13" s="189" t="s">
        <v>2467</v>
      </c>
      <c r="E13" s="189" t="s">
        <v>2479</v>
      </c>
      <c r="F13" s="189" t="s">
        <v>1145</v>
      </c>
      <c r="G13" s="189" t="s">
        <v>2079</v>
      </c>
      <c r="H13" s="189" t="s">
        <v>2080</v>
      </c>
      <c r="I13" s="189" t="s">
        <v>2469</v>
      </c>
      <c r="J13" s="189" t="s">
        <v>2222</v>
      </c>
      <c r="K13" s="189" t="s">
        <v>2083</v>
      </c>
      <c r="L13" s="189" t="s">
        <v>2481</v>
      </c>
      <c r="M13" s="190"/>
      <c r="N13" s="189" t="s">
        <v>2084</v>
      </c>
      <c r="O13" s="189" t="s">
        <v>2480</v>
      </c>
      <c r="P13" s="190"/>
      <c r="Q13" s="189" t="s">
        <v>1879</v>
      </c>
      <c r="R13" s="189" t="s">
        <v>1879</v>
      </c>
      <c r="S13" s="189" t="s">
        <v>1879</v>
      </c>
      <c r="T13" s="189" t="s">
        <v>1879</v>
      </c>
      <c r="U13" s="162" t="s">
        <v>2061</v>
      </c>
    </row>
    <row r="14" spans="1:21" ht="19.2" customHeight="1">
      <c r="A14" s="177">
        <v>11</v>
      </c>
      <c r="B14" s="172">
        <v>3</v>
      </c>
      <c r="C14" s="160" t="s">
        <v>2523</v>
      </c>
      <c r="D14" s="160" t="s">
        <v>2524</v>
      </c>
      <c r="E14" s="160" t="s">
        <v>2525</v>
      </c>
      <c r="F14" s="160" t="s">
        <v>1637</v>
      </c>
      <c r="G14" s="160" t="s">
        <v>2079</v>
      </c>
      <c r="H14" s="160" t="s">
        <v>2080</v>
      </c>
      <c r="I14" s="160" t="s">
        <v>2469</v>
      </c>
      <c r="J14" s="165"/>
      <c r="K14" s="165"/>
      <c r="L14" s="165"/>
      <c r="M14" s="165"/>
      <c r="N14" s="160" t="s">
        <v>2084</v>
      </c>
      <c r="O14" s="160" t="s">
        <v>2526</v>
      </c>
      <c r="P14" s="165"/>
      <c r="Q14" s="189" t="s">
        <v>1879</v>
      </c>
      <c r="R14" s="166" t="s">
        <v>1874</v>
      </c>
      <c r="S14" s="189" t="s">
        <v>1879</v>
      </c>
      <c r="T14" s="189" t="s">
        <v>1879</v>
      </c>
      <c r="U14" s="162" t="s">
        <v>2061</v>
      </c>
    </row>
    <row r="15" spans="1:21" ht="19.2" customHeight="1">
      <c r="A15" s="177">
        <v>12</v>
      </c>
      <c r="B15" s="188">
        <v>3</v>
      </c>
      <c r="C15" s="189" t="s">
        <v>1619</v>
      </c>
      <c r="D15" s="189" t="s">
        <v>2099</v>
      </c>
      <c r="E15" s="189" t="s">
        <v>2525</v>
      </c>
      <c r="F15" s="189" t="s">
        <v>1637</v>
      </c>
      <c r="G15" s="189" t="s">
        <v>2079</v>
      </c>
      <c r="H15" s="189" t="s">
        <v>2476</v>
      </c>
      <c r="I15" s="189" t="s">
        <v>2469</v>
      </c>
      <c r="J15" s="190"/>
      <c r="K15" s="190"/>
      <c r="L15" s="190"/>
      <c r="M15" s="190"/>
      <c r="N15" s="189" t="s">
        <v>2084</v>
      </c>
      <c r="O15" s="189" t="s">
        <v>2527</v>
      </c>
      <c r="P15" s="190"/>
      <c r="Q15" s="189" t="s">
        <v>1879</v>
      </c>
      <c r="R15" s="189" t="s">
        <v>1879</v>
      </c>
      <c r="S15" s="189" t="s">
        <v>1879</v>
      </c>
      <c r="T15" s="189" t="s">
        <v>1879</v>
      </c>
      <c r="U15" s="162" t="s">
        <v>2061</v>
      </c>
    </row>
    <row r="16" spans="1:21" ht="19.2" customHeight="1">
      <c r="A16" s="177">
        <v>13</v>
      </c>
      <c r="B16" s="172">
        <v>3</v>
      </c>
      <c r="C16" s="160" t="s">
        <v>2528</v>
      </c>
      <c r="D16" s="160" t="s">
        <v>2524</v>
      </c>
      <c r="E16" s="160" t="s">
        <v>2529</v>
      </c>
      <c r="F16" s="160" t="s">
        <v>1640</v>
      </c>
      <c r="G16" s="160" t="s">
        <v>2079</v>
      </c>
      <c r="H16" s="160" t="s">
        <v>2080</v>
      </c>
      <c r="I16" s="160" t="s">
        <v>2469</v>
      </c>
      <c r="J16" s="165"/>
      <c r="K16" s="165"/>
      <c r="L16" s="165"/>
      <c r="M16" s="165"/>
      <c r="N16" s="160" t="s">
        <v>2084</v>
      </c>
      <c r="O16" s="160" t="s">
        <v>2526</v>
      </c>
      <c r="P16" s="165"/>
      <c r="Q16" s="189" t="s">
        <v>1879</v>
      </c>
      <c r="R16" s="166" t="s">
        <v>1874</v>
      </c>
      <c r="S16" s="189" t="s">
        <v>1879</v>
      </c>
      <c r="T16" s="189" t="s">
        <v>1879</v>
      </c>
      <c r="U16" s="162" t="s">
        <v>2061</v>
      </c>
    </row>
    <row r="17" spans="1:21" ht="19.2" customHeight="1">
      <c r="A17" s="177">
        <v>14</v>
      </c>
      <c r="B17" s="188">
        <v>3</v>
      </c>
      <c r="C17" s="189" t="s">
        <v>1617</v>
      </c>
      <c r="D17" s="189" t="s">
        <v>2099</v>
      </c>
      <c r="E17" s="189" t="s">
        <v>2530</v>
      </c>
      <c r="F17" s="189" t="s">
        <v>1640</v>
      </c>
      <c r="G17" s="189" t="s">
        <v>2079</v>
      </c>
      <c r="H17" s="189" t="s">
        <v>2476</v>
      </c>
      <c r="I17" s="189" t="s">
        <v>2469</v>
      </c>
      <c r="J17" s="190"/>
      <c r="K17" s="190"/>
      <c r="L17" s="190"/>
      <c r="M17" s="190"/>
      <c r="N17" s="189" t="s">
        <v>2084</v>
      </c>
      <c r="O17" s="189" t="s">
        <v>2527</v>
      </c>
      <c r="P17" s="190"/>
      <c r="Q17" s="189" t="s">
        <v>1879</v>
      </c>
      <c r="R17" s="189" t="s">
        <v>1879</v>
      </c>
      <c r="S17" s="189" t="s">
        <v>1879</v>
      </c>
      <c r="T17" s="189" t="s">
        <v>1879</v>
      </c>
      <c r="U17" s="162" t="s">
        <v>2061</v>
      </c>
    </row>
    <row r="18" spans="1:21" ht="19.2" customHeight="1">
      <c r="A18" s="177">
        <v>15</v>
      </c>
      <c r="B18" s="188">
        <v>3</v>
      </c>
      <c r="C18" s="189" t="s">
        <v>1618</v>
      </c>
      <c r="D18" s="189" t="s">
        <v>2099</v>
      </c>
      <c r="E18" s="189" t="s">
        <v>2530</v>
      </c>
      <c r="F18" s="189" t="s">
        <v>1640</v>
      </c>
      <c r="G18" s="189" t="s">
        <v>2079</v>
      </c>
      <c r="H18" s="189" t="s">
        <v>2476</v>
      </c>
      <c r="I18" s="189" t="s">
        <v>2469</v>
      </c>
      <c r="J18" s="190"/>
      <c r="K18" s="190"/>
      <c r="L18" s="190"/>
      <c r="M18" s="190"/>
      <c r="N18" s="189" t="s">
        <v>2084</v>
      </c>
      <c r="O18" s="189" t="s">
        <v>2527</v>
      </c>
      <c r="P18" s="190"/>
      <c r="Q18" s="189" t="s">
        <v>1879</v>
      </c>
      <c r="R18" s="189" t="s">
        <v>1879</v>
      </c>
      <c r="S18" s="189" t="s">
        <v>1879</v>
      </c>
      <c r="T18" s="189" t="s">
        <v>1879</v>
      </c>
      <c r="U18" s="162" t="s">
        <v>2061</v>
      </c>
    </row>
    <row r="19" spans="1:21" ht="19.2" customHeight="1">
      <c r="A19" s="177">
        <v>16</v>
      </c>
      <c r="B19" s="188">
        <v>3</v>
      </c>
      <c r="C19" s="189" t="s">
        <v>2531</v>
      </c>
      <c r="D19" s="189" t="s">
        <v>2467</v>
      </c>
      <c r="E19" s="189" t="s">
        <v>2532</v>
      </c>
      <c r="F19" s="189" t="s">
        <v>1640</v>
      </c>
      <c r="G19" s="189" t="s">
        <v>2079</v>
      </c>
      <c r="H19" s="189" t="s">
        <v>2080</v>
      </c>
      <c r="I19" s="189" t="s">
        <v>2469</v>
      </c>
      <c r="J19" s="189" t="s">
        <v>2222</v>
      </c>
      <c r="K19" s="189" t="s">
        <v>2083</v>
      </c>
      <c r="L19" s="189" t="s">
        <v>2481</v>
      </c>
      <c r="M19" s="190"/>
      <c r="N19" s="189" t="s">
        <v>2084</v>
      </c>
      <c r="O19" s="189" t="s">
        <v>2526</v>
      </c>
      <c r="P19" s="190"/>
      <c r="Q19" s="189" t="s">
        <v>1879</v>
      </c>
      <c r="R19" s="189" t="s">
        <v>1879</v>
      </c>
      <c r="S19" s="189" t="s">
        <v>1879</v>
      </c>
      <c r="T19" s="189" t="s">
        <v>1879</v>
      </c>
      <c r="U19" s="162" t="s">
        <v>2061</v>
      </c>
    </row>
    <row r="20" spans="1:21" ht="19.2" customHeight="1">
      <c r="A20" s="177">
        <v>17</v>
      </c>
      <c r="B20" s="188">
        <v>3</v>
      </c>
      <c r="C20" s="189" t="s">
        <v>2533</v>
      </c>
      <c r="D20" s="189" t="s">
        <v>2467</v>
      </c>
      <c r="E20" s="189" t="s">
        <v>2532</v>
      </c>
      <c r="F20" s="189" t="s">
        <v>1640</v>
      </c>
      <c r="G20" s="189" t="s">
        <v>2079</v>
      </c>
      <c r="H20" s="189" t="s">
        <v>2080</v>
      </c>
      <c r="I20" s="189" t="s">
        <v>2469</v>
      </c>
      <c r="J20" s="189" t="s">
        <v>2222</v>
      </c>
      <c r="K20" s="189" t="s">
        <v>2083</v>
      </c>
      <c r="L20" s="189" t="s">
        <v>2481</v>
      </c>
      <c r="M20" s="190"/>
      <c r="N20" s="189" t="s">
        <v>2084</v>
      </c>
      <c r="O20" s="189" t="s">
        <v>2526</v>
      </c>
      <c r="P20" s="190"/>
      <c r="Q20" s="189" t="s">
        <v>1879</v>
      </c>
      <c r="R20" s="189" t="s">
        <v>1879</v>
      </c>
      <c r="S20" s="189" t="s">
        <v>1879</v>
      </c>
      <c r="T20" s="189" t="s">
        <v>1879</v>
      </c>
      <c r="U20" s="162" t="s">
        <v>2061</v>
      </c>
    </row>
    <row r="21" spans="1:21" ht="19.2" customHeight="1">
      <c r="A21" s="177">
        <v>18</v>
      </c>
      <c r="B21" s="172">
        <v>3</v>
      </c>
      <c r="C21" s="160" t="s">
        <v>1548</v>
      </c>
      <c r="D21" s="160" t="s">
        <v>2534</v>
      </c>
      <c r="E21" s="160" t="s">
        <v>2249</v>
      </c>
      <c r="F21" s="160" t="s">
        <v>1546</v>
      </c>
      <c r="G21" s="160" t="s">
        <v>2079</v>
      </c>
      <c r="H21" s="160" t="s">
        <v>2080</v>
      </c>
      <c r="I21" s="160" t="s">
        <v>2469</v>
      </c>
      <c r="J21" s="165" t="s">
        <v>2535</v>
      </c>
      <c r="K21" s="160" t="s">
        <v>2083</v>
      </c>
      <c r="L21" s="161">
        <v>1000</v>
      </c>
      <c r="M21" s="165"/>
      <c r="N21" s="160" t="s">
        <v>2084</v>
      </c>
      <c r="O21" s="160" t="s">
        <v>2526</v>
      </c>
      <c r="P21" s="165"/>
      <c r="Q21" s="189" t="s">
        <v>1879</v>
      </c>
      <c r="R21" s="166" t="s">
        <v>1874</v>
      </c>
      <c r="S21" s="189" t="s">
        <v>1879</v>
      </c>
      <c r="T21" s="189" t="s">
        <v>1879</v>
      </c>
      <c r="U21" s="162" t="s">
        <v>2061</v>
      </c>
    </row>
    <row r="22" spans="1:21" ht="19.2" customHeight="1">
      <c r="A22" s="177">
        <v>19</v>
      </c>
      <c r="B22" s="188">
        <v>3</v>
      </c>
      <c r="C22" s="189" t="s">
        <v>1550</v>
      </c>
      <c r="D22" s="189" t="s">
        <v>2536</v>
      </c>
      <c r="E22" s="189" t="s">
        <v>2537</v>
      </c>
      <c r="F22" s="189" t="s">
        <v>1546</v>
      </c>
      <c r="G22" s="189" t="s">
        <v>2079</v>
      </c>
      <c r="H22" s="189" t="s">
        <v>2080</v>
      </c>
      <c r="I22" s="189" t="s">
        <v>2469</v>
      </c>
      <c r="J22" s="189" t="s">
        <v>2173</v>
      </c>
      <c r="K22" s="190"/>
      <c r="L22" s="190"/>
      <c r="M22" s="189" t="s">
        <v>2538</v>
      </c>
      <c r="N22" s="189" t="s">
        <v>2084</v>
      </c>
      <c r="O22" s="189" t="s">
        <v>2526</v>
      </c>
      <c r="P22" s="190"/>
      <c r="Q22" s="189" t="s">
        <v>1879</v>
      </c>
      <c r="R22" s="189" t="s">
        <v>1879</v>
      </c>
      <c r="S22" s="189" t="s">
        <v>1879</v>
      </c>
      <c r="T22" s="189" t="s">
        <v>1879</v>
      </c>
      <c r="U22" s="162" t="s">
        <v>2061</v>
      </c>
    </row>
    <row r="23" spans="1:21" ht="19.2" customHeight="1">
      <c r="A23" s="177">
        <v>20</v>
      </c>
      <c r="B23" s="188">
        <v>3</v>
      </c>
      <c r="C23" s="189" t="s">
        <v>2539</v>
      </c>
      <c r="D23" s="189" t="s">
        <v>2540</v>
      </c>
      <c r="E23" s="189" t="s">
        <v>2298</v>
      </c>
      <c r="F23" s="189" t="s">
        <v>2294</v>
      </c>
      <c r="G23" s="189" t="s">
        <v>2079</v>
      </c>
      <c r="H23" s="189" t="s">
        <v>2080</v>
      </c>
      <c r="I23" s="189" t="s">
        <v>2469</v>
      </c>
      <c r="J23" s="189" t="s">
        <v>2541</v>
      </c>
      <c r="K23" s="194">
        <v>800</v>
      </c>
      <c r="L23" s="189" t="s">
        <v>2083</v>
      </c>
      <c r="M23" s="190"/>
      <c r="N23" s="189" t="s">
        <v>2084</v>
      </c>
      <c r="O23" s="189" t="s">
        <v>2542</v>
      </c>
      <c r="P23" s="190"/>
      <c r="Q23" s="189" t="s">
        <v>1879</v>
      </c>
      <c r="R23" s="189" t="s">
        <v>1879</v>
      </c>
      <c r="S23" s="189" t="s">
        <v>1879</v>
      </c>
      <c r="T23" s="189" t="s">
        <v>1879</v>
      </c>
      <c r="U23" s="162" t="s">
        <v>2061</v>
      </c>
    </row>
    <row r="24" spans="1:21" ht="19.2" customHeight="1">
      <c r="A24" s="177">
        <v>21</v>
      </c>
      <c r="B24" s="188">
        <v>3</v>
      </c>
      <c r="C24" s="189" t="s">
        <v>2543</v>
      </c>
      <c r="D24" s="189" t="s">
        <v>2540</v>
      </c>
      <c r="E24" s="189" t="s">
        <v>2298</v>
      </c>
      <c r="F24" s="189" t="s">
        <v>2294</v>
      </c>
      <c r="G24" s="189" t="s">
        <v>2079</v>
      </c>
      <c r="H24" s="189" t="s">
        <v>2080</v>
      </c>
      <c r="I24" s="189" t="s">
        <v>2469</v>
      </c>
      <c r="J24" s="189" t="s">
        <v>2541</v>
      </c>
      <c r="K24" s="194">
        <v>800</v>
      </c>
      <c r="L24" s="189" t="s">
        <v>2083</v>
      </c>
      <c r="M24" s="190"/>
      <c r="N24" s="189" t="s">
        <v>2084</v>
      </c>
      <c r="O24" s="189" t="s">
        <v>2542</v>
      </c>
      <c r="P24" s="190"/>
      <c r="Q24" s="189" t="s">
        <v>1879</v>
      </c>
      <c r="R24" s="189" t="s">
        <v>1879</v>
      </c>
      <c r="S24" s="189" t="s">
        <v>1879</v>
      </c>
      <c r="T24" s="189" t="s">
        <v>1879</v>
      </c>
      <c r="U24" s="162" t="s">
        <v>2061</v>
      </c>
    </row>
    <row r="25" spans="1:21" ht="19.2" customHeight="1">
      <c r="A25" s="177">
        <v>22</v>
      </c>
      <c r="B25" s="188">
        <v>3</v>
      </c>
      <c r="C25" s="189" t="s">
        <v>2544</v>
      </c>
      <c r="D25" s="189" t="s">
        <v>2540</v>
      </c>
      <c r="E25" s="189" t="s">
        <v>2298</v>
      </c>
      <c r="F25" s="189" t="s">
        <v>2294</v>
      </c>
      <c r="G25" s="189" t="s">
        <v>2079</v>
      </c>
      <c r="H25" s="189" t="s">
        <v>2080</v>
      </c>
      <c r="I25" s="189" t="s">
        <v>2469</v>
      </c>
      <c r="J25" s="189" t="s">
        <v>2541</v>
      </c>
      <c r="K25" s="194">
        <v>800</v>
      </c>
      <c r="L25" s="189" t="s">
        <v>2083</v>
      </c>
      <c r="M25" s="190"/>
      <c r="N25" s="189" t="s">
        <v>2084</v>
      </c>
      <c r="O25" s="189" t="s">
        <v>2542</v>
      </c>
      <c r="P25" s="190"/>
      <c r="Q25" s="189" t="s">
        <v>1879</v>
      </c>
      <c r="R25" s="189" t="s">
        <v>1879</v>
      </c>
      <c r="S25" s="189" t="s">
        <v>1879</v>
      </c>
      <c r="T25" s="189" t="s">
        <v>1879</v>
      </c>
      <c r="U25" s="162" t="s">
        <v>2061</v>
      </c>
    </row>
    <row r="26" spans="1:21" ht="19.2" customHeight="1">
      <c r="A26" s="177">
        <v>23</v>
      </c>
      <c r="B26" s="172">
        <v>3</v>
      </c>
      <c r="C26" s="160" t="s">
        <v>1558</v>
      </c>
      <c r="D26" s="160" t="s">
        <v>2508</v>
      </c>
      <c r="E26" s="160" t="s">
        <v>2318</v>
      </c>
      <c r="F26" s="160" t="s">
        <v>1556</v>
      </c>
      <c r="G26" s="160" t="s">
        <v>2079</v>
      </c>
      <c r="H26" s="160" t="s">
        <v>2080</v>
      </c>
      <c r="I26" s="160" t="s">
        <v>2469</v>
      </c>
      <c r="J26" s="160" t="s">
        <v>2173</v>
      </c>
      <c r="K26" s="160" t="s">
        <v>2083</v>
      </c>
      <c r="L26" s="161">
        <v>300</v>
      </c>
      <c r="M26" s="160" t="s">
        <v>2319</v>
      </c>
      <c r="N26" s="160" t="s">
        <v>2084</v>
      </c>
      <c r="O26" s="160" t="s">
        <v>2545</v>
      </c>
      <c r="P26" s="165"/>
      <c r="Q26" s="189" t="s">
        <v>1879</v>
      </c>
      <c r="R26" s="189" t="s">
        <v>1879</v>
      </c>
      <c r="S26" s="166" t="s">
        <v>1874</v>
      </c>
      <c r="T26" s="189" t="s">
        <v>1879</v>
      </c>
      <c r="U26" s="162" t="s">
        <v>2061</v>
      </c>
    </row>
    <row r="27" spans="1:21" ht="19.2" customHeight="1">
      <c r="A27" s="177">
        <v>24</v>
      </c>
      <c r="B27" s="172">
        <v>3</v>
      </c>
      <c r="C27" s="160" t="s">
        <v>1560</v>
      </c>
      <c r="D27" s="160" t="s">
        <v>2467</v>
      </c>
      <c r="E27" s="160" t="s">
        <v>2322</v>
      </c>
      <c r="F27" s="160" t="s">
        <v>1556</v>
      </c>
      <c r="G27" s="160" t="s">
        <v>2079</v>
      </c>
      <c r="H27" s="160" t="s">
        <v>2080</v>
      </c>
      <c r="I27" s="160" t="s">
        <v>2469</v>
      </c>
      <c r="J27" s="160" t="s">
        <v>2173</v>
      </c>
      <c r="K27" s="161">
        <v>275</v>
      </c>
      <c r="L27" s="160" t="s">
        <v>2083</v>
      </c>
      <c r="M27" s="160" t="s">
        <v>2319</v>
      </c>
      <c r="N27" s="160" t="s">
        <v>2084</v>
      </c>
      <c r="O27" s="160" t="s">
        <v>2545</v>
      </c>
      <c r="P27" s="165"/>
      <c r="Q27" s="189" t="s">
        <v>1879</v>
      </c>
      <c r="R27" s="189" t="s">
        <v>1879</v>
      </c>
      <c r="S27" s="166" t="s">
        <v>1874</v>
      </c>
      <c r="T27" s="189" t="s">
        <v>1879</v>
      </c>
      <c r="U27" s="162" t="s">
        <v>2061</v>
      </c>
    </row>
    <row r="28" spans="1:21" ht="19.2" customHeight="1">
      <c r="A28" s="177">
        <v>25</v>
      </c>
      <c r="B28" s="172">
        <v>3</v>
      </c>
      <c r="C28" s="160" t="s">
        <v>1562</v>
      </c>
      <c r="D28" s="160" t="s">
        <v>2467</v>
      </c>
      <c r="E28" s="160" t="s">
        <v>2324</v>
      </c>
      <c r="F28" s="160" t="s">
        <v>1556</v>
      </c>
      <c r="G28" s="160" t="s">
        <v>2079</v>
      </c>
      <c r="H28" s="160" t="s">
        <v>2080</v>
      </c>
      <c r="I28" s="160" t="s">
        <v>2469</v>
      </c>
      <c r="J28" s="160" t="s">
        <v>2173</v>
      </c>
      <c r="K28" s="161">
        <v>275</v>
      </c>
      <c r="L28" s="160" t="s">
        <v>2083</v>
      </c>
      <c r="M28" s="160" t="s">
        <v>2319</v>
      </c>
      <c r="N28" s="160" t="s">
        <v>2084</v>
      </c>
      <c r="O28" s="160" t="s">
        <v>2545</v>
      </c>
      <c r="P28" s="165"/>
      <c r="Q28" s="189" t="s">
        <v>1879</v>
      </c>
      <c r="R28" s="189" t="s">
        <v>1879</v>
      </c>
      <c r="S28" s="166" t="s">
        <v>1874</v>
      </c>
      <c r="T28" s="189" t="s">
        <v>1879</v>
      </c>
      <c r="U28" s="162" t="s">
        <v>2061</v>
      </c>
    </row>
    <row r="29" spans="1:21" ht="19.2" customHeight="1">
      <c r="A29" s="177">
        <v>26</v>
      </c>
      <c r="B29" s="172">
        <v>3</v>
      </c>
      <c r="C29" s="160" t="s">
        <v>2546</v>
      </c>
      <c r="D29" s="160" t="s">
        <v>2099</v>
      </c>
      <c r="E29" s="160" t="s">
        <v>2547</v>
      </c>
      <c r="F29" s="160" t="s">
        <v>1556</v>
      </c>
      <c r="G29" s="160" t="s">
        <v>2079</v>
      </c>
      <c r="H29" s="160" t="s">
        <v>2476</v>
      </c>
      <c r="I29" s="160" t="s">
        <v>2469</v>
      </c>
      <c r="J29" s="165"/>
      <c r="K29" s="165"/>
      <c r="L29" s="165"/>
      <c r="M29" s="160" t="s">
        <v>2319</v>
      </c>
      <c r="N29" s="160" t="s">
        <v>2084</v>
      </c>
      <c r="O29" s="160" t="s">
        <v>2548</v>
      </c>
      <c r="P29" s="165"/>
      <c r="Q29" s="189" t="s">
        <v>1879</v>
      </c>
      <c r="R29" s="189" t="s">
        <v>1879</v>
      </c>
      <c r="S29" s="166" t="s">
        <v>1874</v>
      </c>
      <c r="T29" s="189" t="s">
        <v>1879</v>
      </c>
      <c r="U29" s="162" t="s">
        <v>2061</v>
      </c>
    </row>
    <row r="30" spans="1:21" ht="19.2" customHeight="1">
      <c r="A30" s="177">
        <v>27</v>
      </c>
      <c r="B30" s="172">
        <v>3</v>
      </c>
      <c r="C30" s="160" t="s">
        <v>2549</v>
      </c>
      <c r="D30" s="160" t="s">
        <v>2099</v>
      </c>
      <c r="E30" s="160" t="s">
        <v>2550</v>
      </c>
      <c r="F30" s="160" t="s">
        <v>1556</v>
      </c>
      <c r="G30" s="160" t="s">
        <v>2079</v>
      </c>
      <c r="H30" s="160" t="s">
        <v>2476</v>
      </c>
      <c r="I30" s="160" t="s">
        <v>2469</v>
      </c>
      <c r="J30" s="165"/>
      <c r="K30" s="165"/>
      <c r="L30" s="165"/>
      <c r="M30" s="160" t="s">
        <v>2319</v>
      </c>
      <c r="N30" s="160" t="s">
        <v>2084</v>
      </c>
      <c r="O30" s="160" t="s">
        <v>2548</v>
      </c>
      <c r="P30" s="165"/>
      <c r="Q30" s="189" t="s">
        <v>1879</v>
      </c>
      <c r="R30" s="189" t="s">
        <v>1879</v>
      </c>
      <c r="S30" s="166" t="s">
        <v>1874</v>
      </c>
      <c r="T30" s="189" t="s">
        <v>1879</v>
      </c>
      <c r="U30" s="162" t="s">
        <v>2061</v>
      </c>
    </row>
    <row r="31" spans="1:21" ht="19.2" customHeight="1">
      <c r="A31" s="177">
        <v>28</v>
      </c>
      <c r="B31" s="172">
        <v>3</v>
      </c>
      <c r="C31" s="160" t="s">
        <v>2551</v>
      </c>
      <c r="D31" s="160" t="s">
        <v>2099</v>
      </c>
      <c r="E31" s="160" t="s">
        <v>2552</v>
      </c>
      <c r="F31" s="173" t="s">
        <v>2909</v>
      </c>
      <c r="G31" s="160" t="s">
        <v>2079</v>
      </c>
      <c r="H31" s="160" t="s">
        <v>2476</v>
      </c>
      <c r="I31" s="160" t="s">
        <v>2469</v>
      </c>
      <c r="J31" s="165"/>
      <c r="K31" s="165"/>
      <c r="L31" s="165"/>
      <c r="M31" s="160" t="s">
        <v>2319</v>
      </c>
      <c r="N31" s="160" t="s">
        <v>2084</v>
      </c>
      <c r="O31" s="160" t="s">
        <v>2548</v>
      </c>
      <c r="P31" s="165"/>
      <c r="Q31" s="189" t="s">
        <v>1879</v>
      </c>
      <c r="R31" s="189" t="s">
        <v>1879</v>
      </c>
      <c r="S31" s="166" t="s">
        <v>1874</v>
      </c>
      <c r="T31" s="189" t="s">
        <v>1879</v>
      </c>
      <c r="U31" s="162" t="s">
        <v>2061</v>
      </c>
    </row>
    <row r="32" spans="1:21" ht="19.2" customHeight="1">
      <c r="A32" s="177">
        <v>29</v>
      </c>
      <c r="B32" s="172">
        <v>3</v>
      </c>
      <c r="C32" s="160" t="s">
        <v>2553</v>
      </c>
      <c r="D32" s="160" t="s">
        <v>2099</v>
      </c>
      <c r="E32" s="160" t="s">
        <v>2554</v>
      </c>
      <c r="F32" s="160" t="s">
        <v>1556</v>
      </c>
      <c r="G32" s="160" t="s">
        <v>2079</v>
      </c>
      <c r="H32" s="160" t="s">
        <v>2476</v>
      </c>
      <c r="I32" s="160" t="s">
        <v>2469</v>
      </c>
      <c r="J32" s="165"/>
      <c r="K32" s="165"/>
      <c r="L32" s="165"/>
      <c r="M32" s="160" t="s">
        <v>2319</v>
      </c>
      <c r="N32" s="160" t="s">
        <v>2084</v>
      </c>
      <c r="O32" s="160" t="s">
        <v>2548</v>
      </c>
      <c r="P32" s="165"/>
      <c r="Q32" s="189" t="s">
        <v>1879</v>
      </c>
      <c r="R32" s="189" t="s">
        <v>1879</v>
      </c>
      <c r="S32" s="166" t="s">
        <v>1874</v>
      </c>
      <c r="T32" s="189" t="s">
        <v>1879</v>
      </c>
      <c r="U32" s="162" t="s">
        <v>2061</v>
      </c>
    </row>
    <row r="33" spans="1:21" ht="19.2" customHeight="1">
      <c r="A33" s="177">
        <v>30</v>
      </c>
      <c r="B33" s="172">
        <v>3</v>
      </c>
      <c r="C33" s="160" t="s">
        <v>1565</v>
      </c>
      <c r="D33" s="160" t="s">
        <v>2508</v>
      </c>
      <c r="E33" s="160" t="s">
        <v>2335</v>
      </c>
      <c r="F33" s="160" t="s">
        <v>1563</v>
      </c>
      <c r="G33" s="160" t="s">
        <v>2079</v>
      </c>
      <c r="H33" s="160" t="s">
        <v>2080</v>
      </c>
      <c r="I33" s="160" t="s">
        <v>2469</v>
      </c>
      <c r="J33" s="160" t="s">
        <v>2173</v>
      </c>
      <c r="K33" s="160" t="s">
        <v>2083</v>
      </c>
      <c r="L33" s="161">
        <v>300</v>
      </c>
      <c r="M33" s="160" t="s">
        <v>2336</v>
      </c>
      <c r="N33" s="160" t="s">
        <v>2084</v>
      </c>
      <c r="O33" s="160" t="s">
        <v>2555</v>
      </c>
      <c r="P33" s="165"/>
      <c r="Q33" s="189" t="s">
        <v>1879</v>
      </c>
      <c r="R33" s="189" t="s">
        <v>1879</v>
      </c>
      <c r="S33" s="166" t="s">
        <v>1874</v>
      </c>
      <c r="T33" s="189" t="s">
        <v>1879</v>
      </c>
      <c r="U33" s="162" t="s">
        <v>2061</v>
      </c>
    </row>
    <row r="34" spans="1:21" ht="19.2" customHeight="1">
      <c r="A34" s="177">
        <v>31</v>
      </c>
      <c r="B34" s="172">
        <v>3</v>
      </c>
      <c r="C34" s="160" t="s">
        <v>1567</v>
      </c>
      <c r="D34" s="160" t="s">
        <v>2467</v>
      </c>
      <c r="E34" s="160" t="s">
        <v>2556</v>
      </c>
      <c r="F34" s="160" t="s">
        <v>1563</v>
      </c>
      <c r="G34" s="160" t="s">
        <v>2079</v>
      </c>
      <c r="H34" s="160" t="s">
        <v>2080</v>
      </c>
      <c r="I34" s="160" t="s">
        <v>2469</v>
      </c>
      <c r="J34" s="160" t="s">
        <v>2173</v>
      </c>
      <c r="K34" s="161">
        <v>275</v>
      </c>
      <c r="L34" s="160" t="s">
        <v>2083</v>
      </c>
      <c r="M34" s="160" t="s">
        <v>2336</v>
      </c>
      <c r="N34" s="160" t="s">
        <v>2084</v>
      </c>
      <c r="O34" s="160" t="s">
        <v>2555</v>
      </c>
      <c r="P34" s="165"/>
      <c r="Q34" s="189" t="s">
        <v>1879</v>
      </c>
      <c r="R34" s="189" t="s">
        <v>1879</v>
      </c>
      <c r="S34" s="166" t="s">
        <v>1874</v>
      </c>
      <c r="T34" s="189" t="s">
        <v>1879</v>
      </c>
      <c r="U34" s="162" t="s">
        <v>2061</v>
      </c>
    </row>
    <row r="35" spans="1:21" ht="19.2" customHeight="1">
      <c r="A35" s="177">
        <v>32</v>
      </c>
      <c r="B35" s="172">
        <v>3</v>
      </c>
      <c r="C35" s="160" t="s">
        <v>1570</v>
      </c>
      <c r="D35" s="160" t="s">
        <v>2467</v>
      </c>
      <c r="E35" s="160" t="s">
        <v>2557</v>
      </c>
      <c r="F35" s="160" t="s">
        <v>1563</v>
      </c>
      <c r="G35" s="160" t="s">
        <v>2079</v>
      </c>
      <c r="H35" s="160" t="s">
        <v>2080</v>
      </c>
      <c r="I35" s="160" t="s">
        <v>2469</v>
      </c>
      <c r="J35" s="160" t="s">
        <v>2173</v>
      </c>
      <c r="K35" s="161">
        <v>275</v>
      </c>
      <c r="L35" s="160" t="s">
        <v>2083</v>
      </c>
      <c r="M35" s="160" t="s">
        <v>2336</v>
      </c>
      <c r="N35" s="160" t="s">
        <v>2084</v>
      </c>
      <c r="O35" s="160" t="s">
        <v>2555</v>
      </c>
      <c r="P35" s="165"/>
      <c r="Q35" s="189" t="s">
        <v>1879</v>
      </c>
      <c r="R35" s="189" t="s">
        <v>1879</v>
      </c>
      <c r="S35" s="166" t="s">
        <v>1874</v>
      </c>
      <c r="T35" s="189" t="s">
        <v>1879</v>
      </c>
      <c r="U35" s="162" t="s">
        <v>2061</v>
      </c>
    </row>
    <row r="36" spans="1:21" ht="19.2" customHeight="1">
      <c r="A36" s="177">
        <v>33</v>
      </c>
      <c r="B36" s="172">
        <v>3</v>
      </c>
      <c r="C36" s="160" t="s">
        <v>2558</v>
      </c>
      <c r="D36" s="160" t="s">
        <v>2099</v>
      </c>
      <c r="E36" s="160" t="s">
        <v>2559</v>
      </c>
      <c r="F36" s="160" t="s">
        <v>1563</v>
      </c>
      <c r="G36" s="160" t="s">
        <v>2079</v>
      </c>
      <c r="H36" s="160" t="s">
        <v>2476</v>
      </c>
      <c r="I36" s="160" t="s">
        <v>2469</v>
      </c>
      <c r="J36" s="165"/>
      <c r="K36" s="165"/>
      <c r="L36" s="165"/>
      <c r="M36" s="160" t="s">
        <v>2336</v>
      </c>
      <c r="N36" s="160" t="s">
        <v>2084</v>
      </c>
      <c r="O36" s="160" t="s">
        <v>2560</v>
      </c>
      <c r="P36" s="165"/>
      <c r="Q36" s="189" t="s">
        <v>1879</v>
      </c>
      <c r="R36" s="189" t="s">
        <v>1879</v>
      </c>
      <c r="S36" s="166" t="s">
        <v>1874</v>
      </c>
      <c r="T36" s="189" t="s">
        <v>1879</v>
      </c>
      <c r="U36" s="162" t="s">
        <v>2061</v>
      </c>
    </row>
    <row r="37" spans="1:21" ht="19.2" customHeight="1">
      <c r="A37" s="177">
        <v>34</v>
      </c>
      <c r="B37" s="172">
        <v>3</v>
      </c>
      <c r="C37" s="160" t="s">
        <v>2561</v>
      </c>
      <c r="D37" s="160" t="s">
        <v>2099</v>
      </c>
      <c r="E37" s="160" t="s">
        <v>2562</v>
      </c>
      <c r="F37" s="160" t="s">
        <v>1563</v>
      </c>
      <c r="G37" s="160" t="s">
        <v>2079</v>
      </c>
      <c r="H37" s="160" t="s">
        <v>2476</v>
      </c>
      <c r="I37" s="160" t="s">
        <v>2469</v>
      </c>
      <c r="J37" s="165"/>
      <c r="K37" s="165"/>
      <c r="L37" s="165"/>
      <c r="M37" s="160" t="s">
        <v>2336</v>
      </c>
      <c r="N37" s="160" t="s">
        <v>2084</v>
      </c>
      <c r="O37" s="160" t="s">
        <v>2560</v>
      </c>
      <c r="P37" s="165"/>
      <c r="Q37" s="189" t="s">
        <v>1879</v>
      </c>
      <c r="R37" s="189" t="s">
        <v>1879</v>
      </c>
      <c r="S37" s="166" t="s">
        <v>1874</v>
      </c>
      <c r="T37" s="189" t="s">
        <v>1879</v>
      </c>
      <c r="U37" s="162" t="s">
        <v>2061</v>
      </c>
    </row>
    <row r="38" spans="1:21" ht="19.2" customHeight="1">
      <c r="A38" s="177">
        <v>35</v>
      </c>
      <c r="B38" s="172">
        <v>3</v>
      </c>
      <c r="C38" s="160" t="s">
        <v>2563</v>
      </c>
      <c r="D38" s="160" t="s">
        <v>2099</v>
      </c>
      <c r="E38" s="160" t="s">
        <v>2564</v>
      </c>
      <c r="F38" s="160" t="s">
        <v>1563</v>
      </c>
      <c r="G38" s="160" t="s">
        <v>2079</v>
      </c>
      <c r="H38" s="160" t="s">
        <v>2476</v>
      </c>
      <c r="I38" s="160" t="s">
        <v>2469</v>
      </c>
      <c r="J38" s="165"/>
      <c r="K38" s="165"/>
      <c r="L38" s="165"/>
      <c r="M38" s="160" t="s">
        <v>2336</v>
      </c>
      <c r="N38" s="160" t="s">
        <v>2084</v>
      </c>
      <c r="O38" s="160" t="s">
        <v>2560</v>
      </c>
      <c r="P38" s="165"/>
      <c r="Q38" s="189" t="s">
        <v>1879</v>
      </c>
      <c r="R38" s="189" t="s">
        <v>1879</v>
      </c>
      <c r="S38" s="166" t="s">
        <v>1874</v>
      </c>
      <c r="T38" s="189" t="s">
        <v>1879</v>
      </c>
      <c r="U38" s="162" t="s">
        <v>2061</v>
      </c>
    </row>
    <row r="39" spans="1:21" ht="19.2" customHeight="1">
      <c r="A39" s="177">
        <v>36</v>
      </c>
      <c r="B39" s="172">
        <v>3</v>
      </c>
      <c r="C39" s="160" t="s">
        <v>2565</v>
      </c>
      <c r="D39" s="160" t="s">
        <v>2099</v>
      </c>
      <c r="E39" s="160" t="s">
        <v>2566</v>
      </c>
      <c r="F39" s="160" t="s">
        <v>1563</v>
      </c>
      <c r="G39" s="160" t="s">
        <v>2079</v>
      </c>
      <c r="H39" s="160" t="s">
        <v>2476</v>
      </c>
      <c r="I39" s="160" t="s">
        <v>2469</v>
      </c>
      <c r="J39" s="165"/>
      <c r="K39" s="165"/>
      <c r="L39" s="165"/>
      <c r="M39" s="160" t="s">
        <v>2336</v>
      </c>
      <c r="N39" s="160" t="s">
        <v>2084</v>
      </c>
      <c r="O39" s="160" t="s">
        <v>2560</v>
      </c>
      <c r="P39" s="165"/>
      <c r="Q39" s="189" t="s">
        <v>1879</v>
      </c>
      <c r="R39" s="189" t="s">
        <v>1879</v>
      </c>
      <c r="S39" s="166" t="s">
        <v>1874</v>
      </c>
      <c r="T39" s="189" t="s">
        <v>1879</v>
      </c>
      <c r="U39" s="162" t="s">
        <v>2061</v>
      </c>
    </row>
    <row r="40" spans="1:21" ht="19.2" customHeight="1">
      <c r="A40" s="177">
        <v>37</v>
      </c>
      <c r="B40" s="172">
        <v>3</v>
      </c>
      <c r="C40" s="160" t="s">
        <v>1573</v>
      </c>
      <c r="D40" s="160" t="s">
        <v>2508</v>
      </c>
      <c r="E40" s="160" t="s">
        <v>2356</v>
      </c>
      <c r="F40" s="160" t="s">
        <v>1571</v>
      </c>
      <c r="G40" s="160" t="s">
        <v>2079</v>
      </c>
      <c r="H40" s="160" t="s">
        <v>2080</v>
      </c>
      <c r="I40" s="160" t="s">
        <v>2469</v>
      </c>
      <c r="J40" s="160" t="s">
        <v>2173</v>
      </c>
      <c r="K40" s="160" t="s">
        <v>2083</v>
      </c>
      <c r="L40" s="161">
        <v>300</v>
      </c>
      <c r="M40" s="160" t="s">
        <v>2353</v>
      </c>
      <c r="N40" s="160" t="s">
        <v>2084</v>
      </c>
      <c r="O40" s="160" t="s">
        <v>2567</v>
      </c>
      <c r="P40" s="165"/>
      <c r="Q40" s="189" t="s">
        <v>1879</v>
      </c>
      <c r="R40" s="189" t="s">
        <v>1879</v>
      </c>
      <c r="S40" s="166" t="s">
        <v>1874</v>
      </c>
      <c r="T40" s="189" t="s">
        <v>1879</v>
      </c>
      <c r="U40" s="162" t="s">
        <v>2061</v>
      </c>
    </row>
    <row r="41" spans="1:21" ht="19.2" customHeight="1">
      <c r="A41" s="177">
        <v>38</v>
      </c>
      <c r="B41" s="172">
        <v>3</v>
      </c>
      <c r="C41" s="160" t="s">
        <v>1575</v>
      </c>
      <c r="D41" s="160" t="s">
        <v>2467</v>
      </c>
      <c r="E41" s="160" t="s">
        <v>2357</v>
      </c>
      <c r="F41" s="160" t="s">
        <v>1571</v>
      </c>
      <c r="G41" s="160" t="s">
        <v>2079</v>
      </c>
      <c r="H41" s="160" t="s">
        <v>2080</v>
      </c>
      <c r="I41" s="160" t="s">
        <v>2469</v>
      </c>
      <c r="J41" s="160" t="s">
        <v>2173</v>
      </c>
      <c r="K41" s="161">
        <v>275</v>
      </c>
      <c r="L41" s="160" t="s">
        <v>2083</v>
      </c>
      <c r="M41" s="160" t="s">
        <v>2353</v>
      </c>
      <c r="N41" s="160" t="s">
        <v>2084</v>
      </c>
      <c r="O41" s="160" t="s">
        <v>2567</v>
      </c>
      <c r="P41" s="165"/>
      <c r="Q41" s="189" t="s">
        <v>1879</v>
      </c>
      <c r="R41" s="189" t="s">
        <v>1879</v>
      </c>
      <c r="S41" s="166" t="s">
        <v>1874</v>
      </c>
      <c r="T41" s="189" t="s">
        <v>1879</v>
      </c>
      <c r="U41" s="162" t="s">
        <v>2061</v>
      </c>
    </row>
    <row r="42" spans="1:21" ht="19.2" customHeight="1">
      <c r="A42" s="177">
        <v>39</v>
      </c>
      <c r="B42" s="172">
        <v>3</v>
      </c>
      <c r="C42" s="160" t="s">
        <v>1577</v>
      </c>
      <c r="D42" s="160" t="s">
        <v>2467</v>
      </c>
      <c r="E42" s="160" t="s">
        <v>2359</v>
      </c>
      <c r="F42" s="160" t="s">
        <v>1571</v>
      </c>
      <c r="G42" s="160" t="s">
        <v>2079</v>
      </c>
      <c r="H42" s="160" t="s">
        <v>2080</v>
      </c>
      <c r="I42" s="160" t="s">
        <v>2469</v>
      </c>
      <c r="J42" s="160" t="s">
        <v>2173</v>
      </c>
      <c r="K42" s="161">
        <v>275</v>
      </c>
      <c r="L42" s="160" t="s">
        <v>2083</v>
      </c>
      <c r="M42" s="160" t="s">
        <v>2353</v>
      </c>
      <c r="N42" s="160" t="s">
        <v>2084</v>
      </c>
      <c r="O42" s="160" t="s">
        <v>2567</v>
      </c>
      <c r="P42" s="165"/>
      <c r="Q42" s="189" t="s">
        <v>1879</v>
      </c>
      <c r="R42" s="189" t="s">
        <v>1879</v>
      </c>
      <c r="S42" s="166" t="s">
        <v>1874</v>
      </c>
      <c r="T42" s="189" t="s">
        <v>1879</v>
      </c>
      <c r="U42" s="162" t="s">
        <v>2061</v>
      </c>
    </row>
    <row r="43" spans="1:21" ht="19.2" customHeight="1">
      <c r="A43" s="177">
        <v>40</v>
      </c>
      <c r="B43" s="172">
        <v>3</v>
      </c>
      <c r="C43" s="160" t="s">
        <v>2568</v>
      </c>
      <c r="D43" s="160" t="s">
        <v>2099</v>
      </c>
      <c r="E43" s="160" t="s">
        <v>2569</v>
      </c>
      <c r="F43" s="160" t="s">
        <v>1571</v>
      </c>
      <c r="G43" s="160" t="s">
        <v>2079</v>
      </c>
      <c r="H43" s="160" t="s">
        <v>2476</v>
      </c>
      <c r="I43" s="160" t="s">
        <v>2469</v>
      </c>
      <c r="J43" s="165"/>
      <c r="K43" s="165"/>
      <c r="L43" s="165"/>
      <c r="M43" s="165" t="s">
        <v>2570</v>
      </c>
      <c r="N43" s="160" t="s">
        <v>2084</v>
      </c>
      <c r="O43" s="160" t="s">
        <v>2571</v>
      </c>
      <c r="P43" s="165"/>
      <c r="Q43" s="189" t="s">
        <v>1879</v>
      </c>
      <c r="R43" s="189" t="s">
        <v>1879</v>
      </c>
      <c r="S43" s="166" t="s">
        <v>1874</v>
      </c>
      <c r="T43" s="189" t="s">
        <v>1879</v>
      </c>
      <c r="U43" s="162" t="s">
        <v>2061</v>
      </c>
    </row>
    <row r="44" spans="1:21" ht="19.2" customHeight="1">
      <c r="A44" s="177">
        <v>41</v>
      </c>
      <c r="B44" s="172">
        <v>3</v>
      </c>
      <c r="C44" s="160" t="s">
        <v>2572</v>
      </c>
      <c r="D44" s="160" t="s">
        <v>2099</v>
      </c>
      <c r="E44" s="160" t="s">
        <v>2573</v>
      </c>
      <c r="F44" s="160" t="s">
        <v>1571</v>
      </c>
      <c r="G44" s="160" t="s">
        <v>2079</v>
      </c>
      <c r="H44" s="160" t="s">
        <v>2476</v>
      </c>
      <c r="I44" s="160" t="s">
        <v>2469</v>
      </c>
      <c r="J44" s="165"/>
      <c r="K44" s="165"/>
      <c r="L44" s="165"/>
      <c r="M44" s="160" t="s">
        <v>2353</v>
      </c>
      <c r="N44" s="160" t="s">
        <v>2084</v>
      </c>
      <c r="O44" s="160" t="s">
        <v>2571</v>
      </c>
      <c r="P44" s="165"/>
      <c r="Q44" s="189" t="s">
        <v>1879</v>
      </c>
      <c r="R44" s="189" t="s">
        <v>1879</v>
      </c>
      <c r="S44" s="166" t="s">
        <v>1874</v>
      </c>
      <c r="T44" s="189" t="s">
        <v>1879</v>
      </c>
      <c r="U44" s="162" t="s">
        <v>2061</v>
      </c>
    </row>
    <row r="45" spans="1:21" ht="19.2" customHeight="1">
      <c r="A45" s="177">
        <v>42</v>
      </c>
      <c r="B45" s="172">
        <v>3</v>
      </c>
      <c r="C45" s="160" t="s">
        <v>2574</v>
      </c>
      <c r="D45" s="160" t="s">
        <v>2099</v>
      </c>
      <c r="E45" s="160" t="s">
        <v>2575</v>
      </c>
      <c r="F45" s="160" t="s">
        <v>1571</v>
      </c>
      <c r="G45" s="160" t="s">
        <v>2079</v>
      </c>
      <c r="H45" s="160" t="s">
        <v>2476</v>
      </c>
      <c r="I45" s="160" t="s">
        <v>2469</v>
      </c>
      <c r="J45" s="165"/>
      <c r="K45" s="165"/>
      <c r="L45" s="165"/>
      <c r="M45" s="160" t="s">
        <v>2353</v>
      </c>
      <c r="N45" s="160" t="s">
        <v>2084</v>
      </c>
      <c r="O45" s="160" t="s">
        <v>2571</v>
      </c>
      <c r="P45" s="165"/>
      <c r="Q45" s="189" t="s">
        <v>1879</v>
      </c>
      <c r="R45" s="189" t="s">
        <v>1879</v>
      </c>
      <c r="S45" s="166" t="s">
        <v>1874</v>
      </c>
      <c r="T45" s="189" t="s">
        <v>1879</v>
      </c>
      <c r="U45" s="162" t="s">
        <v>2061</v>
      </c>
    </row>
    <row r="46" spans="1:21" ht="19.2" customHeight="1">
      <c r="A46" s="177">
        <v>43</v>
      </c>
      <c r="B46" s="172">
        <v>3</v>
      </c>
      <c r="C46" s="160" t="s">
        <v>2576</v>
      </c>
      <c r="D46" s="160" t="s">
        <v>2099</v>
      </c>
      <c r="E46" s="160" t="s">
        <v>2577</v>
      </c>
      <c r="F46" s="160" t="s">
        <v>1571</v>
      </c>
      <c r="G46" s="160" t="s">
        <v>2079</v>
      </c>
      <c r="H46" s="160" t="s">
        <v>2476</v>
      </c>
      <c r="I46" s="160" t="s">
        <v>2469</v>
      </c>
      <c r="J46" s="165"/>
      <c r="K46" s="165"/>
      <c r="L46" s="165"/>
      <c r="M46" s="160" t="s">
        <v>2353</v>
      </c>
      <c r="N46" s="160" t="s">
        <v>2084</v>
      </c>
      <c r="O46" s="160" t="s">
        <v>2571</v>
      </c>
      <c r="P46" s="165"/>
      <c r="Q46" s="189" t="s">
        <v>1879</v>
      </c>
      <c r="R46" s="189" t="s">
        <v>1879</v>
      </c>
      <c r="S46" s="166" t="s">
        <v>1874</v>
      </c>
      <c r="T46" s="189" t="s">
        <v>1879</v>
      </c>
      <c r="U46" s="162" t="s">
        <v>2061</v>
      </c>
    </row>
    <row r="47" spans="1:21" ht="19.2" customHeight="1">
      <c r="A47" s="177">
        <v>44</v>
      </c>
      <c r="B47" s="172">
        <v>4</v>
      </c>
      <c r="C47" s="160" t="s">
        <v>1580</v>
      </c>
      <c r="D47" s="160" t="s">
        <v>2508</v>
      </c>
      <c r="E47" s="160" t="s">
        <v>2371</v>
      </c>
      <c r="F47" s="160" t="s">
        <v>1578</v>
      </c>
      <c r="G47" s="160" t="s">
        <v>2079</v>
      </c>
      <c r="H47" s="160" t="s">
        <v>2080</v>
      </c>
      <c r="I47" s="160" t="s">
        <v>2469</v>
      </c>
      <c r="J47" s="160" t="s">
        <v>2173</v>
      </c>
      <c r="K47" s="160" t="s">
        <v>2083</v>
      </c>
      <c r="L47" s="161">
        <v>300</v>
      </c>
      <c r="M47" s="160" t="s">
        <v>2372</v>
      </c>
      <c r="N47" s="160" t="s">
        <v>2084</v>
      </c>
      <c r="O47" s="160" t="s">
        <v>2579</v>
      </c>
      <c r="P47" s="165"/>
      <c r="Q47" s="189" t="s">
        <v>1879</v>
      </c>
      <c r="R47" s="189" t="s">
        <v>1879</v>
      </c>
      <c r="S47" s="166" t="s">
        <v>1874</v>
      </c>
      <c r="T47" s="189" t="s">
        <v>1879</v>
      </c>
      <c r="U47" s="162" t="s">
        <v>2061</v>
      </c>
    </row>
    <row r="48" spans="1:21" ht="19.2" customHeight="1">
      <c r="A48" s="177">
        <v>45</v>
      </c>
      <c r="B48" s="172">
        <v>4</v>
      </c>
      <c r="C48" s="160" t="s">
        <v>1582</v>
      </c>
      <c r="D48" s="160" t="s">
        <v>2467</v>
      </c>
      <c r="E48" s="160" t="s">
        <v>2580</v>
      </c>
      <c r="F48" s="160" t="s">
        <v>1578</v>
      </c>
      <c r="G48" s="160" t="s">
        <v>2079</v>
      </c>
      <c r="H48" s="160" t="s">
        <v>2080</v>
      </c>
      <c r="I48" s="160" t="s">
        <v>2469</v>
      </c>
      <c r="J48" s="160" t="s">
        <v>2173</v>
      </c>
      <c r="K48" s="161">
        <v>137</v>
      </c>
      <c r="L48" s="160" t="s">
        <v>2083</v>
      </c>
      <c r="M48" s="160" t="s">
        <v>2372</v>
      </c>
      <c r="N48" s="160" t="s">
        <v>2084</v>
      </c>
      <c r="O48" s="160" t="s">
        <v>2579</v>
      </c>
      <c r="P48" s="165"/>
      <c r="Q48" s="189" t="s">
        <v>1879</v>
      </c>
      <c r="R48" s="189" t="s">
        <v>1879</v>
      </c>
      <c r="S48" s="166" t="s">
        <v>1874</v>
      </c>
      <c r="T48" s="189" t="s">
        <v>1879</v>
      </c>
      <c r="U48" s="162" t="s">
        <v>2061</v>
      </c>
    </row>
    <row r="49" spans="1:21" ht="19.2" customHeight="1">
      <c r="A49" s="177">
        <v>46</v>
      </c>
      <c r="B49" s="172">
        <v>4</v>
      </c>
      <c r="C49" s="160" t="s">
        <v>1584</v>
      </c>
      <c r="D49" s="160" t="s">
        <v>2467</v>
      </c>
      <c r="E49" s="160" t="s">
        <v>2581</v>
      </c>
      <c r="F49" s="160" t="s">
        <v>1578</v>
      </c>
      <c r="G49" s="160" t="s">
        <v>2079</v>
      </c>
      <c r="H49" s="160" t="s">
        <v>2080</v>
      </c>
      <c r="I49" s="160" t="s">
        <v>2469</v>
      </c>
      <c r="J49" s="160" t="s">
        <v>2173</v>
      </c>
      <c r="K49" s="161">
        <v>137</v>
      </c>
      <c r="L49" s="160" t="s">
        <v>2083</v>
      </c>
      <c r="M49" s="160" t="s">
        <v>2372</v>
      </c>
      <c r="N49" s="160" t="s">
        <v>2084</v>
      </c>
      <c r="O49" s="160" t="s">
        <v>2579</v>
      </c>
      <c r="P49" s="165"/>
      <c r="Q49" s="189" t="s">
        <v>1879</v>
      </c>
      <c r="R49" s="189" t="s">
        <v>1879</v>
      </c>
      <c r="S49" s="166" t="s">
        <v>1874</v>
      </c>
      <c r="T49" s="189" t="s">
        <v>1879</v>
      </c>
      <c r="U49" s="162" t="s">
        <v>2061</v>
      </c>
    </row>
    <row r="50" spans="1:21" ht="19.2" customHeight="1">
      <c r="A50" s="177">
        <v>47</v>
      </c>
      <c r="B50" s="188">
        <v>3</v>
      </c>
      <c r="C50" s="189" t="s">
        <v>2582</v>
      </c>
      <c r="D50" s="189" t="s">
        <v>2099</v>
      </c>
      <c r="E50" s="189" t="s">
        <v>2583</v>
      </c>
      <c r="F50" s="189" t="s">
        <v>1578</v>
      </c>
      <c r="G50" s="189" t="s">
        <v>2079</v>
      </c>
      <c r="H50" s="189" t="s">
        <v>2476</v>
      </c>
      <c r="I50" s="189" t="s">
        <v>2469</v>
      </c>
      <c r="J50" s="190"/>
      <c r="K50" s="190"/>
      <c r="L50" s="190"/>
      <c r="M50" s="189" t="s">
        <v>2372</v>
      </c>
      <c r="N50" s="189" t="s">
        <v>2084</v>
      </c>
      <c r="O50" s="189" t="s">
        <v>2255</v>
      </c>
      <c r="P50" s="190"/>
      <c r="Q50" s="189" t="s">
        <v>1879</v>
      </c>
      <c r="R50" s="189" t="s">
        <v>1879</v>
      </c>
      <c r="S50" s="189" t="s">
        <v>1879</v>
      </c>
      <c r="T50" s="189" t="s">
        <v>1879</v>
      </c>
      <c r="U50" s="162" t="s">
        <v>2061</v>
      </c>
    </row>
    <row r="51" spans="1:21" ht="19.2" customHeight="1">
      <c r="A51" s="177">
        <v>48</v>
      </c>
      <c r="B51" s="172">
        <v>3</v>
      </c>
      <c r="C51" s="160" t="s">
        <v>1553</v>
      </c>
      <c r="D51" s="160" t="s">
        <v>2534</v>
      </c>
      <c r="E51" s="160" t="s">
        <v>2584</v>
      </c>
      <c r="F51" s="160" t="s">
        <v>1551</v>
      </c>
      <c r="G51" s="160" t="s">
        <v>2079</v>
      </c>
      <c r="H51" s="160" t="s">
        <v>2080</v>
      </c>
      <c r="I51" s="160" t="s">
        <v>2469</v>
      </c>
      <c r="J51" s="165" t="s">
        <v>2585</v>
      </c>
      <c r="K51" s="160" t="s">
        <v>2083</v>
      </c>
      <c r="L51" s="161">
        <v>350</v>
      </c>
      <c r="M51" s="165"/>
      <c r="N51" s="160" t="s">
        <v>2084</v>
      </c>
      <c r="O51" s="160" t="s">
        <v>2586</v>
      </c>
      <c r="P51" s="165"/>
      <c r="Q51" s="189" t="s">
        <v>1879</v>
      </c>
      <c r="R51" s="166" t="s">
        <v>1874</v>
      </c>
      <c r="S51" s="189" t="s">
        <v>1879</v>
      </c>
      <c r="T51" s="189" t="s">
        <v>1879</v>
      </c>
      <c r="U51" s="162" t="s">
        <v>2061</v>
      </c>
    </row>
    <row r="52" spans="1:21" ht="19.2" customHeight="1">
      <c r="A52" s="177">
        <v>49</v>
      </c>
      <c r="B52" s="172">
        <v>3</v>
      </c>
      <c r="C52" s="160" t="s">
        <v>1555</v>
      </c>
      <c r="D52" s="160" t="s">
        <v>2536</v>
      </c>
      <c r="E52" s="160" t="s">
        <v>2587</v>
      </c>
      <c r="F52" s="160" t="s">
        <v>1551</v>
      </c>
      <c r="G52" s="160" t="s">
        <v>2079</v>
      </c>
      <c r="H52" s="160" t="s">
        <v>2080</v>
      </c>
      <c r="I52" s="160" t="s">
        <v>2469</v>
      </c>
      <c r="J52" s="165" t="s">
        <v>2588</v>
      </c>
      <c r="K52" s="171">
        <v>27.5</v>
      </c>
      <c r="L52" s="160" t="s">
        <v>2083</v>
      </c>
      <c r="M52" s="165"/>
      <c r="N52" s="160" t="s">
        <v>2084</v>
      </c>
      <c r="O52" s="160" t="s">
        <v>2586</v>
      </c>
      <c r="P52" s="165"/>
      <c r="Q52" s="189" t="s">
        <v>1879</v>
      </c>
      <c r="R52" s="166" t="s">
        <v>1874</v>
      </c>
      <c r="S52" s="189" t="s">
        <v>1879</v>
      </c>
      <c r="T52" s="189" t="s">
        <v>1879</v>
      </c>
      <c r="U52" s="162" t="s">
        <v>2061</v>
      </c>
    </row>
    <row r="53" spans="1:21" ht="19.2" customHeight="1">
      <c r="A53" s="177">
        <v>50</v>
      </c>
      <c r="B53" s="188">
        <v>3</v>
      </c>
      <c r="C53" s="189" t="s">
        <v>1172</v>
      </c>
      <c r="D53" s="189" t="s">
        <v>2467</v>
      </c>
      <c r="E53" s="189" t="s">
        <v>2589</v>
      </c>
      <c r="F53" s="189" t="s">
        <v>1170</v>
      </c>
      <c r="G53" s="189" t="s">
        <v>2079</v>
      </c>
      <c r="H53" s="189" t="s">
        <v>2080</v>
      </c>
      <c r="I53" s="189" t="s">
        <v>2469</v>
      </c>
      <c r="J53" s="189" t="s">
        <v>2222</v>
      </c>
      <c r="K53" s="189" t="s">
        <v>2083</v>
      </c>
      <c r="L53" s="200">
        <v>32.22</v>
      </c>
      <c r="M53" s="190"/>
      <c r="N53" s="189" t="s">
        <v>2084</v>
      </c>
      <c r="O53" s="189" t="s">
        <v>2526</v>
      </c>
      <c r="P53" s="190"/>
      <c r="Q53" s="189" t="s">
        <v>1879</v>
      </c>
      <c r="R53" s="189" t="s">
        <v>1879</v>
      </c>
      <c r="S53" s="189" t="s">
        <v>1879</v>
      </c>
      <c r="T53" s="189" t="s">
        <v>1879</v>
      </c>
      <c r="U53" s="162" t="s">
        <v>2061</v>
      </c>
    </row>
    <row r="54" spans="1:21" ht="19.2" customHeight="1">
      <c r="A54" s="177">
        <v>51</v>
      </c>
      <c r="B54" s="188">
        <v>3</v>
      </c>
      <c r="C54" s="189" t="s">
        <v>1174</v>
      </c>
      <c r="D54" s="189" t="s">
        <v>2467</v>
      </c>
      <c r="E54" s="189" t="s">
        <v>2589</v>
      </c>
      <c r="F54" s="189" t="s">
        <v>1170</v>
      </c>
      <c r="G54" s="189" t="s">
        <v>2079</v>
      </c>
      <c r="H54" s="189" t="s">
        <v>2080</v>
      </c>
      <c r="I54" s="189" t="s">
        <v>2469</v>
      </c>
      <c r="J54" s="189" t="s">
        <v>2222</v>
      </c>
      <c r="K54" s="189" t="s">
        <v>2083</v>
      </c>
      <c r="L54" s="200">
        <v>32.22</v>
      </c>
      <c r="M54" s="190"/>
      <c r="N54" s="189" t="s">
        <v>2084</v>
      </c>
      <c r="O54" s="189" t="s">
        <v>2526</v>
      </c>
      <c r="P54" s="190"/>
      <c r="Q54" s="189" t="s">
        <v>1879</v>
      </c>
      <c r="R54" s="189" t="s">
        <v>1879</v>
      </c>
      <c r="S54" s="189" t="s">
        <v>1879</v>
      </c>
      <c r="T54" s="189" t="s">
        <v>1879</v>
      </c>
      <c r="U54" s="162" t="s">
        <v>2061</v>
      </c>
    </row>
    <row r="55" spans="1:21" ht="19.2" customHeight="1">
      <c r="A55" s="177">
        <v>52</v>
      </c>
      <c r="B55" s="172">
        <v>3</v>
      </c>
      <c r="C55" s="160" t="s">
        <v>2590</v>
      </c>
      <c r="D55" s="160" t="s">
        <v>2524</v>
      </c>
      <c r="E55" s="160" t="s">
        <v>2591</v>
      </c>
      <c r="F55" s="160" t="s">
        <v>1170</v>
      </c>
      <c r="G55" s="160" t="s">
        <v>2079</v>
      </c>
      <c r="H55" s="160" t="s">
        <v>2080</v>
      </c>
      <c r="I55" s="160" t="s">
        <v>2469</v>
      </c>
      <c r="J55" s="165"/>
      <c r="K55" s="165"/>
      <c r="L55" s="165"/>
      <c r="M55" s="165"/>
      <c r="N55" s="160" t="s">
        <v>2084</v>
      </c>
      <c r="O55" s="160" t="s">
        <v>2526</v>
      </c>
      <c r="P55" s="165"/>
      <c r="Q55" s="189" t="s">
        <v>1879</v>
      </c>
      <c r="R55" s="166" t="s">
        <v>1874</v>
      </c>
      <c r="S55" s="189" t="s">
        <v>1879</v>
      </c>
      <c r="T55" s="189" t="s">
        <v>1879</v>
      </c>
      <c r="U55" s="162" t="s">
        <v>2061</v>
      </c>
    </row>
    <row r="56" spans="1:21" ht="19.2" customHeight="1">
      <c r="A56" s="177">
        <v>53</v>
      </c>
      <c r="B56" s="188">
        <v>3</v>
      </c>
      <c r="C56" s="189" t="s">
        <v>1224</v>
      </c>
      <c r="D56" s="189" t="s">
        <v>2099</v>
      </c>
      <c r="E56" s="189" t="s">
        <v>2589</v>
      </c>
      <c r="F56" s="189" t="s">
        <v>1170</v>
      </c>
      <c r="G56" s="189" t="s">
        <v>2079</v>
      </c>
      <c r="H56" s="189" t="s">
        <v>2476</v>
      </c>
      <c r="I56" s="189" t="s">
        <v>2469</v>
      </c>
      <c r="J56" s="190"/>
      <c r="K56" s="190"/>
      <c r="L56" s="190"/>
      <c r="M56" s="190"/>
      <c r="N56" s="189" t="s">
        <v>2084</v>
      </c>
      <c r="O56" s="189" t="s">
        <v>2527</v>
      </c>
      <c r="P56" s="190"/>
      <c r="Q56" s="189" t="s">
        <v>1879</v>
      </c>
      <c r="R56" s="189" t="s">
        <v>1879</v>
      </c>
      <c r="S56" s="189" t="s">
        <v>1879</v>
      </c>
      <c r="T56" s="189" t="s">
        <v>1879</v>
      </c>
      <c r="U56" s="162" t="s">
        <v>2061</v>
      </c>
    </row>
    <row r="57" spans="1:21" ht="19.2" customHeight="1">
      <c r="A57" s="177">
        <v>54</v>
      </c>
      <c r="B57" s="188">
        <v>3</v>
      </c>
      <c r="C57" s="189" t="s">
        <v>1225</v>
      </c>
      <c r="D57" s="189" t="s">
        <v>2099</v>
      </c>
      <c r="E57" s="189" t="s">
        <v>2589</v>
      </c>
      <c r="F57" s="189" t="s">
        <v>1170</v>
      </c>
      <c r="G57" s="189" t="s">
        <v>2079</v>
      </c>
      <c r="H57" s="189" t="s">
        <v>2476</v>
      </c>
      <c r="I57" s="189" t="s">
        <v>2469</v>
      </c>
      <c r="J57" s="190"/>
      <c r="K57" s="190"/>
      <c r="L57" s="190"/>
      <c r="M57" s="190"/>
      <c r="N57" s="189" t="s">
        <v>2084</v>
      </c>
      <c r="O57" s="189" t="s">
        <v>2527</v>
      </c>
      <c r="P57" s="190"/>
      <c r="Q57" s="189" t="s">
        <v>1879</v>
      </c>
      <c r="R57" s="189" t="s">
        <v>1879</v>
      </c>
      <c r="S57" s="189" t="s">
        <v>1879</v>
      </c>
      <c r="T57" s="189" t="s">
        <v>1879</v>
      </c>
      <c r="U57" s="162" t="s">
        <v>2061</v>
      </c>
    </row>
    <row r="58" spans="1:21" ht="19.2" customHeight="1">
      <c r="A58" s="177">
        <v>55</v>
      </c>
      <c r="B58" s="172">
        <v>3</v>
      </c>
      <c r="C58" s="160" t="s">
        <v>2663</v>
      </c>
      <c r="D58" s="160" t="s">
        <v>2627</v>
      </c>
      <c r="E58" s="160" t="s">
        <v>2664</v>
      </c>
      <c r="F58" s="160" t="s">
        <v>1127</v>
      </c>
      <c r="G58" s="160" t="s">
        <v>2079</v>
      </c>
      <c r="H58" s="160" t="s">
        <v>2106</v>
      </c>
      <c r="I58" s="160" t="s">
        <v>2469</v>
      </c>
      <c r="J58" s="165"/>
      <c r="K58" s="165"/>
      <c r="L58" s="165"/>
      <c r="M58" s="165"/>
      <c r="N58" s="160" t="s">
        <v>2084</v>
      </c>
      <c r="O58" s="160" t="s">
        <v>2665</v>
      </c>
      <c r="P58" s="165"/>
      <c r="Q58" s="224" t="s">
        <v>2821</v>
      </c>
      <c r="R58" s="189" t="s">
        <v>1879</v>
      </c>
      <c r="S58" s="166" t="s">
        <v>1874</v>
      </c>
      <c r="T58" s="189" t="s">
        <v>1879</v>
      </c>
      <c r="U58" s="162" t="s">
        <v>2061</v>
      </c>
    </row>
    <row r="59" spans="1:21" ht="19.2" customHeight="1">
      <c r="A59" s="177">
        <v>56</v>
      </c>
      <c r="B59" s="172">
        <v>3</v>
      </c>
      <c r="C59" s="160" t="s">
        <v>2666</v>
      </c>
      <c r="D59" s="160" t="s">
        <v>2627</v>
      </c>
      <c r="E59" s="160" t="s">
        <v>2664</v>
      </c>
      <c r="F59" s="160" t="s">
        <v>1127</v>
      </c>
      <c r="G59" s="160" t="s">
        <v>2079</v>
      </c>
      <c r="H59" s="160" t="s">
        <v>2106</v>
      </c>
      <c r="I59" s="160" t="s">
        <v>2469</v>
      </c>
      <c r="J59" s="165"/>
      <c r="K59" s="165"/>
      <c r="L59" s="165"/>
      <c r="M59" s="165"/>
      <c r="N59" s="160" t="s">
        <v>2084</v>
      </c>
      <c r="O59" s="160" t="s">
        <v>2665</v>
      </c>
      <c r="P59" s="165"/>
      <c r="Q59" s="224" t="s">
        <v>2821</v>
      </c>
      <c r="R59" s="189" t="s">
        <v>1879</v>
      </c>
      <c r="S59" s="166" t="s">
        <v>1874</v>
      </c>
      <c r="T59" s="189" t="s">
        <v>1879</v>
      </c>
      <c r="U59" s="162" t="s">
        <v>2061</v>
      </c>
    </row>
    <row r="60" spans="1:21" ht="19.2" customHeight="1">
      <c r="A60" s="177">
        <v>57</v>
      </c>
      <c r="B60" s="172">
        <v>3</v>
      </c>
      <c r="C60" s="160" t="s">
        <v>2667</v>
      </c>
      <c r="D60" s="160" t="s">
        <v>2627</v>
      </c>
      <c r="E60" s="160" t="s">
        <v>2664</v>
      </c>
      <c r="F60" s="160" t="s">
        <v>1127</v>
      </c>
      <c r="G60" s="160" t="s">
        <v>2079</v>
      </c>
      <c r="H60" s="160" t="s">
        <v>2106</v>
      </c>
      <c r="I60" s="160" t="s">
        <v>2469</v>
      </c>
      <c r="J60" s="165"/>
      <c r="K60" s="165"/>
      <c r="L60" s="165"/>
      <c r="M60" s="165"/>
      <c r="N60" s="160" t="s">
        <v>2084</v>
      </c>
      <c r="O60" s="160" t="s">
        <v>2665</v>
      </c>
      <c r="P60" s="165"/>
      <c r="Q60" s="224" t="s">
        <v>2821</v>
      </c>
      <c r="R60" s="189" t="s">
        <v>1879</v>
      </c>
      <c r="S60" s="166" t="s">
        <v>1874</v>
      </c>
      <c r="T60" s="189" t="s">
        <v>1879</v>
      </c>
      <c r="U60" s="162" t="s">
        <v>2061</v>
      </c>
    </row>
    <row r="61" spans="1:21" ht="19.2" customHeight="1">
      <c r="A61" s="177">
        <v>58</v>
      </c>
      <c r="B61" s="172">
        <v>3</v>
      </c>
      <c r="C61" s="160" t="s">
        <v>2668</v>
      </c>
      <c r="D61" s="160" t="s">
        <v>2627</v>
      </c>
      <c r="E61" s="160" t="s">
        <v>2664</v>
      </c>
      <c r="F61" s="160" t="s">
        <v>1127</v>
      </c>
      <c r="G61" s="160" t="s">
        <v>2079</v>
      </c>
      <c r="H61" s="160" t="s">
        <v>2106</v>
      </c>
      <c r="I61" s="160" t="s">
        <v>2469</v>
      </c>
      <c r="J61" s="165"/>
      <c r="K61" s="165"/>
      <c r="L61" s="165"/>
      <c r="M61" s="165"/>
      <c r="N61" s="160" t="s">
        <v>2084</v>
      </c>
      <c r="O61" s="160" t="s">
        <v>2665</v>
      </c>
      <c r="P61" s="165"/>
      <c r="Q61" s="224" t="s">
        <v>2821</v>
      </c>
      <c r="R61" s="189" t="s">
        <v>1879</v>
      </c>
      <c r="S61" s="166" t="s">
        <v>1874</v>
      </c>
      <c r="T61" s="189" t="s">
        <v>1879</v>
      </c>
      <c r="U61" s="162" t="s">
        <v>2061</v>
      </c>
    </row>
    <row r="62" spans="1:21" ht="19.2" customHeight="1">
      <c r="A62" s="177">
        <v>59</v>
      </c>
      <c r="B62" s="172">
        <v>4</v>
      </c>
      <c r="C62" s="160" t="s">
        <v>2669</v>
      </c>
      <c r="D62" s="160" t="s">
        <v>2627</v>
      </c>
      <c r="E62" s="160" t="s">
        <v>2664</v>
      </c>
      <c r="F62" s="160" t="s">
        <v>1127</v>
      </c>
      <c r="G62" s="160" t="s">
        <v>2079</v>
      </c>
      <c r="H62" s="160" t="s">
        <v>2106</v>
      </c>
      <c r="I62" s="160" t="s">
        <v>2469</v>
      </c>
      <c r="J62" s="165"/>
      <c r="K62" s="165"/>
      <c r="L62" s="165"/>
      <c r="M62" s="165"/>
      <c r="N62" s="160" t="s">
        <v>2084</v>
      </c>
      <c r="O62" s="160" t="s">
        <v>2670</v>
      </c>
      <c r="P62" s="165"/>
      <c r="Q62" s="224" t="s">
        <v>2821</v>
      </c>
      <c r="R62" s="189" t="s">
        <v>1879</v>
      </c>
      <c r="S62" s="166" t="s">
        <v>1874</v>
      </c>
      <c r="T62" s="189" t="s">
        <v>1879</v>
      </c>
      <c r="U62" s="162" t="s">
        <v>2061</v>
      </c>
    </row>
    <row r="63" spans="1:21" ht="19.2" customHeight="1">
      <c r="A63" s="177">
        <v>60</v>
      </c>
      <c r="B63" s="172">
        <v>4</v>
      </c>
      <c r="C63" s="160" t="s">
        <v>2671</v>
      </c>
      <c r="D63" s="160" t="s">
        <v>2627</v>
      </c>
      <c r="E63" s="160" t="s">
        <v>2664</v>
      </c>
      <c r="F63" s="160" t="s">
        <v>1127</v>
      </c>
      <c r="G63" s="160" t="s">
        <v>2079</v>
      </c>
      <c r="H63" s="160" t="s">
        <v>2106</v>
      </c>
      <c r="I63" s="160" t="s">
        <v>2469</v>
      </c>
      <c r="J63" s="165"/>
      <c r="K63" s="165"/>
      <c r="L63" s="165"/>
      <c r="M63" s="165"/>
      <c r="N63" s="160" t="s">
        <v>2084</v>
      </c>
      <c r="O63" s="160" t="s">
        <v>2670</v>
      </c>
      <c r="P63" s="165"/>
      <c r="Q63" s="224" t="s">
        <v>2821</v>
      </c>
      <c r="R63" s="189" t="s">
        <v>1879</v>
      </c>
      <c r="S63" s="166" t="s">
        <v>1874</v>
      </c>
      <c r="T63" s="189" t="s">
        <v>1879</v>
      </c>
      <c r="U63" s="162" t="s">
        <v>2061</v>
      </c>
    </row>
    <row r="64" spans="1:21" ht="19.2" customHeight="1">
      <c r="A64" s="177">
        <v>61</v>
      </c>
      <c r="B64" s="188">
        <v>3</v>
      </c>
      <c r="C64" s="189" t="s">
        <v>2680</v>
      </c>
      <c r="D64" s="189" t="s">
        <v>2627</v>
      </c>
      <c r="E64" s="189" t="s">
        <v>2664</v>
      </c>
      <c r="F64" s="189" t="s">
        <v>1127</v>
      </c>
      <c r="G64" s="189" t="s">
        <v>2079</v>
      </c>
      <c r="H64" s="189" t="s">
        <v>2106</v>
      </c>
      <c r="I64" s="189" t="s">
        <v>2469</v>
      </c>
      <c r="J64" s="190"/>
      <c r="K64" s="190"/>
      <c r="L64" s="190"/>
      <c r="M64" s="190"/>
      <c r="N64" s="189" t="s">
        <v>2084</v>
      </c>
      <c r="O64" s="189" t="s">
        <v>2665</v>
      </c>
      <c r="P64" s="190"/>
      <c r="Q64" s="224" t="s">
        <v>2821</v>
      </c>
      <c r="R64" s="189" t="s">
        <v>1879</v>
      </c>
      <c r="S64" s="189" t="s">
        <v>1879</v>
      </c>
      <c r="T64" s="189" t="s">
        <v>1879</v>
      </c>
      <c r="U64" s="162" t="s">
        <v>2061</v>
      </c>
    </row>
    <row r="65" spans="1:21" ht="19.2" customHeight="1">
      <c r="A65" s="177">
        <v>62</v>
      </c>
      <c r="B65" s="188">
        <v>3</v>
      </c>
      <c r="C65" s="189" t="s">
        <v>2681</v>
      </c>
      <c r="D65" s="189" t="s">
        <v>2627</v>
      </c>
      <c r="E65" s="189" t="s">
        <v>2664</v>
      </c>
      <c r="F65" s="189" t="s">
        <v>1127</v>
      </c>
      <c r="G65" s="189" t="s">
        <v>2079</v>
      </c>
      <c r="H65" s="189" t="s">
        <v>2106</v>
      </c>
      <c r="I65" s="189" t="s">
        <v>2469</v>
      </c>
      <c r="J65" s="190"/>
      <c r="K65" s="190"/>
      <c r="L65" s="190"/>
      <c r="M65" s="190"/>
      <c r="N65" s="189" t="s">
        <v>2084</v>
      </c>
      <c r="O65" s="189" t="s">
        <v>2665</v>
      </c>
      <c r="P65" s="190"/>
      <c r="Q65" s="224" t="s">
        <v>2821</v>
      </c>
      <c r="R65" s="189" t="s">
        <v>1879</v>
      </c>
      <c r="S65" s="189" t="s">
        <v>1879</v>
      </c>
      <c r="T65" s="189" t="s">
        <v>1879</v>
      </c>
      <c r="U65" s="162" t="s">
        <v>2061</v>
      </c>
    </row>
    <row r="66" spans="1:21" ht="19.2" customHeight="1">
      <c r="A66" s="177">
        <v>63</v>
      </c>
      <c r="B66" s="172">
        <v>4</v>
      </c>
      <c r="C66" s="160" t="s">
        <v>2684</v>
      </c>
      <c r="D66" s="160" t="s">
        <v>2449</v>
      </c>
      <c r="E66" s="160" t="s">
        <v>2685</v>
      </c>
      <c r="F66" s="173" t="s">
        <v>2021</v>
      </c>
      <c r="G66" s="160" t="s">
        <v>2079</v>
      </c>
      <c r="H66" s="160" t="s">
        <v>2106</v>
      </c>
      <c r="I66" s="160" t="s">
        <v>2469</v>
      </c>
      <c r="J66" s="165"/>
      <c r="K66" s="165"/>
      <c r="L66" s="165"/>
      <c r="M66" s="160" t="s">
        <v>2653</v>
      </c>
      <c r="N66" s="160" t="s">
        <v>2084</v>
      </c>
      <c r="O66" s="160" t="s">
        <v>2670</v>
      </c>
      <c r="P66" s="165"/>
      <c r="Q66" s="166" t="s">
        <v>1874</v>
      </c>
      <c r="R66" s="166" t="s">
        <v>1874</v>
      </c>
      <c r="S66" s="189" t="s">
        <v>1879</v>
      </c>
      <c r="T66" s="189" t="s">
        <v>1879</v>
      </c>
      <c r="U66" s="162" t="s">
        <v>2061</v>
      </c>
    </row>
    <row r="67" spans="1:21" ht="19.2" customHeight="1">
      <c r="A67" s="177">
        <v>64</v>
      </c>
      <c r="B67" s="175">
        <v>4</v>
      </c>
      <c r="C67" s="168" t="s">
        <v>2686</v>
      </c>
      <c r="D67" s="168" t="s">
        <v>2449</v>
      </c>
      <c r="E67" s="168" t="s">
        <v>2687</v>
      </c>
      <c r="F67" s="176" t="s">
        <v>2887</v>
      </c>
      <c r="G67" s="168" t="s">
        <v>2079</v>
      </c>
      <c r="H67" s="168" t="s">
        <v>2106</v>
      </c>
      <c r="I67" s="168" t="s">
        <v>2469</v>
      </c>
      <c r="J67" s="169"/>
      <c r="K67" s="169"/>
      <c r="L67" s="169"/>
      <c r="M67" s="168" t="s">
        <v>2653</v>
      </c>
      <c r="N67" s="168" t="s">
        <v>2084</v>
      </c>
      <c r="O67" s="168" t="s">
        <v>2670</v>
      </c>
      <c r="P67" s="169"/>
      <c r="Q67" s="166" t="s">
        <v>1874</v>
      </c>
      <c r="R67" s="166" t="s">
        <v>1874</v>
      </c>
      <c r="S67" s="189" t="s">
        <v>1879</v>
      </c>
      <c r="T67" s="189" t="s">
        <v>1879</v>
      </c>
      <c r="U67" s="162" t="s">
        <v>2061</v>
      </c>
    </row>
    <row r="68" spans="1:21" ht="19.2" customHeight="1">
      <c r="A68" s="177">
        <v>65</v>
      </c>
      <c r="B68" s="136"/>
      <c r="C68" s="189" t="s">
        <v>1147</v>
      </c>
      <c r="D68" s="189" t="s">
        <v>2467</v>
      </c>
      <c r="E68" s="189" t="s">
        <v>2479</v>
      </c>
      <c r="F68" s="189" t="s">
        <v>1145</v>
      </c>
      <c r="G68" s="189" t="s">
        <v>2079</v>
      </c>
      <c r="H68" s="189" t="s">
        <v>2080</v>
      </c>
      <c r="I68" s="189" t="s">
        <v>2469</v>
      </c>
      <c r="J68" s="189" t="s">
        <v>2222</v>
      </c>
      <c r="K68" s="194">
        <v>109</v>
      </c>
      <c r="L68" s="189" t="s">
        <v>2083</v>
      </c>
      <c r="M68" s="190"/>
      <c r="N68" s="189" t="s">
        <v>2084</v>
      </c>
      <c r="O68" s="189" t="s">
        <v>2480</v>
      </c>
      <c r="P68" s="190"/>
      <c r="Q68" s="189" t="s">
        <v>1879</v>
      </c>
      <c r="R68" s="189" t="s">
        <v>1879</v>
      </c>
      <c r="S68" s="189" t="s">
        <v>1879</v>
      </c>
      <c r="T68" s="189" t="s">
        <v>1879</v>
      </c>
    </row>
    <row r="69" spans="1:21" ht="19.2" customHeight="1">
      <c r="A69" s="177">
        <v>66</v>
      </c>
      <c r="B69" s="136"/>
      <c r="C69" s="189" t="s">
        <v>1149</v>
      </c>
      <c r="D69" s="189" t="s">
        <v>2467</v>
      </c>
      <c r="E69" s="189" t="s">
        <v>2479</v>
      </c>
      <c r="F69" s="189" t="s">
        <v>1145</v>
      </c>
      <c r="G69" s="189" t="s">
        <v>2079</v>
      </c>
      <c r="H69" s="189" t="s">
        <v>2080</v>
      </c>
      <c r="I69" s="189" t="s">
        <v>2469</v>
      </c>
      <c r="J69" s="189" t="s">
        <v>2222</v>
      </c>
      <c r="K69" s="189" t="s">
        <v>2083</v>
      </c>
      <c r="L69" s="189" t="s">
        <v>2481</v>
      </c>
      <c r="M69" s="190"/>
      <c r="N69" s="189" t="s">
        <v>2084</v>
      </c>
      <c r="O69" s="189" t="s">
        <v>2480</v>
      </c>
      <c r="P69" s="190"/>
      <c r="Q69" s="189" t="s">
        <v>1879</v>
      </c>
      <c r="R69" s="189" t="s">
        <v>1879</v>
      </c>
      <c r="S69" s="189" t="s">
        <v>1879</v>
      </c>
      <c r="T69" s="189" t="s">
        <v>1879</v>
      </c>
    </row>
    <row r="70" spans="1:21" ht="19.2" customHeight="1">
      <c r="A70" s="177">
        <v>67</v>
      </c>
      <c r="B70" s="175">
        <v>4</v>
      </c>
      <c r="C70" s="168" t="s">
        <v>1539</v>
      </c>
      <c r="D70" s="168" t="s">
        <v>2511</v>
      </c>
      <c r="E70" s="168" t="s">
        <v>2190</v>
      </c>
      <c r="F70" s="168" t="s">
        <v>2171</v>
      </c>
      <c r="G70" s="168" t="s">
        <v>2191</v>
      </c>
      <c r="H70" s="168" t="s">
        <v>2476</v>
      </c>
      <c r="I70" s="168" t="s">
        <v>2469</v>
      </c>
      <c r="J70" s="169"/>
      <c r="K70" s="169"/>
      <c r="L70" s="169"/>
      <c r="M70" s="169"/>
      <c r="N70" s="168" t="s">
        <v>2084</v>
      </c>
      <c r="O70" s="168" t="s">
        <v>2192</v>
      </c>
      <c r="P70" s="169"/>
      <c r="Q70" s="166" t="s">
        <v>1874</v>
      </c>
      <c r="R70" s="189" t="s">
        <v>1879</v>
      </c>
      <c r="S70" s="166" t="s">
        <v>1874</v>
      </c>
      <c r="T70" s="189" t="s">
        <v>1879</v>
      </c>
      <c r="U70" s="162" t="s">
        <v>2061</v>
      </c>
    </row>
    <row r="71" spans="1:21" ht="19.2" customHeight="1">
      <c r="A71" s="177">
        <v>68</v>
      </c>
      <c r="B71" s="175">
        <v>4</v>
      </c>
      <c r="C71" s="168" t="s">
        <v>1540</v>
      </c>
      <c r="D71" s="168" t="s">
        <v>2511</v>
      </c>
      <c r="E71" s="168" t="s">
        <v>2196</v>
      </c>
      <c r="F71" s="168" t="s">
        <v>2171</v>
      </c>
      <c r="G71" s="168" t="s">
        <v>2191</v>
      </c>
      <c r="H71" s="168" t="s">
        <v>2476</v>
      </c>
      <c r="I71" s="168" t="s">
        <v>2469</v>
      </c>
      <c r="J71" s="169"/>
      <c r="K71" s="169"/>
      <c r="L71" s="169"/>
      <c r="M71" s="169"/>
      <c r="N71" s="168" t="s">
        <v>2084</v>
      </c>
      <c r="O71" s="168" t="s">
        <v>2192</v>
      </c>
      <c r="P71" s="169"/>
      <c r="Q71" s="166" t="s">
        <v>1874</v>
      </c>
      <c r="R71" s="189" t="s">
        <v>1879</v>
      </c>
      <c r="S71" s="166" t="s">
        <v>1874</v>
      </c>
      <c r="T71" s="189" t="s">
        <v>1879</v>
      </c>
      <c r="U71" s="162" t="s">
        <v>2061</v>
      </c>
    </row>
    <row r="72" spans="1:21" ht="19.2" customHeight="1">
      <c r="A72" s="177">
        <v>69</v>
      </c>
      <c r="B72" s="175">
        <v>4</v>
      </c>
      <c r="C72" s="168" t="s">
        <v>1541</v>
      </c>
      <c r="D72" s="168" t="s">
        <v>2511</v>
      </c>
      <c r="E72" s="168" t="s">
        <v>2199</v>
      </c>
      <c r="F72" s="168" t="s">
        <v>2171</v>
      </c>
      <c r="G72" s="168" t="s">
        <v>2200</v>
      </c>
      <c r="H72" s="168" t="s">
        <v>2476</v>
      </c>
      <c r="I72" s="168" t="s">
        <v>2469</v>
      </c>
      <c r="J72" s="169"/>
      <c r="K72" s="169"/>
      <c r="L72" s="169"/>
      <c r="M72" s="169"/>
      <c r="N72" s="168" t="s">
        <v>2084</v>
      </c>
      <c r="O72" s="168" t="s">
        <v>2192</v>
      </c>
      <c r="P72" s="169"/>
      <c r="Q72" s="166" t="s">
        <v>1874</v>
      </c>
      <c r="R72" s="189" t="s">
        <v>1879</v>
      </c>
      <c r="S72" s="166" t="s">
        <v>1874</v>
      </c>
      <c r="T72" s="189" t="s">
        <v>1879</v>
      </c>
      <c r="U72" s="162" t="s">
        <v>2061</v>
      </c>
    </row>
    <row r="73" spans="1:21" ht="19.2" customHeight="1">
      <c r="A73" s="177">
        <v>70</v>
      </c>
      <c r="B73" s="175">
        <v>4</v>
      </c>
      <c r="C73" s="168" t="s">
        <v>1542</v>
      </c>
      <c r="D73" s="168" t="s">
        <v>2511</v>
      </c>
      <c r="E73" s="168" t="s">
        <v>2203</v>
      </c>
      <c r="F73" s="168" t="s">
        <v>2171</v>
      </c>
      <c r="G73" s="168" t="s">
        <v>2200</v>
      </c>
      <c r="H73" s="168" t="s">
        <v>2476</v>
      </c>
      <c r="I73" s="168" t="s">
        <v>2469</v>
      </c>
      <c r="J73" s="169"/>
      <c r="K73" s="169"/>
      <c r="L73" s="169"/>
      <c r="M73" s="169"/>
      <c r="N73" s="168" t="s">
        <v>2084</v>
      </c>
      <c r="O73" s="168" t="s">
        <v>2192</v>
      </c>
      <c r="P73" s="169"/>
      <c r="Q73" s="166" t="s">
        <v>1874</v>
      </c>
      <c r="R73" s="189" t="s">
        <v>1879</v>
      </c>
      <c r="S73" s="166" t="s">
        <v>1874</v>
      </c>
      <c r="T73" s="189" t="s">
        <v>1879</v>
      </c>
      <c r="U73" s="162" t="s">
        <v>2061</v>
      </c>
    </row>
    <row r="74" spans="1:21" ht="19.2" customHeight="1">
      <c r="A74" s="177">
        <v>71</v>
      </c>
      <c r="B74" s="172">
        <v>3</v>
      </c>
      <c r="C74" s="160" t="s">
        <v>1524</v>
      </c>
      <c r="D74" s="160" t="s">
        <v>2511</v>
      </c>
      <c r="E74" s="160" t="s">
        <v>2262</v>
      </c>
      <c r="F74" s="160" t="s">
        <v>1546</v>
      </c>
      <c r="G74" s="160" t="s">
        <v>2263</v>
      </c>
      <c r="H74" s="160" t="s">
        <v>2476</v>
      </c>
      <c r="I74" s="160" t="s">
        <v>2469</v>
      </c>
      <c r="J74" s="165"/>
      <c r="K74" s="165"/>
      <c r="L74" s="165"/>
      <c r="M74" s="165"/>
      <c r="N74" s="160" t="s">
        <v>2084</v>
      </c>
      <c r="O74" s="160" t="s">
        <v>2264</v>
      </c>
      <c r="P74" s="165"/>
      <c r="Q74" s="189" t="s">
        <v>1879</v>
      </c>
      <c r="R74" s="189" t="s">
        <v>1879</v>
      </c>
      <c r="S74" s="166" t="s">
        <v>1874</v>
      </c>
      <c r="T74" s="189" t="s">
        <v>1879</v>
      </c>
      <c r="U74" s="162" t="s">
        <v>2061</v>
      </c>
    </row>
    <row r="75" spans="1:21" ht="19.2" customHeight="1">
      <c r="A75" s="177">
        <v>72</v>
      </c>
      <c r="B75" s="172">
        <v>3</v>
      </c>
      <c r="C75" s="160" t="s">
        <v>1525</v>
      </c>
      <c r="D75" s="160" t="s">
        <v>2511</v>
      </c>
      <c r="E75" s="160" t="s">
        <v>2267</v>
      </c>
      <c r="F75" s="160" t="s">
        <v>1546</v>
      </c>
      <c r="G75" s="160" t="s">
        <v>2263</v>
      </c>
      <c r="H75" s="160" t="s">
        <v>2476</v>
      </c>
      <c r="I75" s="160" t="s">
        <v>2469</v>
      </c>
      <c r="J75" s="165"/>
      <c r="K75" s="165"/>
      <c r="L75" s="165"/>
      <c r="M75" s="165"/>
      <c r="N75" s="160" t="s">
        <v>2084</v>
      </c>
      <c r="O75" s="160" t="s">
        <v>2264</v>
      </c>
      <c r="P75" s="165"/>
      <c r="Q75" s="189" t="s">
        <v>1879</v>
      </c>
      <c r="R75" s="189" t="s">
        <v>1879</v>
      </c>
      <c r="S75" s="166" t="s">
        <v>1874</v>
      </c>
      <c r="T75" s="189" t="s">
        <v>1879</v>
      </c>
      <c r="U75" s="162" t="s">
        <v>2061</v>
      </c>
    </row>
    <row r="76" spans="1:21" ht="19.2" customHeight="1">
      <c r="A76" s="177">
        <v>73</v>
      </c>
      <c r="B76" s="172">
        <v>3</v>
      </c>
      <c r="C76" s="160" t="s">
        <v>1530</v>
      </c>
      <c r="D76" s="160" t="s">
        <v>2511</v>
      </c>
      <c r="E76" s="160" t="s">
        <v>2326</v>
      </c>
      <c r="F76" s="160" t="s">
        <v>1556</v>
      </c>
      <c r="G76" s="160" t="s">
        <v>2263</v>
      </c>
      <c r="H76" s="160" t="s">
        <v>2476</v>
      </c>
      <c r="I76" s="160" t="s">
        <v>2469</v>
      </c>
      <c r="J76" s="165"/>
      <c r="K76" s="165"/>
      <c r="L76" s="165"/>
      <c r="M76" s="165"/>
      <c r="N76" s="160" t="s">
        <v>2084</v>
      </c>
      <c r="O76" s="160" t="s">
        <v>2264</v>
      </c>
      <c r="P76" s="165"/>
      <c r="Q76" s="189" t="s">
        <v>1879</v>
      </c>
      <c r="R76" s="189" t="s">
        <v>1879</v>
      </c>
      <c r="S76" s="166" t="s">
        <v>1874</v>
      </c>
      <c r="T76" s="189" t="s">
        <v>1879</v>
      </c>
      <c r="U76" s="162" t="s">
        <v>2061</v>
      </c>
    </row>
    <row r="77" spans="1:21" ht="19.2" customHeight="1">
      <c r="A77" s="177">
        <v>74</v>
      </c>
      <c r="B77" s="172">
        <v>3</v>
      </c>
      <c r="C77" s="160" t="s">
        <v>1528</v>
      </c>
      <c r="D77" s="160" t="s">
        <v>2511</v>
      </c>
      <c r="E77" s="160" t="s">
        <v>2329</v>
      </c>
      <c r="F77" s="160" t="s">
        <v>1556</v>
      </c>
      <c r="G77" s="160" t="s">
        <v>2263</v>
      </c>
      <c r="H77" s="160" t="s">
        <v>2476</v>
      </c>
      <c r="I77" s="160" t="s">
        <v>2469</v>
      </c>
      <c r="J77" s="165"/>
      <c r="K77" s="165"/>
      <c r="L77" s="165"/>
      <c r="M77" s="165"/>
      <c r="N77" s="160" t="s">
        <v>2084</v>
      </c>
      <c r="O77" s="160" t="s">
        <v>2264</v>
      </c>
      <c r="P77" s="165"/>
      <c r="Q77" s="189" t="s">
        <v>1879</v>
      </c>
      <c r="R77" s="189" t="s">
        <v>1879</v>
      </c>
      <c r="S77" s="166" t="s">
        <v>1874</v>
      </c>
      <c r="T77" s="189" t="s">
        <v>1879</v>
      </c>
      <c r="U77" s="162" t="s">
        <v>2061</v>
      </c>
    </row>
    <row r="78" spans="1:21" ht="19.2" customHeight="1">
      <c r="A78" s="177">
        <v>75</v>
      </c>
      <c r="B78" s="172">
        <v>3</v>
      </c>
      <c r="C78" s="160" t="s">
        <v>1529</v>
      </c>
      <c r="D78" s="160" t="s">
        <v>2511</v>
      </c>
      <c r="E78" s="160" t="s">
        <v>2332</v>
      </c>
      <c r="F78" s="160" t="s">
        <v>1556</v>
      </c>
      <c r="G78" s="160" t="s">
        <v>2263</v>
      </c>
      <c r="H78" s="160" t="s">
        <v>2476</v>
      </c>
      <c r="I78" s="160" t="s">
        <v>2469</v>
      </c>
      <c r="J78" s="165"/>
      <c r="K78" s="165"/>
      <c r="L78" s="165"/>
      <c r="M78" s="165"/>
      <c r="N78" s="160" t="s">
        <v>2084</v>
      </c>
      <c r="O78" s="160" t="s">
        <v>2264</v>
      </c>
      <c r="P78" s="165"/>
      <c r="Q78" s="189" t="s">
        <v>1879</v>
      </c>
      <c r="R78" s="189" t="s">
        <v>1879</v>
      </c>
      <c r="S78" s="166" t="s">
        <v>1874</v>
      </c>
      <c r="T78" s="189" t="s">
        <v>1879</v>
      </c>
      <c r="U78" s="162" t="s">
        <v>2061</v>
      </c>
    </row>
    <row r="79" spans="1:21" ht="19.2" customHeight="1">
      <c r="A79" s="177">
        <v>76</v>
      </c>
      <c r="B79" s="172">
        <v>3</v>
      </c>
      <c r="C79" s="160" t="s">
        <v>1533</v>
      </c>
      <c r="D79" s="160" t="s">
        <v>2511</v>
      </c>
      <c r="E79" s="160" t="s">
        <v>2339</v>
      </c>
      <c r="F79" s="160" t="s">
        <v>1563</v>
      </c>
      <c r="G79" s="160" t="s">
        <v>2263</v>
      </c>
      <c r="H79" s="160" t="s">
        <v>2476</v>
      </c>
      <c r="I79" s="160" t="s">
        <v>2469</v>
      </c>
      <c r="J79" s="165"/>
      <c r="K79" s="165"/>
      <c r="L79" s="165"/>
      <c r="M79" s="165"/>
      <c r="N79" s="160" t="s">
        <v>2084</v>
      </c>
      <c r="O79" s="160" t="s">
        <v>2264</v>
      </c>
      <c r="P79" s="165"/>
      <c r="Q79" s="189" t="s">
        <v>1879</v>
      </c>
      <c r="R79" s="189" t="s">
        <v>1879</v>
      </c>
      <c r="S79" s="166" t="s">
        <v>1874</v>
      </c>
      <c r="T79" s="189" t="s">
        <v>1879</v>
      </c>
      <c r="U79" s="162" t="s">
        <v>2061</v>
      </c>
    </row>
    <row r="80" spans="1:21" ht="19.2" customHeight="1">
      <c r="A80" s="177">
        <v>77</v>
      </c>
      <c r="B80" s="172">
        <v>3</v>
      </c>
      <c r="C80" s="160" t="s">
        <v>1531</v>
      </c>
      <c r="D80" s="160" t="s">
        <v>2511</v>
      </c>
      <c r="E80" s="160" t="s">
        <v>2346</v>
      </c>
      <c r="F80" s="160" t="s">
        <v>1563</v>
      </c>
      <c r="G80" s="160" t="s">
        <v>2263</v>
      </c>
      <c r="H80" s="160" t="s">
        <v>2476</v>
      </c>
      <c r="I80" s="160" t="s">
        <v>2469</v>
      </c>
      <c r="J80" s="165"/>
      <c r="K80" s="165"/>
      <c r="L80" s="165"/>
      <c r="M80" s="165"/>
      <c r="N80" s="160" t="s">
        <v>2084</v>
      </c>
      <c r="O80" s="160" t="s">
        <v>2264</v>
      </c>
      <c r="P80" s="165"/>
      <c r="Q80" s="189" t="s">
        <v>1879</v>
      </c>
      <c r="R80" s="189" t="s">
        <v>1879</v>
      </c>
      <c r="S80" s="166" t="s">
        <v>1874</v>
      </c>
      <c r="T80" s="189" t="s">
        <v>1879</v>
      </c>
      <c r="U80" s="162" t="s">
        <v>2061</v>
      </c>
    </row>
    <row r="81" spans="1:21" ht="19.2" customHeight="1">
      <c r="A81" s="177">
        <v>78</v>
      </c>
      <c r="B81" s="172">
        <v>3</v>
      </c>
      <c r="C81" s="160" t="s">
        <v>1532</v>
      </c>
      <c r="D81" s="160" t="s">
        <v>2511</v>
      </c>
      <c r="E81" s="160" t="s">
        <v>2349</v>
      </c>
      <c r="F81" s="160" t="s">
        <v>1563</v>
      </c>
      <c r="G81" s="160" t="s">
        <v>2263</v>
      </c>
      <c r="H81" s="160" t="s">
        <v>2476</v>
      </c>
      <c r="I81" s="160" t="s">
        <v>2469</v>
      </c>
      <c r="J81" s="165"/>
      <c r="K81" s="165"/>
      <c r="L81" s="165"/>
      <c r="M81" s="165"/>
      <c r="N81" s="160" t="s">
        <v>2084</v>
      </c>
      <c r="O81" s="160" t="s">
        <v>2264</v>
      </c>
      <c r="P81" s="165"/>
      <c r="Q81" s="189" t="s">
        <v>1879</v>
      </c>
      <c r="R81" s="189" t="s">
        <v>1879</v>
      </c>
      <c r="S81" s="166" t="s">
        <v>1874</v>
      </c>
      <c r="T81" s="189" t="s">
        <v>1879</v>
      </c>
      <c r="U81" s="162" t="s">
        <v>2061</v>
      </c>
    </row>
    <row r="82" spans="1:21" ht="19.2" customHeight="1">
      <c r="A82" s="177">
        <v>79</v>
      </c>
      <c r="B82" s="172">
        <v>3</v>
      </c>
      <c r="C82" s="160" t="s">
        <v>1534</v>
      </c>
      <c r="D82" s="160" t="s">
        <v>2511</v>
      </c>
      <c r="E82" s="160" t="s">
        <v>2361</v>
      </c>
      <c r="F82" s="160" t="s">
        <v>1571</v>
      </c>
      <c r="G82" s="160" t="s">
        <v>2263</v>
      </c>
      <c r="H82" s="160" t="s">
        <v>2476</v>
      </c>
      <c r="I82" s="160" t="s">
        <v>2469</v>
      </c>
      <c r="J82" s="165"/>
      <c r="K82" s="165"/>
      <c r="L82" s="165"/>
      <c r="M82" s="165"/>
      <c r="N82" s="160" t="s">
        <v>2084</v>
      </c>
      <c r="O82" s="160" t="s">
        <v>2264</v>
      </c>
      <c r="P82" s="165"/>
      <c r="Q82" s="189" t="s">
        <v>1879</v>
      </c>
      <c r="R82" s="189" t="s">
        <v>1879</v>
      </c>
      <c r="S82" s="166" t="s">
        <v>1874</v>
      </c>
      <c r="T82" s="189" t="s">
        <v>1879</v>
      </c>
      <c r="U82" s="162" t="s">
        <v>2061</v>
      </c>
    </row>
    <row r="83" spans="1:21" ht="19.2" customHeight="1">
      <c r="A83" s="177">
        <v>80</v>
      </c>
      <c r="B83" s="172">
        <v>3</v>
      </c>
      <c r="C83" s="160" t="s">
        <v>1535</v>
      </c>
      <c r="D83" s="160" t="s">
        <v>2511</v>
      </c>
      <c r="E83" s="160" t="s">
        <v>2364</v>
      </c>
      <c r="F83" s="160" t="s">
        <v>1571</v>
      </c>
      <c r="G83" s="160" t="s">
        <v>2263</v>
      </c>
      <c r="H83" s="160" t="s">
        <v>2476</v>
      </c>
      <c r="I83" s="160" t="s">
        <v>2469</v>
      </c>
      <c r="J83" s="165"/>
      <c r="K83" s="165"/>
      <c r="L83" s="165"/>
      <c r="M83" s="165"/>
      <c r="N83" s="160" t="s">
        <v>2084</v>
      </c>
      <c r="O83" s="160" t="s">
        <v>2264</v>
      </c>
      <c r="P83" s="165"/>
      <c r="Q83" s="189" t="s">
        <v>1879</v>
      </c>
      <c r="R83" s="189" t="s">
        <v>1879</v>
      </c>
      <c r="S83" s="166" t="s">
        <v>1874</v>
      </c>
      <c r="T83" s="189" t="s">
        <v>1879</v>
      </c>
      <c r="U83" s="162" t="s">
        <v>2061</v>
      </c>
    </row>
    <row r="84" spans="1:21" ht="19.2" customHeight="1">
      <c r="A84" s="177">
        <v>81</v>
      </c>
      <c r="B84" s="172">
        <v>3</v>
      </c>
      <c r="C84" s="160" t="s">
        <v>2578</v>
      </c>
      <c r="D84" s="160" t="s">
        <v>2511</v>
      </c>
      <c r="E84" s="160" t="s">
        <v>2375</v>
      </c>
      <c r="F84" s="160" t="s">
        <v>1578</v>
      </c>
      <c r="G84" s="160" t="s">
        <v>2263</v>
      </c>
      <c r="H84" s="160" t="s">
        <v>2476</v>
      </c>
      <c r="I84" s="160" t="s">
        <v>2469</v>
      </c>
      <c r="J84" s="165"/>
      <c r="K84" s="165"/>
      <c r="L84" s="165"/>
      <c r="M84" s="165"/>
      <c r="N84" s="160" t="s">
        <v>2084</v>
      </c>
      <c r="O84" s="160" t="s">
        <v>2264</v>
      </c>
      <c r="P84" s="165"/>
      <c r="Q84" s="189" t="s">
        <v>1879</v>
      </c>
      <c r="R84" s="189" t="s">
        <v>1879</v>
      </c>
      <c r="S84" s="166" t="s">
        <v>1874</v>
      </c>
      <c r="T84" s="189" t="s">
        <v>1879</v>
      </c>
      <c r="U84" s="162" t="s">
        <v>2061</v>
      </c>
    </row>
    <row r="85" spans="1:21" ht="19.2" customHeight="1">
      <c r="A85" s="177">
        <v>82</v>
      </c>
      <c r="B85" s="172">
        <v>3</v>
      </c>
      <c r="C85" s="160" t="s">
        <v>1536</v>
      </c>
      <c r="D85" s="160" t="s">
        <v>2511</v>
      </c>
      <c r="E85" s="160" t="s">
        <v>2382</v>
      </c>
      <c r="F85" s="160" t="s">
        <v>1578</v>
      </c>
      <c r="G85" s="160" t="s">
        <v>2263</v>
      </c>
      <c r="H85" s="160" t="s">
        <v>2476</v>
      </c>
      <c r="I85" s="160" t="s">
        <v>2469</v>
      </c>
      <c r="J85" s="165"/>
      <c r="K85" s="165"/>
      <c r="L85" s="165"/>
      <c r="M85" s="165"/>
      <c r="N85" s="160" t="s">
        <v>2084</v>
      </c>
      <c r="O85" s="160" t="s">
        <v>2264</v>
      </c>
      <c r="P85" s="165"/>
      <c r="Q85" s="189" t="s">
        <v>1879</v>
      </c>
      <c r="R85" s="189" t="s">
        <v>1879</v>
      </c>
      <c r="S85" s="166" t="s">
        <v>1874</v>
      </c>
      <c r="T85" s="189" t="s">
        <v>1879</v>
      </c>
      <c r="U85" s="162" t="s">
        <v>2061</v>
      </c>
    </row>
    <row r="86" spans="1:21" ht="19.2" customHeight="1">
      <c r="A86" s="177">
        <v>83</v>
      </c>
      <c r="B86" s="172">
        <v>3</v>
      </c>
      <c r="C86" s="160" t="s">
        <v>1537</v>
      </c>
      <c r="D86" s="160" t="s">
        <v>2511</v>
      </c>
      <c r="E86" s="160" t="s">
        <v>2385</v>
      </c>
      <c r="F86" s="160" t="s">
        <v>1578</v>
      </c>
      <c r="G86" s="160" t="s">
        <v>2263</v>
      </c>
      <c r="H86" s="160" t="s">
        <v>2476</v>
      </c>
      <c r="I86" s="160" t="s">
        <v>2469</v>
      </c>
      <c r="J86" s="165"/>
      <c r="K86" s="165"/>
      <c r="L86" s="165"/>
      <c r="M86" s="165"/>
      <c r="N86" s="160" t="s">
        <v>2084</v>
      </c>
      <c r="O86" s="160" t="s">
        <v>2264</v>
      </c>
      <c r="P86" s="165"/>
      <c r="Q86" s="189" t="s">
        <v>1879</v>
      </c>
      <c r="R86" s="189" t="s">
        <v>1879</v>
      </c>
      <c r="S86" s="166" t="s">
        <v>1874</v>
      </c>
      <c r="T86" s="189" t="s">
        <v>1879</v>
      </c>
      <c r="U86" s="162" t="s">
        <v>2061</v>
      </c>
    </row>
    <row r="87" spans="1:21" ht="19.2" customHeight="1">
      <c r="A87" s="177">
        <v>84</v>
      </c>
      <c r="B87" s="183">
        <v>3</v>
      </c>
      <c r="C87" s="184" t="s">
        <v>1543</v>
      </c>
      <c r="D87" s="184" t="s">
        <v>2511</v>
      </c>
      <c r="E87" s="184" t="s">
        <v>2393</v>
      </c>
      <c r="F87" s="184" t="s">
        <v>1551</v>
      </c>
      <c r="G87" s="184" t="s">
        <v>2263</v>
      </c>
      <c r="H87" s="184" t="s">
        <v>2476</v>
      </c>
      <c r="I87" s="184" t="s">
        <v>2469</v>
      </c>
      <c r="J87" s="185"/>
      <c r="K87" s="185"/>
      <c r="L87" s="185"/>
      <c r="M87" s="185"/>
      <c r="N87" s="184" t="s">
        <v>2084</v>
      </c>
      <c r="O87" s="184" t="s">
        <v>2264</v>
      </c>
      <c r="P87" s="185"/>
      <c r="Q87" s="184"/>
      <c r="R87" s="184"/>
      <c r="S87" s="184"/>
      <c r="T87" s="184"/>
      <c r="U87" s="162" t="s">
        <v>2061</v>
      </c>
    </row>
    <row r="88" spans="1:21" ht="19.2" customHeight="1">
      <c r="A88" s="177">
        <v>85</v>
      </c>
      <c r="B88" s="183">
        <v>3</v>
      </c>
      <c r="C88" s="184" t="s">
        <v>1544</v>
      </c>
      <c r="D88" s="184" t="s">
        <v>2511</v>
      </c>
      <c r="E88" s="184" t="s">
        <v>2396</v>
      </c>
      <c r="F88" s="184" t="s">
        <v>1551</v>
      </c>
      <c r="G88" s="184" t="s">
        <v>2263</v>
      </c>
      <c r="H88" s="184" t="s">
        <v>2476</v>
      </c>
      <c r="I88" s="184" t="s">
        <v>2469</v>
      </c>
      <c r="J88" s="185"/>
      <c r="K88" s="185"/>
      <c r="L88" s="185"/>
      <c r="M88" s="185"/>
      <c r="N88" s="184" t="s">
        <v>2084</v>
      </c>
      <c r="O88" s="184" t="s">
        <v>2264</v>
      </c>
      <c r="P88" s="185"/>
      <c r="Q88" s="184"/>
      <c r="R88" s="184"/>
      <c r="S88" s="184"/>
      <c r="T88" s="184"/>
      <c r="U88" s="162" t="s">
        <v>2061</v>
      </c>
    </row>
    <row r="89" spans="1:21" ht="19.2" customHeight="1">
      <c r="A89" s="177">
        <v>86</v>
      </c>
      <c r="B89" s="183">
        <v>3</v>
      </c>
      <c r="C89" s="184" t="s">
        <v>2674</v>
      </c>
      <c r="D89" s="184" t="s">
        <v>2604</v>
      </c>
      <c r="E89" s="184" t="s">
        <v>2675</v>
      </c>
      <c r="F89" s="184" t="s">
        <v>1127</v>
      </c>
      <c r="G89" s="184" t="s">
        <v>2263</v>
      </c>
      <c r="H89" s="184" t="s">
        <v>2106</v>
      </c>
      <c r="I89" s="184" t="s">
        <v>2469</v>
      </c>
      <c r="J89" s="185"/>
      <c r="K89" s="185"/>
      <c r="L89" s="185"/>
      <c r="M89" s="185"/>
      <c r="N89" s="184" t="s">
        <v>2084</v>
      </c>
      <c r="O89" s="184" t="s">
        <v>2264</v>
      </c>
      <c r="P89" s="185"/>
      <c r="Q89" s="184"/>
      <c r="R89" s="184"/>
      <c r="S89" s="184"/>
      <c r="T89" s="184"/>
      <c r="U89" s="162" t="s">
        <v>2061</v>
      </c>
    </row>
    <row r="90" spans="1:21" ht="19.2" customHeight="1">
      <c r="A90" s="177">
        <v>87</v>
      </c>
      <c r="B90" s="172">
        <v>3</v>
      </c>
      <c r="C90" s="160" t="s">
        <v>2672</v>
      </c>
      <c r="D90" s="160" t="s">
        <v>2673</v>
      </c>
      <c r="E90" s="160" t="s">
        <v>2673</v>
      </c>
      <c r="F90" s="160" t="s">
        <v>1127</v>
      </c>
      <c r="G90" s="160" t="s">
        <v>2434</v>
      </c>
      <c r="H90" s="160" t="s">
        <v>2476</v>
      </c>
      <c r="I90" s="160" t="s">
        <v>2469</v>
      </c>
      <c r="J90" s="165"/>
      <c r="K90" s="165"/>
      <c r="L90" s="165"/>
      <c r="M90" s="165"/>
      <c r="N90" s="160" t="s">
        <v>2084</v>
      </c>
      <c r="O90" s="160" t="s">
        <v>2435</v>
      </c>
      <c r="P90" s="165"/>
      <c r="Q90" s="224" t="s">
        <v>2821</v>
      </c>
      <c r="R90" s="189" t="s">
        <v>1879</v>
      </c>
      <c r="S90" s="160" t="s">
        <v>1874</v>
      </c>
      <c r="T90" s="189" t="s">
        <v>1879</v>
      </c>
      <c r="U90" s="162" t="s">
        <v>2061</v>
      </c>
    </row>
    <row r="91" spans="1:21" ht="19.2" customHeight="1">
      <c r="A91" s="177">
        <v>88</v>
      </c>
      <c r="B91" s="172">
        <v>3</v>
      </c>
      <c r="C91" s="160" t="s">
        <v>2682</v>
      </c>
      <c r="D91" s="160" t="s">
        <v>2604</v>
      </c>
      <c r="E91" s="160" t="s">
        <v>2683</v>
      </c>
      <c r="F91" s="160" t="s">
        <v>1127</v>
      </c>
      <c r="G91" s="160" t="s">
        <v>2434</v>
      </c>
      <c r="H91" s="160" t="s">
        <v>2476</v>
      </c>
      <c r="I91" s="160" t="s">
        <v>2469</v>
      </c>
      <c r="J91" s="165"/>
      <c r="K91" s="165"/>
      <c r="L91" s="165"/>
      <c r="M91" s="165"/>
      <c r="N91" s="160" t="s">
        <v>2084</v>
      </c>
      <c r="O91" s="160" t="s">
        <v>2435</v>
      </c>
      <c r="P91" s="165"/>
      <c r="Q91" s="224" t="s">
        <v>2821</v>
      </c>
      <c r="R91" s="189" t="s">
        <v>1879</v>
      </c>
      <c r="S91" s="160" t="s">
        <v>1874</v>
      </c>
      <c r="T91" s="189" t="s">
        <v>2910</v>
      </c>
      <c r="U91" s="162" t="s">
        <v>2061</v>
      </c>
    </row>
    <row r="92" spans="1:21" ht="19.2" customHeight="1">
      <c r="A92" s="177">
        <v>89</v>
      </c>
      <c r="B92" s="172">
        <v>3</v>
      </c>
      <c r="C92" s="160" t="s">
        <v>2592</v>
      </c>
      <c r="D92" s="160" t="s">
        <v>2593</v>
      </c>
      <c r="E92" s="160" t="s">
        <v>2594</v>
      </c>
      <c r="F92" s="160" t="s">
        <v>1127</v>
      </c>
      <c r="G92" s="160" t="s">
        <v>2595</v>
      </c>
      <c r="H92" s="160" t="s">
        <v>2254</v>
      </c>
      <c r="I92" s="160" t="s">
        <v>2469</v>
      </c>
      <c r="J92" s="165"/>
      <c r="K92" s="165"/>
      <c r="L92" s="165"/>
      <c r="M92" s="165"/>
      <c r="N92" s="160" t="s">
        <v>2084</v>
      </c>
      <c r="O92" s="160" t="s">
        <v>1127</v>
      </c>
      <c r="P92" s="165"/>
      <c r="Q92" s="224" t="s">
        <v>2821</v>
      </c>
      <c r="R92" s="166" t="s">
        <v>1874</v>
      </c>
      <c r="S92" s="224" t="s">
        <v>2821</v>
      </c>
      <c r="T92" s="189" t="s">
        <v>1879</v>
      </c>
      <c r="U92" s="162" t="s">
        <v>2061</v>
      </c>
    </row>
    <row r="93" spans="1:21" ht="19.2" customHeight="1">
      <c r="A93" s="177">
        <v>90</v>
      </c>
      <c r="B93" s="172">
        <v>3</v>
      </c>
      <c r="C93" s="160" t="s">
        <v>2596</v>
      </c>
      <c r="D93" s="160" t="s">
        <v>2432</v>
      </c>
      <c r="E93" s="160" t="s">
        <v>2597</v>
      </c>
      <c r="F93" s="160" t="s">
        <v>1127</v>
      </c>
      <c r="G93" s="160" t="s">
        <v>2595</v>
      </c>
      <c r="H93" s="160" t="s">
        <v>2254</v>
      </c>
      <c r="I93" s="160" t="s">
        <v>2469</v>
      </c>
      <c r="J93" s="165"/>
      <c r="K93" s="165"/>
      <c r="L93" s="165"/>
      <c r="M93" s="165"/>
      <c r="N93" s="160" t="s">
        <v>2084</v>
      </c>
      <c r="O93" s="160" t="s">
        <v>1127</v>
      </c>
      <c r="P93" s="165"/>
      <c r="Q93" s="224" t="s">
        <v>2821</v>
      </c>
      <c r="R93" s="166" t="s">
        <v>1874</v>
      </c>
      <c r="S93" s="224" t="s">
        <v>2821</v>
      </c>
      <c r="T93" s="189" t="s">
        <v>1879</v>
      </c>
      <c r="U93" s="162" t="s">
        <v>2061</v>
      </c>
    </row>
    <row r="94" spans="1:21" ht="19.2" customHeight="1">
      <c r="A94" s="177">
        <v>91</v>
      </c>
      <c r="B94" s="172">
        <v>3</v>
      </c>
      <c r="C94" s="160" t="s">
        <v>2598</v>
      </c>
      <c r="D94" s="160" t="s">
        <v>2437</v>
      </c>
      <c r="E94" s="160" t="s">
        <v>2599</v>
      </c>
      <c r="F94" s="160" t="s">
        <v>1127</v>
      </c>
      <c r="G94" s="160" t="s">
        <v>2595</v>
      </c>
      <c r="H94" s="160" t="s">
        <v>2254</v>
      </c>
      <c r="I94" s="160" t="s">
        <v>2469</v>
      </c>
      <c r="J94" s="165"/>
      <c r="K94" s="165"/>
      <c r="L94" s="165"/>
      <c r="M94" s="165"/>
      <c r="N94" s="160" t="s">
        <v>2084</v>
      </c>
      <c r="O94" s="160" t="s">
        <v>1127</v>
      </c>
      <c r="P94" s="165"/>
      <c r="Q94" s="224" t="s">
        <v>2821</v>
      </c>
      <c r="R94" s="166" t="s">
        <v>1874</v>
      </c>
      <c r="S94" s="224" t="s">
        <v>2821</v>
      </c>
      <c r="T94" s="189" t="s">
        <v>1879</v>
      </c>
      <c r="U94" s="162" t="s">
        <v>2061</v>
      </c>
    </row>
    <row r="95" spans="1:21" ht="19.2" customHeight="1">
      <c r="A95" s="177">
        <v>92</v>
      </c>
      <c r="B95" s="188">
        <v>3</v>
      </c>
      <c r="C95" s="189" t="s">
        <v>2600</v>
      </c>
      <c r="D95" s="189" t="s">
        <v>2601</v>
      </c>
      <c r="E95" s="189" t="s">
        <v>2602</v>
      </c>
      <c r="F95" s="189" t="s">
        <v>1127</v>
      </c>
      <c r="G95" s="189" t="s">
        <v>2595</v>
      </c>
      <c r="H95" s="189" t="s">
        <v>2254</v>
      </c>
      <c r="I95" s="189" t="s">
        <v>2469</v>
      </c>
      <c r="J95" s="190"/>
      <c r="K95" s="190"/>
      <c r="L95" s="190"/>
      <c r="M95" s="190"/>
      <c r="N95" s="189" t="s">
        <v>2084</v>
      </c>
      <c r="O95" s="189" t="s">
        <v>1127</v>
      </c>
      <c r="P95" s="190"/>
      <c r="Q95" s="224" t="s">
        <v>2821</v>
      </c>
      <c r="R95" s="189" t="s">
        <v>1879</v>
      </c>
      <c r="S95" s="224" t="s">
        <v>2821</v>
      </c>
      <c r="T95" s="189" t="s">
        <v>1879</v>
      </c>
      <c r="U95" s="162" t="s">
        <v>2061</v>
      </c>
    </row>
    <row r="96" spans="1:21" ht="19.2" customHeight="1">
      <c r="A96" s="177">
        <v>93</v>
      </c>
      <c r="B96" s="188">
        <v>3</v>
      </c>
      <c r="C96" s="189" t="s">
        <v>2603</v>
      </c>
      <c r="D96" s="189" t="s">
        <v>2604</v>
      </c>
      <c r="E96" s="189" t="s">
        <v>2605</v>
      </c>
      <c r="F96" s="189" t="s">
        <v>1127</v>
      </c>
      <c r="G96" s="189" t="s">
        <v>2595</v>
      </c>
      <c r="H96" s="189" t="s">
        <v>2254</v>
      </c>
      <c r="I96" s="189" t="s">
        <v>2469</v>
      </c>
      <c r="J96" s="190"/>
      <c r="K96" s="190"/>
      <c r="L96" s="190"/>
      <c r="M96" s="190"/>
      <c r="N96" s="189" t="s">
        <v>2084</v>
      </c>
      <c r="O96" s="189" t="s">
        <v>1127</v>
      </c>
      <c r="P96" s="190"/>
      <c r="Q96" s="224" t="s">
        <v>2821</v>
      </c>
      <c r="R96" s="189" t="s">
        <v>1879</v>
      </c>
      <c r="S96" s="224" t="s">
        <v>2821</v>
      </c>
      <c r="T96" s="189" t="s">
        <v>1879</v>
      </c>
      <c r="U96" s="162" t="s">
        <v>2061</v>
      </c>
    </row>
    <row r="97" spans="1:21" ht="19.2" customHeight="1">
      <c r="A97" s="177">
        <v>94</v>
      </c>
      <c r="B97" s="172">
        <v>3</v>
      </c>
      <c r="C97" s="160" t="s">
        <v>2606</v>
      </c>
      <c r="D97" s="160" t="s">
        <v>2607</v>
      </c>
      <c r="E97" s="160" t="s">
        <v>2608</v>
      </c>
      <c r="F97" s="160" t="s">
        <v>1127</v>
      </c>
      <c r="G97" s="160" t="s">
        <v>2595</v>
      </c>
      <c r="H97" s="160" t="s">
        <v>2254</v>
      </c>
      <c r="I97" s="160" t="s">
        <v>2469</v>
      </c>
      <c r="J97" s="165"/>
      <c r="K97" s="165"/>
      <c r="L97" s="165"/>
      <c r="M97" s="165"/>
      <c r="N97" s="160" t="s">
        <v>2084</v>
      </c>
      <c r="O97" s="160" t="s">
        <v>1127</v>
      </c>
      <c r="P97" s="165"/>
      <c r="Q97" s="224" t="s">
        <v>2821</v>
      </c>
      <c r="R97" s="166" t="s">
        <v>1874</v>
      </c>
      <c r="S97" s="224" t="s">
        <v>2821</v>
      </c>
      <c r="T97" s="189" t="s">
        <v>1879</v>
      </c>
      <c r="U97" s="162" t="s">
        <v>2061</v>
      </c>
    </row>
    <row r="98" spans="1:21" ht="19.2" customHeight="1">
      <c r="A98" s="177">
        <v>95</v>
      </c>
      <c r="B98" s="172">
        <v>3</v>
      </c>
      <c r="C98" s="160" t="s">
        <v>2609</v>
      </c>
      <c r="D98" s="160" t="s">
        <v>2607</v>
      </c>
      <c r="E98" s="160" t="s">
        <v>2608</v>
      </c>
      <c r="F98" s="160" t="s">
        <v>1127</v>
      </c>
      <c r="G98" s="160" t="s">
        <v>2595</v>
      </c>
      <c r="H98" s="160" t="s">
        <v>2254</v>
      </c>
      <c r="I98" s="160" t="s">
        <v>2469</v>
      </c>
      <c r="J98" s="165"/>
      <c r="K98" s="165"/>
      <c r="L98" s="165"/>
      <c r="M98" s="165"/>
      <c r="N98" s="160" t="s">
        <v>2084</v>
      </c>
      <c r="O98" s="160" t="s">
        <v>1127</v>
      </c>
      <c r="P98" s="165"/>
      <c r="Q98" s="224" t="s">
        <v>2821</v>
      </c>
      <c r="R98" s="166" t="s">
        <v>1874</v>
      </c>
      <c r="S98" s="224" t="s">
        <v>2821</v>
      </c>
      <c r="T98" s="189" t="s">
        <v>1879</v>
      </c>
      <c r="U98" s="162" t="s">
        <v>2061</v>
      </c>
    </row>
    <row r="99" spans="1:21" ht="19.2" customHeight="1">
      <c r="A99" s="177">
        <v>96</v>
      </c>
      <c r="B99" s="172">
        <v>3</v>
      </c>
      <c r="C99" s="160" t="s">
        <v>2610</v>
      </c>
      <c r="D99" s="160" t="s">
        <v>2611</v>
      </c>
      <c r="E99" s="160" t="s">
        <v>2612</v>
      </c>
      <c r="F99" s="160" t="s">
        <v>1127</v>
      </c>
      <c r="G99" s="160" t="s">
        <v>2595</v>
      </c>
      <c r="H99" s="160" t="s">
        <v>2254</v>
      </c>
      <c r="I99" s="160" t="s">
        <v>2469</v>
      </c>
      <c r="J99" s="165"/>
      <c r="K99" s="165"/>
      <c r="L99" s="165"/>
      <c r="M99" s="165"/>
      <c r="N99" s="160" t="s">
        <v>2084</v>
      </c>
      <c r="O99" s="160" t="s">
        <v>1127</v>
      </c>
      <c r="P99" s="165"/>
      <c r="Q99" s="224" t="s">
        <v>2821</v>
      </c>
      <c r="R99" s="166" t="s">
        <v>1874</v>
      </c>
      <c r="S99" s="224" t="s">
        <v>2821</v>
      </c>
      <c r="T99" s="189" t="s">
        <v>1879</v>
      </c>
      <c r="U99" s="162" t="s">
        <v>2061</v>
      </c>
    </row>
    <row r="100" spans="1:21" ht="19.2" customHeight="1">
      <c r="A100" s="177">
        <v>97</v>
      </c>
      <c r="B100" s="172">
        <v>3</v>
      </c>
      <c r="C100" s="160" t="s">
        <v>2613</v>
      </c>
      <c r="D100" s="160" t="s">
        <v>2614</v>
      </c>
      <c r="E100" s="160" t="s">
        <v>2615</v>
      </c>
      <c r="F100" s="160" t="s">
        <v>1127</v>
      </c>
      <c r="G100" s="160" t="s">
        <v>2595</v>
      </c>
      <c r="H100" s="160" t="s">
        <v>2254</v>
      </c>
      <c r="I100" s="160" t="s">
        <v>2469</v>
      </c>
      <c r="J100" s="165"/>
      <c r="K100" s="165"/>
      <c r="L100" s="165"/>
      <c r="M100" s="165"/>
      <c r="N100" s="160" t="s">
        <v>2084</v>
      </c>
      <c r="O100" s="160" t="s">
        <v>1127</v>
      </c>
      <c r="P100" s="165"/>
      <c r="Q100" s="224" t="s">
        <v>2821</v>
      </c>
      <c r="R100" s="166" t="s">
        <v>1874</v>
      </c>
      <c r="S100" s="224" t="s">
        <v>2821</v>
      </c>
      <c r="T100" s="189" t="s">
        <v>1879</v>
      </c>
      <c r="U100" s="162" t="s">
        <v>2061</v>
      </c>
    </row>
    <row r="101" spans="1:21" ht="19.2" customHeight="1">
      <c r="A101" s="177">
        <v>98</v>
      </c>
      <c r="B101" s="172">
        <v>3</v>
      </c>
      <c r="C101" s="160" t="s">
        <v>2616</v>
      </c>
      <c r="D101" s="160" t="s">
        <v>2607</v>
      </c>
      <c r="E101" s="160" t="s">
        <v>2608</v>
      </c>
      <c r="F101" s="160" t="s">
        <v>1127</v>
      </c>
      <c r="G101" s="160" t="s">
        <v>2595</v>
      </c>
      <c r="H101" s="160" t="s">
        <v>2254</v>
      </c>
      <c r="I101" s="160" t="s">
        <v>2469</v>
      </c>
      <c r="J101" s="165"/>
      <c r="K101" s="165"/>
      <c r="L101" s="165"/>
      <c r="M101" s="165"/>
      <c r="N101" s="160" t="s">
        <v>2084</v>
      </c>
      <c r="O101" s="160" t="s">
        <v>1127</v>
      </c>
      <c r="P101" s="165"/>
      <c r="Q101" s="224" t="s">
        <v>2821</v>
      </c>
      <c r="R101" s="166" t="s">
        <v>1874</v>
      </c>
      <c r="S101" s="224" t="s">
        <v>2821</v>
      </c>
      <c r="T101" s="189" t="s">
        <v>1879</v>
      </c>
      <c r="U101" s="162" t="s">
        <v>2061</v>
      </c>
    </row>
    <row r="102" spans="1:21" ht="19.2" customHeight="1">
      <c r="A102" s="177">
        <v>99</v>
      </c>
      <c r="B102" s="172">
        <v>3</v>
      </c>
      <c r="C102" s="160" t="s">
        <v>2617</v>
      </c>
      <c r="D102" s="160" t="s">
        <v>2607</v>
      </c>
      <c r="E102" s="160" t="s">
        <v>2608</v>
      </c>
      <c r="F102" s="160" t="s">
        <v>1127</v>
      </c>
      <c r="G102" s="160" t="s">
        <v>2595</v>
      </c>
      <c r="H102" s="160" t="s">
        <v>2254</v>
      </c>
      <c r="I102" s="160" t="s">
        <v>2469</v>
      </c>
      <c r="J102" s="165"/>
      <c r="K102" s="165"/>
      <c r="L102" s="165"/>
      <c r="M102" s="165"/>
      <c r="N102" s="160" t="s">
        <v>2084</v>
      </c>
      <c r="O102" s="160" t="s">
        <v>1127</v>
      </c>
      <c r="P102" s="165"/>
      <c r="Q102" s="224" t="s">
        <v>2821</v>
      </c>
      <c r="R102" s="166" t="s">
        <v>1874</v>
      </c>
      <c r="S102" s="224" t="s">
        <v>2821</v>
      </c>
      <c r="T102" s="189" t="s">
        <v>1879</v>
      </c>
      <c r="U102" s="162" t="s">
        <v>2061</v>
      </c>
    </row>
    <row r="103" spans="1:21" ht="19.2" customHeight="1">
      <c r="A103" s="177">
        <v>100</v>
      </c>
      <c r="B103" s="172">
        <v>3</v>
      </c>
      <c r="C103" s="160" t="s">
        <v>2618</v>
      </c>
      <c r="D103" s="160" t="s">
        <v>2607</v>
      </c>
      <c r="E103" s="160" t="s">
        <v>2608</v>
      </c>
      <c r="F103" s="160" t="s">
        <v>1127</v>
      </c>
      <c r="G103" s="160" t="s">
        <v>2595</v>
      </c>
      <c r="H103" s="160" t="s">
        <v>2254</v>
      </c>
      <c r="I103" s="160" t="s">
        <v>2469</v>
      </c>
      <c r="J103" s="165"/>
      <c r="K103" s="165"/>
      <c r="L103" s="165"/>
      <c r="M103" s="165"/>
      <c r="N103" s="160" t="s">
        <v>2084</v>
      </c>
      <c r="O103" s="160" t="s">
        <v>1127</v>
      </c>
      <c r="P103" s="165"/>
      <c r="Q103" s="224" t="s">
        <v>2821</v>
      </c>
      <c r="R103" s="166" t="s">
        <v>1874</v>
      </c>
      <c r="S103" s="224" t="s">
        <v>2821</v>
      </c>
      <c r="T103" s="189" t="s">
        <v>1879</v>
      </c>
      <c r="U103" s="162" t="s">
        <v>2061</v>
      </c>
    </row>
    <row r="104" spans="1:21" ht="19.2" customHeight="1">
      <c r="A104" s="177">
        <v>101</v>
      </c>
      <c r="B104" s="172">
        <v>3</v>
      </c>
      <c r="C104" s="160" t="s">
        <v>2619</v>
      </c>
      <c r="D104" s="160" t="s">
        <v>2607</v>
      </c>
      <c r="E104" s="160" t="s">
        <v>2608</v>
      </c>
      <c r="F104" s="160" t="s">
        <v>1127</v>
      </c>
      <c r="G104" s="160" t="s">
        <v>2595</v>
      </c>
      <c r="H104" s="160" t="s">
        <v>2254</v>
      </c>
      <c r="I104" s="160" t="s">
        <v>2469</v>
      </c>
      <c r="J104" s="165"/>
      <c r="K104" s="165"/>
      <c r="L104" s="165"/>
      <c r="M104" s="165"/>
      <c r="N104" s="160" t="s">
        <v>2084</v>
      </c>
      <c r="O104" s="160" t="s">
        <v>1127</v>
      </c>
      <c r="P104" s="165"/>
      <c r="Q104" s="224" t="s">
        <v>2821</v>
      </c>
      <c r="R104" s="166" t="s">
        <v>1874</v>
      </c>
      <c r="S104" s="224" t="s">
        <v>2821</v>
      </c>
      <c r="T104" s="189" t="s">
        <v>1879</v>
      </c>
      <c r="U104" s="162" t="s">
        <v>2061</v>
      </c>
    </row>
    <row r="105" spans="1:21" ht="19.2" customHeight="1">
      <c r="A105" s="177">
        <v>102</v>
      </c>
      <c r="B105" s="172">
        <v>3</v>
      </c>
      <c r="C105" s="160" t="s">
        <v>2620</v>
      </c>
      <c r="D105" s="160" t="s">
        <v>2621</v>
      </c>
      <c r="E105" s="160" t="s">
        <v>2622</v>
      </c>
      <c r="F105" s="160" t="s">
        <v>1127</v>
      </c>
      <c r="G105" s="160" t="s">
        <v>2595</v>
      </c>
      <c r="H105" s="160" t="s">
        <v>2106</v>
      </c>
      <c r="I105" s="160" t="s">
        <v>2469</v>
      </c>
      <c r="J105" s="165"/>
      <c r="K105" s="165"/>
      <c r="L105" s="165"/>
      <c r="M105" s="165"/>
      <c r="N105" s="160" t="s">
        <v>2084</v>
      </c>
      <c r="O105" s="160" t="s">
        <v>1127</v>
      </c>
      <c r="P105" s="165"/>
      <c r="Q105" s="224" t="s">
        <v>2821</v>
      </c>
      <c r="R105" s="166" t="s">
        <v>1874</v>
      </c>
      <c r="S105" s="224" t="s">
        <v>2821</v>
      </c>
      <c r="T105" s="189" t="s">
        <v>1879</v>
      </c>
      <c r="U105" s="162" t="s">
        <v>2061</v>
      </c>
    </row>
    <row r="106" spans="1:21" ht="19.2" customHeight="1">
      <c r="A106" s="177">
        <v>103</v>
      </c>
      <c r="B106" s="172">
        <v>3</v>
      </c>
      <c r="C106" s="160" t="s">
        <v>2623</v>
      </c>
      <c r="D106" s="160" t="s">
        <v>2624</v>
      </c>
      <c r="E106" s="160" t="s">
        <v>2625</v>
      </c>
      <c r="F106" s="160" t="s">
        <v>1127</v>
      </c>
      <c r="G106" s="160" t="s">
        <v>2595</v>
      </c>
      <c r="H106" s="160" t="s">
        <v>2106</v>
      </c>
      <c r="I106" s="160" t="s">
        <v>2469</v>
      </c>
      <c r="J106" s="165"/>
      <c r="K106" s="165"/>
      <c r="L106" s="165"/>
      <c r="M106" s="165"/>
      <c r="N106" s="160" t="s">
        <v>2084</v>
      </c>
      <c r="O106" s="160" t="s">
        <v>1127</v>
      </c>
      <c r="P106" s="165"/>
      <c r="Q106" s="224" t="s">
        <v>2821</v>
      </c>
      <c r="R106" s="166" t="s">
        <v>1874</v>
      </c>
      <c r="S106" s="224" t="s">
        <v>2821</v>
      </c>
      <c r="T106" s="189" t="s">
        <v>1879</v>
      </c>
      <c r="U106" s="162" t="s">
        <v>2061</v>
      </c>
    </row>
    <row r="107" spans="1:21" ht="19.2" customHeight="1">
      <c r="A107" s="177">
        <v>104</v>
      </c>
      <c r="B107" s="188">
        <v>3</v>
      </c>
      <c r="C107" s="189" t="s">
        <v>2626</v>
      </c>
      <c r="D107" s="189" t="s">
        <v>2627</v>
      </c>
      <c r="E107" s="189" t="s">
        <v>2628</v>
      </c>
      <c r="F107" s="189" t="s">
        <v>1127</v>
      </c>
      <c r="G107" s="189" t="s">
        <v>2595</v>
      </c>
      <c r="H107" s="189" t="s">
        <v>2106</v>
      </c>
      <c r="I107" s="189" t="s">
        <v>2469</v>
      </c>
      <c r="J107" s="190"/>
      <c r="K107" s="190"/>
      <c r="L107" s="190"/>
      <c r="M107" s="190"/>
      <c r="N107" s="189" t="s">
        <v>2084</v>
      </c>
      <c r="O107" s="189" t="s">
        <v>1127</v>
      </c>
      <c r="P107" s="190"/>
      <c r="Q107" s="224" t="s">
        <v>2821</v>
      </c>
      <c r="R107" s="189" t="s">
        <v>1879</v>
      </c>
      <c r="S107" s="224" t="s">
        <v>2821</v>
      </c>
      <c r="T107" s="189" t="s">
        <v>1879</v>
      </c>
      <c r="U107" s="162" t="s">
        <v>2061</v>
      </c>
    </row>
    <row r="108" spans="1:21" ht="19.2" customHeight="1">
      <c r="A108" s="177">
        <v>105</v>
      </c>
      <c r="B108" s="188">
        <v>3</v>
      </c>
      <c r="C108" s="189" t="s">
        <v>2629</v>
      </c>
      <c r="D108" s="189" t="s">
        <v>2630</v>
      </c>
      <c r="E108" s="189" t="s">
        <v>2631</v>
      </c>
      <c r="F108" s="189" t="s">
        <v>1127</v>
      </c>
      <c r="G108" s="189" t="s">
        <v>2595</v>
      </c>
      <c r="H108" s="189" t="s">
        <v>2106</v>
      </c>
      <c r="I108" s="189" t="s">
        <v>2469</v>
      </c>
      <c r="J108" s="190"/>
      <c r="K108" s="190"/>
      <c r="L108" s="190"/>
      <c r="M108" s="190"/>
      <c r="N108" s="189" t="s">
        <v>2084</v>
      </c>
      <c r="O108" s="189" t="s">
        <v>1127</v>
      </c>
      <c r="P108" s="190"/>
      <c r="Q108" s="224" t="s">
        <v>2821</v>
      </c>
      <c r="R108" s="189" t="s">
        <v>1879</v>
      </c>
      <c r="S108" s="224" t="s">
        <v>2821</v>
      </c>
      <c r="T108" s="189" t="s">
        <v>1879</v>
      </c>
      <c r="U108" s="162" t="s">
        <v>2061</v>
      </c>
    </row>
    <row r="109" spans="1:21" ht="19.2" customHeight="1">
      <c r="A109" s="177">
        <v>106</v>
      </c>
      <c r="B109" s="172">
        <v>3</v>
      </c>
      <c r="C109" s="160" t="s">
        <v>2632</v>
      </c>
      <c r="D109" s="160" t="s">
        <v>2633</v>
      </c>
      <c r="E109" s="160" t="s">
        <v>2634</v>
      </c>
      <c r="F109" s="160" t="s">
        <v>1127</v>
      </c>
      <c r="G109" s="160" t="s">
        <v>2595</v>
      </c>
      <c r="H109" s="160" t="s">
        <v>2106</v>
      </c>
      <c r="I109" s="160" t="s">
        <v>2469</v>
      </c>
      <c r="J109" s="165"/>
      <c r="K109" s="165"/>
      <c r="L109" s="165"/>
      <c r="M109" s="165"/>
      <c r="N109" s="160" t="s">
        <v>2084</v>
      </c>
      <c r="O109" s="160" t="s">
        <v>1127</v>
      </c>
      <c r="P109" s="165"/>
      <c r="Q109" s="224" t="s">
        <v>2821</v>
      </c>
      <c r="R109" s="166" t="s">
        <v>1874</v>
      </c>
      <c r="S109" s="224" t="s">
        <v>2821</v>
      </c>
      <c r="T109" s="189" t="s">
        <v>1879</v>
      </c>
      <c r="U109" s="162" t="s">
        <v>2061</v>
      </c>
    </row>
    <row r="110" spans="1:21" ht="19.2" customHeight="1">
      <c r="A110" s="177">
        <v>107</v>
      </c>
      <c r="B110" s="172">
        <v>3</v>
      </c>
      <c r="C110" s="160" t="s">
        <v>2635</v>
      </c>
      <c r="D110" s="160" t="s">
        <v>2636</v>
      </c>
      <c r="E110" s="160" t="s">
        <v>2637</v>
      </c>
      <c r="F110" s="160" t="s">
        <v>1127</v>
      </c>
      <c r="G110" s="160" t="s">
        <v>2595</v>
      </c>
      <c r="H110" s="160" t="s">
        <v>2106</v>
      </c>
      <c r="I110" s="160" t="s">
        <v>2469</v>
      </c>
      <c r="J110" s="165"/>
      <c r="K110" s="165"/>
      <c r="L110" s="165"/>
      <c r="M110" s="165"/>
      <c r="N110" s="160" t="s">
        <v>2084</v>
      </c>
      <c r="O110" s="160" t="s">
        <v>1127</v>
      </c>
      <c r="P110" s="165"/>
      <c r="Q110" s="224" t="s">
        <v>2821</v>
      </c>
      <c r="R110" s="166" t="s">
        <v>1874</v>
      </c>
      <c r="S110" s="224" t="s">
        <v>2821</v>
      </c>
      <c r="T110" s="189" t="s">
        <v>1879</v>
      </c>
      <c r="U110" s="162" t="s">
        <v>2061</v>
      </c>
    </row>
    <row r="111" spans="1:21" ht="19.2" customHeight="1">
      <c r="A111" s="177">
        <v>108</v>
      </c>
      <c r="B111" s="172">
        <v>3</v>
      </c>
      <c r="C111" s="160" t="s">
        <v>2638</v>
      </c>
      <c r="D111" s="160" t="s">
        <v>2639</v>
      </c>
      <c r="E111" s="160" t="s">
        <v>2640</v>
      </c>
      <c r="F111" s="160" t="s">
        <v>1127</v>
      </c>
      <c r="G111" s="160" t="s">
        <v>2595</v>
      </c>
      <c r="H111" s="160" t="s">
        <v>2106</v>
      </c>
      <c r="I111" s="160" t="s">
        <v>2469</v>
      </c>
      <c r="J111" s="165"/>
      <c r="K111" s="165"/>
      <c r="L111" s="165"/>
      <c r="M111" s="165"/>
      <c r="N111" s="160" t="s">
        <v>2084</v>
      </c>
      <c r="O111" s="160" t="s">
        <v>1127</v>
      </c>
      <c r="P111" s="165"/>
      <c r="Q111" s="224" t="s">
        <v>2821</v>
      </c>
      <c r="R111" s="166" t="s">
        <v>1874</v>
      </c>
      <c r="S111" s="224" t="s">
        <v>2821</v>
      </c>
      <c r="T111" s="189" t="s">
        <v>1879</v>
      </c>
      <c r="U111" s="162" t="s">
        <v>2061</v>
      </c>
    </row>
    <row r="112" spans="1:21" ht="19.2" customHeight="1">
      <c r="A112" s="177">
        <v>109</v>
      </c>
      <c r="B112" s="172">
        <v>3</v>
      </c>
      <c r="C112" s="160" t="s">
        <v>2641</v>
      </c>
      <c r="D112" s="160" t="s">
        <v>2642</v>
      </c>
      <c r="E112" s="160" t="s">
        <v>2643</v>
      </c>
      <c r="F112" s="160" t="s">
        <v>1127</v>
      </c>
      <c r="G112" s="160" t="s">
        <v>2595</v>
      </c>
      <c r="H112" s="160" t="s">
        <v>2106</v>
      </c>
      <c r="I112" s="160" t="s">
        <v>2469</v>
      </c>
      <c r="J112" s="165"/>
      <c r="K112" s="165"/>
      <c r="L112" s="165"/>
      <c r="M112" s="165"/>
      <c r="N112" s="160" t="s">
        <v>2084</v>
      </c>
      <c r="O112" s="160" t="s">
        <v>1127</v>
      </c>
      <c r="P112" s="165"/>
      <c r="Q112" s="224" t="s">
        <v>2821</v>
      </c>
      <c r="R112" s="166" t="s">
        <v>1874</v>
      </c>
      <c r="S112" s="224" t="s">
        <v>2821</v>
      </c>
      <c r="T112" s="189" t="s">
        <v>1879</v>
      </c>
      <c r="U112" s="162" t="s">
        <v>2061</v>
      </c>
    </row>
    <row r="113" spans="1:21" ht="19.2" customHeight="1">
      <c r="A113" s="177">
        <v>110</v>
      </c>
      <c r="B113" s="172">
        <v>3</v>
      </c>
      <c r="C113" s="160" t="s">
        <v>2644</v>
      </c>
      <c r="D113" s="160" t="s">
        <v>2645</v>
      </c>
      <c r="E113" s="160" t="s">
        <v>2646</v>
      </c>
      <c r="F113" s="160" t="s">
        <v>1127</v>
      </c>
      <c r="G113" s="160" t="s">
        <v>2595</v>
      </c>
      <c r="H113" s="160" t="s">
        <v>2106</v>
      </c>
      <c r="I113" s="160" t="s">
        <v>2469</v>
      </c>
      <c r="J113" s="165"/>
      <c r="K113" s="165"/>
      <c r="L113" s="165"/>
      <c r="M113" s="165"/>
      <c r="N113" s="160" t="s">
        <v>2084</v>
      </c>
      <c r="O113" s="160" t="s">
        <v>1127</v>
      </c>
      <c r="P113" s="165"/>
      <c r="Q113" s="224" t="s">
        <v>2821</v>
      </c>
      <c r="R113" s="166" t="s">
        <v>1874</v>
      </c>
      <c r="S113" s="224" t="s">
        <v>2821</v>
      </c>
      <c r="T113" s="189" t="s">
        <v>1879</v>
      </c>
      <c r="U113" s="162" t="s">
        <v>2061</v>
      </c>
    </row>
    <row r="114" spans="1:21" ht="19.2" customHeight="1">
      <c r="A114" s="177">
        <v>111</v>
      </c>
      <c r="B114" s="172">
        <v>3</v>
      </c>
      <c r="C114" s="160" t="s">
        <v>2647</v>
      </c>
      <c r="D114" s="160" t="s">
        <v>2648</v>
      </c>
      <c r="E114" s="160" t="s">
        <v>2649</v>
      </c>
      <c r="F114" s="160" t="s">
        <v>1127</v>
      </c>
      <c r="G114" s="160" t="s">
        <v>2595</v>
      </c>
      <c r="H114" s="160" t="s">
        <v>2106</v>
      </c>
      <c r="I114" s="160" t="s">
        <v>2469</v>
      </c>
      <c r="J114" s="165"/>
      <c r="K114" s="165"/>
      <c r="L114" s="165"/>
      <c r="M114" s="165"/>
      <c r="N114" s="160" t="s">
        <v>2084</v>
      </c>
      <c r="O114" s="160" t="s">
        <v>1127</v>
      </c>
      <c r="P114" s="165"/>
      <c r="Q114" s="224" t="s">
        <v>2821</v>
      </c>
      <c r="R114" s="166" t="s">
        <v>1874</v>
      </c>
      <c r="S114" s="224" t="s">
        <v>2821</v>
      </c>
      <c r="T114" s="189" t="s">
        <v>1879</v>
      </c>
      <c r="U114" s="162" t="s">
        <v>2061</v>
      </c>
    </row>
    <row r="115" spans="1:21" ht="19.2" customHeight="1">
      <c r="A115" s="177">
        <v>112</v>
      </c>
      <c r="B115" s="172">
        <v>4</v>
      </c>
      <c r="C115" s="160" t="s">
        <v>2650</v>
      </c>
      <c r="D115" s="160" t="s">
        <v>2651</v>
      </c>
      <c r="E115" s="160" t="s">
        <v>2652</v>
      </c>
      <c r="F115" s="160" t="s">
        <v>1127</v>
      </c>
      <c r="G115" s="160" t="s">
        <v>2595</v>
      </c>
      <c r="H115" s="160" t="s">
        <v>2106</v>
      </c>
      <c r="I115" s="160" t="s">
        <v>2469</v>
      </c>
      <c r="J115" s="165"/>
      <c r="K115" s="165"/>
      <c r="L115" s="165"/>
      <c r="M115" s="160" t="s">
        <v>2653</v>
      </c>
      <c r="N115" s="160" t="s">
        <v>2084</v>
      </c>
      <c r="O115" s="160" t="s">
        <v>1127</v>
      </c>
      <c r="P115" s="165"/>
      <c r="Q115" s="224" t="s">
        <v>2821</v>
      </c>
      <c r="R115" s="166" t="s">
        <v>1874</v>
      </c>
      <c r="S115" s="224" t="s">
        <v>2821</v>
      </c>
      <c r="T115" s="189" t="s">
        <v>1879</v>
      </c>
      <c r="U115" s="162" t="s">
        <v>2061</v>
      </c>
    </row>
    <row r="116" spans="1:21" ht="19.2" customHeight="1">
      <c r="A116" s="177">
        <v>113</v>
      </c>
      <c r="B116" s="172">
        <v>3</v>
      </c>
      <c r="C116" s="160" t="s">
        <v>2654</v>
      </c>
      <c r="D116" s="160" t="s">
        <v>2655</v>
      </c>
      <c r="E116" s="160" t="s">
        <v>2656</v>
      </c>
      <c r="F116" s="160" t="s">
        <v>1127</v>
      </c>
      <c r="G116" s="160" t="s">
        <v>2595</v>
      </c>
      <c r="H116" s="160" t="s">
        <v>2106</v>
      </c>
      <c r="I116" s="160" t="s">
        <v>2469</v>
      </c>
      <c r="J116" s="165"/>
      <c r="K116" s="165"/>
      <c r="L116" s="165"/>
      <c r="M116" s="165"/>
      <c r="N116" s="160" t="s">
        <v>2084</v>
      </c>
      <c r="O116" s="160" t="s">
        <v>1127</v>
      </c>
      <c r="P116" s="165"/>
      <c r="Q116" s="224" t="s">
        <v>2821</v>
      </c>
      <c r="R116" s="166" t="s">
        <v>1874</v>
      </c>
      <c r="S116" s="224" t="s">
        <v>2821</v>
      </c>
      <c r="T116" s="189" t="s">
        <v>1879</v>
      </c>
      <c r="U116" s="162" t="s">
        <v>2061</v>
      </c>
    </row>
    <row r="117" spans="1:21" ht="19.2" customHeight="1">
      <c r="A117" s="177">
        <v>114</v>
      </c>
      <c r="B117" s="172">
        <v>3</v>
      </c>
      <c r="C117" s="160" t="s">
        <v>2657</v>
      </c>
      <c r="D117" s="160" t="s">
        <v>2655</v>
      </c>
      <c r="E117" s="160" t="s">
        <v>2656</v>
      </c>
      <c r="F117" s="160" t="s">
        <v>1127</v>
      </c>
      <c r="G117" s="160" t="s">
        <v>2595</v>
      </c>
      <c r="H117" s="160" t="s">
        <v>2106</v>
      </c>
      <c r="I117" s="160" t="s">
        <v>2469</v>
      </c>
      <c r="J117" s="165"/>
      <c r="K117" s="165"/>
      <c r="L117" s="165"/>
      <c r="M117" s="165"/>
      <c r="N117" s="160" t="s">
        <v>2084</v>
      </c>
      <c r="O117" s="160" t="s">
        <v>1127</v>
      </c>
      <c r="P117" s="165"/>
      <c r="Q117" s="224" t="s">
        <v>2821</v>
      </c>
      <c r="R117" s="166" t="s">
        <v>1874</v>
      </c>
      <c r="S117" s="224" t="s">
        <v>2821</v>
      </c>
      <c r="T117" s="189" t="s">
        <v>1879</v>
      </c>
      <c r="U117" s="162" t="s">
        <v>2061</v>
      </c>
    </row>
    <row r="118" spans="1:21" ht="19.2" customHeight="1">
      <c r="A118" s="177">
        <v>115</v>
      </c>
      <c r="B118" s="172">
        <v>3</v>
      </c>
      <c r="C118" s="160" t="s">
        <v>2658</v>
      </c>
      <c r="D118" s="160" t="s">
        <v>2655</v>
      </c>
      <c r="E118" s="160" t="s">
        <v>2656</v>
      </c>
      <c r="F118" s="160" t="s">
        <v>1127</v>
      </c>
      <c r="G118" s="160" t="s">
        <v>2595</v>
      </c>
      <c r="H118" s="160" t="s">
        <v>2106</v>
      </c>
      <c r="I118" s="160" t="s">
        <v>2469</v>
      </c>
      <c r="J118" s="165"/>
      <c r="K118" s="165"/>
      <c r="L118" s="165"/>
      <c r="M118" s="165"/>
      <c r="N118" s="160" t="s">
        <v>2084</v>
      </c>
      <c r="O118" s="160" t="s">
        <v>1127</v>
      </c>
      <c r="P118" s="165"/>
      <c r="Q118" s="224" t="s">
        <v>2821</v>
      </c>
      <c r="R118" s="166" t="s">
        <v>1874</v>
      </c>
      <c r="S118" s="224" t="s">
        <v>2821</v>
      </c>
      <c r="T118" s="189" t="s">
        <v>1879</v>
      </c>
      <c r="U118" s="162" t="s">
        <v>2061</v>
      </c>
    </row>
    <row r="119" spans="1:21" ht="19.2" customHeight="1">
      <c r="A119" s="177">
        <v>116</v>
      </c>
      <c r="B119" s="172">
        <v>3</v>
      </c>
      <c r="C119" s="160" t="s">
        <v>2659</v>
      </c>
      <c r="D119" s="160" t="s">
        <v>2660</v>
      </c>
      <c r="E119" s="160" t="s">
        <v>2661</v>
      </c>
      <c r="F119" s="160" t="s">
        <v>1127</v>
      </c>
      <c r="G119" s="160" t="s">
        <v>2595</v>
      </c>
      <c r="H119" s="160" t="s">
        <v>2106</v>
      </c>
      <c r="I119" s="160" t="s">
        <v>2469</v>
      </c>
      <c r="J119" s="165"/>
      <c r="K119" s="165"/>
      <c r="L119" s="165"/>
      <c r="M119" s="165"/>
      <c r="N119" s="160" t="s">
        <v>2084</v>
      </c>
      <c r="O119" s="160" t="s">
        <v>1127</v>
      </c>
      <c r="P119" s="165"/>
      <c r="Q119" s="224" t="s">
        <v>2821</v>
      </c>
      <c r="R119" s="166" t="s">
        <v>1874</v>
      </c>
      <c r="S119" s="224" t="s">
        <v>2821</v>
      </c>
      <c r="T119" s="189" t="s">
        <v>1879</v>
      </c>
      <c r="U119" s="162" t="s">
        <v>2061</v>
      </c>
    </row>
    <row r="120" spans="1:21" ht="19.2" customHeight="1">
      <c r="A120" s="177">
        <v>117</v>
      </c>
      <c r="B120" s="172">
        <v>3</v>
      </c>
      <c r="C120" s="160" t="s">
        <v>2662</v>
      </c>
      <c r="D120" s="160" t="s">
        <v>2660</v>
      </c>
      <c r="E120" s="160" t="s">
        <v>2661</v>
      </c>
      <c r="F120" s="160" t="s">
        <v>1127</v>
      </c>
      <c r="G120" s="160" t="s">
        <v>2595</v>
      </c>
      <c r="H120" s="160" t="s">
        <v>2106</v>
      </c>
      <c r="I120" s="160" t="s">
        <v>2469</v>
      </c>
      <c r="J120" s="165"/>
      <c r="K120" s="165"/>
      <c r="L120" s="165"/>
      <c r="M120" s="165"/>
      <c r="N120" s="160" t="s">
        <v>2084</v>
      </c>
      <c r="O120" s="160" t="s">
        <v>1127</v>
      </c>
      <c r="P120" s="165"/>
      <c r="Q120" s="224" t="s">
        <v>2821</v>
      </c>
      <c r="R120" s="166" t="s">
        <v>1874</v>
      </c>
      <c r="S120" s="224" t="s">
        <v>2821</v>
      </c>
      <c r="T120" s="189" t="s">
        <v>1879</v>
      </c>
      <c r="U120" s="162" t="s">
        <v>2061</v>
      </c>
    </row>
    <row r="121" spans="1:21" ht="19.2" customHeight="1">
      <c r="A121" s="177">
        <v>118</v>
      </c>
      <c r="B121" s="172">
        <v>3</v>
      </c>
      <c r="C121" s="160" t="s">
        <v>2676</v>
      </c>
      <c r="D121" s="160" t="s">
        <v>2604</v>
      </c>
      <c r="E121" s="160" t="s">
        <v>2677</v>
      </c>
      <c r="F121" s="160" t="s">
        <v>1127</v>
      </c>
      <c r="G121" s="160" t="s">
        <v>2678</v>
      </c>
      <c r="H121" s="160" t="s">
        <v>2106</v>
      </c>
      <c r="I121" s="160" t="s">
        <v>2469</v>
      </c>
      <c r="J121" s="165"/>
      <c r="K121" s="165"/>
      <c r="L121" s="165"/>
      <c r="M121" s="165"/>
      <c r="N121" s="160" t="s">
        <v>2084</v>
      </c>
      <c r="O121" s="160" t="s">
        <v>2679</v>
      </c>
      <c r="P121" s="165"/>
      <c r="Q121" s="224" t="s">
        <v>2821</v>
      </c>
      <c r="R121" s="189" t="s">
        <v>1879</v>
      </c>
      <c r="S121" s="160" t="s">
        <v>1874</v>
      </c>
      <c r="T121" s="189" t="s">
        <v>2910</v>
      </c>
      <c r="U121" s="162" t="s">
        <v>2061</v>
      </c>
    </row>
    <row r="122" spans="1:21" ht="19.2" customHeight="1">
      <c r="A122" s="177">
        <v>119</v>
      </c>
      <c r="B122" s="175">
        <v>4</v>
      </c>
      <c r="C122" s="168" t="s">
        <v>2466</v>
      </c>
      <c r="D122" s="168" t="s">
        <v>2467</v>
      </c>
      <c r="E122" s="168" t="s">
        <v>2468</v>
      </c>
      <c r="F122" s="168" t="s">
        <v>1128</v>
      </c>
      <c r="G122" s="168" t="s">
        <v>2172</v>
      </c>
      <c r="H122" s="168" t="s">
        <v>2080</v>
      </c>
      <c r="I122" s="168" t="s">
        <v>2469</v>
      </c>
      <c r="J122" s="168" t="s">
        <v>2173</v>
      </c>
      <c r="K122" s="169"/>
      <c r="L122" s="169"/>
      <c r="M122" s="168" t="s">
        <v>2174</v>
      </c>
      <c r="N122" s="168" t="s">
        <v>2084</v>
      </c>
      <c r="O122" s="168" t="s">
        <v>2470</v>
      </c>
      <c r="P122" s="169"/>
      <c r="Q122" s="189" t="s">
        <v>1879</v>
      </c>
      <c r="R122" s="166" t="s">
        <v>1874</v>
      </c>
      <c r="S122" s="166" t="s">
        <v>1874</v>
      </c>
      <c r="T122" s="189" t="s">
        <v>1879</v>
      </c>
      <c r="U122" s="162" t="s">
        <v>2061</v>
      </c>
    </row>
    <row r="123" spans="1:21" ht="19.2" customHeight="1">
      <c r="A123" s="177">
        <v>120</v>
      </c>
      <c r="B123" s="175">
        <v>4</v>
      </c>
      <c r="C123" s="168" t="s">
        <v>2471</v>
      </c>
      <c r="D123" s="168" t="s">
        <v>2467</v>
      </c>
      <c r="E123" s="168" t="s">
        <v>2472</v>
      </c>
      <c r="F123" s="168" t="s">
        <v>1128</v>
      </c>
      <c r="G123" s="168" t="s">
        <v>2172</v>
      </c>
      <c r="H123" s="168" t="s">
        <v>2080</v>
      </c>
      <c r="I123" s="168" t="s">
        <v>2469</v>
      </c>
      <c r="J123" s="168" t="s">
        <v>2173</v>
      </c>
      <c r="K123" s="169"/>
      <c r="L123" s="169"/>
      <c r="M123" s="168" t="s">
        <v>2174</v>
      </c>
      <c r="N123" s="168" t="s">
        <v>2084</v>
      </c>
      <c r="O123" s="168" t="s">
        <v>2470</v>
      </c>
      <c r="P123" s="169"/>
      <c r="Q123" s="189" t="s">
        <v>1879</v>
      </c>
      <c r="R123" s="166" t="s">
        <v>1874</v>
      </c>
      <c r="S123" s="166" t="s">
        <v>1874</v>
      </c>
      <c r="T123" s="189" t="s">
        <v>1879</v>
      </c>
      <c r="U123" s="162" t="s">
        <v>2061</v>
      </c>
    </row>
    <row r="124" spans="1:21" ht="19.2" customHeight="1">
      <c r="A124" s="177">
        <v>121</v>
      </c>
      <c r="B124" s="175">
        <v>4</v>
      </c>
      <c r="C124" s="168" t="s">
        <v>2473</v>
      </c>
      <c r="D124" s="168" t="s">
        <v>2467</v>
      </c>
      <c r="E124" s="168" t="s">
        <v>2474</v>
      </c>
      <c r="F124" s="168" t="s">
        <v>1128</v>
      </c>
      <c r="G124" s="168" t="s">
        <v>2172</v>
      </c>
      <c r="H124" s="168" t="s">
        <v>2080</v>
      </c>
      <c r="I124" s="168" t="s">
        <v>2469</v>
      </c>
      <c r="J124" s="168" t="s">
        <v>2173</v>
      </c>
      <c r="K124" s="169"/>
      <c r="L124" s="169"/>
      <c r="M124" s="168" t="s">
        <v>2174</v>
      </c>
      <c r="N124" s="168" t="s">
        <v>2084</v>
      </c>
      <c r="O124" s="168" t="s">
        <v>2470</v>
      </c>
      <c r="P124" s="169"/>
      <c r="Q124" s="189" t="s">
        <v>1879</v>
      </c>
      <c r="R124" s="166" t="s">
        <v>1874</v>
      </c>
      <c r="S124" s="166" t="s">
        <v>1874</v>
      </c>
      <c r="T124" s="189" t="s">
        <v>1879</v>
      </c>
      <c r="U124" s="162" t="s">
        <v>2061</v>
      </c>
    </row>
    <row r="125" spans="1:21" ht="19.2" customHeight="1">
      <c r="A125" s="177">
        <v>122</v>
      </c>
      <c r="B125" s="174">
        <v>4</v>
      </c>
      <c r="C125" s="166" t="s">
        <v>1213</v>
      </c>
      <c r="D125" s="166" t="s">
        <v>2099</v>
      </c>
      <c r="E125" s="166" t="s">
        <v>2475</v>
      </c>
      <c r="F125" s="166" t="s">
        <v>1135</v>
      </c>
      <c r="G125" s="166" t="s">
        <v>2172</v>
      </c>
      <c r="H125" s="166" t="s">
        <v>2476</v>
      </c>
      <c r="I125" s="166" t="s">
        <v>2469</v>
      </c>
      <c r="J125" s="167"/>
      <c r="K125" s="167"/>
      <c r="L125" s="167"/>
      <c r="M125" s="166" t="s">
        <v>2174</v>
      </c>
      <c r="N125" s="166" t="s">
        <v>2084</v>
      </c>
      <c r="O125" s="166" t="s">
        <v>2477</v>
      </c>
      <c r="P125" s="228" t="s">
        <v>2923</v>
      </c>
      <c r="Q125" s="166" t="s">
        <v>1874</v>
      </c>
      <c r="R125" s="189" t="s">
        <v>1879</v>
      </c>
      <c r="S125" s="166" t="s">
        <v>1874</v>
      </c>
      <c r="T125" s="189" t="s">
        <v>1879</v>
      </c>
      <c r="U125" s="162" t="s">
        <v>2061</v>
      </c>
    </row>
    <row r="126" spans="1:21" ht="19.2" customHeight="1">
      <c r="A126" s="177">
        <v>123</v>
      </c>
      <c r="B126" s="174">
        <v>4</v>
      </c>
      <c r="C126" s="166" t="s">
        <v>1214</v>
      </c>
      <c r="D126" s="166" t="s">
        <v>2099</v>
      </c>
      <c r="E126" s="166" t="s">
        <v>2478</v>
      </c>
      <c r="F126" s="166" t="s">
        <v>1135</v>
      </c>
      <c r="G126" s="166" t="s">
        <v>2172</v>
      </c>
      <c r="H126" s="166" t="s">
        <v>2476</v>
      </c>
      <c r="I126" s="166" t="s">
        <v>2469</v>
      </c>
      <c r="J126" s="167"/>
      <c r="K126" s="167"/>
      <c r="L126" s="167"/>
      <c r="M126" s="166" t="s">
        <v>2174</v>
      </c>
      <c r="N126" s="166" t="s">
        <v>2084</v>
      </c>
      <c r="O126" s="166" t="s">
        <v>2477</v>
      </c>
      <c r="P126" s="228" t="s">
        <v>2923</v>
      </c>
      <c r="Q126" s="166" t="s">
        <v>1874</v>
      </c>
      <c r="R126" s="189" t="s">
        <v>1879</v>
      </c>
      <c r="S126" s="166" t="s">
        <v>1874</v>
      </c>
      <c r="T126" s="189" t="s">
        <v>1879</v>
      </c>
      <c r="U126" s="162" t="s">
        <v>2061</v>
      </c>
    </row>
    <row r="127" spans="1:21" ht="19.2" customHeight="1">
      <c r="A127" s="177">
        <v>124</v>
      </c>
      <c r="B127" s="172">
        <v>4</v>
      </c>
      <c r="C127" s="160" t="s">
        <v>1216</v>
      </c>
      <c r="D127" s="160" t="s">
        <v>2099</v>
      </c>
      <c r="E127" s="160" t="s">
        <v>2482</v>
      </c>
      <c r="F127" s="160" t="s">
        <v>1135</v>
      </c>
      <c r="G127" s="160" t="s">
        <v>2172</v>
      </c>
      <c r="H127" s="160" t="s">
        <v>2476</v>
      </c>
      <c r="I127" s="160" t="s">
        <v>2469</v>
      </c>
      <c r="J127" s="165"/>
      <c r="K127" s="165"/>
      <c r="L127" s="165"/>
      <c r="M127" s="160" t="s">
        <v>2174</v>
      </c>
      <c r="N127" s="160" t="s">
        <v>2084</v>
      </c>
      <c r="O127" s="160" t="s">
        <v>2477</v>
      </c>
      <c r="P127" s="165"/>
      <c r="Q127" s="189" t="s">
        <v>1879</v>
      </c>
      <c r="R127" s="189" t="s">
        <v>1879</v>
      </c>
      <c r="S127" s="166" t="s">
        <v>1874</v>
      </c>
      <c r="T127" s="189" t="s">
        <v>1879</v>
      </c>
      <c r="U127" s="162" t="s">
        <v>2061</v>
      </c>
    </row>
    <row r="128" spans="1:21" ht="19.2" customHeight="1">
      <c r="A128" s="177">
        <v>125</v>
      </c>
      <c r="B128" s="172">
        <v>4</v>
      </c>
      <c r="C128" s="160" t="s">
        <v>1217</v>
      </c>
      <c r="D128" s="160" t="s">
        <v>2099</v>
      </c>
      <c r="E128" s="160" t="s">
        <v>2483</v>
      </c>
      <c r="F128" s="160" t="s">
        <v>1135</v>
      </c>
      <c r="G128" s="160" t="s">
        <v>2172</v>
      </c>
      <c r="H128" s="160" t="s">
        <v>2476</v>
      </c>
      <c r="I128" s="160" t="s">
        <v>2469</v>
      </c>
      <c r="J128" s="165"/>
      <c r="K128" s="165"/>
      <c r="L128" s="165"/>
      <c r="M128" s="160" t="s">
        <v>2174</v>
      </c>
      <c r="N128" s="160" t="s">
        <v>2084</v>
      </c>
      <c r="O128" s="160" t="s">
        <v>2477</v>
      </c>
      <c r="P128" s="165"/>
      <c r="Q128" s="189" t="s">
        <v>1879</v>
      </c>
      <c r="R128" s="189" t="s">
        <v>1879</v>
      </c>
      <c r="S128" s="166" t="s">
        <v>1874</v>
      </c>
      <c r="T128" s="189" t="s">
        <v>1879</v>
      </c>
      <c r="U128" s="162" t="s">
        <v>2061</v>
      </c>
    </row>
    <row r="129" spans="1:21" ht="19.2" customHeight="1">
      <c r="A129" s="177">
        <v>126</v>
      </c>
      <c r="B129" s="175">
        <v>4</v>
      </c>
      <c r="C129" s="168" t="s">
        <v>2484</v>
      </c>
      <c r="D129" s="168" t="s">
        <v>2467</v>
      </c>
      <c r="E129" s="168" t="s">
        <v>2485</v>
      </c>
      <c r="F129" s="168" t="s">
        <v>1135</v>
      </c>
      <c r="G129" s="168" t="s">
        <v>2172</v>
      </c>
      <c r="H129" s="168" t="s">
        <v>2080</v>
      </c>
      <c r="I129" s="168" t="s">
        <v>2469</v>
      </c>
      <c r="J129" s="168" t="s">
        <v>2173</v>
      </c>
      <c r="K129" s="169"/>
      <c r="L129" s="169"/>
      <c r="M129" s="168" t="s">
        <v>2174</v>
      </c>
      <c r="N129" s="168" t="s">
        <v>2084</v>
      </c>
      <c r="O129" s="168" t="s">
        <v>2470</v>
      </c>
      <c r="P129" s="169"/>
      <c r="Q129" s="189" t="s">
        <v>1879</v>
      </c>
      <c r="R129" s="166" t="s">
        <v>1874</v>
      </c>
      <c r="S129" s="166" t="s">
        <v>1874</v>
      </c>
      <c r="T129" s="189" t="s">
        <v>1879</v>
      </c>
      <c r="U129" s="162" t="s">
        <v>2061</v>
      </c>
    </row>
    <row r="130" spans="1:21" ht="19.2" customHeight="1">
      <c r="A130" s="177">
        <v>127</v>
      </c>
      <c r="B130" s="175">
        <v>4</v>
      </c>
      <c r="C130" s="168" t="s">
        <v>2486</v>
      </c>
      <c r="D130" s="168" t="s">
        <v>2467</v>
      </c>
      <c r="E130" s="168" t="s">
        <v>2487</v>
      </c>
      <c r="F130" s="168" t="s">
        <v>1135</v>
      </c>
      <c r="G130" s="168" t="s">
        <v>2172</v>
      </c>
      <c r="H130" s="168" t="s">
        <v>2080</v>
      </c>
      <c r="I130" s="168" t="s">
        <v>2469</v>
      </c>
      <c r="J130" s="168" t="s">
        <v>2173</v>
      </c>
      <c r="K130" s="169"/>
      <c r="L130" s="169"/>
      <c r="M130" s="168" t="s">
        <v>2174</v>
      </c>
      <c r="N130" s="168" t="s">
        <v>2084</v>
      </c>
      <c r="O130" s="168" t="s">
        <v>2470</v>
      </c>
      <c r="P130" s="169"/>
      <c r="Q130" s="189" t="s">
        <v>1879</v>
      </c>
      <c r="R130" s="166" t="s">
        <v>1874</v>
      </c>
      <c r="S130" s="166" t="s">
        <v>1874</v>
      </c>
      <c r="T130" s="189" t="s">
        <v>1879</v>
      </c>
      <c r="U130" s="162" t="s">
        <v>2061</v>
      </c>
    </row>
    <row r="131" spans="1:21" ht="19.2" customHeight="1">
      <c r="A131" s="177">
        <v>128</v>
      </c>
      <c r="B131" s="175">
        <v>4</v>
      </c>
      <c r="C131" s="168" t="s">
        <v>2488</v>
      </c>
      <c r="D131" s="168" t="s">
        <v>2467</v>
      </c>
      <c r="E131" s="168" t="s">
        <v>2489</v>
      </c>
      <c r="F131" s="168" t="s">
        <v>1135</v>
      </c>
      <c r="G131" s="168" t="s">
        <v>2172</v>
      </c>
      <c r="H131" s="168" t="s">
        <v>2080</v>
      </c>
      <c r="I131" s="168" t="s">
        <v>2469</v>
      </c>
      <c r="J131" s="168" t="s">
        <v>2173</v>
      </c>
      <c r="K131" s="169"/>
      <c r="L131" s="169"/>
      <c r="M131" s="168" t="s">
        <v>2174</v>
      </c>
      <c r="N131" s="168" t="s">
        <v>2084</v>
      </c>
      <c r="O131" s="168" t="s">
        <v>2470</v>
      </c>
      <c r="P131" s="169"/>
      <c r="Q131" s="189" t="s">
        <v>1879</v>
      </c>
      <c r="R131" s="166" t="s">
        <v>1874</v>
      </c>
      <c r="S131" s="166" t="s">
        <v>1874</v>
      </c>
      <c r="T131" s="189" t="s">
        <v>1879</v>
      </c>
      <c r="U131" s="162" t="s">
        <v>2061</v>
      </c>
    </row>
    <row r="132" spans="1:21" ht="19.2" customHeight="1">
      <c r="A132" s="177">
        <v>129</v>
      </c>
      <c r="B132" s="172">
        <v>4</v>
      </c>
      <c r="C132" s="160" t="s">
        <v>1219</v>
      </c>
      <c r="D132" s="160" t="s">
        <v>2099</v>
      </c>
      <c r="E132" s="160" t="s">
        <v>2490</v>
      </c>
      <c r="F132" s="160" t="s">
        <v>1140</v>
      </c>
      <c r="G132" s="160" t="s">
        <v>2172</v>
      </c>
      <c r="H132" s="160" t="s">
        <v>2476</v>
      </c>
      <c r="I132" s="160" t="s">
        <v>2469</v>
      </c>
      <c r="J132" s="165"/>
      <c r="K132" s="165"/>
      <c r="L132" s="165"/>
      <c r="M132" s="160" t="s">
        <v>2174</v>
      </c>
      <c r="N132" s="160" t="s">
        <v>2084</v>
      </c>
      <c r="O132" s="160" t="s">
        <v>2477</v>
      </c>
      <c r="P132" s="165"/>
      <c r="Q132" s="189" t="s">
        <v>1879</v>
      </c>
      <c r="R132" s="189" t="s">
        <v>1879</v>
      </c>
      <c r="S132" s="166" t="s">
        <v>1874</v>
      </c>
      <c r="T132" s="189" t="s">
        <v>1879</v>
      </c>
      <c r="U132" s="162" t="s">
        <v>2061</v>
      </c>
    </row>
    <row r="133" spans="1:21" ht="19.2" customHeight="1">
      <c r="A133" s="177">
        <v>130</v>
      </c>
      <c r="B133" s="172">
        <v>4</v>
      </c>
      <c r="C133" s="160" t="s">
        <v>2491</v>
      </c>
      <c r="D133" s="160" t="s">
        <v>2099</v>
      </c>
      <c r="E133" s="160" t="s">
        <v>2492</v>
      </c>
      <c r="F133" s="160" t="s">
        <v>1140</v>
      </c>
      <c r="G133" s="160" t="s">
        <v>2172</v>
      </c>
      <c r="H133" s="160" t="s">
        <v>2476</v>
      </c>
      <c r="I133" s="160" t="s">
        <v>2469</v>
      </c>
      <c r="J133" s="165"/>
      <c r="K133" s="165"/>
      <c r="L133" s="165"/>
      <c r="M133" s="160" t="s">
        <v>2174</v>
      </c>
      <c r="N133" s="160" t="s">
        <v>2084</v>
      </c>
      <c r="O133" s="160" t="s">
        <v>2477</v>
      </c>
      <c r="P133" s="165"/>
      <c r="Q133" s="189" t="s">
        <v>1879</v>
      </c>
      <c r="R133" s="189" t="s">
        <v>1879</v>
      </c>
      <c r="S133" s="166" t="s">
        <v>1874</v>
      </c>
      <c r="T133" s="189" t="s">
        <v>1879</v>
      </c>
      <c r="U133" s="162" t="s">
        <v>2061</v>
      </c>
    </row>
    <row r="134" spans="1:21" ht="19.2" customHeight="1">
      <c r="A134" s="177">
        <v>131</v>
      </c>
      <c r="B134" s="175">
        <v>4</v>
      </c>
      <c r="C134" s="168" t="s">
        <v>2493</v>
      </c>
      <c r="D134" s="168" t="s">
        <v>2467</v>
      </c>
      <c r="E134" s="168" t="s">
        <v>2494</v>
      </c>
      <c r="F134" s="168" t="s">
        <v>1140</v>
      </c>
      <c r="G134" s="168" t="s">
        <v>2172</v>
      </c>
      <c r="H134" s="168" t="s">
        <v>2080</v>
      </c>
      <c r="I134" s="168" t="s">
        <v>2469</v>
      </c>
      <c r="J134" s="168" t="s">
        <v>2173</v>
      </c>
      <c r="K134" s="169"/>
      <c r="L134" s="169"/>
      <c r="M134" s="168" t="s">
        <v>2174</v>
      </c>
      <c r="N134" s="168" t="s">
        <v>2084</v>
      </c>
      <c r="O134" s="168" t="s">
        <v>2470</v>
      </c>
      <c r="P134" s="169"/>
      <c r="Q134" s="189" t="s">
        <v>1879</v>
      </c>
      <c r="R134" s="166" t="s">
        <v>1874</v>
      </c>
      <c r="S134" s="166" t="s">
        <v>1874</v>
      </c>
      <c r="T134" s="189" t="s">
        <v>1879</v>
      </c>
      <c r="U134" s="162" t="s">
        <v>2061</v>
      </c>
    </row>
    <row r="135" spans="1:21" ht="19.2" customHeight="1">
      <c r="A135" s="177">
        <v>132</v>
      </c>
      <c r="B135" s="175">
        <v>4</v>
      </c>
      <c r="C135" s="168" t="s">
        <v>2495</v>
      </c>
      <c r="D135" s="168" t="s">
        <v>2467</v>
      </c>
      <c r="E135" s="168" t="s">
        <v>2496</v>
      </c>
      <c r="F135" s="168" t="s">
        <v>1140</v>
      </c>
      <c r="G135" s="168" t="s">
        <v>2172</v>
      </c>
      <c r="H135" s="168" t="s">
        <v>2080</v>
      </c>
      <c r="I135" s="168" t="s">
        <v>2469</v>
      </c>
      <c r="J135" s="168" t="s">
        <v>2173</v>
      </c>
      <c r="K135" s="169"/>
      <c r="L135" s="169"/>
      <c r="M135" s="168" t="s">
        <v>2174</v>
      </c>
      <c r="N135" s="168" t="s">
        <v>2084</v>
      </c>
      <c r="O135" s="168" t="s">
        <v>2470</v>
      </c>
      <c r="P135" s="169"/>
      <c r="Q135" s="189" t="s">
        <v>1879</v>
      </c>
      <c r="R135" s="166" t="s">
        <v>1874</v>
      </c>
      <c r="S135" s="166" t="s">
        <v>1874</v>
      </c>
      <c r="T135" s="189" t="s">
        <v>1879</v>
      </c>
      <c r="U135" s="162" t="s">
        <v>2061</v>
      </c>
    </row>
    <row r="136" spans="1:21" ht="19.2" customHeight="1">
      <c r="A136" s="177">
        <v>133</v>
      </c>
      <c r="B136" s="175">
        <v>4</v>
      </c>
      <c r="C136" s="168" t="s">
        <v>2497</v>
      </c>
      <c r="D136" s="168" t="s">
        <v>2467</v>
      </c>
      <c r="E136" s="168" t="s">
        <v>2498</v>
      </c>
      <c r="F136" s="168" t="s">
        <v>1140</v>
      </c>
      <c r="G136" s="168" t="s">
        <v>2172</v>
      </c>
      <c r="H136" s="168" t="s">
        <v>2080</v>
      </c>
      <c r="I136" s="168" t="s">
        <v>2469</v>
      </c>
      <c r="J136" s="168" t="s">
        <v>2173</v>
      </c>
      <c r="K136" s="169"/>
      <c r="L136" s="169"/>
      <c r="M136" s="168" t="s">
        <v>2174</v>
      </c>
      <c r="N136" s="168" t="s">
        <v>2084</v>
      </c>
      <c r="O136" s="168" t="s">
        <v>2470</v>
      </c>
      <c r="P136" s="169"/>
      <c r="Q136" s="189" t="s">
        <v>1879</v>
      </c>
      <c r="R136" s="166" t="s">
        <v>1874</v>
      </c>
      <c r="S136" s="166" t="s">
        <v>1874</v>
      </c>
      <c r="T136" s="189" t="s">
        <v>1879</v>
      </c>
      <c r="U136" s="162" t="s">
        <v>2061</v>
      </c>
    </row>
    <row r="137" spans="1:21" ht="19.2" customHeight="1">
      <c r="A137" s="177">
        <v>134</v>
      </c>
      <c r="B137" s="172">
        <v>4</v>
      </c>
      <c r="C137" s="160" t="s">
        <v>1222</v>
      </c>
      <c r="D137" s="160" t="s">
        <v>2099</v>
      </c>
      <c r="E137" s="160" t="s">
        <v>2499</v>
      </c>
      <c r="F137" s="160" t="s">
        <v>1145</v>
      </c>
      <c r="G137" s="160" t="s">
        <v>2172</v>
      </c>
      <c r="H137" s="160" t="s">
        <v>2476</v>
      </c>
      <c r="I137" s="160" t="s">
        <v>2469</v>
      </c>
      <c r="J137" s="165"/>
      <c r="K137" s="165"/>
      <c r="L137" s="165"/>
      <c r="M137" s="160" t="s">
        <v>2174</v>
      </c>
      <c r="N137" s="160" t="s">
        <v>2084</v>
      </c>
      <c r="O137" s="160" t="s">
        <v>2477</v>
      </c>
      <c r="P137" s="165"/>
      <c r="Q137" s="189" t="s">
        <v>1879</v>
      </c>
      <c r="R137" s="189" t="s">
        <v>1879</v>
      </c>
      <c r="S137" s="166" t="s">
        <v>1874</v>
      </c>
      <c r="T137" s="189" t="s">
        <v>1879</v>
      </c>
      <c r="U137" s="162" t="s">
        <v>2061</v>
      </c>
    </row>
    <row r="138" spans="1:21" ht="19.2" customHeight="1">
      <c r="A138" s="177">
        <v>135</v>
      </c>
      <c r="B138" s="172">
        <v>4</v>
      </c>
      <c r="C138" s="160" t="s">
        <v>1223</v>
      </c>
      <c r="D138" s="160" t="s">
        <v>2099</v>
      </c>
      <c r="E138" s="160" t="s">
        <v>2500</v>
      </c>
      <c r="F138" s="160" t="s">
        <v>1145</v>
      </c>
      <c r="G138" s="160" t="s">
        <v>2172</v>
      </c>
      <c r="H138" s="160" t="s">
        <v>2476</v>
      </c>
      <c r="I138" s="160" t="s">
        <v>2469</v>
      </c>
      <c r="J138" s="165"/>
      <c r="K138" s="165"/>
      <c r="L138" s="165"/>
      <c r="M138" s="160" t="s">
        <v>2174</v>
      </c>
      <c r="N138" s="160" t="s">
        <v>2084</v>
      </c>
      <c r="O138" s="160" t="s">
        <v>2477</v>
      </c>
      <c r="P138" s="165"/>
      <c r="Q138" s="189" t="s">
        <v>1879</v>
      </c>
      <c r="R138" s="189" t="s">
        <v>1879</v>
      </c>
      <c r="S138" s="166" t="s">
        <v>1874</v>
      </c>
      <c r="T138" s="189" t="s">
        <v>1879</v>
      </c>
      <c r="U138" s="162" t="s">
        <v>2061</v>
      </c>
    </row>
    <row r="139" spans="1:21" ht="19.2" customHeight="1">
      <c r="A139" s="177">
        <v>136</v>
      </c>
      <c r="B139" s="175">
        <v>4</v>
      </c>
      <c r="C139" s="168" t="s">
        <v>2501</v>
      </c>
      <c r="D139" s="168" t="s">
        <v>2467</v>
      </c>
      <c r="E139" s="168" t="s">
        <v>2502</v>
      </c>
      <c r="F139" s="168" t="s">
        <v>1145</v>
      </c>
      <c r="G139" s="168" t="s">
        <v>2172</v>
      </c>
      <c r="H139" s="168" t="s">
        <v>2080</v>
      </c>
      <c r="I139" s="168" t="s">
        <v>2469</v>
      </c>
      <c r="J139" s="168" t="s">
        <v>2173</v>
      </c>
      <c r="K139" s="169"/>
      <c r="L139" s="169"/>
      <c r="M139" s="168" t="s">
        <v>2174</v>
      </c>
      <c r="N139" s="168" t="s">
        <v>2084</v>
      </c>
      <c r="O139" s="168" t="s">
        <v>2470</v>
      </c>
      <c r="P139" s="169"/>
      <c r="Q139" s="189" t="s">
        <v>1879</v>
      </c>
      <c r="R139" s="166" t="s">
        <v>1874</v>
      </c>
      <c r="S139" s="166" t="s">
        <v>1874</v>
      </c>
      <c r="T139" s="189" t="s">
        <v>1879</v>
      </c>
      <c r="U139" s="162" t="s">
        <v>2061</v>
      </c>
    </row>
    <row r="140" spans="1:21" ht="19.2" customHeight="1">
      <c r="A140" s="177">
        <v>137</v>
      </c>
      <c r="B140" s="175">
        <v>4</v>
      </c>
      <c r="C140" s="168" t="s">
        <v>2503</v>
      </c>
      <c r="D140" s="168" t="s">
        <v>2467</v>
      </c>
      <c r="E140" s="168" t="s">
        <v>2504</v>
      </c>
      <c r="F140" s="168" t="s">
        <v>1145</v>
      </c>
      <c r="G140" s="168" t="s">
        <v>2172</v>
      </c>
      <c r="H140" s="168" t="s">
        <v>2080</v>
      </c>
      <c r="I140" s="168" t="s">
        <v>2469</v>
      </c>
      <c r="J140" s="168" t="s">
        <v>2173</v>
      </c>
      <c r="K140" s="169"/>
      <c r="L140" s="169"/>
      <c r="M140" s="168" t="s">
        <v>2174</v>
      </c>
      <c r="N140" s="168" t="s">
        <v>2084</v>
      </c>
      <c r="O140" s="168" t="s">
        <v>2505</v>
      </c>
      <c r="P140" s="169"/>
      <c r="Q140" s="189" t="s">
        <v>1879</v>
      </c>
      <c r="R140" s="166" t="s">
        <v>1874</v>
      </c>
      <c r="S140" s="166" t="s">
        <v>1874</v>
      </c>
      <c r="T140" s="189" t="s">
        <v>1879</v>
      </c>
      <c r="U140" s="162" t="s">
        <v>2061</v>
      </c>
    </row>
    <row r="141" spans="1:21" ht="19.2" customHeight="1">
      <c r="A141" s="177">
        <v>138</v>
      </c>
      <c r="B141" s="175">
        <v>4</v>
      </c>
      <c r="C141" s="168" t="s">
        <v>2506</v>
      </c>
      <c r="D141" s="168" t="s">
        <v>2467</v>
      </c>
      <c r="E141" s="168" t="s">
        <v>2507</v>
      </c>
      <c r="F141" s="168" t="s">
        <v>1145</v>
      </c>
      <c r="G141" s="168" t="s">
        <v>2172</v>
      </c>
      <c r="H141" s="168" t="s">
        <v>2080</v>
      </c>
      <c r="I141" s="168" t="s">
        <v>2469</v>
      </c>
      <c r="J141" s="168" t="s">
        <v>2173</v>
      </c>
      <c r="K141" s="169"/>
      <c r="L141" s="169"/>
      <c r="M141" s="168" t="s">
        <v>2174</v>
      </c>
      <c r="N141" s="168" t="s">
        <v>2084</v>
      </c>
      <c r="O141" s="168" t="s">
        <v>2505</v>
      </c>
      <c r="P141" s="169"/>
      <c r="Q141" s="189" t="s">
        <v>1879</v>
      </c>
      <c r="R141" s="166" t="s">
        <v>1874</v>
      </c>
      <c r="S141" s="166" t="s">
        <v>1874</v>
      </c>
      <c r="T141" s="189" t="s">
        <v>1879</v>
      </c>
      <c r="U141" s="162" t="s">
        <v>2061</v>
      </c>
    </row>
    <row r="142" spans="1:21" ht="19.2" customHeight="1">
      <c r="A142" s="177">
        <v>139</v>
      </c>
      <c r="B142" s="175">
        <v>4</v>
      </c>
      <c r="C142" s="168" t="s">
        <v>1586</v>
      </c>
      <c r="D142" s="168" t="s">
        <v>2508</v>
      </c>
      <c r="E142" s="168" t="s">
        <v>2509</v>
      </c>
      <c r="F142" s="168" t="s">
        <v>2171</v>
      </c>
      <c r="G142" s="168" t="s">
        <v>2172</v>
      </c>
      <c r="H142" s="168" t="s">
        <v>2080</v>
      </c>
      <c r="I142" s="168" t="s">
        <v>2469</v>
      </c>
      <c r="J142" s="168" t="s">
        <v>2173</v>
      </c>
      <c r="K142" s="169"/>
      <c r="L142" s="169"/>
      <c r="M142" s="168" t="s">
        <v>2174</v>
      </c>
      <c r="N142" s="168" t="s">
        <v>2084</v>
      </c>
      <c r="O142" s="168" t="s">
        <v>2505</v>
      </c>
      <c r="P142" s="169"/>
      <c r="Q142" s="166" t="s">
        <v>1874</v>
      </c>
      <c r="R142" s="189" t="s">
        <v>1879</v>
      </c>
      <c r="S142" s="166" t="s">
        <v>1874</v>
      </c>
      <c r="T142" s="189" t="s">
        <v>1879</v>
      </c>
      <c r="U142" s="162" t="s">
        <v>2061</v>
      </c>
    </row>
    <row r="143" spans="1:21" ht="19.2" customHeight="1">
      <c r="A143" s="177">
        <v>140</v>
      </c>
      <c r="B143" s="175">
        <v>4</v>
      </c>
      <c r="C143" s="168" t="s">
        <v>1588</v>
      </c>
      <c r="D143" s="168" t="s">
        <v>2508</v>
      </c>
      <c r="E143" s="168" t="s">
        <v>2510</v>
      </c>
      <c r="F143" s="168" t="s">
        <v>2171</v>
      </c>
      <c r="G143" s="168" t="s">
        <v>2172</v>
      </c>
      <c r="H143" s="168" t="s">
        <v>2080</v>
      </c>
      <c r="I143" s="168" t="s">
        <v>2469</v>
      </c>
      <c r="J143" s="168" t="s">
        <v>2173</v>
      </c>
      <c r="K143" s="169"/>
      <c r="L143" s="169"/>
      <c r="M143" s="168" t="s">
        <v>2174</v>
      </c>
      <c r="N143" s="168" t="s">
        <v>2084</v>
      </c>
      <c r="O143" s="168" t="s">
        <v>2505</v>
      </c>
      <c r="P143" s="169"/>
      <c r="Q143" s="166" t="s">
        <v>1874</v>
      </c>
      <c r="R143" s="189" t="s">
        <v>1879</v>
      </c>
      <c r="S143" s="166" t="s">
        <v>1874</v>
      </c>
      <c r="T143" s="189" t="s">
        <v>1879</v>
      </c>
      <c r="U143" s="162" t="s">
        <v>2061</v>
      </c>
    </row>
    <row r="144" spans="1:21" ht="19.2" customHeight="1">
      <c r="A144" s="177">
        <v>141</v>
      </c>
      <c r="B144" s="175">
        <v>4</v>
      </c>
      <c r="C144" s="168" t="s">
        <v>1590</v>
      </c>
      <c r="D144" s="168" t="s">
        <v>2467</v>
      </c>
      <c r="E144" s="168" t="s">
        <v>2179</v>
      </c>
      <c r="F144" s="168" t="s">
        <v>2171</v>
      </c>
      <c r="G144" s="168" t="s">
        <v>2172</v>
      </c>
      <c r="H144" s="168" t="s">
        <v>2080</v>
      </c>
      <c r="I144" s="168" t="s">
        <v>2469</v>
      </c>
      <c r="J144" s="168" t="s">
        <v>2173</v>
      </c>
      <c r="K144" s="169"/>
      <c r="L144" s="169"/>
      <c r="M144" s="168" t="s">
        <v>2174</v>
      </c>
      <c r="N144" s="168" t="s">
        <v>2084</v>
      </c>
      <c r="O144" s="168" t="s">
        <v>2505</v>
      </c>
      <c r="P144" s="169"/>
      <c r="Q144" s="166" t="s">
        <v>1874</v>
      </c>
      <c r="R144" s="189" t="s">
        <v>1879</v>
      </c>
      <c r="S144" s="166" t="s">
        <v>1874</v>
      </c>
      <c r="T144" s="189" t="s">
        <v>1879</v>
      </c>
      <c r="U144" s="162" t="s">
        <v>2061</v>
      </c>
    </row>
    <row r="145" spans="1:21" ht="19.2" customHeight="1">
      <c r="A145" s="177">
        <v>142</v>
      </c>
      <c r="B145" s="175">
        <v>4</v>
      </c>
      <c r="C145" s="168" t="s">
        <v>1594</v>
      </c>
      <c r="D145" s="168" t="s">
        <v>2467</v>
      </c>
      <c r="E145" s="168" t="s">
        <v>2181</v>
      </c>
      <c r="F145" s="168" t="s">
        <v>2171</v>
      </c>
      <c r="G145" s="168" t="s">
        <v>2172</v>
      </c>
      <c r="H145" s="168" t="s">
        <v>2080</v>
      </c>
      <c r="I145" s="168" t="s">
        <v>2469</v>
      </c>
      <c r="J145" s="168" t="s">
        <v>2173</v>
      </c>
      <c r="K145" s="169"/>
      <c r="L145" s="169"/>
      <c r="M145" s="168" t="s">
        <v>2174</v>
      </c>
      <c r="N145" s="168" t="s">
        <v>2084</v>
      </c>
      <c r="O145" s="168" t="s">
        <v>2505</v>
      </c>
      <c r="P145" s="169"/>
      <c r="Q145" s="166" t="s">
        <v>1874</v>
      </c>
      <c r="R145" s="189" t="s">
        <v>1879</v>
      </c>
      <c r="S145" s="166" t="s">
        <v>1874</v>
      </c>
      <c r="T145" s="189" t="s">
        <v>1879</v>
      </c>
      <c r="U145" s="162" t="s">
        <v>2061</v>
      </c>
    </row>
    <row r="146" spans="1:21" ht="19.2" customHeight="1">
      <c r="A146" s="177">
        <v>143</v>
      </c>
      <c r="B146" s="175">
        <v>4</v>
      </c>
      <c r="C146" s="168" t="s">
        <v>1592</v>
      </c>
      <c r="D146" s="168" t="s">
        <v>2467</v>
      </c>
      <c r="E146" s="168" t="s">
        <v>2179</v>
      </c>
      <c r="F146" s="168" t="s">
        <v>2171</v>
      </c>
      <c r="G146" s="168" t="s">
        <v>2172</v>
      </c>
      <c r="H146" s="168" t="s">
        <v>2080</v>
      </c>
      <c r="I146" s="168" t="s">
        <v>2469</v>
      </c>
      <c r="J146" s="168" t="s">
        <v>2173</v>
      </c>
      <c r="K146" s="169"/>
      <c r="L146" s="169"/>
      <c r="M146" s="168" t="s">
        <v>2174</v>
      </c>
      <c r="N146" s="168" t="s">
        <v>2084</v>
      </c>
      <c r="O146" s="168" t="s">
        <v>2505</v>
      </c>
      <c r="P146" s="169"/>
      <c r="Q146" s="166" t="s">
        <v>1874</v>
      </c>
      <c r="R146" s="189" t="s">
        <v>1879</v>
      </c>
      <c r="S146" s="166" t="s">
        <v>1874</v>
      </c>
      <c r="T146" s="189" t="s">
        <v>1879</v>
      </c>
      <c r="U146" s="162" t="s">
        <v>2061</v>
      </c>
    </row>
    <row r="147" spans="1:21" ht="19.2" customHeight="1">
      <c r="A147" s="177">
        <v>144</v>
      </c>
      <c r="B147" s="175">
        <v>4</v>
      </c>
      <c r="C147" s="168" t="s">
        <v>1595</v>
      </c>
      <c r="D147" s="168" t="s">
        <v>2467</v>
      </c>
      <c r="E147" s="168" t="s">
        <v>2181</v>
      </c>
      <c r="F147" s="168" t="s">
        <v>2171</v>
      </c>
      <c r="G147" s="168" t="s">
        <v>2172</v>
      </c>
      <c r="H147" s="168" t="s">
        <v>2080</v>
      </c>
      <c r="I147" s="168" t="s">
        <v>2469</v>
      </c>
      <c r="J147" s="168" t="s">
        <v>2173</v>
      </c>
      <c r="K147" s="169"/>
      <c r="L147" s="169"/>
      <c r="M147" s="168" t="s">
        <v>2174</v>
      </c>
      <c r="N147" s="168" t="s">
        <v>2084</v>
      </c>
      <c r="O147" s="168" t="s">
        <v>2505</v>
      </c>
      <c r="P147" s="169"/>
      <c r="Q147" s="166" t="s">
        <v>1874</v>
      </c>
      <c r="R147" s="189" t="s">
        <v>1879</v>
      </c>
      <c r="S147" s="166" t="s">
        <v>1874</v>
      </c>
      <c r="T147" s="189" t="s">
        <v>1879</v>
      </c>
      <c r="U147" s="162" t="s">
        <v>2061</v>
      </c>
    </row>
    <row r="148" spans="1:21" ht="19.2" customHeight="1">
      <c r="A148" s="177">
        <v>145</v>
      </c>
      <c r="B148" s="174">
        <v>4</v>
      </c>
      <c r="C148" s="166" t="s">
        <v>2512</v>
      </c>
      <c r="D148" s="166" t="s">
        <v>2099</v>
      </c>
      <c r="E148" s="166" t="s">
        <v>2513</v>
      </c>
      <c r="F148" s="166" t="s">
        <v>2171</v>
      </c>
      <c r="G148" s="166" t="s">
        <v>2172</v>
      </c>
      <c r="H148" s="166" t="s">
        <v>2476</v>
      </c>
      <c r="I148" s="166" t="s">
        <v>2469</v>
      </c>
      <c r="J148" s="167"/>
      <c r="K148" s="167"/>
      <c r="L148" s="167"/>
      <c r="M148" s="166" t="s">
        <v>2174</v>
      </c>
      <c r="N148" s="166" t="s">
        <v>2084</v>
      </c>
      <c r="O148" s="166" t="s">
        <v>2514</v>
      </c>
      <c r="P148" s="167"/>
      <c r="Q148" s="166" t="s">
        <v>1874</v>
      </c>
      <c r="R148" s="166" t="s">
        <v>1874</v>
      </c>
      <c r="S148" s="166" t="s">
        <v>1874</v>
      </c>
      <c r="T148" s="225" t="s">
        <v>1879</v>
      </c>
      <c r="U148" s="162" t="s">
        <v>2061</v>
      </c>
    </row>
    <row r="149" spans="1:21" ht="19.2" customHeight="1">
      <c r="A149" s="177">
        <v>146</v>
      </c>
      <c r="B149" s="174">
        <v>4</v>
      </c>
      <c r="C149" s="166" t="s">
        <v>2515</v>
      </c>
      <c r="D149" s="166" t="s">
        <v>2099</v>
      </c>
      <c r="E149" s="166" t="s">
        <v>2513</v>
      </c>
      <c r="F149" s="166" t="s">
        <v>2171</v>
      </c>
      <c r="G149" s="166" t="s">
        <v>2172</v>
      </c>
      <c r="H149" s="166" t="s">
        <v>2476</v>
      </c>
      <c r="I149" s="166" t="s">
        <v>2469</v>
      </c>
      <c r="J149" s="167"/>
      <c r="K149" s="167"/>
      <c r="L149" s="167"/>
      <c r="M149" s="166" t="s">
        <v>2174</v>
      </c>
      <c r="N149" s="166" t="s">
        <v>2084</v>
      </c>
      <c r="O149" s="166" t="s">
        <v>2514</v>
      </c>
      <c r="P149" s="167"/>
      <c r="Q149" s="166" t="s">
        <v>1874</v>
      </c>
      <c r="R149" s="166" t="s">
        <v>1874</v>
      </c>
      <c r="S149" s="166" t="s">
        <v>1874</v>
      </c>
      <c r="T149" s="225" t="s">
        <v>1879</v>
      </c>
      <c r="U149" s="162" t="s">
        <v>2061</v>
      </c>
    </row>
    <row r="150" spans="1:21" ht="19.2" customHeight="1">
      <c r="A150" s="177">
        <v>147</v>
      </c>
      <c r="B150" s="174">
        <v>4</v>
      </c>
      <c r="C150" s="166" t="s">
        <v>2516</v>
      </c>
      <c r="D150" s="166" t="s">
        <v>2099</v>
      </c>
      <c r="E150" s="166" t="s">
        <v>2517</v>
      </c>
      <c r="F150" s="166" t="s">
        <v>2171</v>
      </c>
      <c r="G150" s="166" t="s">
        <v>2172</v>
      </c>
      <c r="H150" s="166" t="s">
        <v>2476</v>
      </c>
      <c r="I150" s="166" t="s">
        <v>2469</v>
      </c>
      <c r="J150" s="167"/>
      <c r="K150" s="167"/>
      <c r="L150" s="167"/>
      <c r="M150" s="166" t="s">
        <v>2174</v>
      </c>
      <c r="N150" s="166" t="s">
        <v>2084</v>
      </c>
      <c r="O150" s="166" t="s">
        <v>2514</v>
      </c>
      <c r="P150" s="167"/>
      <c r="Q150" s="166" t="s">
        <v>1874</v>
      </c>
      <c r="R150" s="166" t="s">
        <v>1874</v>
      </c>
      <c r="S150" s="166" t="s">
        <v>1874</v>
      </c>
      <c r="T150" s="225" t="s">
        <v>1879</v>
      </c>
      <c r="U150" s="162" t="s">
        <v>2061</v>
      </c>
    </row>
    <row r="151" spans="1:21" ht="19.2" customHeight="1">
      <c r="A151" s="177">
        <v>148</v>
      </c>
      <c r="B151" s="174">
        <v>4</v>
      </c>
      <c r="C151" s="166" t="s">
        <v>2518</v>
      </c>
      <c r="D151" s="166" t="s">
        <v>2099</v>
      </c>
      <c r="E151" s="166" t="s">
        <v>2517</v>
      </c>
      <c r="F151" s="166" t="s">
        <v>2171</v>
      </c>
      <c r="G151" s="166" t="s">
        <v>2172</v>
      </c>
      <c r="H151" s="166" t="s">
        <v>2476</v>
      </c>
      <c r="I151" s="166" t="s">
        <v>2469</v>
      </c>
      <c r="J151" s="167"/>
      <c r="K151" s="167"/>
      <c r="L151" s="167"/>
      <c r="M151" s="166" t="s">
        <v>2174</v>
      </c>
      <c r="N151" s="166" t="s">
        <v>2084</v>
      </c>
      <c r="O151" s="166" t="s">
        <v>2514</v>
      </c>
      <c r="P151" s="167"/>
      <c r="Q151" s="166" t="s">
        <v>1874</v>
      </c>
      <c r="R151" s="166" t="s">
        <v>1874</v>
      </c>
      <c r="S151" s="166" t="s">
        <v>1874</v>
      </c>
      <c r="T151" s="225" t="s">
        <v>1879</v>
      </c>
      <c r="U151" s="162" t="s">
        <v>2061</v>
      </c>
    </row>
    <row r="152" spans="1:21" ht="19.2" customHeight="1">
      <c r="A152" s="177">
        <v>149</v>
      </c>
      <c r="B152" s="174">
        <v>4</v>
      </c>
      <c r="C152" s="166" t="s">
        <v>2519</v>
      </c>
      <c r="D152" s="166" t="s">
        <v>2467</v>
      </c>
      <c r="E152" s="166" t="s">
        <v>2520</v>
      </c>
      <c r="F152" s="166" t="s">
        <v>2171</v>
      </c>
      <c r="G152" s="166" t="s">
        <v>2172</v>
      </c>
      <c r="H152" s="166" t="s">
        <v>2080</v>
      </c>
      <c r="I152" s="166" t="s">
        <v>2469</v>
      </c>
      <c r="J152" s="166" t="s">
        <v>2173</v>
      </c>
      <c r="K152" s="167"/>
      <c r="L152" s="167"/>
      <c r="M152" s="166" t="s">
        <v>2174</v>
      </c>
      <c r="N152" s="166" t="s">
        <v>2084</v>
      </c>
      <c r="O152" s="166" t="s">
        <v>2505</v>
      </c>
      <c r="P152" s="167"/>
      <c r="Q152" s="166" t="s">
        <v>1874</v>
      </c>
      <c r="R152" s="166" t="s">
        <v>1874</v>
      </c>
      <c r="S152" s="166" t="s">
        <v>1874</v>
      </c>
      <c r="T152" s="225" t="s">
        <v>1879</v>
      </c>
      <c r="U152" s="162" t="s">
        <v>2061</v>
      </c>
    </row>
    <row r="153" spans="1:21" ht="19.2" customHeight="1">
      <c r="A153" s="177">
        <v>150</v>
      </c>
      <c r="B153" s="174">
        <v>4</v>
      </c>
      <c r="C153" s="166" t="s">
        <v>2521</v>
      </c>
      <c r="D153" s="166" t="s">
        <v>2467</v>
      </c>
      <c r="E153" s="166" t="s">
        <v>2522</v>
      </c>
      <c r="F153" s="166" t="s">
        <v>2171</v>
      </c>
      <c r="G153" s="166" t="s">
        <v>2172</v>
      </c>
      <c r="H153" s="166" t="s">
        <v>2080</v>
      </c>
      <c r="I153" s="166" t="s">
        <v>2469</v>
      </c>
      <c r="J153" s="166" t="s">
        <v>2173</v>
      </c>
      <c r="K153" s="167"/>
      <c r="L153" s="167"/>
      <c r="M153" s="166" t="s">
        <v>2174</v>
      </c>
      <c r="N153" s="166" t="s">
        <v>2084</v>
      </c>
      <c r="O153" s="166" t="s">
        <v>2505</v>
      </c>
      <c r="P153" s="167"/>
      <c r="Q153" s="166" t="s">
        <v>1874</v>
      </c>
      <c r="R153" s="166" t="s">
        <v>1874</v>
      </c>
      <c r="S153" s="166" t="s">
        <v>1874</v>
      </c>
      <c r="T153" s="225" t="s">
        <v>1879</v>
      </c>
      <c r="U153" s="162" t="s">
        <v>2061</v>
      </c>
    </row>
    <row r="154" spans="1:21" ht="19.2" customHeight="1">
      <c r="A154" s="177">
        <v>151</v>
      </c>
      <c r="B154" s="136"/>
      <c r="C154" s="160" t="s">
        <v>1222</v>
      </c>
      <c r="D154" s="160" t="s">
        <v>2099</v>
      </c>
      <c r="E154" s="160" t="s">
        <v>2499</v>
      </c>
      <c r="F154" s="160" t="s">
        <v>1145</v>
      </c>
      <c r="G154" s="160" t="s">
        <v>2172</v>
      </c>
      <c r="H154" s="160" t="s">
        <v>2476</v>
      </c>
      <c r="I154" s="160" t="s">
        <v>2469</v>
      </c>
      <c r="J154" s="165"/>
      <c r="K154" s="165"/>
      <c r="L154" s="165"/>
      <c r="M154" s="160" t="s">
        <v>2174</v>
      </c>
      <c r="N154" s="160" t="s">
        <v>2084</v>
      </c>
      <c r="O154" s="160" t="s">
        <v>2477</v>
      </c>
      <c r="P154" s="165"/>
      <c r="Q154" s="189" t="s">
        <v>1879</v>
      </c>
      <c r="R154" s="189" t="s">
        <v>1879</v>
      </c>
      <c r="S154" s="166" t="s">
        <v>1874</v>
      </c>
      <c r="T154" s="189" t="s">
        <v>1879</v>
      </c>
    </row>
    <row r="155" spans="1:21" ht="19.2" customHeight="1">
      <c r="A155" s="177">
        <v>152</v>
      </c>
      <c r="B155" s="136"/>
      <c r="C155" s="160" t="s">
        <v>1223</v>
      </c>
      <c r="D155" s="160" t="s">
        <v>2099</v>
      </c>
      <c r="E155" s="160" t="s">
        <v>2500</v>
      </c>
      <c r="F155" s="160" t="s">
        <v>1145</v>
      </c>
      <c r="G155" s="160" t="s">
        <v>2172</v>
      </c>
      <c r="H155" s="160" t="s">
        <v>2476</v>
      </c>
      <c r="I155" s="160" t="s">
        <v>2469</v>
      </c>
      <c r="J155" s="165"/>
      <c r="K155" s="165"/>
      <c r="L155" s="165"/>
      <c r="M155" s="160" t="s">
        <v>2174</v>
      </c>
      <c r="N155" s="160" t="s">
        <v>2084</v>
      </c>
      <c r="O155" s="160" t="s">
        <v>2477</v>
      </c>
      <c r="P155" s="165"/>
      <c r="Q155" s="189" t="s">
        <v>1879</v>
      </c>
      <c r="R155" s="189" t="s">
        <v>1879</v>
      </c>
      <c r="S155" s="166" t="s">
        <v>1874</v>
      </c>
      <c r="T155" s="189" t="s">
        <v>1879</v>
      </c>
    </row>
    <row r="156" spans="1:21" ht="19.2" customHeight="1">
      <c r="A156" s="177">
        <v>153</v>
      </c>
      <c r="B156" s="136"/>
      <c r="C156" s="168" t="s">
        <v>2501</v>
      </c>
      <c r="D156" s="168" t="s">
        <v>2467</v>
      </c>
      <c r="E156" s="168" t="s">
        <v>2502</v>
      </c>
      <c r="F156" s="168" t="s">
        <v>1145</v>
      </c>
      <c r="G156" s="168" t="s">
        <v>2172</v>
      </c>
      <c r="H156" s="168" t="s">
        <v>2080</v>
      </c>
      <c r="I156" s="168" t="s">
        <v>2469</v>
      </c>
      <c r="J156" s="168" t="s">
        <v>2173</v>
      </c>
      <c r="K156" s="169"/>
      <c r="L156" s="169"/>
      <c r="M156" s="168" t="s">
        <v>2174</v>
      </c>
      <c r="N156" s="168" t="s">
        <v>2084</v>
      </c>
      <c r="O156" s="168" t="s">
        <v>2470</v>
      </c>
      <c r="P156" s="169"/>
      <c r="Q156" s="189" t="s">
        <v>1879</v>
      </c>
      <c r="R156" s="166" t="s">
        <v>1874</v>
      </c>
      <c r="S156" s="166" t="s">
        <v>1874</v>
      </c>
      <c r="T156" s="189" t="s">
        <v>1879</v>
      </c>
    </row>
    <row r="157" spans="1:21" ht="19.2" customHeight="1">
      <c r="A157" s="177">
        <v>154</v>
      </c>
      <c r="B157" s="136"/>
      <c r="C157" s="168" t="s">
        <v>2503</v>
      </c>
      <c r="D157" s="168" t="s">
        <v>2467</v>
      </c>
      <c r="E157" s="168" t="s">
        <v>2504</v>
      </c>
      <c r="F157" s="168" t="s">
        <v>1145</v>
      </c>
      <c r="G157" s="168" t="s">
        <v>2172</v>
      </c>
      <c r="H157" s="168" t="s">
        <v>2080</v>
      </c>
      <c r="I157" s="168" t="s">
        <v>2469</v>
      </c>
      <c r="J157" s="168" t="s">
        <v>2173</v>
      </c>
      <c r="K157" s="169"/>
      <c r="L157" s="169"/>
      <c r="M157" s="168" t="s">
        <v>2174</v>
      </c>
      <c r="N157" s="168" t="s">
        <v>2084</v>
      </c>
      <c r="O157" s="168" t="s">
        <v>2505</v>
      </c>
      <c r="P157" s="169"/>
      <c r="Q157" s="189" t="s">
        <v>1879</v>
      </c>
      <c r="R157" s="166" t="s">
        <v>1874</v>
      </c>
      <c r="S157" s="166" t="s">
        <v>1874</v>
      </c>
      <c r="T157" s="189" t="s">
        <v>1879</v>
      </c>
    </row>
    <row r="158" spans="1:21" ht="19.2" customHeight="1">
      <c r="A158" s="177">
        <v>155</v>
      </c>
      <c r="B158" s="136"/>
      <c r="C158" s="168" t="s">
        <v>2506</v>
      </c>
      <c r="D158" s="168" t="s">
        <v>2467</v>
      </c>
      <c r="E158" s="168" t="s">
        <v>2507</v>
      </c>
      <c r="F158" s="168" t="s">
        <v>1145</v>
      </c>
      <c r="G158" s="168" t="s">
        <v>2172</v>
      </c>
      <c r="H158" s="168" t="s">
        <v>2080</v>
      </c>
      <c r="I158" s="168" t="s">
        <v>2469</v>
      </c>
      <c r="J158" s="168" t="s">
        <v>2173</v>
      </c>
      <c r="K158" s="169"/>
      <c r="L158" s="169"/>
      <c r="M158" s="168" t="s">
        <v>2174</v>
      </c>
      <c r="N158" s="168" t="s">
        <v>2084</v>
      </c>
      <c r="O158" s="168" t="s">
        <v>2505</v>
      </c>
      <c r="P158" s="169"/>
      <c r="Q158" s="189" t="s">
        <v>1879</v>
      </c>
      <c r="R158" s="166" t="s">
        <v>1874</v>
      </c>
      <c r="S158" s="166" t="s">
        <v>1874</v>
      </c>
      <c r="T158" s="189" t="s">
        <v>1879</v>
      </c>
    </row>
    <row r="159" spans="1:21" ht="19.2" customHeight="1">
      <c r="A159" s="177">
        <v>156</v>
      </c>
      <c r="B159" s="136"/>
      <c r="C159" s="231" t="s">
        <v>2926</v>
      </c>
      <c r="D159" s="229"/>
      <c r="E159" s="229"/>
      <c r="F159" s="229" t="s">
        <v>1128</v>
      </c>
      <c r="G159" s="229"/>
      <c r="H159" s="229"/>
      <c r="I159" s="231" t="s">
        <v>2927</v>
      </c>
      <c r="J159" s="230"/>
      <c r="K159" s="230"/>
      <c r="L159" s="230"/>
      <c r="M159" s="230"/>
      <c r="N159" s="229"/>
      <c r="O159" s="229"/>
      <c r="P159" s="232" t="s">
        <v>2925</v>
      </c>
      <c r="Q159" s="189" t="s">
        <v>1879</v>
      </c>
      <c r="R159" s="166" t="s">
        <v>1874</v>
      </c>
      <c r="S159" s="166" t="s">
        <v>1874</v>
      </c>
      <c r="T159" s="166" t="s">
        <v>1874</v>
      </c>
    </row>
    <row r="160" spans="1:21" ht="19.2" customHeight="1">
      <c r="A160" s="177">
        <v>157</v>
      </c>
      <c r="B160" s="136"/>
      <c r="C160" s="231" t="s">
        <v>2928</v>
      </c>
      <c r="D160" s="229"/>
      <c r="E160" s="229"/>
      <c r="F160" s="229" t="s">
        <v>1128</v>
      </c>
      <c r="G160" s="229"/>
      <c r="H160" s="229"/>
      <c r="I160" s="231" t="s">
        <v>2927</v>
      </c>
      <c r="J160" s="230"/>
      <c r="K160" s="230"/>
      <c r="L160" s="230"/>
      <c r="M160" s="230"/>
      <c r="N160" s="229"/>
      <c r="O160" s="229"/>
      <c r="P160" s="232" t="s">
        <v>2925</v>
      </c>
      <c r="Q160" s="189" t="s">
        <v>1879</v>
      </c>
      <c r="R160" s="166" t="s">
        <v>1874</v>
      </c>
      <c r="S160" s="166" t="s">
        <v>1874</v>
      </c>
      <c r="T160" s="166" t="s">
        <v>1874</v>
      </c>
    </row>
    <row r="161" spans="1:20" ht="19.2" customHeight="1">
      <c r="A161" s="177">
        <v>158</v>
      </c>
      <c r="B161" s="136"/>
      <c r="C161" s="231" t="s">
        <v>2929</v>
      </c>
      <c r="D161" s="229"/>
      <c r="E161" s="229"/>
      <c r="F161" s="229" t="s">
        <v>1128</v>
      </c>
      <c r="G161" s="229"/>
      <c r="H161" s="229"/>
      <c r="I161" s="231" t="s">
        <v>2927</v>
      </c>
      <c r="J161" s="230"/>
      <c r="K161" s="230"/>
      <c r="L161" s="230"/>
      <c r="M161" s="230"/>
      <c r="N161" s="229"/>
      <c r="O161" s="229"/>
      <c r="P161" s="232" t="s">
        <v>2925</v>
      </c>
      <c r="Q161" s="189" t="s">
        <v>1879</v>
      </c>
      <c r="R161" s="166" t="s">
        <v>1874</v>
      </c>
      <c r="S161" s="166" t="s">
        <v>1874</v>
      </c>
      <c r="T161" s="166" t="s">
        <v>1874</v>
      </c>
    </row>
    <row r="162" spans="1:20" ht="19.2" customHeight="1">
      <c r="A162" s="177">
        <v>159</v>
      </c>
      <c r="B162" s="136"/>
      <c r="C162" s="231" t="s">
        <v>2930</v>
      </c>
      <c r="D162" s="234"/>
      <c r="E162" s="234"/>
      <c r="F162" s="229" t="s">
        <v>1128</v>
      </c>
      <c r="G162" s="229"/>
      <c r="H162" s="229"/>
      <c r="I162" s="231" t="s">
        <v>2927</v>
      </c>
      <c r="J162" s="230"/>
      <c r="K162" s="230"/>
      <c r="L162" s="230"/>
      <c r="M162" s="230"/>
      <c r="N162" s="229"/>
      <c r="O162" s="229"/>
      <c r="P162" s="232" t="s">
        <v>2925</v>
      </c>
      <c r="Q162" s="189" t="s">
        <v>1879</v>
      </c>
      <c r="R162" s="166" t="s">
        <v>1874</v>
      </c>
      <c r="S162" s="166" t="s">
        <v>1874</v>
      </c>
      <c r="T162" s="166" t="s">
        <v>1874</v>
      </c>
    </row>
    <row r="163" spans="1:20" ht="19.2" customHeight="1">
      <c r="A163" s="177">
        <v>160</v>
      </c>
      <c r="B163" s="136"/>
      <c r="C163" s="229" t="s">
        <v>2934</v>
      </c>
      <c r="D163" s="229"/>
      <c r="E163" s="229"/>
      <c r="F163" s="229" t="s">
        <v>1896</v>
      </c>
      <c r="G163" s="229"/>
      <c r="H163" s="229"/>
      <c r="I163" s="231" t="s">
        <v>2927</v>
      </c>
      <c r="J163" s="229"/>
      <c r="K163" s="229"/>
      <c r="L163" s="229"/>
      <c r="M163" s="229"/>
      <c r="N163" s="229"/>
      <c r="O163" s="229"/>
      <c r="P163" s="232" t="s">
        <v>2925</v>
      </c>
      <c r="Q163" s="189" t="s">
        <v>1879</v>
      </c>
      <c r="R163" s="166" t="s">
        <v>1874</v>
      </c>
      <c r="S163" s="166" t="s">
        <v>1874</v>
      </c>
      <c r="T163" s="166" t="s">
        <v>1874</v>
      </c>
    </row>
    <row r="164" spans="1:20" ht="19.2" customHeight="1">
      <c r="A164" s="177">
        <v>161</v>
      </c>
      <c r="B164" s="136"/>
      <c r="C164" s="229" t="s">
        <v>2935</v>
      </c>
      <c r="D164" s="229"/>
      <c r="E164" s="229"/>
      <c r="F164" s="229" t="s">
        <v>1896</v>
      </c>
      <c r="G164" s="229"/>
      <c r="H164" s="229"/>
      <c r="I164" s="231" t="s">
        <v>2927</v>
      </c>
      <c r="J164" s="229"/>
      <c r="K164" s="229"/>
      <c r="L164" s="229"/>
      <c r="M164" s="229"/>
      <c r="N164" s="229"/>
      <c r="O164" s="229"/>
      <c r="P164" s="232" t="s">
        <v>2925</v>
      </c>
      <c r="Q164" s="189" t="s">
        <v>1879</v>
      </c>
      <c r="R164" s="166" t="s">
        <v>1874</v>
      </c>
      <c r="S164" s="166" t="s">
        <v>1874</v>
      </c>
      <c r="T164" s="166" t="s">
        <v>1874</v>
      </c>
    </row>
    <row r="165" spans="1:20" ht="19.2" customHeight="1">
      <c r="A165" s="177">
        <v>162</v>
      </c>
      <c r="B165" s="136"/>
      <c r="C165" s="229" t="s">
        <v>1151</v>
      </c>
      <c r="D165" s="229"/>
      <c r="E165" s="229"/>
      <c r="F165" s="229" t="s">
        <v>1128</v>
      </c>
      <c r="G165" s="229"/>
      <c r="H165" s="229"/>
      <c r="I165" s="231" t="s">
        <v>2927</v>
      </c>
      <c r="J165" s="229"/>
      <c r="K165" s="229"/>
      <c r="L165" s="229"/>
      <c r="M165" s="229"/>
      <c r="N165" s="229"/>
      <c r="O165" s="229"/>
      <c r="P165" s="232" t="s">
        <v>2943</v>
      </c>
      <c r="Q165" s="189" t="s">
        <v>1879</v>
      </c>
      <c r="R165" s="189" t="s">
        <v>1879</v>
      </c>
      <c r="S165" s="166" t="s">
        <v>1874</v>
      </c>
      <c r="T165" s="166" t="s">
        <v>1874</v>
      </c>
    </row>
    <row r="166" spans="1:20" ht="19.2" customHeight="1">
      <c r="A166" s="177">
        <v>163</v>
      </c>
      <c r="B166" s="136"/>
      <c r="C166" s="229" t="s">
        <v>1152</v>
      </c>
      <c r="D166" s="229"/>
      <c r="E166" s="229"/>
      <c r="F166" s="229" t="s">
        <v>1128</v>
      </c>
      <c r="G166" s="229"/>
      <c r="H166" s="229"/>
      <c r="I166" s="231" t="s">
        <v>2927</v>
      </c>
      <c r="J166" s="229"/>
      <c r="K166" s="229"/>
      <c r="L166" s="229"/>
      <c r="M166" s="229"/>
      <c r="N166" s="229"/>
      <c r="O166" s="229"/>
      <c r="P166" s="232" t="s">
        <v>2943</v>
      </c>
      <c r="Q166" s="189" t="s">
        <v>1879</v>
      </c>
      <c r="R166" s="189" t="s">
        <v>1879</v>
      </c>
      <c r="S166" s="166" t="s">
        <v>1874</v>
      </c>
      <c r="T166" s="166" t="s">
        <v>1874</v>
      </c>
    </row>
    <row r="167" spans="1:20" ht="19.2" customHeight="1">
      <c r="A167" s="177">
        <v>164</v>
      </c>
      <c r="B167" s="136"/>
      <c r="C167" s="229" t="s">
        <v>1153</v>
      </c>
      <c r="D167" s="229"/>
      <c r="E167" s="229"/>
      <c r="F167" s="229" t="s">
        <v>1128</v>
      </c>
      <c r="G167" s="229"/>
      <c r="H167" s="229"/>
      <c r="I167" s="231" t="s">
        <v>2927</v>
      </c>
      <c r="J167" s="229"/>
      <c r="K167" s="229"/>
      <c r="L167" s="229"/>
      <c r="M167" s="229"/>
      <c r="N167" s="229"/>
      <c r="O167" s="229"/>
      <c r="P167" s="232" t="s">
        <v>2943</v>
      </c>
      <c r="Q167" s="189" t="s">
        <v>1879</v>
      </c>
      <c r="R167" s="189" t="s">
        <v>1879</v>
      </c>
      <c r="S167" s="166" t="s">
        <v>1874</v>
      </c>
      <c r="T167" s="166" t="s">
        <v>1874</v>
      </c>
    </row>
    <row r="168" spans="1:20" ht="19.2" customHeight="1">
      <c r="A168" s="177">
        <v>165</v>
      </c>
      <c r="B168" s="136"/>
      <c r="C168" s="229" t="s">
        <v>1154</v>
      </c>
      <c r="D168" s="229"/>
      <c r="E168" s="229"/>
      <c r="F168" s="229" t="s">
        <v>1128</v>
      </c>
      <c r="G168" s="229"/>
      <c r="H168" s="229"/>
      <c r="I168" s="231" t="s">
        <v>2927</v>
      </c>
      <c r="J168" s="229"/>
      <c r="K168" s="229"/>
      <c r="L168" s="229"/>
      <c r="M168" s="229"/>
      <c r="N168" s="229"/>
      <c r="O168" s="229"/>
      <c r="P168" s="232" t="s">
        <v>2943</v>
      </c>
      <c r="Q168" s="189" t="s">
        <v>1879</v>
      </c>
      <c r="R168" s="189" t="s">
        <v>1879</v>
      </c>
      <c r="S168" s="166" t="s">
        <v>1874</v>
      </c>
      <c r="T168" s="166" t="s">
        <v>1874</v>
      </c>
    </row>
    <row r="169" spans="1:20" ht="19.2" customHeight="1">
      <c r="A169" s="177">
        <v>166</v>
      </c>
      <c r="B169" s="136"/>
      <c r="C169" s="229" t="s">
        <v>2971</v>
      </c>
      <c r="D169" s="229"/>
      <c r="E169" s="229"/>
      <c r="F169" s="229" t="s">
        <v>1128</v>
      </c>
      <c r="G169" s="229"/>
      <c r="H169" s="229"/>
      <c r="I169" s="231" t="s">
        <v>2927</v>
      </c>
      <c r="J169" s="229"/>
      <c r="K169" s="229"/>
      <c r="L169" s="229"/>
      <c r="M169" s="229"/>
      <c r="N169" s="229"/>
      <c r="O169" s="229"/>
      <c r="P169" s="232" t="s">
        <v>2943</v>
      </c>
      <c r="Q169" s="189" t="s">
        <v>1879</v>
      </c>
      <c r="R169" s="189" t="s">
        <v>1879</v>
      </c>
      <c r="S169" s="166" t="s">
        <v>1874</v>
      </c>
      <c r="T169" s="166" t="s">
        <v>1874</v>
      </c>
    </row>
    <row r="170" spans="1:20" ht="19.2" customHeight="1">
      <c r="A170" s="177">
        <v>167</v>
      </c>
      <c r="B170" s="136"/>
      <c r="C170" s="229" t="s">
        <v>2972</v>
      </c>
      <c r="D170" s="229"/>
      <c r="E170" s="229"/>
      <c r="F170" s="229" t="s">
        <v>1128</v>
      </c>
      <c r="G170" s="229"/>
      <c r="H170" s="229"/>
      <c r="I170" s="231" t="s">
        <v>2927</v>
      </c>
      <c r="J170" s="229"/>
      <c r="K170" s="229"/>
      <c r="L170" s="229"/>
      <c r="M170" s="229"/>
      <c r="N170" s="229"/>
      <c r="O170" s="229"/>
      <c r="P170" s="232" t="s">
        <v>2943</v>
      </c>
      <c r="Q170" s="189" t="s">
        <v>1879</v>
      </c>
      <c r="R170" s="189" t="s">
        <v>1879</v>
      </c>
      <c r="S170" s="166" t="s">
        <v>1874</v>
      </c>
      <c r="T170" s="166" t="s">
        <v>1874</v>
      </c>
    </row>
    <row r="171" spans="1:20" ht="19.2" customHeight="1">
      <c r="A171" s="177">
        <v>168</v>
      </c>
      <c r="B171" s="136"/>
      <c r="C171" s="229" t="s">
        <v>3040</v>
      </c>
      <c r="D171" s="229"/>
      <c r="E171" s="229"/>
      <c r="F171" s="229"/>
      <c r="G171" s="229"/>
      <c r="H171" s="229"/>
      <c r="I171" s="231" t="s">
        <v>2927</v>
      </c>
      <c r="J171" s="229"/>
      <c r="K171" s="229"/>
      <c r="L171" s="229"/>
      <c r="M171" s="229"/>
      <c r="N171" s="229"/>
      <c r="O171" s="229"/>
      <c r="P171" s="232" t="s">
        <v>2925</v>
      </c>
      <c r="Q171" s="189" t="s">
        <v>1879</v>
      </c>
      <c r="R171" s="166" t="s">
        <v>1874</v>
      </c>
      <c r="S171" s="166" t="s">
        <v>1874</v>
      </c>
      <c r="T171" s="166" t="s">
        <v>1874</v>
      </c>
    </row>
    <row r="172" spans="1:20" ht="19.2" customHeight="1">
      <c r="A172" s="177">
        <v>169</v>
      </c>
      <c r="B172" s="136"/>
      <c r="C172" s="229" t="s">
        <v>1032</v>
      </c>
      <c r="D172" s="229"/>
      <c r="E172" s="229"/>
      <c r="F172" s="229"/>
      <c r="G172" s="229"/>
      <c r="H172" s="229"/>
      <c r="I172" s="231" t="s">
        <v>2927</v>
      </c>
      <c r="J172" s="229"/>
      <c r="K172" s="229"/>
      <c r="L172" s="229"/>
      <c r="M172" s="229"/>
      <c r="N172" s="229"/>
      <c r="O172" s="229"/>
      <c r="P172" s="232" t="s">
        <v>2925</v>
      </c>
      <c r="Q172" s="189" t="s">
        <v>1879</v>
      </c>
      <c r="R172" s="166" t="s">
        <v>1874</v>
      </c>
      <c r="S172" s="166" t="s">
        <v>1874</v>
      </c>
      <c r="T172" s="166" t="s">
        <v>1874</v>
      </c>
    </row>
    <row r="173" spans="1:20" ht="19.2" customHeight="1">
      <c r="A173" s="177">
        <v>170</v>
      </c>
      <c r="B173" s="136"/>
      <c r="C173" s="229" t="s">
        <v>3041</v>
      </c>
      <c r="D173" s="229"/>
      <c r="E173" s="229"/>
      <c r="F173" s="229"/>
      <c r="G173" s="229"/>
      <c r="H173" s="229"/>
      <c r="I173" s="231" t="s">
        <v>2927</v>
      </c>
      <c r="J173" s="229"/>
      <c r="K173" s="229"/>
      <c r="L173" s="229"/>
      <c r="M173" s="229"/>
      <c r="N173" s="229"/>
      <c r="O173" s="229"/>
      <c r="P173" s="232" t="s">
        <v>2925</v>
      </c>
      <c r="Q173" s="189" t="s">
        <v>1879</v>
      </c>
      <c r="R173" s="166" t="s">
        <v>1874</v>
      </c>
      <c r="S173" s="166" t="s">
        <v>1874</v>
      </c>
      <c r="T173" s="166" t="s">
        <v>1874</v>
      </c>
    </row>
    <row r="174" spans="1:20" ht="19.2" customHeight="1">
      <c r="A174" s="177">
        <v>171</v>
      </c>
      <c r="B174" s="136"/>
      <c r="C174" s="231" t="s">
        <v>2936</v>
      </c>
      <c r="D174" s="229"/>
      <c r="E174" s="229"/>
      <c r="F174" s="229" t="s">
        <v>1898</v>
      </c>
      <c r="G174" s="229"/>
      <c r="H174" s="229"/>
      <c r="I174" s="231" t="s">
        <v>2927</v>
      </c>
      <c r="J174" s="230"/>
      <c r="K174" s="230"/>
      <c r="L174" s="230"/>
      <c r="M174" s="230"/>
      <c r="N174" s="229"/>
      <c r="O174" s="229"/>
      <c r="P174" s="232" t="s">
        <v>2925</v>
      </c>
      <c r="Q174" s="189" t="s">
        <v>1879</v>
      </c>
      <c r="R174" s="166" t="s">
        <v>1874</v>
      </c>
      <c r="S174" s="166" t="s">
        <v>1874</v>
      </c>
      <c r="T174" s="166" t="s">
        <v>1874</v>
      </c>
    </row>
    <row r="175" spans="1:20" ht="19.2" customHeight="1">
      <c r="A175" s="177">
        <v>172</v>
      </c>
      <c r="B175" s="136"/>
      <c r="C175" s="231" t="s">
        <v>2937</v>
      </c>
      <c r="D175" s="229"/>
      <c r="E175" s="229"/>
      <c r="F175" s="229" t="s">
        <v>1898</v>
      </c>
      <c r="G175" s="229"/>
      <c r="H175" s="229"/>
      <c r="I175" s="231" t="s">
        <v>2927</v>
      </c>
      <c r="J175" s="230"/>
      <c r="K175" s="230"/>
      <c r="L175" s="230"/>
      <c r="M175" s="230"/>
      <c r="N175" s="229"/>
      <c r="O175" s="229"/>
      <c r="P175" s="232" t="s">
        <v>2925</v>
      </c>
      <c r="Q175" s="189" t="s">
        <v>1879</v>
      </c>
      <c r="R175" s="166" t="s">
        <v>1874</v>
      </c>
      <c r="S175" s="166" t="s">
        <v>1874</v>
      </c>
      <c r="T175" s="166" t="s">
        <v>1874</v>
      </c>
    </row>
    <row r="176" spans="1:20" ht="19.2" customHeight="1">
      <c r="A176" s="177">
        <v>173</v>
      </c>
      <c r="B176" s="136"/>
      <c r="C176" s="231" t="s">
        <v>2938</v>
      </c>
      <c r="D176" s="229"/>
      <c r="E176" s="229"/>
      <c r="F176" s="229" t="s">
        <v>1898</v>
      </c>
      <c r="G176" s="229"/>
      <c r="H176" s="229"/>
      <c r="I176" s="231" t="s">
        <v>2927</v>
      </c>
      <c r="J176" s="230"/>
      <c r="K176" s="230"/>
      <c r="L176" s="230"/>
      <c r="M176" s="230"/>
      <c r="N176" s="229"/>
      <c r="O176" s="229"/>
      <c r="P176" s="232" t="s">
        <v>2925</v>
      </c>
      <c r="Q176" s="189" t="s">
        <v>1879</v>
      </c>
      <c r="R176" s="166" t="s">
        <v>1874</v>
      </c>
      <c r="S176" s="166" t="s">
        <v>1874</v>
      </c>
      <c r="T176" s="166" t="s">
        <v>1874</v>
      </c>
    </row>
    <row r="177" spans="1:20" ht="19.2" customHeight="1">
      <c r="A177" s="177">
        <v>174</v>
      </c>
      <c r="B177" s="136"/>
      <c r="C177" s="231" t="s">
        <v>2939</v>
      </c>
      <c r="D177" s="234"/>
      <c r="E177" s="234"/>
      <c r="F177" s="229" t="s">
        <v>1898</v>
      </c>
      <c r="G177" s="229"/>
      <c r="H177" s="229"/>
      <c r="I177" s="231" t="s">
        <v>2927</v>
      </c>
      <c r="J177" s="230"/>
      <c r="K177" s="230"/>
      <c r="L177" s="230"/>
      <c r="M177" s="230"/>
      <c r="N177" s="229"/>
      <c r="O177" s="229"/>
      <c r="P177" s="232" t="s">
        <v>2925</v>
      </c>
      <c r="Q177" s="189" t="s">
        <v>1879</v>
      </c>
      <c r="R177" s="166" t="s">
        <v>1874</v>
      </c>
      <c r="S177" s="166" t="s">
        <v>1874</v>
      </c>
      <c r="T177" s="166" t="s">
        <v>1874</v>
      </c>
    </row>
    <row r="178" spans="1:20" ht="19.2" customHeight="1">
      <c r="A178" s="177">
        <v>175</v>
      </c>
      <c r="B178" s="136"/>
      <c r="C178" s="229" t="s">
        <v>2940</v>
      </c>
      <c r="D178" s="229"/>
      <c r="E178" s="229"/>
      <c r="F178" s="229" t="s">
        <v>1898</v>
      </c>
      <c r="G178" s="229"/>
      <c r="H178" s="229"/>
      <c r="I178" s="231" t="s">
        <v>2927</v>
      </c>
      <c r="J178" s="229"/>
      <c r="K178" s="229"/>
      <c r="L178" s="229"/>
      <c r="M178" s="229"/>
      <c r="N178" s="229"/>
      <c r="O178" s="229"/>
      <c r="P178" s="232" t="s">
        <v>2925</v>
      </c>
      <c r="Q178" s="189" t="s">
        <v>1879</v>
      </c>
      <c r="R178" s="166" t="s">
        <v>1874</v>
      </c>
      <c r="S178" s="166" t="s">
        <v>1874</v>
      </c>
      <c r="T178" s="166" t="s">
        <v>1874</v>
      </c>
    </row>
    <row r="179" spans="1:20" ht="19.2" customHeight="1">
      <c r="A179" s="177">
        <v>176</v>
      </c>
      <c r="B179" s="136"/>
      <c r="C179" s="229" t="s">
        <v>2941</v>
      </c>
      <c r="D179" s="229"/>
      <c r="E179" s="229"/>
      <c r="F179" s="229" t="s">
        <v>1898</v>
      </c>
      <c r="G179" s="229"/>
      <c r="H179" s="229"/>
      <c r="I179" s="231" t="s">
        <v>2927</v>
      </c>
      <c r="J179" s="229"/>
      <c r="K179" s="229"/>
      <c r="L179" s="229"/>
      <c r="M179" s="229"/>
      <c r="N179" s="229"/>
      <c r="O179" s="229"/>
      <c r="P179" s="232" t="s">
        <v>2925</v>
      </c>
      <c r="Q179" s="189" t="s">
        <v>1879</v>
      </c>
      <c r="R179" s="166" t="s">
        <v>1874</v>
      </c>
      <c r="S179" s="166" t="s">
        <v>1874</v>
      </c>
      <c r="T179" s="166" t="s">
        <v>1874</v>
      </c>
    </row>
    <row r="180" spans="1:20" ht="19.2" customHeight="1">
      <c r="A180" s="177">
        <v>177</v>
      </c>
      <c r="B180" s="136"/>
      <c r="C180" s="229" t="s">
        <v>2945</v>
      </c>
      <c r="D180" s="229"/>
      <c r="E180" s="229"/>
      <c r="F180" s="229" t="s">
        <v>1898</v>
      </c>
      <c r="G180" s="229"/>
      <c r="H180" s="229"/>
      <c r="I180" s="231" t="s">
        <v>2927</v>
      </c>
      <c r="J180" s="229"/>
      <c r="K180" s="229"/>
      <c r="L180" s="229"/>
      <c r="M180" s="229"/>
      <c r="N180" s="229"/>
      <c r="O180" s="229"/>
      <c r="P180" s="232" t="s">
        <v>2943</v>
      </c>
      <c r="Q180" s="189" t="s">
        <v>1879</v>
      </c>
      <c r="R180" s="189" t="s">
        <v>1879</v>
      </c>
      <c r="S180" s="166" t="s">
        <v>1874</v>
      </c>
      <c r="T180" s="166" t="s">
        <v>1874</v>
      </c>
    </row>
    <row r="181" spans="1:20" ht="19.2" customHeight="1">
      <c r="A181" s="177">
        <v>178</v>
      </c>
      <c r="B181" s="136"/>
      <c r="C181" s="229" t="s">
        <v>2946</v>
      </c>
      <c r="D181" s="229"/>
      <c r="E181" s="229"/>
      <c r="F181" s="229" t="s">
        <v>1898</v>
      </c>
      <c r="G181" s="229"/>
      <c r="H181" s="229"/>
      <c r="I181" s="231" t="s">
        <v>2927</v>
      </c>
      <c r="J181" s="229"/>
      <c r="K181" s="229"/>
      <c r="L181" s="229"/>
      <c r="M181" s="229"/>
      <c r="N181" s="229"/>
      <c r="O181" s="229"/>
      <c r="P181" s="232" t="s">
        <v>2943</v>
      </c>
      <c r="Q181" s="189" t="s">
        <v>1879</v>
      </c>
      <c r="R181" s="189" t="s">
        <v>1879</v>
      </c>
      <c r="S181" s="166" t="s">
        <v>1874</v>
      </c>
      <c r="T181" s="166" t="s">
        <v>1874</v>
      </c>
    </row>
    <row r="182" spans="1:20" ht="19.2" customHeight="1">
      <c r="A182" s="177">
        <v>179</v>
      </c>
      <c r="B182" s="136"/>
      <c r="C182" s="229" t="s">
        <v>2947</v>
      </c>
      <c r="D182" s="229"/>
      <c r="E182" s="229"/>
      <c r="F182" s="229" t="s">
        <v>1898</v>
      </c>
      <c r="G182" s="229"/>
      <c r="H182" s="229"/>
      <c r="I182" s="231" t="s">
        <v>2927</v>
      </c>
      <c r="J182" s="229"/>
      <c r="K182" s="229"/>
      <c r="L182" s="229"/>
      <c r="M182" s="229"/>
      <c r="N182" s="229"/>
      <c r="O182" s="229"/>
      <c r="P182" s="232" t="s">
        <v>2943</v>
      </c>
      <c r="Q182" s="189" t="s">
        <v>1879</v>
      </c>
      <c r="R182" s="189" t="s">
        <v>1879</v>
      </c>
      <c r="S182" s="166" t="s">
        <v>1874</v>
      </c>
      <c r="T182" s="166" t="s">
        <v>1874</v>
      </c>
    </row>
    <row r="183" spans="1:20" ht="19.2" customHeight="1">
      <c r="A183" s="177">
        <v>180</v>
      </c>
      <c r="B183" s="136"/>
      <c r="C183" s="229" t="s">
        <v>2948</v>
      </c>
      <c r="D183" s="229"/>
      <c r="E183" s="229"/>
      <c r="F183" s="229" t="s">
        <v>1898</v>
      </c>
      <c r="G183" s="229"/>
      <c r="H183" s="229"/>
      <c r="I183" s="231" t="s">
        <v>2927</v>
      </c>
      <c r="J183" s="229"/>
      <c r="K183" s="229"/>
      <c r="L183" s="229"/>
      <c r="M183" s="229"/>
      <c r="N183" s="229"/>
      <c r="O183" s="229"/>
      <c r="P183" s="232" t="s">
        <v>2943</v>
      </c>
      <c r="Q183" s="189" t="s">
        <v>1879</v>
      </c>
      <c r="R183" s="189" t="s">
        <v>1879</v>
      </c>
      <c r="S183" s="166" t="s">
        <v>1874</v>
      </c>
      <c r="T183" s="166" t="s">
        <v>1874</v>
      </c>
    </row>
    <row r="184" spans="1:20" ht="19.2" customHeight="1">
      <c r="A184" s="178">
        <v>301</v>
      </c>
      <c r="B184" s="136"/>
      <c r="C184" s="229" t="s">
        <v>2973</v>
      </c>
      <c r="D184" s="229"/>
      <c r="E184" s="229"/>
      <c r="F184" s="229" t="s">
        <v>1898</v>
      </c>
      <c r="G184" s="229"/>
      <c r="H184" s="229"/>
      <c r="I184" s="231" t="s">
        <v>2927</v>
      </c>
      <c r="J184" s="229"/>
      <c r="K184" s="229"/>
      <c r="L184" s="229"/>
      <c r="M184" s="229"/>
      <c r="N184" s="229"/>
      <c r="O184" s="229"/>
      <c r="P184" s="232" t="s">
        <v>2943</v>
      </c>
      <c r="Q184" s="189" t="s">
        <v>1879</v>
      </c>
      <c r="R184" s="189" t="s">
        <v>1879</v>
      </c>
      <c r="S184" s="166" t="s">
        <v>1874</v>
      </c>
      <c r="T184" s="166" t="s">
        <v>1874</v>
      </c>
    </row>
    <row r="185" spans="1:20" ht="19.2" customHeight="1">
      <c r="A185" s="178">
        <v>302</v>
      </c>
      <c r="B185" s="136"/>
      <c r="C185" s="229" t="s">
        <v>2974</v>
      </c>
      <c r="D185" s="229"/>
      <c r="E185" s="229"/>
      <c r="F185" s="229" t="s">
        <v>1898</v>
      </c>
      <c r="G185" s="229"/>
      <c r="H185" s="229"/>
      <c r="I185" s="231" t="s">
        <v>2927</v>
      </c>
      <c r="J185" s="229"/>
      <c r="K185" s="229"/>
      <c r="L185" s="229"/>
      <c r="M185" s="229"/>
      <c r="N185" s="229"/>
      <c r="O185" s="229"/>
      <c r="P185" s="232" t="s">
        <v>2943</v>
      </c>
      <c r="Q185" s="189" t="s">
        <v>1879</v>
      </c>
      <c r="R185" s="189" t="s">
        <v>1879</v>
      </c>
      <c r="S185" s="166" t="s">
        <v>1874</v>
      </c>
      <c r="T185" s="166" t="s">
        <v>1874</v>
      </c>
    </row>
    <row r="186" spans="1:20" ht="19.2" customHeight="1">
      <c r="A186" s="178">
        <v>303</v>
      </c>
      <c r="B186" s="136"/>
      <c r="C186" s="231" t="s">
        <v>2949</v>
      </c>
      <c r="D186" s="229"/>
      <c r="E186" s="229"/>
      <c r="F186" s="229" t="s">
        <v>1899</v>
      </c>
      <c r="G186" s="229"/>
      <c r="H186" s="229"/>
      <c r="I186" s="231" t="s">
        <v>2927</v>
      </c>
      <c r="J186" s="229"/>
      <c r="K186" s="229"/>
      <c r="L186" s="229"/>
      <c r="M186" s="229"/>
      <c r="N186" s="229"/>
      <c r="O186" s="229"/>
      <c r="P186" s="232" t="s">
        <v>2943</v>
      </c>
      <c r="Q186" s="189" t="s">
        <v>1879</v>
      </c>
      <c r="R186" s="189" t="s">
        <v>1879</v>
      </c>
      <c r="S186" s="166" t="s">
        <v>1874</v>
      </c>
      <c r="T186" s="166" t="s">
        <v>1874</v>
      </c>
    </row>
    <row r="187" spans="1:20" ht="19.2" customHeight="1">
      <c r="A187" s="178">
        <v>304</v>
      </c>
      <c r="B187" s="136"/>
      <c r="C187" s="231" t="s">
        <v>2950</v>
      </c>
      <c r="D187" s="229"/>
      <c r="E187" s="229"/>
      <c r="F187" s="229" t="s">
        <v>1899</v>
      </c>
      <c r="G187" s="229"/>
      <c r="H187" s="229"/>
      <c r="I187" s="231" t="s">
        <v>2927</v>
      </c>
      <c r="J187" s="229"/>
      <c r="K187" s="229"/>
      <c r="L187" s="229"/>
      <c r="M187" s="229"/>
      <c r="N187" s="229"/>
      <c r="O187" s="229"/>
      <c r="P187" s="232" t="s">
        <v>2943</v>
      </c>
      <c r="Q187" s="189" t="s">
        <v>1879</v>
      </c>
      <c r="R187" s="189" t="s">
        <v>1879</v>
      </c>
      <c r="S187" s="166" t="s">
        <v>1874</v>
      </c>
      <c r="T187" s="166" t="s">
        <v>1874</v>
      </c>
    </row>
    <row r="188" spans="1:20" ht="19.2" customHeight="1">
      <c r="A188" s="178">
        <v>305</v>
      </c>
      <c r="B188" s="136"/>
      <c r="C188" s="231" t="s">
        <v>2951</v>
      </c>
      <c r="D188" s="229"/>
      <c r="E188" s="229"/>
      <c r="F188" s="229" t="s">
        <v>1899</v>
      </c>
      <c r="G188" s="229"/>
      <c r="H188" s="229"/>
      <c r="I188" s="231" t="s">
        <v>2927</v>
      </c>
      <c r="J188" s="229"/>
      <c r="K188" s="229"/>
      <c r="L188" s="229"/>
      <c r="M188" s="229"/>
      <c r="N188" s="229"/>
      <c r="O188" s="229"/>
      <c r="P188" s="232" t="s">
        <v>2943</v>
      </c>
      <c r="Q188" s="189" t="s">
        <v>1879</v>
      </c>
      <c r="R188" s="189" t="s">
        <v>1879</v>
      </c>
      <c r="S188" s="166" t="s">
        <v>1874</v>
      </c>
      <c r="T188" s="166" t="s">
        <v>1874</v>
      </c>
    </row>
    <row r="189" spans="1:20" ht="19.2" customHeight="1">
      <c r="A189" s="178">
        <v>306</v>
      </c>
      <c r="B189" s="136"/>
      <c r="C189" s="231" t="s">
        <v>2952</v>
      </c>
      <c r="D189" s="229"/>
      <c r="E189" s="229"/>
      <c r="F189" s="229" t="s">
        <v>1899</v>
      </c>
      <c r="G189" s="229"/>
      <c r="H189" s="229"/>
      <c r="I189" s="231" t="s">
        <v>2927</v>
      </c>
      <c r="J189" s="229"/>
      <c r="K189" s="229"/>
      <c r="L189" s="229"/>
      <c r="M189" s="229"/>
      <c r="N189" s="229"/>
      <c r="O189" s="229"/>
      <c r="P189" s="232" t="s">
        <v>2943</v>
      </c>
      <c r="Q189" s="189" t="s">
        <v>1879</v>
      </c>
      <c r="R189" s="189" t="s">
        <v>1879</v>
      </c>
      <c r="S189" s="166" t="s">
        <v>1874</v>
      </c>
      <c r="T189" s="166" t="s">
        <v>1874</v>
      </c>
    </row>
    <row r="190" spans="1:20" ht="19.2" customHeight="1">
      <c r="A190" s="178">
        <v>307</v>
      </c>
      <c r="B190" s="136"/>
      <c r="C190" s="229" t="s">
        <v>2953</v>
      </c>
      <c r="D190" s="229"/>
      <c r="E190" s="229"/>
      <c r="F190" s="229" t="s">
        <v>1899</v>
      </c>
      <c r="G190" s="229"/>
      <c r="H190" s="229"/>
      <c r="I190" s="231" t="s">
        <v>2927</v>
      </c>
      <c r="J190" s="229"/>
      <c r="K190" s="229"/>
      <c r="L190" s="229"/>
      <c r="M190" s="229"/>
      <c r="N190" s="229"/>
      <c r="O190" s="229"/>
      <c r="P190" s="232" t="s">
        <v>2943</v>
      </c>
      <c r="Q190" s="189" t="s">
        <v>1879</v>
      </c>
      <c r="R190" s="189" t="s">
        <v>1879</v>
      </c>
      <c r="S190" s="166" t="s">
        <v>1874</v>
      </c>
      <c r="T190" s="166" t="s">
        <v>1874</v>
      </c>
    </row>
    <row r="191" spans="1:20" ht="19.2" customHeight="1">
      <c r="A191" s="178">
        <v>308</v>
      </c>
      <c r="B191" s="136"/>
      <c r="C191" s="229" t="s">
        <v>2954</v>
      </c>
      <c r="D191" s="229"/>
      <c r="E191" s="229"/>
      <c r="F191" s="229" t="s">
        <v>1899</v>
      </c>
      <c r="G191" s="229"/>
      <c r="H191" s="229"/>
      <c r="I191" s="231" t="s">
        <v>2927</v>
      </c>
      <c r="J191" s="229"/>
      <c r="K191" s="229"/>
      <c r="L191" s="229"/>
      <c r="M191" s="229"/>
      <c r="N191" s="229"/>
      <c r="O191" s="229"/>
      <c r="P191" s="232" t="s">
        <v>2943</v>
      </c>
      <c r="Q191" s="189" t="s">
        <v>1879</v>
      </c>
      <c r="R191" s="189" t="s">
        <v>1879</v>
      </c>
      <c r="S191" s="166" t="s">
        <v>1874</v>
      </c>
      <c r="T191" s="166" t="s">
        <v>1874</v>
      </c>
    </row>
    <row r="192" spans="1:20" ht="19.2" customHeight="1">
      <c r="A192" s="178">
        <v>309</v>
      </c>
      <c r="B192" s="136"/>
      <c r="C192" s="229" t="s">
        <v>2955</v>
      </c>
      <c r="D192" s="229"/>
      <c r="E192" s="229"/>
      <c r="F192" s="229" t="s">
        <v>1899</v>
      </c>
      <c r="G192" s="229"/>
      <c r="H192" s="229"/>
      <c r="I192" s="231" t="s">
        <v>2927</v>
      </c>
      <c r="J192" s="229"/>
      <c r="K192" s="229"/>
      <c r="L192" s="229"/>
      <c r="M192" s="229"/>
      <c r="N192" s="229"/>
      <c r="O192" s="229"/>
      <c r="P192" s="232" t="s">
        <v>2943</v>
      </c>
      <c r="Q192" s="189" t="s">
        <v>1879</v>
      </c>
      <c r="R192" s="189" t="s">
        <v>1879</v>
      </c>
      <c r="S192" s="166" t="s">
        <v>1874</v>
      </c>
      <c r="T192" s="166" t="s">
        <v>1874</v>
      </c>
    </row>
    <row r="193" spans="1:20" ht="19.2" customHeight="1">
      <c r="A193" s="178">
        <v>310</v>
      </c>
      <c r="B193" s="136"/>
      <c r="C193" s="229" t="s">
        <v>2956</v>
      </c>
      <c r="D193" s="229"/>
      <c r="E193" s="229" t="s">
        <v>2969</v>
      </c>
      <c r="F193" s="229" t="s">
        <v>1899</v>
      </c>
      <c r="G193" s="229"/>
      <c r="H193" s="229"/>
      <c r="I193" s="231" t="s">
        <v>2927</v>
      </c>
      <c r="J193" s="229"/>
      <c r="K193" s="229"/>
      <c r="L193" s="229"/>
      <c r="M193" s="229"/>
      <c r="N193" s="229"/>
      <c r="O193" s="229"/>
      <c r="P193" s="232" t="s">
        <v>2943</v>
      </c>
      <c r="Q193" s="189" t="s">
        <v>1879</v>
      </c>
      <c r="R193" s="189" t="s">
        <v>1879</v>
      </c>
      <c r="S193" s="166" t="s">
        <v>1874</v>
      </c>
      <c r="T193" s="166" t="s">
        <v>1874</v>
      </c>
    </row>
    <row r="194" spans="1:20" ht="19.2" customHeight="1">
      <c r="A194" s="178">
        <v>311</v>
      </c>
      <c r="B194" s="136"/>
      <c r="C194" s="229" t="s">
        <v>2957</v>
      </c>
      <c r="D194" s="229"/>
      <c r="E194" s="229"/>
      <c r="F194" s="229" t="s">
        <v>1899</v>
      </c>
      <c r="G194" s="229"/>
      <c r="H194" s="229"/>
      <c r="I194" s="231" t="s">
        <v>2927</v>
      </c>
      <c r="J194" s="229"/>
      <c r="K194" s="229"/>
      <c r="L194" s="229"/>
      <c r="M194" s="229"/>
      <c r="N194" s="229"/>
      <c r="O194" s="229"/>
      <c r="P194" s="232" t="s">
        <v>2943</v>
      </c>
      <c r="Q194" s="189" t="s">
        <v>1879</v>
      </c>
      <c r="R194" s="189" t="s">
        <v>1879</v>
      </c>
      <c r="S194" s="166" t="s">
        <v>1874</v>
      </c>
      <c r="T194" s="166" t="s">
        <v>1874</v>
      </c>
    </row>
    <row r="195" spans="1:20" ht="19.2" customHeight="1">
      <c r="A195" s="178">
        <v>312</v>
      </c>
      <c r="B195" s="136"/>
      <c r="C195" s="229" t="s">
        <v>2958</v>
      </c>
      <c r="D195" s="229"/>
      <c r="E195" s="229"/>
      <c r="F195" s="229" t="s">
        <v>1899</v>
      </c>
      <c r="G195" s="229"/>
      <c r="H195" s="229"/>
      <c r="I195" s="231" t="s">
        <v>2927</v>
      </c>
      <c r="J195" s="229"/>
      <c r="K195" s="229"/>
      <c r="L195" s="229"/>
      <c r="M195" s="229"/>
      <c r="N195" s="229"/>
      <c r="O195" s="229"/>
      <c r="P195" s="232" t="s">
        <v>2943</v>
      </c>
      <c r="Q195" s="189" t="s">
        <v>1879</v>
      </c>
      <c r="R195" s="189" t="s">
        <v>1879</v>
      </c>
      <c r="S195" s="166" t="s">
        <v>1874</v>
      </c>
      <c r="T195" s="166" t="s">
        <v>1874</v>
      </c>
    </row>
    <row r="196" spans="1:20" ht="19.2" customHeight="1">
      <c r="A196" s="178">
        <v>313</v>
      </c>
      <c r="B196" s="136"/>
      <c r="C196" s="229" t="s">
        <v>2975</v>
      </c>
      <c r="D196" s="229"/>
      <c r="E196" s="229"/>
      <c r="F196" s="229" t="s">
        <v>1899</v>
      </c>
      <c r="G196" s="229"/>
      <c r="H196" s="229"/>
      <c r="I196" s="231" t="s">
        <v>2927</v>
      </c>
      <c r="J196" s="229"/>
      <c r="K196" s="229"/>
      <c r="L196" s="229"/>
      <c r="M196" s="229"/>
      <c r="N196" s="229"/>
      <c r="O196" s="229"/>
      <c r="P196" s="232" t="s">
        <v>2943</v>
      </c>
      <c r="Q196" s="189" t="s">
        <v>1879</v>
      </c>
      <c r="R196" s="189" t="s">
        <v>1879</v>
      </c>
      <c r="S196" s="166" t="s">
        <v>1874</v>
      </c>
      <c r="T196" s="166" t="s">
        <v>1874</v>
      </c>
    </row>
    <row r="197" spans="1:20" ht="19.2" customHeight="1">
      <c r="A197" s="178">
        <v>314</v>
      </c>
      <c r="B197" s="136"/>
      <c r="C197" s="229" t="s">
        <v>2976</v>
      </c>
      <c r="D197" s="229"/>
      <c r="E197" s="229"/>
      <c r="F197" s="229" t="s">
        <v>1899</v>
      </c>
      <c r="G197" s="229"/>
      <c r="H197" s="229"/>
      <c r="I197" s="231" t="s">
        <v>2927</v>
      </c>
      <c r="J197" s="229"/>
      <c r="K197" s="229"/>
      <c r="L197" s="229"/>
      <c r="M197" s="229"/>
      <c r="N197" s="229"/>
      <c r="O197" s="229"/>
      <c r="P197" s="232" t="s">
        <v>2943</v>
      </c>
      <c r="Q197" s="189" t="s">
        <v>1879</v>
      </c>
      <c r="R197" s="189" t="s">
        <v>1879</v>
      </c>
      <c r="S197" s="166" t="s">
        <v>1874</v>
      </c>
      <c r="T197" s="166" t="s">
        <v>1874</v>
      </c>
    </row>
    <row r="198" spans="1:20" ht="19.2" customHeight="1">
      <c r="A198" s="178">
        <v>315</v>
      </c>
      <c r="B198" s="136"/>
      <c r="C198" s="231" t="s">
        <v>2960</v>
      </c>
      <c r="D198" s="229"/>
      <c r="E198" s="229"/>
      <c r="F198" s="229" t="s">
        <v>1902</v>
      </c>
      <c r="G198" s="229"/>
      <c r="H198" s="229"/>
      <c r="I198" s="231" t="s">
        <v>2927</v>
      </c>
      <c r="J198" s="229"/>
      <c r="K198" s="229"/>
      <c r="L198" s="229"/>
      <c r="M198" s="229"/>
      <c r="N198" s="229"/>
      <c r="O198" s="229"/>
      <c r="P198" s="232" t="s">
        <v>2943</v>
      </c>
      <c r="Q198" s="189" t="s">
        <v>1879</v>
      </c>
      <c r="R198" s="189" t="s">
        <v>1879</v>
      </c>
      <c r="S198" s="166" t="s">
        <v>1874</v>
      </c>
      <c r="T198" s="166" t="s">
        <v>1874</v>
      </c>
    </row>
    <row r="199" spans="1:20" ht="19.2" customHeight="1">
      <c r="A199" s="178">
        <v>316</v>
      </c>
      <c r="B199" s="136"/>
      <c r="C199" s="231" t="s">
        <v>2961</v>
      </c>
      <c r="D199" s="229"/>
      <c r="E199" s="229"/>
      <c r="F199" s="229" t="s">
        <v>1902</v>
      </c>
      <c r="G199" s="229"/>
      <c r="H199" s="229"/>
      <c r="I199" s="231" t="s">
        <v>2927</v>
      </c>
      <c r="J199" s="229"/>
      <c r="K199" s="229"/>
      <c r="L199" s="229"/>
      <c r="M199" s="229"/>
      <c r="N199" s="229"/>
      <c r="O199" s="229"/>
      <c r="P199" s="232" t="s">
        <v>2943</v>
      </c>
      <c r="Q199" s="189" t="s">
        <v>1879</v>
      </c>
      <c r="R199" s="189" t="s">
        <v>1879</v>
      </c>
      <c r="S199" s="166" t="s">
        <v>1874</v>
      </c>
      <c r="T199" s="166" t="s">
        <v>1874</v>
      </c>
    </row>
    <row r="200" spans="1:20" ht="19.2" customHeight="1">
      <c r="A200" s="178">
        <v>317</v>
      </c>
      <c r="B200" s="136"/>
      <c r="C200" s="231" t="s">
        <v>2962</v>
      </c>
      <c r="D200" s="229"/>
      <c r="E200" s="229"/>
      <c r="F200" s="229" t="s">
        <v>1902</v>
      </c>
      <c r="G200" s="229"/>
      <c r="H200" s="229"/>
      <c r="I200" s="231" t="s">
        <v>2927</v>
      </c>
      <c r="J200" s="229"/>
      <c r="K200" s="229"/>
      <c r="L200" s="229"/>
      <c r="M200" s="229"/>
      <c r="N200" s="229"/>
      <c r="O200" s="229"/>
      <c r="P200" s="232" t="s">
        <v>2943</v>
      </c>
      <c r="Q200" s="189" t="s">
        <v>1879</v>
      </c>
      <c r="R200" s="189" t="s">
        <v>1879</v>
      </c>
      <c r="S200" s="166" t="s">
        <v>1874</v>
      </c>
      <c r="T200" s="166" t="s">
        <v>1874</v>
      </c>
    </row>
    <row r="201" spans="1:20" ht="19.2" customHeight="1">
      <c r="A201" s="178">
        <v>318</v>
      </c>
      <c r="B201" s="136"/>
      <c r="C201" s="231" t="s">
        <v>2963</v>
      </c>
      <c r="D201" s="229"/>
      <c r="E201" s="229"/>
      <c r="F201" s="229" t="s">
        <v>1902</v>
      </c>
      <c r="G201" s="229"/>
      <c r="H201" s="229"/>
      <c r="I201" s="231" t="s">
        <v>2927</v>
      </c>
      <c r="J201" s="229"/>
      <c r="K201" s="229"/>
      <c r="L201" s="229"/>
      <c r="M201" s="229"/>
      <c r="N201" s="229"/>
      <c r="O201" s="229"/>
      <c r="P201" s="232" t="s">
        <v>2943</v>
      </c>
      <c r="Q201" s="189" t="s">
        <v>1879</v>
      </c>
      <c r="R201" s="189" t="s">
        <v>1879</v>
      </c>
      <c r="S201" s="166" t="s">
        <v>1874</v>
      </c>
      <c r="T201" s="166" t="s">
        <v>1874</v>
      </c>
    </row>
    <row r="202" spans="1:20" ht="19.2" customHeight="1">
      <c r="A202" s="178">
        <v>319</v>
      </c>
      <c r="B202" s="136"/>
      <c r="C202" s="229" t="s">
        <v>2964</v>
      </c>
      <c r="D202" s="229"/>
      <c r="E202" s="229"/>
      <c r="F202" s="229" t="s">
        <v>1902</v>
      </c>
      <c r="G202" s="229"/>
      <c r="H202" s="229"/>
      <c r="I202" s="231" t="s">
        <v>2927</v>
      </c>
      <c r="J202" s="229"/>
      <c r="K202" s="229"/>
      <c r="L202" s="229"/>
      <c r="M202" s="229"/>
      <c r="N202" s="229"/>
      <c r="O202" s="229"/>
      <c r="P202" s="232" t="s">
        <v>2943</v>
      </c>
      <c r="Q202" s="189" t="s">
        <v>1879</v>
      </c>
      <c r="R202" s="189" t="s">
        <v>1879</v>
      </c>
      <c r="S202" s="166" t="s">
        <v>1874</v>
      </c>
      <c r="T202" s="166" t="s">
        <v>1874</v>
      </c>
    </row>
    <row r="203" spans="1:20" ht="19.2" customHeight="1">
      <c r="A203" s="178">
        <v>320</v>
      </c>
      <c r="B203" s="136"/>
      <c r="C203" s="229" t="s">
        <v>2965</v>
      </c>
      <c r="D203" s="229"/>
      <c r="E203" s="229"/>
      <c r="F203" s="229" t="s">
        <v>1902</v>
      </c>
      <c r="G203" s="229"/>
      <c r="H203" s="229"/>
      <c r="I203" s="231" t="s">
        <v>2927</v>
      </c>
      <c r="J203" s="229"/>
      <c r="K203" s="229"/>
      <c r="L203" s="229"/>
      <c r="M203" s="229"/>
      <c r="N203" s="229"/>
      <c r="O203" s="229"/>
      <c r="P203" s="232" t="s">
        <v>2943</v>
      </c>
      <c r="Q203" s="189" t="s">
        <v>1879</v>
      </c>
      <c r="R203" s="189" t="s">
        <v>1879</v>
      </c>
      <c r="S203" s="166" t="s">
        <v>1874</v>
      </c>
      <c r="T203" s="166" t="s">
        <v>1874</v>
      </c>
    </row>
    <row r="204" spans="1:20" ht="19.2" customHeight="1">
      <c r="A204" s="178">
        <v>321</v>
      </c>
      <c r="B204" s="136"/>
      <c r="C204" s="229" t="s">
        <v>2966</v>
      </c>
      <c r="D204" s="229"/>
      <c r="E204" s="229"/>
      <c r="F204" s="229" t="s">
        <v>1902</v>
      </c>
      <c r="G204" s="229"/>
      <c r="H204" s="229"/>
      <c r="I204" s="231" t="s">
        <v>2927</v>
      </c>
      <c r="J204" s="229"/>
      <c r="K204" s="229"/>
      <c r="L204" s="229"/>
      <c r="M204" s="229"/>
      <c r="N204" s="229"/>
      <c r="O204" s="229"/>
      <c r="P204" s="232" t="s">
        <v>2943</v>
      </c>
      <c r="Q204" s="189" t="s">
        <v>1879</v>
      </c>
      <c r="R204" s="189" t="s">
        <v>1879</v>
      </c>
      <c r="S204" s="166" t="s">
        <v>1874</v>
      </c>
      <c r="T204" s="166" t="s">
        <v>1874</v>
      </c>
    </row>
    <row r="205" spans="1:20" ht="19.2" customHeight="1">
      <c r="A205" s="178">
        <v>322</v>
      </c>
      <c r="B205" s="136"/>
      <c r="C205" s="229" t="s">
        <v>2967</v>
      </c>
      <c r="D205" s="229"/>
      <c r="E205" s="229"/>
      <c r="F205" s="229" t="s">
        <v>1902</v>
      </c>
      <c r="G205" s="229"/>
      <c r="H205" s="229"/>
      <c r="I205" s="231" t="s">
        <v>2927</v>
      </c>
      <c r="J205" s="229"/>
      <c r="K205" s="229"/>
      <c r="L205" s="229"/>
      <c r="M205" s="229"/>
      <c r="N205" s="229"/>
      <c r="O205" s="229"/>
      <c r="P205" s="232" t="s">
        <v>2943</v>
      </c>
      <c r="Q205" s="189" t="s">
        <v>1879</v>
      </c>
      <c r="R205" s="189" t="s">
        <v>1879</v>
      </c>
      <c r="S205" s="166" t="s">
        <v>1874</v>
      </c>
      <c r="T205" s="166" t="s">
        <v>1874</v>
      </c>
    </row>
    <row r="206" spans="1:20" ht="19.2" customHeight="1">
      <c r="A206" s="178">
        <v>323</v>
      </c>
      <c r="B206" s="136"/>
      <c r="C206" s="229" t="s">
        <v>2968</v>
      </c>
      <c r="D206" s="229"/>
      <c r="E206" s="229"/>
      <c r="F206" s="229" t="s">
        <v>1902</v>
      </c>
      <c r="G206" s="229"/>
      <c r="H206" s="229"/>
      <c r="I206" s="231" t="s">
        <v>2927</v>
      </c>
      <c r="J206" s="229"/>
      <c r="K206" s="229"/>
      <c r="L206" s="229"/>
      <c r="M206" s="229"/>
      <c r="N206" s="229"/>
      <c r="O206" s="229"/>
      <c r="P206" s="232" t="s">
        <v>2943</v>
      </c>
      <c r="Q206" s="189" t="s">
        <v>1879</v>
      </c>
      <c r="R206" s="189" t="s">
        <v>1879</v>
      </c>
      <c r="S206" s="166" t="s">
        <v>1874</v>
      </c>
      <c r="T206" s="166" t="s">
        <v>1874</v>
      </c>
    </row>
    <row r="207" spans="1:20" ht="19.2" customHeight="1">
      <c r="A207" s="178">
        <v>324</v>
      </c>
      <c r="B207" s="136"/>
      <c r="C207" s="229" t="s">
        <v>2959</v>
      </c>
      <c r="D207" s="229"/>
      <c r="E207" s="229"/>
      <c r="F207" s="229" t="s">
        <v>1902</v>
      </c>
      <c r="G207" s="229"/>
      <c r="H207" s="229"/>
      <c r="I207" s="231" t="s">
        <v>2927</v>
      </c>
      <c r="J207" s="229"/>
      <c r="K207" s="229"/>
      <c r="L207" s="229"/>
      <c r="M207" s="229"/>
      <c r="N207" s="229"/>
      <c r="O207" s="229"/>
      <c r="P207" s="232" t="s">
        <v>2943</v>
      </c>
      <c r="Q207" s="189" t="s">
        <v>1879</v>
      </c>
      <c r="R207" s="189" t="s">
        <v>1879</v>
      </c>
      <c r="S207" s="166" t="s">
        <v>1874</v>
      </c>
      <c r="T207" s="166" t="s">
        <v>1874</v>
      </c>
    </row>
    <row r="208" spans="1:20" ht="19.2" customHeight="1">
      <c r="A208" s="178">
        <v>325</v>
      </c>
      <c r="B208" s="136"/>
      <c r="C208" s="229" t="s">
        <v>2977</v>
      </c>
      <c r="D208" s="229"/>
      <c r="E208" s="229"/>
      <c r="F208" s="229" t="s">
        <v>1902</v>
      </c>
      <c r="G208" s="229"/>
      <c r="H208" s="229"/>
      <c r="I208" s="231" t="s">
        <v>2927</v>
      </c>
      <c r="J208" s="229"/>
      <c r="K208" s="229"/>
      <c r="L208" s="229"/>
      <c r="M208" s="229"/>
      <c r="N208" s="229"/>
      <c r="O208" s="229"/>
      <c r="P208" s="232" t="s">
        <v>2943</v>
      </c>
      <c r="Q208" s="189" t="s">
        <v>1879</v>
      </c>
      <c r="R208" s="189" t="s">
        <v>1879</v>
      </c>
      <c r="S208" s="166" t="s">
        <v>1874</v>
      </c>
      <c r="T208" s="166" t="s">
        <v>1874</v>
      </c>
    </row>
    <row r="209" spans="1:20" ht="19.2" customHeight="1">
      <c r="A209" s="178">
        <v>326</v>
      </c>
      <c r="B209" s="136"/>
      <c r="C209" s="229" t="s">
        <v>2978</v>
      </c>
      <c r="D209" s="229"/>
      <c r="E209" s="229"/>
      <c r="F209" s="229" t="s">
        <v>1902</v>
      </c>
      <c r="G209" s="229"/>
      <c r="H209" s="229"/>
      <c r="I209" s="231" t="s">
        <v>2927</v>
      </c>
      <c r="J209" s="229"/>
      <c r="K209" s="229"/>
      <c r="L209" s="229"/>
      <c r="M209" s="229"/>
      <c r="N209" s="229"/>
      <c r="O209" s="229"/>
      <c r="P209" s="232" t="s">
        <v>2943</v>
      </c>
      <c r="Q209" s="189" t="s">
        <v>1879</v>
      </c>
      <c r="R209" s="189" t="s">
        <v>1879</v>
      </c>
      <c r="S209" s="166" t="s">
        <v>1874</v>
      </c>
      <c r="T209" s="166" t="s">
        <v>1874</v>
      </c>
    </row>
    <row r="210" spans="1:20" ht="19.2" customHeight="1">
      <c r="A210" s="178">
        <v>327</v>
      </c>
      <c r="B210" s="136"/>
      <c r="C210" s="229" t="s">
        <v>2934</v>
      </c>
      <c r="D210" s="229"/>
      <c r="E210" s="229"/>
      <c r="F210" s="229" t="s">
        <v>1896</v>
      </c>
      <c r="G210" s="229"/>
      <c r="H210" s="229"/>
      <c r="I210" s="231" t="s">
        <v>2927</v>
      </c>
      <c r="J210" s="229"/>
      <c r="K210" s="229"/>
      <c r="L210" s="229"/>
      <c r="M210" s="229"/>
      <c r="N210" s="229"/>
      <c r="O210" s="229"/>
      <c r="P210" s="232" t="s">
        <v>2925</v>
      </c>
      <c r="Q210" s="189" t="s">
        <v>1879</v>
      </c>
      <c r="R210" s="166" t="s">
        <v>1874</v>
      </c>
      <c r="S210" s="166" t="s">
        <v>1874</v>
      </c>
      <c r="T210" s="166" t="s">
        <v>1874</v>
      </c>
    </row>
    <row r="211" spans="1:20" ht="19.2" customHeight="1">
      <c r="A211" s="178">
        <v>328</v>
      </c>
      <c r="B211" s="136"/>
      <c r="C211" s="229" t="s">
        <v>2935</v>
      </c>
      <c r="D211" s="229"/>
      <c r="E211" s="229"/>
      <c r="F211" s="229" t="s">
        <v>1896</v>
      </c>
      <c r="G211" s="229"/>
      <c r="H211" s="229"/>
      <c r="I211" s="231" t="s">
        <v>2927</v>
      </c>
      <c r="J211" s="229"/>
      <c r="K211" s="229"/>
      <c r="L211" s="229"/>
      <c r="M211" s="229"/>
      <c r="N211" s="229"/>
      <c r="O211" s="229"/>
      <c r="P211" s="232" t="s">
        <v>2925</v>
      </c>
      <c r="Q211" s="189" t="s">
        <v>1879</v>
      </c>
      <c r="R211" s="166" t="s">
        <v>1874</v>
      </c>
      <c r="S211" s="166" t="s">
        <v>1874</v>
      </c>
      <c r="T211" s="166" t="s">
        <v>1874</v>
      </c>
    </row>
    <row r="212" spans="1:20" ht="19.2" customHeight="1">
      <c r="A212" s="178">
        <v>329</v>
      </c>
      <c r="B212" s="136"/>
      <c r="C212" s="229" t="s">
        <v>1151</v>
      </c>
      <c r="D212" s="229"/>
      <c r="E212" s="229"/>
      <c r="F212" s="229" t="s">
        <v>1128</v>
      </c>
      <c r="G212" s="229"/>
      <c r="H212" s="229"/>
      <c r="I212" s="231" t="s">
        <v>2927</v>
      </c>
      <c r="J212" s="229"/>
      <c r="K212" s="229"/>
      <c r="L212" s="229"/>
      <c r="M212" s="229"/>
      <c r="N212" s="229"/>
      <c r="O212" s="229"/>
      <c r="P212" s="232" t="s">
        <v>2943</v>
      </c>
      <c r="Q212" s="189" t="s">
        <v>1879</v>
      </c>
      <c r="R212" s="189" t="s">
        <v>1879</v>
      </c>
      <c r="S212" s="166" t="s">
        <v>1874</v>
      </c>
      <c r="T212" s="166" t="s">
        <v>1874</v>
      </c>
    </row>
    <row r="213" spans="1:20" ht="19.2" customHeight="1">
      <c r="A213" s="178">
        <v>330</v>
      </c>
      <c r="B213" s="136"/>
      <c r="C213" s="229" t="s">
        <v>1152</v>
      </c>
      <c r="D213" s="229"/>
      <c r="E213" s="229"/>
      <c r="F213" s="229" t="s">
        <v>1128</v>
      </c>
      <c r="G213" s="229"/>
      <c r="H213" s="229"/>
      <c r="I213" s="231" t="s">
        <v>2927</v>
      </c>
      <c r="J213" s="229"/>
      <c r="K213" s="229"/>
      <c r="L213" s="229"/>
      <c r="M213" s="229"/>
      <c r="N213" s="229"/>
      <c r="O213" s="229"/>
      <c r="P213" s="232" t="s">
        <v>2943</v>
      </c>
      <c r="Q213" s="189" t="s">
        <v>1879</v>
      </c>
      <c r="R213" s="189" t="s">
        <v>1879</v>
      </c>
      <c r="S213" s="166" t="s">
        <v>1874</v>
      </c>
      <c r="T213" s="166" t="s">
        <v>1874</v>
      </c>
    </row>
    <row r="214" spans="1:20" ht="19.2" customHeight="1">
      <c r="A214" s="178">
        <v>331</v>
      </c>
      <c r="B214" s="136"/>
      <c r="C214" s="229" t="s">
        <v>1153</v>
      </c>
      <c r="D214" s="229"/>
      <c r="E214" s="229"/>
      <c r="F214" s="229" t="s">
        <v>1128</v>
      </c>
      <c r="G214" s="229"/>
      <c r="H214" s="229"/>
      <c r="I214" s="231" t="s">
        <v>2927</v>
      </c>
      <c r="J214" s="229"/>
      <c r="K214" s="229"/>
      <c r="L214" s="229"/>
      <c r="M214" s="229"/>
      <c r="N214" s="229"/>
      <c r="O214" s="229"/>
      <c r="P214" s="232" t="s">
        <v>2943</v>
      </c>
      <c r="Q214" s="189" t="s">
        <v>1879</v>
      </c>
      <c r="R214" s="189" t="s">
        <v>1879</v>
      </c>
      <c r="S214" s="166" t="s">
        <v>1874</v>
      </c>
      <c r="T214" s="166" t="s">
        <v>1874</v>
      </c>
    </row>
    <row r="215" spans="1:20" ht="19.2" customHeight="1">
      <c r="A215" s="178">
        <v>332</v>
      </c>
      <c r="B215" s="136"/>
      <c r="C215" s="229" t="s">
        <v>1154</v>
      </c>
      <c r="D215" s="229"/>
      <c r="E215" s="229"/>
      <c r="F215" s="229" t="s">
        <v>1128</v>
      </c>
      <c r="G215" s="229"/>
      <c r="H215" s="229"/>
      <c r="I215" s="231" t="s">
        <v>2927</v>
      </c>
      <c r="J215" s="229"/>
      <c r="K215" s="229"/>
      <c r="L215" s="229"/>
      <c r="M215" s="229"/>
      <c r="N215" s="229"/>
      <c r="O215" s="229"/>
      <c r="P215" s="232" t="s">
        <v>2943</v>
      </c>
      <c r="Q215" s="189" t="s">
        <v>1879</v>
      </c>
      <c r="R215" s="189" t="s">
        <v>1879</v>
      </c>
      <c r="S215" s="166" t="s">
        <v>1874</v>
      </c>
      <c r="T215" s="166" t="s">
        <v>1874</v>
      </c>
    </row>
    <row r="216" spans="1:20" ht="19.2" customHeight="1">
      <c r="A216" s="178">
        <v>333</v>
      </c>
      <c r="B216" s="136"/>
      <c r="C216" s="229" t="s">
        <v>2971</v>
      </c>
      <c r="D216" s="229"/>
      <c r="E216" s="229"/>
      <c r="F216" s="229" t="s">
        <v>1128</v>
      </c>
      <c r="G216" s="229"/>
      <c r="H216" s="229"/>
      <c r="I216" s="231" t="s">
        <v>2927</v>
      </c>
      <c r="J216" s="229"/>
      <c r="K216" s="229"/>
      <c r="L216" s="229"/>
      <c r="M216" s="229"/>
      <c r="N216" s="229"/>
      <c r="O216" s="229"/>
      <c r="P216" s="232" t="s">
        <v>2943</v>
      </c>
      <c r="Q216" s="189" t="s">
        <v>1879</v>
      </c>
      <c r="R216" s="189" t="s">
        <v>1879</v>
      </c>
      <c r="S216" s="166" t="s">
        <v>1874</v>
      </c>
      <c r="T216" s="166" t="s">
        <v>1874</v>
      </c>
    </row>
    <row r="217" spans="1:20" ht="19.2" customHeight="1">
      <c r="A217" s="178">
        <v>334</v>
      </c>
      <c r="B217" s="136"/>
      <c r="C217" s="229" t="s">
        <v>2972</v>
      </c>
      <c r="D217" s="229"/>
      <c r="E217" s="229"/>
      <c r="F217" s="229" t="s">
        <v>1128</v>
      </c>
      <c r="G217" s="229"/>
      <c r="H217" s="229"/>
      <c r="I217" s="231" t="s">
        <v>2927</v>
      </c>
      <c r="J217" s="229"/>
      <c r="K217" s="229"/>
      <c r="L217" s="229"/>
      <c r="M217" s="229"/>
      <c r="N217" s="229"/>
      <c r="O217" s="229"/>
      <c r="P217" s="232" t="s">
        <v>2943</v>
      </c>
      <c r="Q217" s="189" t="s">
        <v>1879</v>
      </c>
      <c r="R217" s="189" t="s">
        <v>1879</v>
      </c>
      <c r="S217" s="166" t="s">
        <v>1874</v>
      </c>
      <c r="T217" s="166" t="s">
        <v>1874</v>
      </c>
    </row>
    <row r="218" spans="1:20" ht="19.2" customHeight="1">
      <c r="A218" s="178">
        <v>335</v>
      </c>
      <c r="B218" s="136"/>
      <c r="C218" s="229" t="s">
        <v>2931</v>
      </c>
      <c r="D218" s="229"/>
      <c r="E218" s="229"/>
      <c r="F218" s="229"/>
      <c r="G218" s="229"/>
      <c r="H218" s="229"/>
      <c r="I218" s="231" t="s">
        <v>2927</v>
      </c>
      <c r="J218" s="229"/>
      <c r="K218" s="229"/>
      <c r="L218" s="229"/>
      <c r="M218" s="229"/>
      <c r="N218" s="229"/>
      <c r="O218" s="229"/>
      <c r="P218" s="232" t="s">
        <v>2925</v>
      </c>
      <c r="Q218" s="189" t="s">
        <v>1879</v>
      </c>
      <c r="R218" s="166" t="s">
        <v>1874</v>
      </c>
      <c r="S218" s="166" t="s">
        <v>1874</v>
      </c>
      <c r="T218" s="166" t="s">
        <v>1874</v>
      </c>
    </row>
    <row r="219" spans="1:20" ht="19.2" customHeight="1">
      <c r="A219" s="178">
        <v>336</v>
      </c>
      <c r="B219" s="136"/>
      <c r="C219" s="229" t="s">
        <v>2932</v>
      </c>
      <c r="D219" s="229"/>
      <c r="E219" s="229"/>
      <c r="F219" s="229"/>
      <c r="G219" s="229"/>
      <c r="H219" s="229"/>
      <c r="I219" s="231" t="s">
        <v>2927</v>
      </c>
      <c r="J219" s="229"/>
      <c r="K219" s="229"/>
      <c r="L219" s="229"/>
      <c r="M219" s="229"/>
      <c r="N219" s="229"/>
      <c r="O219" s="229"/>
      <c r="P219" s="232" t="s">
        <v>2925</v>
      </c>
      <c r="Q219" s="189" t="s">
        <v>1879</v>
      </c>
      <c r="R219" s="166" t="s">
        <v>1874</v>
      </c>
      <c r="S219" s="166" t="s">
        <v>1874</v>
      </c>
      <c r="T219" s="166" t="s">
        <v>1874</v>
      </c>
    </row>
    <row r="220" spans="1:20" ht="19.2" customHeight="1">
      <c r="A220" s="178">
        <v>337</v>
      </c>
      <c r="B220" s="136"/>
      <c r="C220" s="229" t="s">
        <v>2933</v>
      </c>
      <c r="D220" s="229"/>
      <c r="E220" s="229"/>
      <c r="F220" s="229"/>
      <c r="G220" s="229"/>
      <c r="H220" s="229"/>
      <c r="I220" s="231" t="s">
        <v>2927</v>
      </c>
      <c r="J220" s="229"/>
      <c r="K220" s="229"/>
      <c r="L220" s="229"/>
      <c r="M220" s="229"/>
      <c r="N220" s="229"/>
      <c r="O220" s="229"/>
      <c r="P220" s="232" t="s">
        <v>2925</v>
      </c>
      <c r="Q220" s="189" t="s">
        <v>1879</v>
      </c>
      <c r="R220" s="166" t="s">
        <v>1874</v>
      </c>
      <c r="S220" s="166" t="s">
        <v>1874</v>
      </c>
      <c r="T220" s="166" t="s">
        <v>1874</v>
      </c>
    </row>
    <row r="221" spans="1:20" ht="19.2" customHeight="1">
      <c r="A221" s="178">
        <v>338</v>
      </c>
      <c r="B221" s="136"/>
      <c r="C221" s="231" t="s">
        <v>2936</v>
      </c>
      <c r="D221" s="229"/>
      <c r="E221" s="229"/>
      <c r="F221" s="229" t="s">
        <v>1898</v>
      </c>
      <c r="G221" s="229"/>
      <c r="H221" s="229"/>
      <c r="I221" s="231" t="s">
        <v>2927</v>
      </c>
      <c r="J221" s="230"/>
      <c r="K221" s="230"/>
      <c r="L221" s="230"/>
      <c r="M221" s="230"/>
      <c r="N221" s="229"/>
      <c r="O221" s="229"/>
      <c r="P221" s="232" t="s">
        <v>2925</v>
      </c>
      <c r="Q221" s="189" t="s">
        <v>1879</v>
      </c>
      <c r="R221" s="166" t="s">
        <v>1874</v>
      </c>
      <c r="S221" s="166" t="s">
        <v>1874</v>
      </c>
      <c r="T221" s="166" t="s">
        <v>1874</v>
      </c>
    </row>
    <row r="222" spans="1:20" ht="19.2" customHeight="1">
      <c r="A222" s="178">
        <v>339</v>
      </c>
      <c r="B222" s="136"/>
      <c r="C222" s="231" t="s">
        <v>2937</v>
      </c>
      <c r="D222" s="229"/>
      <c r="E222" s="229"/>
      <c r="F222" s="229" t="s">
        <v>1898</v>
      </c>
      <c r="G222" s="229"/>
      <c r="H222" s="229"/>
      <c r="I222" s="231" t="s">
        <v>2927</v>
      </c>
      <c r="J222" s="230"/>
      <c r="K222" s="230"/>
      <c r="L222" s="230"/>
      <c r="M222" s="230"/>
      <c r="N222" s="229"/>
      <c r="O222" s="229"/>
      <c r="P222" s="232" t="s">
        <v>2925</v>
      </c>
      <c r="Q222" s="189" t="s">
        <v>1879</v>
      </c>
      <c r="R222" s="166" t="s">
        <v>1874</v>
      </c>
      <c r="S222" s="166" t="s">
        <v>1874</v>
      </c>
      <c r="T222" s="166" t="s">
        <v>1874</v>
      </c>
    </row>
    <row r="223" spans="1:20" ht="19.2" customHeight="1">
      <c r="A223" s="178">
        <v>340</v>
      </c>
      <c r="B223" s="136"/>
      <c r="C223" s="231" t="s">
        <v>2938</v>
      </c>
      <c r="D223" s="229"/>
      <c r="E223" s="229"/>
      <c r="F223" s="229" t="s">
        <v>1898</v>
      </c>
      <c r="G223" s="229"/>
      <c r="H223" s="229"/>
      <c r="I223" s="231" t="s">
        <v>2927</v>
      </c>
      <c r="J223" s="230"/>
      <c r="K223" s="230"/>
      <c r="L223" s="230"/>
      <c r="M223" s="230"/>
      <c r="N223" s="229"/>
      <c r="O223" s="229"/>
      <c r="P223" s="232" t="s">
        <v>2925</v>
      </c>
      <c r="Q223" s="189" t="s">
        <v>1879</v>
      </c>
      <c r="R223" s="166" t="s">
        <v>1874</v>
      </c>
      <c r="S223" s="166" t="s">
        <v>1874</v>
      </c>
      <c r="T223" s="166" t="s">
        <v>1874</v>
      </c>
    </row>
    <row r="224" spans="1:20" ht="19.2" customHeight="1">
      <c r="A224" s="178">
        <v>341</v>
      </c>
      <c r="B224" s="136"/>
      <c r="C224" s="231" t="s">
        <v>2939</v>
      </c>
      <c r="D224" s="234"/>
      <c r="E224" s="234"/>
      <c r="F224" s="229" t="s">
        <v>1898</v>
      </c>
      <c r="G224" s="229"/>
      <c r="H224" s="229"/>
      <c r="I224" s="231" t="s">
        <v>2927</v>
      </c>
      <c r="J224" s="230"/>
      <c r="K224" s="230"/>
      <c r="L224" s="230"/>
      <c r="M224" s="230"/>
      <c r="N224" s="229"/>
      <c r="O224" s="229"/>
      <c r="P224" s="232" t="s">
        <v>2925</v>
      </c>
      <c r="Q224" s="189" t="s">
        <v>1879</v>
      </c>
      <c r="R224" s="166" t="s">
        <v>1874</v>
      </c>
      <c r="S224" s="166" t="s">
        <v>1874</v>
      </c>
      <c r="T224" s="166" t="s">
        <v>1874</v>
      </c>
    </row>
    <row r="225" spans="1:20" ht="19.2" customHeight="1">
      <c r="A225" s="178">
        <v>342</v>
      </c>
      <c r="B225" s="136"/>
      <c r="C225" s="229" t="s">
        <v>2940</v>
      </c>
      <c r="D225" s="229"/>
      <c r="E225" s="229"/>
      <c r="F225" s="229" t="s">
        <v>1898</v>
      </c>
      <c r="G225" s="229"/>
      <c r="H225" s="229"/>
      <c r="I225" s="231" t="s">
        <v>2927</v>
      </c>
      <c r="J225" s="229"/>
      <c r="K225" s="229"/>
      <c r="L225" s="229"/>
      <c r="M225" s="229"/>
      <c r="N225" s="229"/>
      <c r="O225" s="229"/>
      <c r="P225" s="232" t="s">
        <v>2925</v>
      </c>
      <c r="Q225" s="189" t="s">
        <v>1879</v>
      </c>
      <c r="R225" s="166" t="s">
        <v>1874</v>
      </c>
      <c r="S225" s="166" t="s">
        <v>1874</v>
      </c>
      <c r="T225" s="166" t="s">
        <v>1874</v>
      </c>
    </row>
    <row r="226" spans="1:20" ht="19.2" customHeight="1">
      <c r="A226" s="178">
        <v>343</v>
      </c>
      <c r="B226" s="136"/>
      <c r="C226" s="229" t="s">
        <v>2941</v>
      </c>
      <c r="D226" s="229"/>
      <c r="E226" s="229"/>
      <c r="F226" s="229" t="s">
        <v>1898</v>
      </c>
      <c r="G226" s="229"/>
      <c r="H226" s="229"/>
      <c r="I226" s="231" t="s">
        <v>2927</v>
      </c>
      <c r="J226" s="229"/>
      <c r="K226" s="229"/>
      <c r="L226" s="229"/>
      <c r="M226" s="229"/>
      <c r="N226" s="229"/>
      <c r="O226" s="229"/>
      <c r="P226" s="232" t="s">
        <v>2925</v>
      </c>
      <c r="Q226" s="189" t="s">
        <v>1879</v>
      </c>
      <c r="R226" s="166" t="s">
        <v>1874</v>
      </c>
      <c r="S226" s="166" t="s">
        <v>1874</v>
      </c>
      <c r="T226" s="166" t="s">
        <v>1874</v>
      </c>
    </row>
    <row r="227" spans="1:20" ht="19.2" customHeight="1">
      <c r="A227" s="178">
        <v>344</v>
      </c>
      <c r="B227" s="136"/>
      <c r="C227" s="229" t="s">
        <v>2945</v>
      </c>
      <c r="D227" s="229"/>
      <c r="E227" s="229"/>
      <c r="F227" s="229" t="s">
        <v>1898</v>
      </c>
      <c r="G227" s="229"/>
      <c r="H227" s="229"/>
      <c r="I227" s="231" t="s">
        <v>2927</v>
      </c>
      <c r="J227" s="229"/>
      <c r="K227" s="229"/>
      <c r="L227" s="229"/>
      <c r="M227" s="229"/>
      <c r="N227" s="229"/>
      <c r="O227" s="229"/>
      <c r="P227" s="232" t="s">
        <v>2943</v>
      </c>
      <c r="Q227" s="189" t="s">
        <v>1879</v>
      </c>
      <c r="R227" s="189" t="s">
        <v>1879</v>
      </c>
      <c r="S227" s="166" t="s">
        <v>1874</v>
      </c>
      <c r="T227" s="166" t="s">
        <v>1874</v>
      </c>
    </row>
    <row r="228" spans="1:20" ht="19.2" customHeight="1">
      <c r="A228" s="178">
        <v>345</v>
      </c>
      <c r="B228" s="136"/>
      <c r="C228" s="229" t="s">
        <v>2946</v>
      </c>
      <c r="D228" s="229"/>
      <c r="E228" s="229"/>
      <c r="F228" s="229" t="s">
        <v>1898</v>
      </c>
      <c r="G228" s="229"/>
      <c r="H228" s="229"/>
      <c r="I228" s="231" t="s">
        <v>2927</v>
      </c>
      <c r="J228" s="229"/>
      <c r="K228" s="229"/>
      <c r="L228" s="229"/>
      <c r="M228" s="229"/>
      <c r="N228" s="229"/>
      <c r="O228" s="229"/>
      <c r="P228" s="232" t="s">
        <v>2943</v>
      </c>
      <c r="Q228" s="189" t="s">
        <v>1879</v>
      </c>
      <c r="R228" s="189" t="s">
        <v>1879</v>
      </c>
      <c r="S228" s="166" t="s">
        <v>1874</v>
      </c>
      <c r="T228" s="166" t="s">
        <v>1874</v>
      </c>
    </row>
    <row r="229" spans="1:20" ht="19.2" customHeight="1">
      <c r="A229" s="178">
        <v>346</v>
      </c>
      <c r="B229" s="136"/>
      <c r="C229" s="229" t="s">
        <v>2947</v>
      </c>
      <c r="D229" s="229"/>
      <c r="E229" s="229"/>
      <c r="F229" s="229" t="s">
        <v>1898</v>
      </c>
      <c r="G229" s="229"/>
      <c r="H229" s="229"/>
      <c r="I229" s="231" t="s">
        <v>2927</v>
      </c>
      <c r="J229" s="229"/>
      <c r="K229" s="229"/>
      <c r="L229" s="229"/>
      <c r="M229" s="229"/>
      <c r="N229" s="229"/>
      <c r="O229" s="229"/>
      <c r="P229" s="232" t="s">
        <v>2943</v>
      </c>
      <c r="Q229" s="189" t="s">
        <v>1879</v>
      </c>
      <c r="R229" s="189" t="s">
        <v>1879</v>
      </c>
      <c r="S229" s="166" t="s">
        <v>1874</v>
      </c>
      <c r="T229" s="166" t="s">
        <v>1874</v>
      </c>
    </row>
    <row r="230" spans="1:20" ht="19.2" customHeight="1">
      <c r="A230" s="178">
        <v>347</v>
      </c>
      <c r="B230" s="136"/>
      <c r="C230" s="229" t="s">
        <v>2948</v>
      </c>
      <c r="D230" s="229"/>
      <c r="E230" s="229"/>
      <c r="F230" s="229" t="s">
        <v>1898</v>
      </c>
      <c r="G230" s="229"/>
      <c r="H230" s="229"/>
      <c r="I230" s="231" t="s">
        <v>2927</v>
      </c>
      <c r="J230" s="229"/>
      <c r="K230" s="229"/>
      <c r="L230" s="229"/>
      <c r="M230" s="229"/>
      <c r="N230" s="229"/>
      <c r="O230" s="229"/>
      <c r="P230" s="232" t="s">
        <v>2943</v>
      </c>
      <c r="Q230" s="189" t="s">
        <v>1879</v>
      </c>
      <c r="R230" s="189" t="s">
        <v>1879</v>
      </c>
      <c r="S230" s="166" t="s">
        <v>1874</v>
      </c>
      <c r="T230" s="166" t="s">
        <v>1874</v>
      </c>
    </row>
    <row r="231" spans="1:20" ht="19.2" customHeight="1">
      <c r="A231" s="178">
        <v>348</v>
      </c>
      <c r="B231" s="136"/>
      <c r="C231" s="229" t="s">
        <v>2973</v>
      </c>
      <c r="D231" s="229"/>
      <c r="E231" s="229"/>
      <c r="F231" s="229" t="s">
        <v>1898</v>
      </c>
      <c r="G231" s="229"/>
      <c r="H231" s="229"/>
      <c r="I231" s="231" t="s">
        <v>2927</v>
      </c>
      <c r="J231" s="229"/>
      <c r="K231" s="229"/>
      <c r="L231" s="229"/>
      <c r="M231" s="229"/>
      <c r="N231" s="229"/>
      <c r="O231" s="229"/>
      <c r="P231" s="232" t="s">
        <v>2943</v>
      </c>
      <c r="Q231" s="189" t="s">
        <v>1879</v>
      </c>
      <c r="R231" s="189" t="s">
        <v>1879</v>
      </c>
      <c r="S231" s="166" t="s">
        <v>1874</v>
      </c>
      <c r="T231" s="166" t="s">
        <v>1874</v>
      </c>
    </row>
    <row r="232" spans="1:20" ht="19.2" customHeight="1">
      <c r="A232" s="178">
        <v>349</v>
      </c>
      <c r="B232" s="136"/>
      <c r="C232" s="229" t="s">
        <v>2974</v>
      </c>
      <c r="D232" s="229"/>
      <c r="E232" s="229"/>
      <c r="F232" s="229" t="s">
        <v>1898</v>
      </c>
      <c r="G232" s="229"/>
      <c r="H232" s="229"/>
      <c r="I232" s="231" t="s">
        <v>2927</v>
      </c>
      <c r="J232" s="229"/>
      <c r="K232" s="229"/>
      <c r="L232" s="229"/>
      <c r="M232" s="229"/>
      <c r="N232" s="229"/>
      <c r="O232" s="229"/>
      <c r="P232" s="232" t="s">
        <v>2943</v>
      </c>
      <c r="Q232" s="189" t="s">
        <v>1879</v>
      </c>
      <c r="R232" s="189" t="s">
        <v>1879</v>
      </c>
      <c r="S232" s="166" t="s">
        <v>1874</v>
      </c>
      <c r="T232" s="166" t="s">
        <v>1874</v>
      </c>
    </row>
    <row r="233" spans="1:20" ht="19.2" customHeight="1">
      <c r="A233" s="178">
        <v>350</v>
      </c>
      <c r="B233" s="136"/>
      <c r="C233" s="231" t="s">
        <v>2949</v>
      </c>
      <c r="D233" s="229"/>
      <c r="E233" s="229"/>
      <c r="F233" s="229" t="s">
        <v>1899</v>
      </c>
      <c r="G233" s="229"/>
      <c r="H233" s="229"/>
      <c r="I233" s="231" t="s">
        <v>2927</v>
      </c>
      <c r="J233" s="229"/>
      <c r="K233" s="229"/>
      <c r="L233" s="229"/>
      <c r="M233" s="229"/>
      <c r="N233" s="229"/>
      <c r="O233" s="229"/>
      <c r="P233" s="232" t="s">
        <v>2943</v>
      </c>
      <c r="Q233" s="189" t="s">
        <v>1879</v>
      </c>
      <c r="R233" s="189" t="s">
        <v>1879</v>
      </c>
      <c r="S233" s="166" t="s">
        <v>1874</v>
      </c>
      <c r="T233" s="166" t="s">
        <v>1874</v>
      </c>
    </row>
    <row r="234" spans="1:20" ht="19.2" customHeight="1">
      <c r="A234" s="178">
        <v>351</v>
      </c>
      <c r="B234" s="136"/>
      <c r="C234" s="231" t="s">
        <v>2950</v>
      </c>
      <c r="D234" s="229"/>
      <c r="E234" s="229"/>
      <c r="F234" s="229" t="s">
        <v>1899</v>
      </c>
      <c r="G234" s="229"/>
      <c r="H234" s="229"/>
      <c r="I234" s="231" t="s">
        <v>2927</v>
      </c>
      <c r="J234" s="229"/>
      <c r="K234" s="229"/>
      <c r="L234" s="229"/>
      <c r="M234" s="229"/>
      <c r="N234" s="229"/>
      <c r="O234" s="229"/>
      <c r="P234" s="232" t="s">
        <v>2943</v>
      </c>
      <c r="Q234" s="189" t="s">
        <v>1879</v>
      </c>
      <c r="R234" s="189" t="s">
        <v>1879</v>
      </c>
      <c r="S234" s="166" t="s">
        <v>1874</v>
      </c>
      <c r="T234" s="166" t="s">
        <v>1874</v>
      </c>
    </row>
    <row r="235" spans="1:20" ht="19.2" customHeight="1">
      <c r="A235" s="178">
        <v>352</v>
      </c>
      <c r="B235" s="136"/>
      <c r="C235" s="231" t="s">
        <v>2951</v>
      </c>
      <c r="D235" s="229"/>
      <c r="E235" s="229"/>
      <c r="F235" s="229" t="s">
        <v>1899</v>
      </c>
      <c r="G235" s="229"/>
      <c r="H235" s="229"/>
      <c r="I235" s="231" t="s">
        <v>2927</v>
      </c>
      <c r="J235" s="229"/>
      <c r="K235" s="229"/>
      <c r="L235" s="229"/>
      <c r="M235" s="229"/>
      <c r="N235" s="229"/>
      <c r="O235" s="229"/>
      <c r="P235" s="232" t="s">
        <v>2943</v>
      </c>
      <c r="Q235" s="189" t="s">
        <v>1879</v>
      </c>
      <c r="R235" s="189" t="s">
        <v>1879</v>
      </c>
      <c r="S235" s="166" t="s">
        <v>1874</v>
      </c>
      <c r="T235" s="166" t="s">
        <v>1874</v>
      </c>
    </row>
    <row r="236" spans="1:20" ht="19.2" customHeight="1">
      <c r="A236" s="178">
        <v>353</v>
      </c>
      <c r="B236" s="136"/>
      <c r="C236" s="231" t="s">
        <v>2952</v>
      </c>
      <c r="D236" s="229"/>
      <c r="E236" s="229"/>
      <c r="F236" s="229" t="s">
        <v>1899</v>
      </c>
      <c r="G236" s="229"/>
      <c r="H236" s="229"/>
      <c r="I236" s="231" t="s">
        <v>2927</v>
      </c>
      <c r="J236" s="229"/>
      <c r="K236" s="229"/>
      <c r="L236" s="229"/>
      <c r="M236" s="229"/>
      <c r="N236" s="229"/>
      <c r="O236" s="229"/>
      <c r="P236" s="232" t="s">
        <v>2943</v>
      </c>
      <c r="Q236" s="189" t="s">
        <v>1879</v>
      </c>
      <c r="R236" s="189" t="s">
        <v>1879</v>
      </c>
      <c r="S236" s="166" t="s">
        <v>1874</v>
      </c>
      <c r="T236" s="166" t="s">
        <v>1874</v>
      </c>
    </row>
    <row r="237" spans="1:20" ht="19.2" customHeight="1">
      <c r="A237" s="178">
        <v>354</v>
      </c>
      <c r="B237" s="136"/>
      <c r="C237" s="229" t="s">
        <v>2953</v>
      </c>
      <c r="D237" s="229"/>
      <c r="E237" s="229"/>
      <c r="F237" s="229" t="s">
        <v>1899</v>
      </c>
      <c r="G237" s="229"/>
      <c r="H237" s="229"/>
      <c r="I237" s="231" t="s">
        <v>2927</v>
      </c>
      <c r="J237" s="229"/>
      <c r="K237" s="229"/>
      <c r="L237" s="229"/>
      <c r="M237" s="229"/>
      <c r="N237" s="229"/>
      <c r="O237" s="229"/>
      <c r="P237" s="232" t="s">
        <v>2943</v>
      </c>
      <c r="Q237" s="189" t="s">
        <v>1879</v>
      </c>
      <c r="R237" s="189" t="s">
        <v>1879</v>
      </c>
      <c r="S237" s="166" t="s">
        <v>1874</v>
      </c>
      <c r="T237" s="166" t="s">
        <v>1874</v>
      </c>
    </row>
    <row r="238" spans="1:20" ht="19.2" customHeight="1">
      <c r="A238" s="178">
        <v>355</v>
      </c>
      <c r="B238" s="136"/>
      <c r="C238" s="229" t="s">
        <v>2954</v>
      </c>
      <c r="D238" s="229"/>
      <c r="E238" s="229"/>
      <c r="F238" s="229" t="s">
        <v>1899</v>
      </c>
      <c r="G238" s="229"/>
      <c r="H238" s="229"/>
      <c r="I238" s="231" t="s">
        <v>2927</v>
      </c>
      <c r="J238" s="229"/>
      <c r="K238" s="229"/>
      <c r="L238" s="229"/>
      <c r="M238" s="229"/>
      <c r="N238" s="229"/>
      <c r="O238" s="229"/>
      <c r="P238" s="232" t="s">
        <v>2943</v>
      </c>
      <c r="Q238" s="189" t="s">
        <v>1879</v>
      </c>
      <c r="R238" s="189" t="s">
        <v>1879</v>
      </c>
      <c r="S238" s="166" t="s">
        <v>1874</v>
      </c>
      <c r="T238" s="166" t="s">
        <v>1874</v>
      </c>
    </row>
    <row r="239" spans="1:20" ht="19.2" customHeight="1">
      <c r="A239" s="178">
        <v>356</v>
      </c>
      <c r="B239" s="136"/>
      <c r="C239" s="229" t="s">
        <v>2955</v>
      </c>
      <c r="D239" s="229"/>
      <c r="E239" s="229"/>
      <c r="F239" s="229" t="s">
        <v>1899</v>
      </c>
      <c r="G239" s="229"/>
      <c r="H239" s="229"/>
      <c r="I239" s="231" t="s">
        <v>2927</v>
      </c>
      <c r="J239" s="229"/>
      <c r="K239" s="229"/>
      <c r="L239" s="229"/>
      <c r="M239" s="229"/>
      <c r="N239" s="229"/>
      <c r="O239" s="229"/>
      <c r="P239" s="232" t="s">
        <v>2943</v>
      </c>
      <c r="Q239" s="189" t="s">
        <v>1879</v>
      </c>
      <c r="R239" s="189" t="s">
        <v>1879</v>
      </c>
      <c r="S239" s="166" t="s">
        <v>1874</v>
      </c>
      <c r="T239" s="166" t="s">
        <v>1874</v>
      </c>
    </row>
    <row r="240" spans="1:20" ht="19.2" customHeight="1">
      <c r="A240" s="178">
        <v>357</v>
      </c>
      <c r="B240" s="136"/>
      <c r="C240" s="229" t="s">
        <v>2956</v>
      </c>
      <c r="D240" s="229"/>
      <c r="E240" s="229" t="s">
        <v>2969</v>
      </c>
      <c r="F240" s="229" t="s">
        <v>1899</v>
      </c>
      <c r="G240" s="229"/>
      <c r="H240" s="229"/>
      <c r="I240" s="231" t="s">
        <v>2927</v>
      </c>
      <c r="J240" s="229"/>
      <c r="K240" s="229"/>
      <c r="L240" s="229"/>
      <c r="M240" s="229"/>
      <c r="N240" s="229"/>
      <c r="O240" s="229"/>
      <c r="P240" s="232" t="s">
        <v>2943</v>
      </c>
      <c r="Q240" s="189" t="s">
        <v>1879</v>
      </c>
      <c r="R240" s="189" t="s">
        <v>1879</v>
      </c>
      <c r="S240" s="166" t="s">
        <v>1874</v>
      </c>
      <c r="T240" s="166" t="s">
        <v>1874</v>
      </c>
    </row>
    <row r="241" spans="1:20" ht="19.2" customHeight="1">
      <c r="A241" s="178">
        <v>358</v>
      </c>
      <c r="B241" s="136"/>
      <c r="C241" s="229" t="s">
        <v>2957</v>
      </c>
      <c r="D241" s="229"/>
      <c r="E241" s="229"/>
      <c r="F241" s="229" t="s">
        <v>1899</v>
      </c>
      <c r="G241" s="229"/>
      <c r="H241" s="229"/>
      <c r="I241" s="231" t="s">
        <v>2927</v>
      </c>
      <c r="J241" s="229"/>
      <c r="K241" s="229"/>
      <c r="L241" s="229"/>
      <c r="M241" s="229"/>
      <c r="N241" s="229"/>
      <c r="O241" s="229"/>
      <c r="P241" s="232" t="s">
        <v>2943</v>
      </c>
      <c r="Q241" s="189" t="s">
        <v>1879</v>
      </c>
      <c r="R241" s="189" t="s">
        <v>1879</v>
      </c>
      <c r="S241" s="166" t="s">
        <v>1874</v>
      </c>
      <c r="T241" s="166" t="s">
        <v>1874</v>
      </c>
    </row>
    <row r="242" spans="1:20" ht="19.2" customHeight="1">
      <c r="A242" s="178">
        <v>359</v>
      </c>
      <c r="B242" s="136"/>
      <c r="C242" s="229" t="s">
        <v>2958</v>
      </c>
      <c r="D242" s="229"/>
      <c r="E242" s="229"/>
      <c r="F242" s="229" t="s">
        <v>1899</v>
      </c>
      <c r="G242" s="229"/>
      <c r="H242" s="229"/>
      <c r="I242" s="231" t="s">
        <v>2927</v>
      </c>
      <c r="J242" s="229"/>
      <c r="K242" s="229"/>
      <c r="L242" s="229"/>
      <c r="M242" s="229"/>
      <c r="N242" s="229"/>
      <c r="O242" s="229"/>
      <c r="P242" s="232" t="s">
        <v>2943</v>
      </c>
      <c r="Q242" s="189" t="s">
        <v>1879</v>
      </c>
      <c r="R242" s="189" t="s">
        <v>1879</v>
      </c>
      <c r="S242" s="166" t="s">
        <v>1874</v>
      </c>
      <c r="T242" s="166" t="s">
        <v>1874</v>
      </c>
    </row>
    <row r="243" spans="1:20" ht="19.2" customHeight="1">
      <c r="A243" s="178">
        <v>360</v>
      </c>
      <c r="B243" s="136"/>
      <c r="C243" s="229" t="s">
        <v>2975</v>
      </c>
      <c r="D243" s="229"/>
      <c r="E243" s="229"/>
      <c r="F243" s="229" t="s">
        <v>1899</v>
      </c>
      <c r="G243" s="229"/>
      <c r="H243" s="229"/>
      <c r="I243" s="231" t="s">
        <v>2927</v>
      </c>
      <c r="J243" s="229"/>
      <c r="K243" s="229"/>
      <c r="L243" s="229"/>
      <c r="M243" s="229"/>
      <c r="N243" s="229"/>
      <c r="O243" s="229"/>
      <c r="P243" s="232" t="s">
        <v>2943</v>
      </c>
      <c r="Q243" s="189" t="s">
        <v>1879</v>
      </c>
      <c r="R243" s="189" t="s">
        <v>1879</v>
      </c>
      <c r="S243" s="166" t="s">
        <v>1874</v>
      </c>
      <c r="T243" s="166" t="s">
        <v>1874</v>
      </c>
    </row>
    <row r="244" spans="1:20" ht="19.2" customHeight="1">
      <c r="A244" s="178">
        <v>361</v>
      </c>
      <c r="B244" s="136"/>
      <c r="C244" s="229" t="s">
        <v>2976</v>
      </c>
      <c r="D244" s="229"/>
      <c r="E244" s="229"/>
      <c r="F244" s="229" t="s">
        <v>1899</v>
      </c>
      <c r="G244" s="229"/>
      <c r="H244" s="229"/>
      <c r="I244" s="231" t="s">
        <v>2927</v>
      </c>
      <c r="J244" s="229"/>
      <c r="K244" s="229"/>
      <c r="L244" s="229"/>
      <c r="M244" s="229"/>
      <c r="N244" s="229"/>
      <c r="O244" s="229"/>
      <c r="P244" s="232" t="s">
        <v>2943</v>
      </c>
      <c r="Q244" s="189" t="s">
        <v>1879</v>
      </c>
      <c r="R244" s="189" t="s">
        <v>1879</v>
      </c>
      <c r="S244" s="166" t="s">
        <v>1874</v>
      </c>
      <c r="T244" s="166" t="s">
        <v>1874</v>
      </c>
    </row>
    <row r="245" spans="1:20" ht="19.2" customHeight="1">
      <c r="A245" s="178">
        <v>362</v>
      </c>
      <c r="B245" s="136"/>
      <c r="C245" s="231" t="s">
        <v>2960</v>
      </c>
      <c r="D245" s="229"/>
      <c r="E245" s="229"/>
      <c r="F245" s="229" t="s">
        <v>1902</v>
      </c>
      <c r="G245" s="229"/>
      <c r="H245" s="229"/>
      <c r="I245" s="231" t="s">
        <v>2927</v>
      </c>
      <c r="J245" s="229"/>
      <c r="K245" s="229"/>
      <c r="L245" s="229"/>
      <c r="M245" s="229"/>
      <c r="N245" s="229"/>
      <c r="O245" s="229"/>
      <c r="P245" s="232" t="s">
        <v>2943</v>
      </c>
      <c r="Q245" s="189" t="s">
        <v>1879</v>
      </c>
      <c r="R245" s="189" t="s">
        <v>1879</v>
      </c>
      <c r="S245" s="166" t="s">
        <v>1874</v>
      </c>
      <c r="T245" s="166" t="s">
        <v>1874</v>
      </c>
    </row>
    <row r="246" spans="1:20" ht="19.2" customHeight="1">
      <c r="A246" s="178">
        <v>363</v>
      </c>
      <c r="B246" s="136"/>
      <c r="C246" s="231" t="s">
        <v>2961</v>
      </c>
      <c r="D246" s="229"/>
      <c r="E246" s="229"/>
      <c r="F246" s="229" t="s">
        <v>1902</v>
      </c>
      <c r="G246" s="229"/>
      <c r="H246" s="229"/>
      <c r="I246" s="231" t="s">
        <v>2927</v>
      </c>
      <c r="J246" s="229"/>
      <c r="K246" s="229"/>
      <c r="L246" s="229"/>
      <c r="M246" s="229"/>
      <c r="N246" s="229"/>
      <c r="O246" s="229"/>
      <c r="P246" s="232" t="s">
        <v>2943</v>
      </c>
      <c r="Q246" s="189" t="s">
        <v>1879</v>
      </c>
      <c r="R246" s="189" t="s">
        <v>1879</v>
      </c>
      <c r="S246" s="166" t="s">
        <v>1874</v>
      </c>
      <c r="T246" s="166" t="s">
        <v>1874</v>
      </c>
    </row>
    <row r="247" spans="1:20" ht="19.2" customHeight="1">
      <c r="A247" s="178">
        <v>364</v>
      </c>
      <c r="B247" s="136"/>
      <c r="C247" s="231" t="s">
        <v>2962</v>
      </c>
      <c r="D247" s="229"/>
      <c r="E247" s="229"/>
      <c r="F247" s="229" t="s">
        <v>1902</v>
      </c>
      <c r="G247" s="229"/>
      <c r="H247" s="229"/>
      <c r="I247" s="231" t="s">
        <v>2927</v>
      </c>
      <c r="J247" s="229"/>
      <c r="K247" s="229"/>
      <c r="L247" s="229"/>
      <c r="M247" s="229"/>
      <c r="N247" s="229"/>
      <c r="O247" s="229"/>
      <c r="P247" s="232" t="s">
        <v>2943</v>
      </c>
      <c r="Q247" s="189" t="s">
        <v>1879</v>
      </c>
      <c r="R247" s="189" t="s">
        <v>1879</v>
      </c>
      <c r="S247" s="166" t="s">
        <v>1874</v>
      </c>
      <c r="T247" s="166" t="s">
        <v>1874</v>
      </c>
    </row>
    <row r="248" spans="1:20" ht="19.2" customHeight="1">
      <c r="A248" s="178">
        <v>365</v>
      </c>
      <c r="B248" s="136"/>
      <c r="C248" s="231" t="s">
        <v>2963</v>
      </c>
      <c r="D248" s="229"/>
      <c r="E248" s="229"/>
      <c r="F248" s="229" t="s">
        <v>1902</v>
      </c>
      <c r="G248" s="229"/>
      <c r="H248" s="229"/>
      <c r="I248" s="231" t="s">
        <v>2927</v>
      </c>
      <c r="J248" s="229"/>
      <c r="K248" s="229"/>
      <c r="L248" s="229"/>
      <c r="M248" s="229"/>
      <c r="N248" s="229"/>
      <c r="O248" s="229"/>
      <c r="P248" s="232" t="s">
        <v>2943</v>
      </c>
      <c r="Q248" s="189" t="s">
        <v>1879</v>
      </c>
      <c r="R248" s="189" t="s">
        <v>1879</v>
      </c>
      <c r="S248" s="166" t="s">
        <v>1874</v>
      </c>
      <c r="T248" s="166" t="s">
        <v>1874</v>
      </c>
    </row>
    <row r="249" spans="1:20" ht="19.2" customHeight="1">
      <c r="A249" s="178">
        <v>366</v>
      </c>
      <c r="B249" s="136"/>
      <c r="C249" s="229" t="s">
        <v>2964</v>
      </c>
      <c r="D249" s="229"/>
      <c r="E249" s="229"/>
      <c r="F249" s="229" t="s">
        <v>1902</v>
      </c>
      <c r="G249" s="229"/>
      <c r="H249" s="229"/>
      <c r="I249" s="231" t="s">
        <v>2927</v>
      </c>
      <c r="J249" s="229"/>
      <c r="K249" s="229"/>
      <c r="L249" s="229"/>
      <c r="M249" s="229"/>
      <c r="N249" s="229"/>
      <c r="O249" s="229"/>
      <c r="P249" s="232" t="s">
        <v>2943</v>
      </c>
      <c r="Q249" s="189" t="s">
        <v>1879</v>
      </c>
      <c r="R249" s="189" t="s">
        <v>1879</v>
      </c>
      <c r="S249" s="166" t="s">
        <v>1874</v>
      </c>
      <c r="T249" s="166" t="s">
        <v>1874</v>
      </c>
    </row>
    <row r="250" spans="1:20" ht="19.2" customHeight="1">
      <c r="A250" s="178">
        <v>367</v>
      </c>
      <c r="B250" s="136"/>
      <c r="C250" s="229" t="s">
        <v>2965</v>
      </c>
      <c r="D250" s="229"/>
      <c r="E250" s="229"/>
      <c r="F250" s="229" t="s">
        <v>1902</v>
      </c>
      <c r="G250" s="229"/>
      <c r="H250" s="229"/>
      <c r="I250" s="231" t="s">
        <v>2927</v>
      </c>
      <c r="J250" s="229"/>
      <c r="K250" s="229"/>
      <c r="L250" s="229"/>
      <c r="M250" s="229"/>
      <c r="N250" s="229"/>
      <c r="O250" s="229"/>
      <c r="P250" s="232" t="s">
        <v>2943</v>
      </c>
      <c r="Q250" s="189" t="s">
        <v>1879</v>
      </c>
      <c r="R250" s="189" t="s">
        <v>1879</v>
      </c>
      <c r="S250" s="166" t="s">
        <v>1874</v>
      </c>
      <c r="T250" s="166" t="s">
        <v>1874</v>
      </c>
    </row>
    <row r="251" spans="1:20" ht="19.2" customHeight="1">
      <c r="A251" s="178">
        <v>368</v>
      </c>
      <c r="B251" s="136"/>
      <c r="C251" s="229" t="s">
        <v>2966</v>
      </c>
      <c r="D251" s="229"/>
      <c r="E251" s="229"/>
      <c r="F251" s="229" t="s">
        <v>1902</v>
      </c>
      <c r="G251" s="229"/>
      <c r="H251" s="229"/>
      <c r="I251" s="231" t="s">
        <v>2927</v>
      </c>
      <c r="J251" s="229"/>
      <c r="K251" s="229"/>
      <c r="L251" s="229"/>
      <c r="M251" s="229"/>
      <c r="N251" s="229"/>
      <c r="O251" s="229"/>
      <c r="P251" s="232" t="s">
        <v>2943</v>
      </c>
      <c r="Q251" s="189" t="s">
        <v>1879</v>
      </c>
      <c r="R251" s="189" t="s">
        <v>1879</v>
      </c>
      <c r="S251" s="166" t="s">
        <v>1874</v>
      </c>
      <c r="T251" s="166" t="s">
        <v>1874</v>
      </c>
    </row>
    <row r="252" spans="1:20" ht="19.2" customHeight="1">
      <c r="A252" s="178">
        <v>369</v>
      </c>
      <c r="B252" s="136"/>
      <c r="C252" s="229" t="s">
        <v>2967</v>
      </c>
      <c r="D252" s="229"/>
      <c r="E252" s="229"/>
      <c r="F252" s="229" t="s">
        <v>1902</v>
      </c>
      <c r="G252" s="229"/>
      <c r="H252" s="229"/>
      <c r="I252" s="231" t="s">
        <v>2927</v>
      </c>
      <c r="J252" s="229"/>
      <c r="K252" s="229"/>
      <c r="L252" s="229"/>
      <c r="M252" s="229"/>
      <c r="N252" s="229"/>
      <c r="O252" s="229"/>
      <c r="P252" s="232" t="s">
        <v>2943</v>
      </c>
      <c r="Q252" s="189" t="s">
        <v>1879</v>
      </c>
      <c r="R252" s="189" t="s">
        <v>1879</v>
      </c>
      <c r="S252" s="166" t="s">
        <v>1874</v>
      </c>
      <c r="T252" s="166" t="s">
        <v>1874</v>
      </c>
    </row>
    <row r="253" spans="1:20" ht="19.2" customHeight="1">
      <c r="A253" s="178">
        <v>370</v>
      </c>
      <c r="B253" s="136"/>
      <c r="C253" s="229" t="s">
        <v>2968</v>
      </c>
      <c r="D253" s="229"/>
      <c r="E253" s="229"/>
      <c r="F253" s="229" t="s">
        <v>1902</v>
      </c>
      <c r="G253" s="229"/>
      <c r="H253" s="229"/>
      <c r="I253" s="231" t="s">
        <v>2927</v>
      </c>
      <c r="J253" s="229"/>
      <c r="K253" s="229"/>
      <c r="L253" s="229"/>
      <c r="M253" s="229"/>
      <c r="N253" s="229"/>
      <c r="O253" s="229"/>
      <c r="P253" s="232" t="s">
        <v>2943</v>
      </c>
      <c r="Q253" s="189" t="s">
        <v>1879</v>
      </c>
      <c r="R253" s="189" t="s">
        <v>1879</v>
      </c>
      <c r="S253" s="166" t="s">
        <v>1874</v>
      </c>
      <c r="T253" s="166" t="s">
        <v>1874</v>
      </c>
    </row>
    <row r="254" spans="1:20" ht="19.2" customHeight="1">
      <c r="A254" s="178">
        <v>371</v>
      </c>
      <c r="B254" s="136"/>
      <c r="C254" s="229" t="s">
        <v>2959</v>
      </c>
      <c r="D254" s="229"/>
      <c r="E254" s="229"/>
      <c r="F254" s="229" t="s">
        <v>1902</v>
      </c>
      <c r="G254" s="229"/>
      <c r="H254" s="229"/>
      <c r="I254" s="231" t="s">
        <v>2927</v>
      </c>
      <c r="J254" s="229"/>
      <c r="K254" s="229"/>
      <c r="L254" s="229"/>
      <c r="M254" s="229"/>
      <c r="N254" s="229"/>
      <c r="O254" s="229"/>
      <c r="P254" s="232" t="s">
        <v>2943</v>
      </c>
      <c r="Q254" s="189" t="s">
        <v>1879</v>
      </c>
      <c r="R254" s="189" t="s">
        <v>1879</v>
      </c>
      <c r="S254" s="166" t="s">
        <v>1874</v>
      </c>
      <c r="T254" s="166" t="s">
        <v>1874</v>
      </c>
    </row>
    <row r="255" spans="1:20" ht="19.2" customHeight="1">
      <c r="A255" s="178">
        <v>372</v>
      </c>
      <c r="B255" s="136"/>
      <c r="C255" s="229" t="s">
        <v>2977</v>
      </c>
      <c r="D255" s="229"/>
      <c r="E255" s="229"/>
      <c r="F255" s="229" t="s">
        <v>1902</v>
      </c>
      <c r="G255" s="229"/>
      <c r="H255" s="229"/>
      <c r="I255" s="231" t="s">
        <v>2927</v>
      </c>
      <c r="J255" s="229"/>
      <c r="K255" s="229"/>
      <c r="L255" s="229"/>
      <c r="M255" s="229"/>
      <c r="N255" s="229"/>
      <c r="O255" s="229"/>
      <c r="P255" s="232" t="s">
        <v>2943</v>
      </c>
      <c r="Q255" s="189" t="s">
        <v>1879</v>
      </c>
      <c r="R255" s="189" t="s">
        <v>1879</v>
      </c>
      <c r="S255" s="166" t="s">
        <v>1874</v>
      </c>
      <c r="T255" s="166" t="s">
        <v>1874</v>
      </c>
    </row>
    <row r="256" spans="1:20" ht="19.2" customHeight="1">
      <c r="A256" s="178">
        <v>373</v>
      </c>
      <c r="B256" s="136"/>
      <c r="C256" s="229" t="s">
        <v>2978</v>
      </c>
      <c r="D256" s="229"/>
      <c r="E256" s="229"/>
      <c r="F256" s="229" t="s">
        <v>1902</v>
      </c>
      <c r="G256" s="229"/>
      <c r="H256" s="229"/>
      <c r="I256" s="231" t="s">
        <v>2927</v>
      </c>
      <c r="J256" s="229"/>
      <c r="K256" s="229"/>
      <c r="L256" s="229"/>
      <c r="M256" s="229"/>
      <c r="N256" s="229"/>
      <c r="O256" s="229"/>
      <c r="P256" s="232" t="s">
        <v>2943</v>
      </c>
      <c r="Q256" s="189" t="s">
        <v>1879</v>
      </c>
      <c r="R256" s="189" t="s">
        <v>1879</v>
      </c>
      <c r="S256" s="166" t="s">
        <v>1874</v>
      </c>
      <c r="T256" s="166" t="s">
        <v>1874</v>
      </c>
    </row>
    <row r="257" spans="1:21" ht="19.2" customHeight="1">
      <c r="A257" s="178">
        <v>374</v>
      </c>
      <c r="B257" s="136"/>
      <c r="C257" s="231" t="s">
        <v>2979</v>
      </c>
      <c r="D257" s="229"/>
      <c r="E257" s="229"/>
      <c r="F257" s="229" t="s">
        <v>2942</v>
      </c>
      <c r="G257" s="229"/>
      <c r="H257" s="229"/>
      <c r="I257" s="231" t="s">
        <v>2927</v>
      </c>
      <c r="J257" s="229"/>
      <c r="K257" s="229"/>
      <c r="L257" s="229"/>
      <c r="M257" s="229"/>
      <c r="N257" s="229"/>
      <c r="O257" s="229"/>
      <c r="P257" s="232" t="s">
        <v>2943</v>
      </c>
      <c r="Q257" s="189" t="s">
        <v>1879</v>
      </c>
      <c r="R257" s="189" t="s">
        <v>1879</v>
      </c>
      <c r="S257" s="166" t="s">
        <v>1874</v>
      </c>
      <c r="T257" s="166" t="s">
        <v>1874</v>
      </c>
    </row>
    <row r="258" spans="1:21" ht="19.2" customHeight="1">
      <c r="A258" s="178">
        <v>375</v>
      </c>
      <c r="B258" s="136"/>
      <c r="C258" s="231" t="s">
        <v>2980</v>
      </c>
      <c r="D258" s="229"/>
      <c r="E258" s="229"/>
      <c r="F258" s="229" t="s">
        <v>2942</v>
      </c>
      <c r="G258" s="229"/>
      <c r="H258" s="229"/>
      <c r="I258" s="231" t="s">
        <v>2927</v>
      </c>
      <c r="J258" s="229"/>
      <c r="K258" s="229"/>
      <c r="L258" s="229"/>
      <c r="M258" s="229"/>
      <c r="N258" s="229"/>
      <c r="O258" s="229"/>
      <c r="P258" s="232" t="s">
        <v>2943</v>
      </c>
      <c r="Q258" s="189" t="s">
        <v>1879</v>
      </c>
      <c r="R258" s="189" t="s">
        <v>1879</v>
      </c>
      <c r="S258" s="166" t="s">
        <v>1874</v>
      </c>
      <c r="T258" s="166" t="s">
        <v>1874</v>
      </c>
    </row>
    <row r="259" spans="1:21" ht="19.2" customHeight="1">
      <c r="A259" s="178">
        <v>376</v>
      </c>
      <c r="B259" s="136"/>
      <c r="C259" s="231" t="s">
        <v>2981</v>
      </c>
      <c r="D259" s="229"/>
      <c r="E259" s="229"/>
      <c r="F259" s="229" t="s">
        <v>2942</v>
      </c>
      <c r="G259" s="229"/>
      <c r="H259" s="229"/>
      <c r="I259" s="231" t="s">
        <v>2927</v>
      </c>
      <c r="J259" s="229"/>
      <c r="K259" s="229"/>
      <c r="L259" s="229"/>
      <c r="M259" s="229"/>
      <c r="N259" s="229"/>
      <c r="O259" s="229"/>
      <c r="P259" s="232" t="s">
        <v>2943</v>
      </c>
      <c r="Q259" s="189" t="s">
        <v>1879</v>
      </c>
      <c r="R259" s="189" t="s">
        <v>1879</v>
      </c>
      <c r="S259" s="166" t="s">
        <v>1874</v>
      </c>
      <c r="T259" s="166" t="s">
        <v>1874</v>
      </c>
    </row>
    <row r="260" spans="1:21" ht="19.2" customHeight="1">
      <c r="A260" s="178">
        <v>377</v>
      </c>
      <c r="B260" s="136"/>
      <c r="C260" s="231" t="s">
        <v>2982</v>
      </c>
      <c r="D260" s="229"/>
      <c r="E260" s="229"/>
      <c r="F260" s="229" t="s">
        <v>2942</v>
      </c>
      <c r="G260" s="229"/>
      <c r="H260" s="229"/>
      <c r="I260" s="231" t="s">
        <v>2927</v>
      </c>
      <c r="J260" s="229"/>
      <c r="K260" s="229"/>
      <c r="L260" s="229"/>
      <c r="M260" s="229"/>
      <c r="N260" s="229"/>
      <c r="O260" s="229"/>
      <c r="P260" s="232" t="s">
        <v>2943</v>
      </c>
      <c r="Q260" s="189" t="s">
        <v>1879</v>
      </c>
      <c r="R260" s="189" t="s">
        <v>1879</v>
      </c>
      <c r="S260" s="166" t="s">
        <v>1874</v>
      </c>
      <c r="T260" s="166" t="s">
        <v>1874</v>
      </c>
    </row>
    <row r="261" spans="1:21" ht="19.2" customHeight="1">
      <c r="A261" s="178">
        <v>378</v>
      </c>
      <c r="B261" s="136"/>
      <c r="C261" s="229" t="s">
        <v>2983</v>
      </c>
      <c r="D261" s="229"/>
      <c r="E261" s="229"/>
      <c r="F261" s="229" t="s">
        <v>2942</v>
      </c>
      <c r="G261" s="229"/>
      <c r="H261" s="229"/>
      <c r="I261" s="231" t="s">
        <v>2927</v>
      </c>
      <c r="J261" s="229"/>
      <c r="K261" s="229"/>
      <c r="L261" s="229"/>
      <c r="M261" s="229"/>
      <c r="N261" s="229"/>
      <c r="O261" s="229"/>
      <c r="P261" s="232" t="s">
        <v>2943</v>
      </c>
      <c r="Q261" s="189" t="s">
        <v>1879</v>
      </c>
      <c r="R261" s="189" t="s">
        <v>1879</v>
      </c>
      <c r="S261" s="166" t="s">
        <v>1874</v>
      </c>
      <c r="T261" s="166" t="s">
        <v>1874</v>
      </c>
    </row>
    <row r="262" spans="1:21" ht="19.2" customHeight="1">
      <c r="A262" s="178">
        <v>379</v>
      </c>
      <c r="B262" s="136"/>
      <c r="C262" s="229" t="s">
        <v>2984</v>
      </c>
      <c r="D262" s="229"/>
      <c r="E262" s="229"/>
      <c r="F262" s="229" t="s">
        <v>2942</v>
      </c>
      <c r="G262" s="229"/>
      <c r="H262" s="229"/>
      <c r="I262" s="231" t="s">
        <v>2927</v>
      </c>
      <c r="J262" s="229"/>
      <c r="K262" s="229"/>
      <c r="L262" s="229"/>
      <c r="M262" s="229"/>
      <c r="N262" s="229"/>
      <c r="O262" s="229"/>
      <c r="P262" s="232" t="s">
        <v>2943</v>
      </c>
      <c r="Q262" s="189" t="s">
        <v>1879</v>
      </c>
      <c r="R262" s="189" t="s">
        <v>1879</v>
      </c>
      <c r="S262" s="166" t="s">
        <v>1874</v>
      </c>
      <c r="T262" s="166" t="s">
        <v>1874</v>
      </c>
    </row>
    <row r="263" spans="1:21" ht="19.2" customHeight="1">
      <c r="A263" s="178">
        <v>380</v>
      </c>
      <c r="B263" s="136"/>
      <c r="C263" s="229" t="s">
        <v>2985</v>
      </c>
      <c r="D263" s="229"/>
      <c r="E263" s="229"/>
      <c r="F263" s="229" t="s">
        <v>2942</v>
      </c>
      <c r="G263" s="229"/>
      <c r="H263" s="229"/>
      <c r="I263" s="231" t="s">
        <v>2927</v>
      </c>
      <c r="J263" s="229"/>
      <c r="K263" s="229"/>
      <c r="L263" s="229"/>
      <c r="M263" s="229"/>
      <c r="N263" s="229"/>
      <c r="O263" s="229"/>
      <c r="P263" s="232" t="s">
        <v>2943</v>
      </c>
      <c r="Q263" s="189" t="s">
        <v>1879</v>
      </c>
      <c r="R263" s="189" t="s">
        <v>1879</v>
      </c>
      <c r="S263" s="166" t="s">
        <v>1874</v>
      </c>
      <c r="T263" s="166" t="s">
        <v>1874</v>
      </c>
    </row>
    <row r="264" spans="1:21" ht="19.2" customHeight="1">
      <c r="A264" s="178">
        <v>381</v>
      </c>
      <c r="B264" s="136"/>
      <c r="C264" s="229" t="s">
        <v>2986</v>
      </c>
      <c r="D264" s="229"/>
      <c r="E264" s="229"/>
      <c r="F264" s="229" t="s">
        <v>2942</v>
      </c>
      <c r="G264" s="229"/>
      <c r="H264" s="229"/>
      <c r="I264" s="231" t="s">
        <v>2927</v>
      </c>
      <c r="J264" s="229"/>
      <c r="K264" s="229"/>
      <c r="L264" s="229"/>
      <c r="M264" s="229"/>
      <c r="N264" s="229"/>
      <c r="O264" s="229"/>
      <c r="P264" s="232" t="s">
        <v>2943</v>
      </c>
      <c r="Q264" s="189" t="s">
        <v>1879</v>
      </c>
      <c r="R264" s="189" t="s">
        <v>1879</v>
      </c>
      <c r="S264" s="166" t="s">
        <v>1874</v>
      </c>
      <c r="T264" s="166" t="s">
        <v>1874</v>
      </c>
    </row>
    <row r="265" spans="1:21" ht="19.2" customHeight="1">
      <c r="A265" s="178">
        <v>382</v>
      </c>
      <c r="B265" s="136"/>
      <c r="C265" s="229" t="s">
        <v>2987</v>
      </c>
      <c r="D265" s="229"/>
      <c r="E265" s="229"/>
      <c r="F265" s="229" t="s">
        <v>2942</v>
      </c>
      <c r="G265" s="229"/>
      <c r="H265" s="229"/>
      <c r="I265" s="231" t="s">
        <v>2927</v>
      </c>
      <c r="J265" s="229"/>
      <c r="K265" s="229"/>
      <c r="L265" s="229"/>
      <c r="M265" s="229"/>
      <c r="N265" s="229"/>
      <c r="O265" s="229"/>
      <c r="P265" s="232" t="s">
        <v>2943</v>
      </c>
      <c r="Q265" s="189" t="s">
        <v>1879</v>
      </c>
      <c r="R265" s="189" t="s">
        <v>1879</v>
      </c>
      <c r="S265" s="166" t="s">
        <v>1874</v>
      </c>
      <c r="T265" s="166" t="s">
        <v>1874</v>
      </c>
    </row>
    <row r="266" spans="1:21" ht="19.2" customHeight="1">
      <c r="A266" s="178">
        <v>383</v>
      </c>
      <c r="B266" s="136"/>
      <c r="C266" s="229" t="s">
        <v>2988</v>
      </c>
      <c r="D266" s="229"/>
      <c r="E266" s="229"/>
      <c r="F266" s="229" t="s">
        <v>2942</v>
      </c>
      <c r="G266" s="229"/>
      <c r="H266" s="229"/>
      <c r="I266" s="231" t="s">
        <v>2927</v>
      </c>
      <c r="J266" s="229"/>
      <c r="K266" s="229"/>
      <c r="L266" s="229"/>
      <c r="M266" s="229"/>
      <c r="N266" s="229"/>
      <c r="O266" s="229"/>
      <c r="P266" s="232" t="s">
        <v>2943</v>
      </c>
      <c r="Q266" s="189" t="s">
        <v>1879</v>
      </c>
      <c r="R266" s="189" t="s">
        <v>1879</v>
      </c>
      <c r="S266" s="166" t="s">
        <v>1874</v>
      </c>
      <c r="T266" s="166" t="s">
        <v>1874</v>
      </c>
    </row>
    <row r="267" spans="1:21" ht="19.2" customHeight="1">
      <c r="A267" s="178">
        <v>384</v>
      </c>
      <c r="B267" s="136"/>
      <c r="C267" s="229" t="s">
        <v>2989</v>
      </c>
      <c r="D267" s="229"/>
      <c r="E267" s="229"/>
      <c r="F267" s="229" t="s">
        <v>2942</v>
      </c>
      <c r="G267" s="229"/>
      <c r="H267" s="229"/>
      <c r="I267" s="231" t="s">
        <v>2927</v>
      </c>
      <c r="J267" s="229"/>
      <c r="K267" s="229"/>
      <c r="L267" s="229"/>
      <c r="M267" s="229"/>
      <c r="N267" s="229"/>
      <c r="O267" s="229"/>
      <c r="P267" s="232" t="s">
        <v>2943</v>
      </c>
      <c r="Q267" s="189" t="s">
        <v>1879</v>
      </c>
      <c r="R267" s="189" t="s">
        <v>1879</v>
      </c>
      <c r="S267" s="166" t="s">
        <v>1874</v>
      </c>
      <c r="T267" s="166" t="s">
        <v>1874</v>
      </c>
    </row>
    <row r="268" spans="1:21" ht="19.2" customHeight="1">
      <c r="A268" s="178">
        <v>385</v>
      </c>
      <c r="B268" s="136"/>
      <c r="C268" s="229" t="s">
        <v>2990</v>
      </c>
      <c r="D268" s="229"/>
      <c r="E268" s="229"/>
      <c r="F268" s="229" t="s">
        <v>2942</v>
      </c>
      <c r="G268" s="229"/>
      <c r="H268" s="229"/>
      <c r="I268" s="231" t="s">
        <v>2927</v>
      </c>
      <c r="J268" s="229"/>
      <c r="K268" s="229"/>
      <c r="L268" s="229"/>
      <c r="M268" s="229"/>
      <c r="N268" s="229"/>
      <c r="O268" s="229"/>
      <c r="P268" s="232" t="s">
        <v>2943</v>
      </c>
      <c r="Q268" s="189" t="s">
        <v>1879</v>
      </c>
      <c r="R268" s="189" t="s">
        <v>1879</v>
      </c>
      <c r="S268" s="166" t="s">
        <v>1874</v>
      </c>
      <c r="T268" s="166" t="s">
        <v>1874</v>
      </c>
    </row>
    <row r="269" spans="1:21" ht="19.2" customHeight="1">
      <c r="A269" s="178">
        <v>386</v>
      </c>
      <c r="B269" s="174">
        <v>3</v>
      </c>
      <c r="C269" s="166" t="s">
        <v>2444</v>
      </c>
      <c r="D269" s="166" t="s">
        <v>2077</v>
      </c>
      <c r="E269" s="166" t="s">
        <v>2445</v>
      </c>
      <c r="F269" s="166" t="s">
        <v>1127</v>
      </c>
      <c r="G269" s="166" t="s">
        <v>2446</v>
      </c>
      <c r="H269" s="166" t="s">
        <v>2080</v>
      </c>
      <c r="I269" s="166" t="s">
        <v>2081</v>
      </c>
      <c r="J269" s="166" t="s">
        <v>2173</v>
      </c>
      <c r="K269" s="167"/>
      <c r="L269" s="167"/>
      <c r="M269" s="167" t="s">
        <v>2447</v>
      </c>
      <c r="N269" s="166" t="s">
        <v>2084</v>
      </c>
      <c r="O269" s="166" t="s">
        <v>2255</v>
      </c>
      <c r="P269" s="167"/>
      <c r="Q269" s="166"/>
      <c r="R269" s="166"/>
      <c r="S269" s="166"/>
      <c r="T269" s="189" t="s">
        <v>1879</v>
      </c>
      <c r="U269" s="162" t="s">
        <v>2061</v>
      </c>
    </row>
    <row r="270" spans="1:21" ht="19.2" customHeight="1">
      <c r="A270" s="178">
        <v>387</v>
      </c>
      <c r="B270" s="174">
        <v>3</v>
      </c>
      <c r="C270" s="166" t="s">
        <v>2448</v>
      </c>
      <c r="D270" s="166" t="s">
        <v>2449</v>
      </c>
      <c r="E270" s="166" t="s">
        <v>2450</v>
      </c>
      <c r="F270" s="166" t="s">
        <v>1127</v>
      </c>
      <c r="G270" s="166" t="s">
        <v>2446</v>
      </c>
      <c r="H270" s="166" t="s">
        <v>2106</v>
      </c>
      <c r="I270" s="166" t="s">
        <v>2081</v>
      </c>
      <c r="J270" s="167"/>
      <c r="K270" s="167"/>
      <c r="L270" s="167"/>
      <c r="M270" s="167" t="s">
        <v>2447</v>
      </c>
      <c r="N270" s="166" t="s">
        <v>2084</v>
      </c>
      <c r="O270" s="166" t="s">
        <v>2255</v>
      </c>
      <c r="P270" s="167"/>
      <c r="Q270" s="166"/>
      <c r="R270" s="166"/>
      <c r="S270" s="166"/>
      <c r="T270" s="189" t="s">
        <v>1879</v>
      </c>
      <c r="U270" s="162" t="s">
        <v>2061</v>
      </c>
    </row>
    <row r="271" spans="1:21" ht="19.2" customHeight="1">
      <c r="A271" s="178">
        <v>388</v>
      </c>
      <c r="B271" s="174">
        <v>3</v>
      </c>
      <c r="C271" s="166" t="s">
        <v>2451</v>
      </c>
      <c r="D271" s="166" t="s">
        <v>2452</v>
      </c>
      <c r="E271" s="166" t="s">
        <v>2453</v>
      </c>
      <c r="F271" s="166" t="s">
        <v>1127</v>
      </c>
      <c r="G271" s="166" t="s">
        <v>2454</v>
      </c>
      <c r="H271" s="166" t="s">
        <v>2106</v>
      </c>
      <c r="I271" s="166" t="s">
        <v>2081</v>
      </c>
      <c r="J271" s="167"/>
      <c r="K271" s="167"/>
      <c r="L271" s="167"/>
      <c r="M271" s="167" t="s">
        <v>2447</v>
      </c>
      <c r="N271" s="166" t="s">
        <v>2084</v>
      </c>
      <c r="O271" s="166" t="s">
        <v>2455</v>
      </c>
      <c r="P271" s="167"/>
      <c r="Q271" s="166"/>
      <c r="R271" s="166"/>
      <c r="S271" s="166"/>
      <c r="T271" s="189" t="s">
        <v>1879</v>
      </c>
      <c r="U271" s="162" t="s">
        <v>2061</v>
      </c>
    </row>
    <row r="272" spans="1:21" ht="19.2" customHeight="1">
      <c r="A272" s="178">
        <v>389</v>
      </c>
      <c r="B272" s="174">
        <v>3</v>
      </c>
      <c r="C272" s="166" t="s">
        <v>2456</v>
      </c>
      <c r="D272" s="166" t="s">
        <v>2452</v>
      </c>
      <c r="E272" s="166" t="s">
        <v>2457</v>
      </c>
      <c r="F272" s="166" t="s">
        <v>1127</v>
      </c>
      <c r="G272" s="166" t="s">
        <v>2454</v>
      </c>
      <c r="H272" s="166" t="s">
        <v>2106</v>
      </c>
      <c r="I272" s="166" t="s">
        <v>2081</v>
      </c>
      <c r="J272" s="167"/>
      <c r="K272" s="167"/>
      <c r="L272" s="167"/>
      <c r="M272" s="167" t="s">
        <v>2447</v>
      </c>
      <c r="N272" s="166" t="s">
        <v>2084</v>
      </c>
      <c r="O272" s="166" t="s">
        <v>2455</v>
      </c>
      <c r="P272" s="167"/>
      <c r="Q272" s="166"/>
      <c r="R272" s="166"/>
      <c r="S272" s="166"/>
      <c r="T272" s="189" t="s">
        <v>1879</v>
      </c>
      <c r="U272" s="162" t="s">
        <v>2061</v>
      </c>
    </row>
    <row r="273" spans="1:21" ht="19.2" customHeight="1">
      <c r="A273" s="178">
        <v>390</v>
      </c>
      <c r="B273" s="174">
        <v>3</v>
      </c>
      <c r="C273" s="166" t="s">
        <v>2458</v>
      </c>
      <c r="D273" s="166" t="s">
        <v>2452</v>
      </c>
      <c r="E273" s="166" t="s">
        <v>2459</v>
      </c>
      <c r="F273" s="166" t="s">
        <v>1127</v>
      </c>
      <c r="G273" s="166" t="s">
        <v>2454</v>
      </c>
      <c r="H273" s="166" t="s">
        <v>2106</v>
      </c>
      <c r="I273" s="166" t="s">
        <v>2081</v>
      </c>
      <c r="J273" s="167"/>
      <c r="K273" s="167"/>
      <c r="L273" s="167"/>
      <c r="M273" s="167" t="s">
        <v>2447</v>
      </c>
      <c r="N273" s="166" t="s">
        <v>2084</v>
      </c>
      <c r="O273" s="166" t="s">
        <v>2455</v>
      </c>
      <c r="P273" s="167"/>
      <c r="Q273" s="166"/>
      <c r="R273" s="166"/>
      <c r="S273" s="166"/>
      <c r="T273" s="189" t="s">
        <v>1879</v>
      </c>
      <c r="U273" s="162" t="s">
        <v>2061</v>
      </c>
    </row>
    <row r="274" spans="1:21" ht="19.2" customHeight="1">
      <c r="A274" s="178">
        <v>391</v>
      </c>
      <c r="B274" s="174">
        <v>3</v>
      </c>
      <c r="C274" s="166" t="s">
        <v>2460</v>
      </c>
      <c r="D274" s="166" t="s">
        <v>2452</v>
      </c>
      <c r="E274" s="166" t="s">
        <v>2461</v>
      </c>
      <c r="F274" s="166" t="s">
        <v>1127</v>
      </c>
      <c r="G274" s="166" t="s">
        <v>2454</v>
      </c>
      <c r="H274" s="166" t="s">
        <v>2106</v>
      </c>
      <c r="I274" s="166" t="s">
        <v>2081</v>
      </c>
      <c r="J274" s="167"/>
      <c r="K274" s="167"/>
      <c r="L274" s="167"/>
      <c r="M274" s="167" t="s">
        <v>2447</v>
      </c>
      <c r="N274" s="166" t="s">
        <v>2084</v>
      </c>
      <c r="O274" s="166" t="s">
        <v>2455</v>
      </c>
      <c r="P274" s="167"/>
      <c r="Q274" s="166"/>
      <c r="R274" s="166"/>
      <c r="S274" s="166"/>
      <c r="T274" s="189" t="s">
        <v>1879</v>
      </c>
      <c r="U274" s="162" t="s">
        <v>2061</v>
      </c>
    </row>
    <row r="275" spans="1:21" ht="19.2" customHeight="1">
      <c r="A275" s="178">
        <v>392</v>
      </c>
      <c r="B275" s="174">
        <v>3</v>
      </c>
      <c r="C275" s="166" t="s">
        <v>2462</v>
      </c>
      <c r="D275" s="166" t="s">
        <v>2463</v>
      </c>
      <c r="E275" s="166" t="s">
        <v>2464</v>
      </c>
      <c r="F275" s="166" t="s">
        <v>1127</v>
      </c>
      <c r="G275" s="166" t="s">
        <v>2454</v>
      </c>
      <c r="H275" s="166" t="s">
        <v>2106</v>
      </c>
      <c r="I275" s="166" t="s">
        <v>2081</v>
      </c>
      <c r="J275" s="167"/>
      <c r="K275" s="167"/>
      <c r="L275" s="167"/>
      <c r="M275" s="166" t="s">
        <v>2465</v>
      </c>
      <c r="N275" s="166" t="s">
        <v>2084</v>
      </c>
      <c r="O275" s="166" t="s">
        <v>2455</v>
      </c>
      <c r="P275" s="167"/>
      <c r="Q275" s="166"/>
      <c r="R275" s="166"/>
      <c r="S275" s="166"/>
      <c r="T275" s="189" t="s">
        <v>1879</v>
      </c>
      <c r="U275" s="162" t="s">
        <v>2061</v>
      </c>
    </row>
    <row r="276" spans="1:21" ht="19.2" customHeight="1">
      <c r="A276" s="178">
        <v>393</v>
      </c>
      <c r="B276" s="174">
        <v>3</v>
      </c>
      <c r="C276" s="166" t="s">
        <v>2274</v>
      </c>
      <c r="D276" s="166" t="s">
        <v>2275</v>
      </c>
      <c r="E276" s="166" t="s">
        <v>2276</v>
      </c>
      <c r="F276" s="166" t="s">
        <v>1546</v>
      </c>
      <c r="G276" s="166" t="s">
        <v>2277</v>
      </c>
      <c r="H276" s="166" t="s">
        <v>2106</v>
      </c>
      <c r="I276" s="166" t="s">
        <v>2081</v>
      </c>
      <c r="J276" s="167"/>
      <c r="K276" s="167"/>
      <c r="L276" s="167"/>
      <c r="M276" s="167"/>
      <c r="N276" s="166" t="s">
        <v>2084</v>
      </c>
      <c r="O276" s="166" t="s">
        <v>2278</v>
      </c>
      <c r="P276" s="167"/>
      <c r="Q276" s="227" t="s">
        <v>1874</v>
      </c>
      <c r="R276" s="227" t="s">
        <v>1874</v>
      </c>
      <c r="S276" s="226" t="s">
        <v>2054</v>
      </c>
      <c r="T276" s="189" t="s">
        <v>1879</v>
      </c>
      <c r="U276" s="162" t="s">
        <v>2061</v>
      </c>
    </row>
    <row r="277" spans="1:21" ht="19.2" customHeight="1">
      <c r="A277" s="178">
        <v>394</v>
      </c>
      <c r="B277" s="174">
        <v>3</v>
      </c>
      <c r="C277" s="166" t="s">
        <v>2279</v>
      </c>
      <c r="D277" s="166" t="s">
        <v>2280</v>
      </c>
      <c r="E277" s="166" t="s">
        <v>2276</v>
      </c>
      <c r="F277" s="166" t="s">
        <v>1546</v>
      </c>
      <c r="G277" s="166" t="s">
        <v>2277</v>
      </c>
      <c r="H277" s="166" t="s">
        <v>2080</v>
      </c>
      <c r="I277" s="166" t="s">
        <v>2081</v>
      </c>
      <c r="J277" s="166" t="s">
        <v>2173</v>
      </c>
      <c r="K277" s="166" t="s">
        <v>2173</v>
      </c>
      <c r="L277" s="167"/>
      <c r="M277" s="167"/>
      <c r="N277" s="166" t="s">
        <v>2084</v>
      </c>
      <c r="O277" s="166" t="s">
        <v>2278</v>
      </c>
      <c r="P277" s="167"/>
      <c r="Q277" s="227" t="s">
        <v>1874</v>
      </c>
      <c r="R277" s="227" t="s">
        <v>1874</v>
      </c>
      <c r="S277" s="226" t="s">
        <v>2054</v>
      </c>
      <c r="T277" s="189" t="s">
        <v>1879</v>
      </c>
      <c r="U277" s="162" t="s">
        <v>2061</v>
      </c>
    </row>
    <row r="278" spans="1:21" ht="19.2" customHeight="1">
      <c r="A278" s="178">
        <v>395</v>
      </c>
      <c r="B278" s="174">
        <v>3</v>
      </c>
      <c r="C278" s="166" t="s">
        <v>2281</v>
      </c>
      <c r="D278" s="166" t="s">
        <v>2282</v>
      </c>
      <c r="E278" s="166" t="s">
        <v>2283</v>
      </c>
      <c r="F278" s="166" t="s">
        <v>1546</v>
      </c>
      <c r="G278" s="166" t="s">
        <v>2277</v>
      </c>
      <c r="H278" s="166" t="s">
        <v>2100</v>
      </c>
      <c r="I278" s="166" t="s">
        <v>2081</v>
      </c>
      <c r="J278" s="167"/>
      <c r="K278" s="167"/>
      <c r="L278" s="167"/>
      <c r="M278" s="167"/>
      <c r="N278" s="166" t="s">
        <v>2084</v>
      </c>
      <c r="O278" s="166" t="s">
        <v>2278</v>
      </c>
      <c r="P278" s="167"/>
      <c r="Q278" s="227" t="s">
        <v>1874</v>
      </c>
      <c r="R278" s="227" t="s">
        <v>1874</v>
      </c>
      <c r="S278" s="226" t="s">
        <v>2054</v>
      </c>
      <c r="T278" s="189" t="s">
        <v>1879</v>
      </c>
      <c r="U278" s="162" t="s">
        <v>2061</v>
      </c>
    </row>
    <row r="279" spans="1:21" ht="19.2" customHeight="1">
      <c r="A279" s="178">
        <v>396</v>
      </c>
      <c r="B279" s="174">
        <v>3</v>
      </c>
      <c r="C279" s="166" t="s">
        <v>2284</v>
      </c>
      <c r="D279" s="166" t="s">
        <v>2285</v>
      </c>
      <c r="E279" s="166" t="s">
        <v>2283</v>
      </c>
      <c r="F279" s="166" t="s">
        <v>1546</v>
      </c>
      <c r="G279" s="166" t="s">
        <v>2277</v>
      </c>
      <c r="H279" s="166" t="s">
        <v>2100</v>
      </c>
      <c r="I279" s="166" t="s">
        <v>2081</v>
      </c>
      <c r="J279" s="167"/>
      <c r="K279" s="167"/>
      <c r="L279" s="167"/>
      <c r="M279" s="167"/>
      <c r="N279" s="166" t="s">
        <v>2084</v>
      </c>
      <c r="O279" s="166" t="s">
        <v>2278</v>
      </c>
      <c r="P279" s="167"/>
      <c r="Q279" s="227" t="s">
        <v>1874</v>
      </c>
      <c r="R279" s="227" t="s">
        <v>1874</v>
      </c>
      <c r="S279" s="226" t="s">
        <v>2054</v>
      </c>
      <c r="T279" s="189" t="s">
        <v>1879</v>
      </c>
      <c r="U279" s="162" t="s">
        <v>2061</v>
      </c>
    </row>
    <row r="280" spans="1:21" ht="19.2" customHeight="1">
      <c r="A280" s="178">
        <v>397</v>
      </c>
      <c r="B280" s="174">
        <v>3</v>
      </c>
      <c r="C280" s="166" t="s">
        <v>2286</v>
      </c>
      <c r="D280" s="166" t="s">
        <v>2275</v>
      </c>
      <c r="E280" s="166" t="s">
        <v>2287</v>
      </c>
      <c r="F280" s="166" t="s">
        <v>1546</v>
      </c>
      <c r="G280" s="166" t="s">
        <v>2277</v>
      </c>
      <c r="H280" s="166" t="s">
        <v>2106</v>
      </c>
      <c r="I280" s="166" t="s">
        <v>2081</v>
      </c>
      <c r="J280" s="167"/>
      <c r="K280" s="167"/>
      <c r="L280" s="167"/>
      <c r="M280" s="167"/>
      <c r="N280" s="166" t="s">
        <v>2084</v>
      </c>
      <c r="O280" s="166" t="s">
        <v>2288</v>
      </c>
      <c r="P280" s="167"/>
      <c r="Q280" s="227" t="s">
        <v>1874</v>
      </c>
      <c r="R280" s="227" t="s">
        <v>1874</v>
      </c>
      <c r="S280" s="226" t="s">
        <v>2054</v>
      </c>
      <c r="T280" s="189" t="s">
        <v>1879</v>
      </c>
      <c r="U280" s="162" t="s">
        <v>2061</v>
      </c>
    </row>
    <row r="281" spans="1:21" ht="19.2" customHeight="1">
      <c r="A281" s="178">
        <v>398</v>
      </c>
      <c r="B281" s="174">
        <v>3</v>
      </c>
      <c r="C281" s="166" t="s">
        <v>2289</v>
      </c>
      <c r="D281" s="166" t="s">
        <v>2280</v>
      </c>
      <c r="E281" s="166" t="s">
        <v>2287</v>
      </c>
      <c r="F281" s="166" t="s">
        <v>1546</v>
      </c>
      <c r="G281" s="166" t="s">
        <v>2277</v>
      </c>
      <c r="H281" s="166" t="s">
        <v>2080</v>
      </c>
      <c r="I281" s="166" t="s">
        <v>2081</v>
      </c>
      <c r="J281" s="166" t="s">
        <v>2173</v>
      </c>
      <c r="K281" s="166" t="s">
        <v>2173</v>
      </c>
      <c r="L281" s="167"/>
      <c r="M281" s="167"/>
      <c r="N281" s="166" t="s">
        <v>2084</v>
      </c>
      <c r="O281" s="166" t="s">
        <v>2288</v>
      </c>
      <c r="P281" s="167"/>
      <c r="Q281" s="227" t="s">
        <v>1874</v>
      </c>
      <c r="R281" s="227" t="s">
        <v>1874</v>
      </c>
      <c r="S281" s="226" t="s">
        <v>2054</v>
      </c>
      <c r="T281" s="189" t="s">
        <v>1879</v>
      </c>
      <c r="U281" s="162" t="s">
        <v>2061</v>
      </c>
    </row>
    <row r="282" spans="1:21" ht="19.2" customHeight="1">
      <c r="A282" s="178">
        <v>399</v>
      </c>
      <c r="B282" s="174">
        <v>3</v>
      </c>
      <c r="C282" s="166" t="s">
        <v>2290</v>
      </c>
      <c r="D282" s="166" t="s">
        <v>2282</v>
      </c>
      <c r="E282" s="166" t="s">
        <v>2291</v>
      </c>
      <c r="F282" s="166" t="s">
        <v>1546</v>
      </c>
      <c r="G282" s="166" t="s">
        <v>2277</v>
      </c>
      <c r="H282" s="166" t="s">
        <v>2100</v>
      </c>
      <c r="I282" s="166" t="s">
        <v>2081</v>
      </c>
      <c r="J282" s="167"/>
      <c r="K282" s="167"/>
      <c r="L282" s="167"/>
      <c r="M282" s="167"/>
      <c r="N282" s="166" t="s">
        <v>2084</v>
      </c>
      <c r="O282" s="166" t="s">
        <v>2288</v>
      </c>
      <c r="P282" s="167"/>
      <c r="Q282" s="227" t="s">
        <v>1874</v>
      </c>
      <c r="R282" s="227" t="s">
        <v>1874</v>
      </c>
      <c r="S282" s="226" t="s">
        <v>2054</v>
      </c>
      <c r="T282" s="189" t="s">
        <v>1879</v>
      </c>
      <c r="U282" s="162" t="s">
        <v>2061</v>
      </c>
    </row>
    <row r="283" spans="1:21" ht="19.2" customHeight="1">
      <c r="A283" s="178">
        <v>400</v>
      </c>
      <c r="B283" s="174">
        <v>3</v>
      </c>
      <c r="C283" s="166" t="s">
        <v>2292</v>
      </c>
      <c r="D283" s="166" t="s">
        <v>2285</v>
      </c>
      <c r="E283" s="166" t="s">
        <v>2291</v>
      </c>
      <c r="F283" s="166" t="s">
        <v>1546</v>
      </c>
      <c r="G283" s="166" t="s">
        <v>2277</v>
      </c>
      <c r="H283" s="166" t="s">
        <v>2100</v>
      </c>
      <c r="I283" s="166" t="s">
        <v>2081</v>
      </c>
      <c r="J283" s="167"/>
      <c r="K283" s="167"/>
      <c r="L283" s="167"/>
      <c r="M283" s="167"/>
      <c r="N283" s="166" t="s">
        <v>2084</v>
      </c>
      <c r="O283" s="166" t="s">
        <v>2288</v>
      </c>
      <c r="P283" s="167"/>
      <c r="Q283" s="227" t="s">
        <v>1874</v>
      </c>
      <c r="R283" s="227" t="s">
        <v>1874</v>
      </c>
      <c r="S283" s="226" t="s">
        <v>2054</v>
      </c>
      <c r="T283" s="189" t="s">
        <v>1879</v>
      </c>
      <c r="U283" s="162" t="s">
        <v>2061</v>
      </c>
    </row>
    <row r="284" spans="1:21" ht="19.2" customHeight="1">
      <c r="A284" s="178">
        <v>401</v>
      </c>
      <c r="B284" s="172">
        <v>4</v>
      </c>
      <c r="C284" s="173" t="s">
        <v>1952</v>
      </c>
      <c r="D284" s="160" t="s">
        <v>2077</v>
      </c>
      <c r="E284" s="160" t="s">
        <v>2078</v>
      </c>
      <c r="F284" s="160" t="s">
        <v>1128</v>
      </c>
      <c r="G284" s="160" t="s">
        <v>2079</v>
      </c>
      <c r="H284" s="160" t="s">
        <v>2080</v>
      </c>
      <c r="I284" s="160" t="s">
        <v>2081</v>
      </c>
      <c r="J284" s="160" t="s">
        <v>2082</v>
      </c>
      <c r="K284" s="161">
        <v>109</v>
      </c>
      <c r="L284" s="160" t="s">
        <v>2083</v>
      </c>
      <c r="M284" s="164"/>
      <c r="N284" s="160" t="s">
        <v>2084</v>
      </c>
      <c r="O284" s="160" t="s">
        <v>2085</v>
      </c>
      <c r="P284" s="164"/>
      <c r="Q284" s="189" t="s">
        <v>1879</v>
      </c>
      <c r="R284" s="227" t="s">
        <v>1874</v>
      </c>
      <c r="S284" s="189" t="s">
        <v>1879</v>
      </c>
      <c r="T284" s="189" t="s">
        <v>1879</v>
      </c>
      <c r="U284" s="162" t="s">
        <v>2061</v>
      </c>
    </row>
    <row r="285" spans="1:21" ht="19.2" customHeight="1">
      <c r="A285" s="178">
        <v>402</v>
      </c>
      <c r="B285" s="172">
        <v>4</v>
      </c>
      <c r="C285" s="160" t="s">
        <v>2086</v>
      </c>
      <c r="D285" s="160" t="s">
        <v>2077</v>
      </c>
      <c r="E285" s="160" t="s">
        <v>2078</v>
      </c>
      <c r="F285" s="160" t="s">
        <v>1128</v>
      </c>
      <c r="G285" s="160" t="s">
        <v>2079</v>
      </c>
      <c r="H285" s="160" t="s">
        <v>2080</v>
      </c>
      <c r="I285" s="160" t="s">
        <v>2081</v>
      </c>
      <c r="J285" s="160" t="s">
        <v>2082</v>
      </c>
      <c r="K285" s="161">
        <v>109</v>
      </c>
      <c r="L285" s="160" t="s">
        <v>2083</v>
      </c>
      <c r="M285" s="164"/>
      <c r="N285" s="160" t="s">
        <v>2084</v>
      </c>
      <c r="O285" s="160" t="s">
        <v>2085</v>
      </c>
      <c r="P285" s="164"/>
      <c r="Q285" s="189" t="s">
        <v>1879</v>
      </c>
      <c r="R285" s="227" t="s">
        <v>1874</v>
      </c>
      <c r="S285" s="189" t="s">
        <v>1879</v>
      </c>
      <c r="T285" s="189" t="s">
        <v>1879</v>
      </c>
      <c r="U285" s="162" t="s">
        <v>2061</v>
      </c>
    </row>
    <row r="286" spans="1:21" ht="19.2" customHeight="1">
      <c r="A286" s="178">
        <v>403</v>
      </c>
      <c r="B286" s="172">
        <v>4</v>
      </c>
      <c r="C286" s="160" t="s">
        <v>2087</v>
      </c>
      <c r="D286" s="160" t="s">
        <v>2077</v>
      </c>
      <c r="E286" s="160" t="s">
        <v>2078</v>
      </c>
      <c r="F286" s="160" t="s">
        <v>1128</v>
      </c>
      <c r="G286" s="160" t="s">
        <v>2079</v>
      </c>
      <c r="H286" s="160" t="s">
        <v>2080</v>
      </c>
      <c r="I286" s="160" t="s">
        <v>2081</v>
      </c>
      <c r="J286" s="160" t="s">
        <v>2082</v>
      </c>
      <c r="K286" s="161">
        <v>109</v>
      </c>
      <c r="L286" s="160" t="s">
        <v>2083</v>
      </c>
      <c r="M286" s="164"/>
      <c r="N286" s="160" t="s">
        <v>2084</v>
      </c>
      <c r="O286" s="160" t="s">
        <v>2085</v>
      </c>
      <c r="P286" s="164"/>
      <c r="Q286" s="189" t="s">
        <v>1879</v>
      </c>
      <c r="R286" s="227" t="s">
        <v>1874</v>
      </c>
      <c r="S286" s="189" t="s">
        <v>1879</v>
      </c>
      <c r="T286" s="189" t="s">
        <v>1879</v>
      </c>
      <c r="U286" s="162" t="s">
        <v>2061</v>
      </c>
    </row>
    <row r="287" spans="1:21" ht="19.2" customHeight="1">
      <c r="A287" s="178">
        <v>404</v>
      </c>
      <c r="B287" s="172">
        <v>3</v>
      </c>
      <c r="C287" s="160" t="s">
        <v>2088</v>
      </c>
      <c r="D287" s="160" t="s">
        <v>2089</v>
      </c>
      <c r="E287" s="160" t="s">
        <v>2078</v>
      </c>
      <c r="F287" s="160" t="s">
        <v>1128</v>
      </c>
      <c r="G287" s="160" t="s">
        <v>2079</v>
      </c>
      <c r="H287" s="160" t="s">
        <v>2080</v>
      </c>
      <c r="I287" s="160" t="s">
        <v>2081</v>
      </c>
      <c r="J287" s="160" t="s">
        <v>2090</v>
      </c>
      <c r="K287" s="163">
        <v>62.78</v>
      </c>
      <c r="L287" s="163">
        <v>29.22</v>
      </c>
      <c r="M287" s="164"/>
      <c r="N287" s="160" t="s">
        <v>2084</v>
      </c>
      <c r="O287" s="160" t="s">
        <v>2091</v>
      </c>
      <c r="P287" s="164"/>
      <c r="Q287" s="189" t="s">
        <v>1879</v>
      </c>
      <c r="R287" s="227" t="s">
        <v>1874</v>
      </c>
      <c r="S287" s="189" t="s">
        <v>1879</v>
      </c>
      <c r="T287" s="189" t="s">
        <v>1879</v>
      </c>
      <c r="U287" s="162" t="s">
        <v>2061</v>
      </c>
    </row>
    <row r="288" spans="1:21" ht="19.2" customHeight="1">
      <c r="A288" s="178">
        <v>405</v>
      </c>
      <c r="B288" s="172">
        <v>4</v>
      </c>
      <c r="C288" s="160" t="s">
        <v>2092</v>
      </c>
      <c r="D288" s="160" t="s">
        <v>2077</v>
      </c>
      <c r="E288" s="160" t="s">
        <v>2078</v>
      </c>
      <c r="F288" s="160" t="s">
        <v>1128</v>
      </c>
      <c r="G288" s="160" t="s">
        <v>2079</v>
      </c>
      <c r="H288" s="160" t="s">
        <v>2080</v>
      </c>
      <c r="I288" s="160" t="s">
        <v>2081</v>
      </c>
      <c r="J288" s="160" t="s">
        <v>2082</v>
      </c>
      <c r="K288" s="161">
        <v>249</v>
      </c>
      <c r="L288" s="161">
        <v>33</v>
      </c>
      <c r="M288" s="164"/>
      <c r="N288" s="160" t="s">
        <v>2084</v>
      </c>
      <c r="O288" s="160" t="s">
        <v>2093</v>
      </c>
      <c r="P288" s="164"/>
      <c r="Q288" s="189" t="s">
        <v>1879</v>
      </c>
      <c r="R288" s="227" t="s">
        <v>1874</v>
      </c>
      <c r="S288" s="189" t="s">
        <v>1879</v>
      </c>
      <c r="T288" s="189" t="s">
        <v>1879</v>
      </c>
      <c r="U288" s="162" t="s">
        <v>2061</v>
      </c>
    </row>
    <row r="289" spans="1:21" ht="19.2" customHeight="1">
      <c r="A289" s="178">
        <v>406</v>
      </c>
      <c r="B289" s="172">
        <v>3</v>
      </c>
      <c r="C289" s="160" t="s">
        <v>2094</v>
      </c>
      <c r="D289" s="160" t="s">
        <v>2095</v>
      </c>
      <c r="E289" s="160" t="s">
        <v>2096</v>
      </c>
      <c r="F289" s="160" t="s">
        <v>1128</v>
      </c>
      <c r="G289" s="160" t="s">
        <v>2079</v>
      </c>
      <c r="H289" s="160" t="s">
        <v>2080</v>
      </c>
      <c r="I289" s="160" t="s">
        <v>2081</v>
      </c>
      <c r="J289" s="164"/>
      <c r="K289" s="164"/>
      <c r="L289" s="164"/>
      <c r="M289" s="160" t="s">
        <v>2097</v>
      </c>
      <c r="N289" s="160" t="s">
        <v>2084</v>
      </c>
      <c r="O289" s="160" t="s">
        <v>2091</v>
      </c>
      <c r="P289" s="164"/>
      <c r="Q289" s="189" t="s">
        <v>1879</v>
      </c>
      <c r="R289" s="227" t="s">
        <v>1874</v>
      </c>
      <c r="S289" s="189" t="s">
        <v>1879</v>
      </c>
      <c r="T289" s="189" t="s">
        <v>1879</v>
      </c>
      <c r="U289" s="162" t="s">
        <v>2061</v>
      </c>
    </row>
    <row r="290" spans="1:21" ht="19.2" customHeight="1">
      <c r="A290" s="178">
        <v>407</v>
      </c>
      <c r="B290" s="172">
        <v>3</v>
      </c>
      <c r="C290" s="160" t="s">
        <v>2098</v>
      </c>
      <c r="D290" s="160" t="s">
        <v>2099</v>
      </c>
      <c r="E290" s="173" t="s">
        <v>2924</v>
      </c>
      <c r="F290" s="160" t="s">
        <v>1128</v>
      </c>
      <c r="G290" s="160" t="s">
        <v>2079</v>
      </c>
      <c r="H290" s="160" t="s">
        <v>2100</v>
      </c>
      <c r="I290" s="160" t="s">
        <v>2081</v>
      </c>
      <c r="J290" s="164"/>
      <c r="K290" s="164"/>
      <c r="L290" s="164"/>
      <c r="M290" s="160" t="s">
        <v>2097</v>
      </c>
      <c r="N290" s="160" t="s">
        <v>2084</v>
      </c>
      <c r="O290" s="160" t="s">
        <v>2101</v>
      </c>
      <c r="P290" s="164"/>
      <c r="Q290" s="189" t="s">
        <v>1879</v>
      </c>
      <c r="R290" s="227" t="s">
        <v>1874</v>
      </c>
      <c r="S290" s="189" t="s">
        <v>1879</v>
      </c>
      <c r="T290" s="189" t="s">
        <v>1879</v>
      </c>
      <c r="U290" s="162" t="s">
        <v>2061</v>
      </c>
    </row>
    <row r="291" spans="1:21" ht="19.2" customHeight="1">
      <c r="A291" s="178">
        <v>408</v>
      </c>
      <c r="B291" s="172">
        <v>3</v>
      </c>
      <c r="C291" s="160" t="s">
        <v>2102</v>
      </c>
      <c r="D291" s="160" t="s">
        <v>2099</v>
      </c>
      <c r="E291" s="160" t="s">
        <v>2096</v>
      </c>
      <c r="F291" s="160" t="s">
        <v>1128</v>
      </c>
      <c r="G291" s="160" t="s">
        <v>2079</v>
      </c>
      <c r="H291" s="160" t="s">
        <v>2100</v>
      </c>
      <c r="I291" s="160" t="s">
        <v>2081</v>
      </c>
      <c r="J291" s="164"/>
      <c r="K291" s="164"/>
      <c r="L291" s="164"/>
      <c r="M291" s="160" t="s">
        <v>2097</v>
      </c>
      <c r="N291" s="160" t="s">
        <v>2084</v>
      </c>
      <c r="O291" s="160" t="s">
        <v>2101</v>
      </c>
      <c r="P291" s="164"/>
      <c r="Q291" s="189" t="s">
        <v>1879</v>
      </c>
      <c r="R291" s="227" t="s">
        <v>1874</v>
      </c>
      <c r="S291" s="189" t="s">
        <v>1879</v>
      </c>
      <c r="T291" s="189" t="s">
        <v>1879</v>
      </c>
      <c r="U291" s="162" t="s">
        <v>2061</v>
      </c>
    </row>
    <row r="292" spans="1:21" ht="19.2" customHeight="1">
      <c r="A292" s="178">
        <v>409</v>
      </c>
      <c r="B292" s="172">
        <v>3</v>
      </c>
      <c r="C292" s="160" t="s">
        <v>2103</v>
      </c>
      <c r="D292" s="160" t="s">
        <v>2104</v>
      </c>
      <c r="E292" s="160" t="s">
        <v>2105</v>
      </c>
      <c r="F292" s="160" t="s">
        <v>1128</v>
      </c>
      <c r="G292" s="160" t="s">
        <v>2079</v>
      </c>
      <c r="H292" s="160" t="s">
        <v>2106</v>
      </c>
      <c r="I292" s="160" t="s">
        <v>2081</v>
      </c>
      <c r="J292" s="164"/>
      <c r="K292" s="164"/>
      <c r="L292" s="164"/>
      <c r="M292" s="164"/>
      <c r="N292" s="160" t="s">
        <v>2084</v>
      </c>
      <c r="O292" s="160" t="s">
        <v>2107</v>
      </c>
      <c r="P292" s="164"/>
      <c r="Q292" s="189" t="s">
        <v>1879</v>
      </c>
      <c r="R292" s="227" t="s">
        <v>1874</v>
      </c>
      <c r="S292" s="189" t="s">
        <v>1879</v>
      </c>
      <c r="T292" s="189" t="s">
        <v>1879</v>
      </c>
      <c r="U292" s="162" t="s">
        <v>2061</v>
      </c>
    </row>
    <row r="293" spans="1:21" ht="19.2" customHeight="1">
      <c r="A293" s="178">
        <v>410</v>
      </c>
      <c r="B293" s="172">
        <v>3</v>
      </c>
      <c r="C293" s="160" t="s">
        <v>2108</v>
      </c>
      <c r="D293" s="160" t="s">
        <v>2109</v>
      </c>
      <c r="E293" s="160" t="s">
        <v>2110</v>
      </c>
      <c r="F293" s="160" t="s">
        <v>1128</v>
      </c>
      <c r="G293" s="160" t="s">
        <v>2079</v>
      </c>
      <c r="H293" s="160" t="s">
        <v>2106</v>
      </c>
      <c r="I293" s="160" t="s">
        <v>2081</v>
      </c>
      <c r="J293" s="164"/>
      <c r="K293" s="164"/>
      <c r="L293" s="164"/>
      <c r="M293" s="164"/>
      <c r="N293" s="160" t="s">
        <v>2084</v>
      </c>
      <c r="O293" s="160" t="s">
        <v>2107</v>
      </c>
      <c r="P293" s="164"/>
      <c r="Q293" s="189" t="s">
        <v>1879</v>
      </c>
      <c r="R293" s="227" t="s">
        <v>1874</v>
      </c>
      <c r="S293" s="189" t="s">
        <v>1879</v>
      </c>
      <c r="T293" s="189" t="s">
        <v>1879</v>
      </c>
      <c r="U293" s="162" t="s">
        <v>2061</v>
      </c>
    </row>
    <row r="294" spans="1:21" ht="19.2" customHeight="1">
      <c r="A294" s="178">
        <v>411</v>
      </c>
      <c r="B294" s="172">
        <v>3</v>
      </c>
      <c r="C294" s="160" t="s">
        <v>2111</v>
      </c>
      <c r="D294" s="160" t="s">
        <v>2104</v>
      </c>
      <c r="E294" s="160" t="s">
        <v>2112</v>
      </c>
      <c r="F294" s="160" t="s">
        <v>1128</v>
      </c>
      <c r="G294" s="160" t="s">
        <v>2079</v>
      </c>
      <c r="H294" s="160" t="s">
        <v>2106</v>
      </c>
      <c r="I294" s="160" t="s">
        <v>2081</v>
      </c>
      <c r="J294" s="164"/>
      <c r="K294" s="164"/>
      <c r="L294" s="164"/>
      <c r="M294" s="164"/>
      <c r="N294" s="160" t="s">
        <v>2084</v>
      </c>
      <c r="O294" s="160" t="s">
        <v>2107</v>
      </c>
      <c r="P294" s="164"/>
      <c r="Q294" s="189" t="s">
        <v>1879</v>
      </c>
      <c r="R294" s="227" t="s">
        <v>1874</v>
      </c>
      <c r="S294" s="189" t="s">
        <v>1879</v>
      </c>
      <c r="T294" s="189" t="s">
        <v>1879</v>
      </c>
      <c r="U294" s="162" t="s">
        <v>2061</v>
      </c>
    </row>
    <row r="295" spans="1:21" ht="19.2" customHeight="1">
      <c r="A295" s="178">
        <v>412</v>
      </c>
      <c r="B295" s="172">
        <v>3</v>
      </c>
      <c r="C295" s="160" t="s">
        <v>2113</v>
      </c>
      <c r="D295" s="160" t="s">
        <v>2109</v>
      </c>
      <c r="E295" s="160" t="s">
        <v>2114</v>
      </c>
      <c r="F295" s="160" t="s">
        <v>1128</v>
      </c>
      <c r="G295" s="160" t="s">
        <v>2079</v>
      </c>
      <c r="H295" s="160" t="s">
        <v>2106</v>
      </c>
      <c r="I295" s="160" t="s">
        <v>2081</v>
      </c>
      <c r="J295" s="164"/>
      <c r="K295" s="164"/>
      <c r="L295" s="164"/>
      <c r="M295" s="164"/>
      <c r="N295" s="160" t="s">
        <v>2084</v>
      </c>
      <c r="O295" s="160" t="s">
        <v>2107</v>
      </c>
      <c r="P295" s="164"/>
      <c r="Q295" s="189" t="s">
        <v>1879</v>
      </c>
      <c r="R295" s="227" t="s">
        <v>1874</v>
      </c>
      <c r="S295" s="189" t="s">
        <v>1879</v>
      </c>
      <c r="T295" s="189" t="s">
        <v>1879</v>
      </c>
      <c r="U295" s="162" t="s">
        <v>2061</v>
      </c>
    </row>
    <row r="296" spans="1:21" ht="19.2" customHeight="1">
      <c r="A296" s="178">
        <v>413</v>
      </c>
      <c r="B296" s="172">
        <v>4</v>
      </c>
      <c r="C296" s="173" t="s">
        <v>1959</v>
      </c>
      <c r="D296" s="160" t="s">
        <v>2077</v>
      </c>
      <c r="E296" s="160" t="s">
        <v>2115</v>
      </c>
      <c r="F296" s="160" t="s">
        <v>1135</v>
      </c>
      <c r="G296" s="160" t="s">
        <v>2079</v>
      </c>
      <c r="H296" s="160" t="s">
        <v>2080</v>
      </c>
      <c r="I296" s="160" t="s">
        <v>2081</v>
      </c>
      <c r="J296" s="160" t="s">
        <v>2082</v>
      </c>
      <c r="K296" s="161">
        <v>109</v>
      </c>
      <c r="L296" s="160" t="s">
        <v>2083</v>
      </c>
      <c r="M296" s="164"/>
      <c r="N296" s="160" t="s">
        <v>2084</v>
      </c>
      <c r="O296" s="160" t="s">
        <v>2085</v>
      </c>
      <c r="P296" s="164"/>
      <c r="Q296" s="189" t="s">
        <v>1879</v>
      </c>
      <c r="R296" s="227" t="s">
        <v>1874</v>
      </c>
      <c r="S296" s="189" t="s">
        <v>1879</v>
      </c>
      <c r="T296" s="189" t="s">
        <v>1879</v>
      </c>
      <c r="U296" s="162" t="s">
        <v>2061</v>
      </c>
    </row>
    <row r="297" spans="1:21" ht="19.2" customHeight="1">
      <c r="A297" s="178">
        <v>414</v>
      </c>
      <c r="B297" s="172">
        <v>4</v>
      </c>
      <c r="C297" s="160" t="s">
        <v>2116</v>
      </c>
      <c r="D297" s="173" t="s">
        <v>1881</v>
      </c>
      <c r="E297" s="160" t="s">
        <v>2115</v>
      </c>
      <c r="F297" s="160" t="s">
        <v>1135</v>
      </c>
      <c r="G297" s="160" t="s">
        <v>2079</v>
      </c>
      <c r="H297" s="160" t="s">
        <v>2080</v>
      </c>
      <c r="I297" s="160" t="s">
        <v>2081</v>
      </c>
      <c r="J297" s="160" t="s">
        <v>2082</v>
      </c>
      <c r="K297" s="161">
        <v>109</v>
      </c>
      <c r="L297" s="160" t="s">
        <v>2083</v>
      </c>
      <c r="M297" s="164"/>
      <c r="N297" s="160" t="s">
        <v>2084</v>
      </c>
      <c r="O297" s="160" t="s">
        <v>2085</v>
      </c>
      <c r="P297" s="164"/>
      <c r="Q297" s="189" t="s">
        <v>1879</v>
      </c>
      <c r="R297" s="227" t="s">
        <v>1874</v>
      </c>
      <c r="S297" s="189" t="s">
        <v>1879</v>
      </c>
      <c r="T297" s="189" t="s">
        <v>1879</v>
      </c>
      <c r="U297" s="162" t="s">
        <v>2061</v>
      </c>
    </row>
    <row r="298" spans="1:21" ht="19.2" customHeight="1">
      <c r="A298" s="178">
        <v>415</v>
      </c>
      <c r="B298" s="172">
        <v>4</v>
      </c>
      <c r="C298" s="160" t="s">
        <v>2117</v>
      </c>
      <c r="D298" s="160" t="s">
        <v>2077</v>
      </c>
      <c r="E298" s="160" t="s">
        <v>2115</v>
      </c>
      <c r="F298" s="160" t="s">
        <v>1135</v>
      </c>
      <c r="G298" s="160" t="s">
        <v>2079</v>
      </c>
      <c r="H298" s="160" t="s">
        <v>2080</v>
      </c>
      <c r="I298" s="160" t="s">
        <v>2081</v>
      </c>
      <c r="J298" s="160" t="s">
        <v>2082</v>
      </c>
      <c r="K298" s="161">
        <v>109</v>
      </c>
      <c r="L298" s="160" t="s">
        <v>2083</v>
      </c>
      <c r="M298" s="164"/>
      <c r="N298" s="160" t="s">
        <v>2084</v>
      </c>
      <c r="O298" s="160" t="s">
        <v>2085</v>
      </c>
      <c r="P298" s="164"/>
      <c r="Q298" s="189" t="s">
        <v>1879</v>
      </c>
      <c r="R298" s="227" t="s">
        <v>1874</v>
      </c>
      <c r="S298" s="189" t="s">
        <v>1879</v>
      </c>
      <c r="T298" s="189" t="s">
        <v>1879</v>
      </c>
      <c r="U298" s="162" t="s">
        <v>2061</v>
      </c>
    </row>
    <row r="299" spans="1:21" ht="19.2" customHeight="1">
      <c r="A299" s="178">
        <v>416</v>
      </c>
      <c r="B299" s="172">
        <v>3</v>
      </c>
      <c r="C299" s="160" t="s">
        <v>2118</v>
      </c>
      <c r="D299" s="160" t="s">
        <v>2089</v>
      </c>
      <c r="E299" s="160" t="s">
        <v>2115</v>
      </c>
      <c r="F299" s="160" t="s">
        <v>1135</v>
      </c>
      <c r="G299" s="160" t="s">
        <v>2079</v>
      </c>
      <c r="H299" s="160" t="s">
        <v>2080</v>
      </c>
      <c r="I299" s="160" t="s">
        <v>2081</v>
      </c>
      <c r="J299" s="160" t="s">
        <v>2090</v>
      </c>
      <c r="K299" s="163">
        <v>62.78</v>
      </c>
      <c r="L299" s="163">
        <v>29.22</v>
      </c>
      <c r="M299" s="164"/>
      <c r="N299" s="160" t="s">
        <v>2084</v>
      </c>
      <c r="O299" s="160" t="s">
        <v>2091</v>
      </c>
      <c r="P299" s="164"/>
      <c r="Q299" s="189" t="s">
        <v>1879</v>
      </c>
      <c r="R299" s="227" t="s">
        <v>1874</v>
      </c>
      <c r="S299" s="189" t="s">
        <v>1879</v>
      </c>
      <c r="T299" s="189" t="s">
        <v>1879</v>
      </c>
      <c r="U299" s="162" t="s">
        <v>2061</v>
      </c>
    </row>
    <row r="300" spans="1:21" ht="19.2" customHeight="1">
      <c r="A300" s="178">
        <v>417</v>
      </c>
      <c r="B300" s="172">
        <v>4</v>
      </c>
      <c r="C300" s="160" t="s">
        <v>2119</v>
      </c>
      <c r="D300" s="160" t="s">
        <v>2077</v>
      </c>
      <c r="E300" s="160" t="s">
        <v>2115</v>
      </c>
      <c r="F300" s="160" t="s">
        <v>1135</v>
      </c>
      <c r="G300" s="160" t="s">
        <v>2079</v>
      </c>
      <c r="H300" s="160" t="s">
        <v>2080</v>
      </c>
      <c r="I300" s="160" t="s">
        <v>2081</v>
      </c>
      <c r="J300" s="160" t="s">
        <v>2082</v>
      </c>
      <c r="K300" s="161">
        <v>249</v>
      </c>
      <c r="L300" s="161">
        <v>33</v>
      </c>
      <c r="M300" s="164"/>
      <c r="N300" s="160" t="s">
        <v>2084</v>
      </c>
      <c r="O300" s="160" t="s">
        <v>2093</v>
      </c>
      <c r="P300" s="164"/>
      <c r="Q300" s="189" t="s">
        <v>1879</v>
      </c>
      <c r="R300" s="227" t="s">
        <v>1874</v>
      </c>
      <c r="S300" s="189" t="s">
        <v>1879</v>
      </c>
      <c r="T300" s="189" t="s">
        <v>1879</v>
      </c>
      <c r="U300" s="162" t="s">
        <v>2061</v>
      </c>
    </row>
    <row r="301" spans="1:21" ht="19.2" customHeight="1">
      <c r="A301" s="178">
        <v>418</v>
      </c>
      <c r="B301" s="172">
        <v>3</v>
      </c>
      <c r="C301" s="160" t="s">
        <v>2120</v>
      </c>
      <c r="D301" s="160" t="s">
        <v>2095</v>
      </c>
      <c r="E301" s="160" t="s">
        <v>2121</v>
      </c>
      <c r="F301" s="160" t="s">
        <v>1135</v>
      </c>
      <c r="G301" s="160" t="s">
        <v>2079</v>
      </c>
      <c r="H301" s="160" t="s">
        <v>2080</v>
      </c>
      <c r="I301" s="160" t="s">
        <v>2081</v>
      </c>
      <c r="J301" s="164"/>
      <c r="K301" s="164"/>
      <c r="L301" s="164"/>
      <c r="M301" s="160" t="s">
        <v>2097</v>
      </c>
      <c r="N301" s="160" t="s">
        <v>2084</v>
      </c>
      <c r="O301" s="160" t="s">
        <v>2091</v>
      </c>
      <c r="P301" s="164"/>
      <c r="Q301" s="189" t="s">
        <v>1879</v>
      </c>
      <c r="R301" s="227" t="s">
        <v>1874</v>
      </c>
      <c r="S301" s="189" t="s">
        <v>1879</v>
      </c>
      <c r="T301" s="189" t="s">
        <v>1879</v>
      </c>
      <c r="U301" s="162" t="s">
        <v>2061</v>
      </c>
    </row>
    <row r="302" spans="1:21" ht="19.2" customHeight="1">
      <c r="A302" s="178">
        <v>419</v>
      </c>
      <c r="B302" s="172">
        <v>3</v>
      </c>
      <c r="C302" s="160" t="s">
        <v>2122</v>
      </c>
      <c r="D302" s="160" t="s">
        <v>2099</v>
      </c>
      <c r="E302" s="160" t="s">
        <v>2121</v>
      </c>
      <c r="F302" s="160" t="s">
        <v>1135</v>
      </c>
      <c r="G302" s="160" t="s">
        <v>2079</v>
      </c>
      <c r="H302" s="160" t="s">
        <v>2100</v>
      </c>
      <c r="I302" s="160" t="s">
        <v>2081</v>
      </c>
      <c r="J302" s="164"/>
      <c r="K302" s="164"/>
      <c r="L302" s="164"/>
      <c r="M302" s="160" t="s">
        <v>2097</v>
      </c>
      <c r="N302" s="160" t="s">
        <v>2084</v>
      </c>
      <c r="O302" s="160" t="s">
        <v>2101</v>
      </c>
      <c r="P302" s="164"/>
      <c r="Q302" s="189" t="s">
        <v>1879</v>
      </c>
      <c r="R302" s="227" t="s">
        <v>1874</v>
      </c>
      <c r="S302" s="189" t="s">
        <v>1879</v>
      </c>
      <c r="T302" s="189" t="s">
        <v>1879</v>
      </c>
      <c r="U302" s="162" t="s">
        <v>2061</v>
      </c>
    </row>
    <row r="303" spans="1:21" ht="19.2" customHeight="1">
      <c r="A303" s="178">
        <v>420</v>
      </c>
      <c r="B303" s="172">
        <v>3</v>
      </c>
      <c r="C303" s="160" t="s">
        <v>2123</v>
      </c>
      <c r="D303" s="160" t="s">
        <v>2099</v>
      </c>
      <c r="E303" s="160" t="s">
        <v>2121</v>
      </c>
      <c r="F303" s="160" t="s">
        <v>1135</v>
      </c>
      <c r="G303" s="160" t="s">
        <v>2079</v>
      </c>
      <c r="H303" s="160" t="s">
        <v>2100</v>
      </c>
      <c r="I303" s="160" t="s">
        <v>2081</v>
      </c>
      <c r="J303" s="164"/>
      <c r="K303" s="164"/>
      <c r="L303" s="164"/>
      <c r="M303" s="160" t="s">
        <v>2097</v>
      </c>
      <c r="N303" s="160" t="s">
        <v>2084</v>
      </c>
      <c r="O303" s="160" t="s">
        <v>2101</v>
      </c>
      <c r="P303" s="164"/>
      <c r="Q303" s="189" t="s">
        <v>1879</v>
      </c>
      <c r="R303" s="227" t="s">
        <v>1874</v>
      </c>
      <c r="S303" s="189" t="s">
        <v>1879</v>
      </c>
      <c r="T303" s="189" t="s">
        <v>1879</v>
      </c>
      <c r="U303" s="162" t="s">
        <v>2061</v>
      </c>
    </row>
    <row r="304" spans="1:21" ht="19.2" customHeight="1">
      <c r="A304" s="178">
        <v>421</v>
      </c>
      <c r="B304" s="172">
        <v>3</v>
      </c>
      <c r="C304" s="160" t="s">
        <v>2124</v>
      </c>
      <c r="D304" s="160" t="s">
        <v>2104</v>
      </c>
      <c r="E304" s="160" t="s">
        <v>2125</v>
      </c>
      <c r="F304" s="160" t="s">
        <v>1135</v>
      </c>
      <c r="G304" s="160" t="s">
        <v>2079</v>
      </c>
      <c r="H304" s="160" t="s">
        <v>2106</v>
      </c>
      <c r="I304" s="160" t="s">
        <v>2081</v>
      </c>
      <c r="J304" s="164"/>
      <c r="K304" s="164"/>
      <c r="L304" s="164"/>
      <c r="M304" s="164"/>
      <c r="N304" s="160" t="s">
        <v>2084</v>
      </c>
      <c r="O304" s="160" t="s">
        <v>2126</v>
      </c>
      <c r="P304" s="164"/>
      <c r="Q304" s="189" t="s">
        <v>1879</v>
      </c>
      <c r="R304" s="227" t="s">
        <v>1874</v>
      </c>
      <c r="S304" s="189" t="s">
        <v>1879</v>
      </c>
      <c r="T304" s="189" t="s">
        <v>1879</v>
      </c>
      <c r="U304" s="162" t="s">
        <v>2061</v>
      </c>
    </row>
    <row r="305" spans="1:21" ht="19.2" customHeight="1">
      <c r="A305" s="178">
        <v>422</v>
      </c>
      <c r="B305" s="172">
        <v>3</v>
      </c>
      <c r="C305" s="160" t="s">
        <v>2127</v>
      </c>
      <c r="D305" s="160" t="s">
        <v>2109</v>
      </c>
      <c r="E305" s="160" t="s">
        <v>2128</v>
      </c>
      <c r="F305" s="160" t="s">
        <v>1135</v>
      </c>
      <c r="G305" s="160" t="s">
        <v>2079</v>
      </c>
      <c r="H305" s="160" t="s">
        <v>2106</v>
      </c>
      <c r="I305" s="160" t="s">
        <v>2081</v>
      </c>
      <c r="J305" s="164"/>
      <c r="K305" s="164"/>
      <c r="L305" s="164"/>
      <c r="M305" s="164"/>
      <c r="N305" s="160" t="s">
        <v>2084</v>
      </c>
      <c r="O305" s="160" t="s">
        <v>2126</v>
      </c>
      <c r="P305" s="164"/>
      <c r="Q305" s="189" t="s">
        <v>1879</v>
      </c>
      <c r="R305" s="227" t="s">
        <v>1874</v>
      </c>
      <c r="S305" s="189" t="s">
        <v>1879</v>
      </c>
      <c r="T305" s="189" t="s">
        <v>1879</v>
      </c>
      <c r="U305" s="162" t="s">
        <v>2061</v>
      </c>
    </row>
    <row r="306" spans="1:21" ht="19.2" customHeight="1">
      <c r="A306" s="178">
        <v>423</v>
      </c>
      <c r="B306" s="172">
        <v>3</v>
      </c>
      <c r="C306" s="160" t="s">
        <v>2129</v>
      </c>
      <c r="D306" s="160" t="s">
        <v>2104</v>
      </c>
      <c r="E306" s="160" t="s">
        <v>2130</v>
      </c>
      <c r="F306" s="160" t="s">
        <v>1135</v>
      </c>
      <c r="G306" s="160" t="s">
        <v>2079</v>
      </c>
      <c r="H306" s="160" t="s">
        <v>2106</v>
      </c>
      <c r="I306" s="160" t="s">
        <v>2081</v>
      </c>
      <c r="J306" s="164"/>
      <c r="K306" s="164"/>
      <c r="L306" s="164"/>
      <c r="M306" s="164"/>
      <c r="N306" s="160" t="s">
        <v>2084</v>
      </c>
      <c r="O306" s="160" t="s">
        <v>2126</v>
      </c>
      <c r="P306" s="164"/>
      <c r="Q306" s="189" t="s">
        <v>1879</v>
      </c>
      <c r="R306" s="227" t="s">
        <v>1874</v>
      </c>
      <c r="S306" s="189" t="s">
        <v>1879</v>
      </c>
      <c r="T306" s="189" t="s">
        <v>1879</v>
      </c>
      <c r="U306" s="162" t="s">
        <v>2061</v>
      </c>
    </row>
    <row r="307" spans="1:21" ht="19.2" customHeight="1">
      <c r="A307" s="178">
        <v>424</v>
      </c>
      <c r="B307" s="172">
        <v>3</v>
      </c>
      <c r="C307" s="160" t="s">
        <v>2131</v>
      </c>
      <c r="D307" s="160" t="s">
        <v>2109</v>
      </c>
      <c r="E307" s="160" t="s">
        <v>2132</v>
      </c>
      <c r="F307" s="160" t="s">
        <v>1135</v>
      </c>
      <c r="G307" s="160" t="s">
        <v>2079</v>
      </c>
      <c r="H307" s="160" t="s">
        <v>2106</v>
      </c>
      <c r="I307" s="160" t="s">
        <v>2081</v>
      </c>
      <c r="J307" s="164"/>
      <c r="K307" s="164"/>
      <c r="L307" s="164"/>
      <c r="M307" s="164"/>
      <c r="N307" s="160" t="s">
        <v>2084</v>
      </c>
      <c r="O307" s="160" t="s">
        <v>2126</v>
      </c>
      <c r="P307" s="164"/>
      <c r="Q307" s="189" t="s">
        <v>1879</v>
      </c>
      <c r="R307" s="227" t="s">
        <v>1874</v>
      </c>
      <c r="S307" s="189" t="s">
        <v>1879</v>
      </c>
      <c r="T307" s="189" t="s">
        <v>1879</v>
      </c>
      <c r="U307" s="162" t="s">
        <v>2061</v>
      </c>
    </row>
    <row r="308" spans="1:21" ht="19.2" customHeight="1">
      <c r="A308" s="178">
        <v>425</v>
      </c>
      <c r="B308" s="172">
        <v>4</v>
      </c>
      <c r="C308" s="173" t="s">
        <v>1965</v>
      </c>
      <c r="D308" s="160" t="s">
        <v>2077</v>
      </c>
      <c r="E308" s="160" t="s">
        <v>2133</v>
      </c>
      <c r="F308" s="160" t="s">
        <v>1140</v>
      </c>
      <c r="G308" s="160" t="s">
        <v>2079</v>
      </c>
      <c r="H308" s="160" t="s">
        <v>2080</v>
      </c>
      <c r="I308" s="160" t="s">
        <v>2081</v>
      </c>
      <c r="J308" s="160" t="s">
        <v>2082</v>
      </c>
      <c r="K308" s="161">
        <v>109</v>
      </c>
      <c r="L308" s="160" t="s">
        <v>2083</v>
      </c>
      <c r="M308" s="164"/>
      <c r="N308" s="160" t="s">
        <v>2084</v>
      </c>
      <c r="O308" s="160" t="s">
        <v>2085</v>
      </c>
      <c r="P308" s="164"/>
      <c r="Q308" s="189" t="s">
        <v>1879</v>
      </c>
      <c r="R308" s="227" t="s">
        <v>1874</v>
      </c>
      <c r="S308" s="189" t="s">
        <v>1879</v>
      </c>
      <c r="T308" s="189" t="s">
        <v>1879</v>
      </c>
      <c r="U308" s="162" t="s">
        <v>2061</v>
      </c>
    </row>
    <row r="309" spans="1:21" ht="19.2" customHeight="1">
      <c r="A309" s="178">
        <v>426</v>
      </c>
      <c r="B309" s="172">
        <v>4</v>
      </c>
      <c r="C309" s="160" t="s">
        <v>2134</v>
      </c>
      <c r="D309" s="160" t="s">
        <v>2077</v>
      </c>
      <c r="E309" s="160" t="s">
        <v>2133</v>
      </c>
      <c r="F309" s="160" t="s">
        <v>1140</v>
      </c>
      <c r="G309" s="160" t="s">
        <v>2079</v>
      </c>
      <c r="H309" s="160" t="s">
        <v>2080</v>
      </c>
      <c r="I309" s="160" t="s">
        <v>2081</v>
      </c>
      <c r="J309" s="160" t="s">
        <v>2082</v>
      </c>
      <c r="K309" s="161">
        <v>109</v>
      </c>
      <c r="L309" s="160" t="s">
        <v>2083</v>
      </c>
      <c r="M309" s="164"/>
      <c r="N309" s="160" t="s">
        <v>2084</v>
      </c>
      <c r="O309" s="160" t="s">
        <v>2085</v>
      </c>
      <c r="P309" s="164"/>
      <c r="Q309" s="189" t="s">
        <v>1879</v>
      </c>
      <c r="R309" s="227" t="s">
        <v>1874</v>
      </c>
      <c r="S309" s="189" t="s">
        <v>1879</v>
      </c>
      <c r="T309" s="189" t="s">
        <v>1879</v>
      </c>
      <c r="U309" s="162" t="s">
        <v>2061</v>
      </c>
    </row>
    <row r="310" spans="1:21" ht="19.2" customHeight="1">
      <c r="A310" s="178">
        <v>427</v>
      </c>
      <c r="B310" s="172">
        <v>4</v>
      </c>
      <c r="C310" s="160" t="s">
        <v>2135</v>
      </c>
      <c r="D310" s="160" t="s">
        <v>2077</v>
      </c>
      <c r="E310" s="160" t="s">
        <v>2133</v>
      </c>
      <c r="F310" s="160" t="s">
        <v>1140</v>
      </c>
      <c r="G310" s="160" t="s">
        <v>2079</v>
      </c>
      <c r="H310" s="160" t="s">
        <v>2080</v>
      </c>
      <c r="I310" s="160" t="s">
        <v>2081</v>
      </c>
      <c r="J310" s="160" t="s">
        <v>2082</v>
      </c>
      <c r="K310" s="161">
        <v>109</v>
      </c>
      <c r="L310" s="160" t="s">
        <v>2083</v>
      </c>
      <c r="M310" s="164"/>
      <c r="N310" s="160" t="s">
        <v>2084</v>
      </c>
      <c r="O310" s="160" t="s">
        <v>2085</v>
      </c>
      <c r="P310" s="164"/>
      <c r="Q310" s="189" t="s">
        <v>1879</v>
      </c>
      <c r="R310" s="227" t="s">
        <v>1874</v>
      </c>
      <c r="S310" s="189" t="s">
        <v>1879</v>
      </c>
      <c r="T310" s="189" t="s">
        <v>1879</v>
      </c>
      <c r="U310" s="162" t="s">
        <v>2061</v>
      </c>
    </row>
    <row r="311" spans="1:21" ht="19.2" customHeight="1">
      <c r="A311" s="178">
        <v>428</v>
      </c>
      <c r="B311" s="172">
        <v>3</v>
      </c>
      <c r="C311" s="160" t="s">
        <v>2136</v>
      </c>
      <c r="D311" s="160" t="s">
        <v>2089</v>
      </c>
      <c r="E311" s="160" t="s">
        <v>2133</v>
      </c>
      <c r="F311" s="160" t="s">
        <v>1140</v>
      </c>
      <c r="G311" s="160" t="s">
        <v>2079</v>
      </c>
      <c r="H311" s="160" t="s">
        <v>2080</v>
      </c>
      <c r="I311" s="160" t="s">
        <v>2081</v>
      </c>
      <c r="J311" s="160" t="s">
        <v>2090</v>
      </c>
      <c r="K311" s="163">
        <v>62.78</v>
      </c>
      <c r="L311" s="163">
        <v>29.22</v>
      </c>
      <c r="M311" s="164"/>
      <c r="N311" s="160" t="s">
        <v>2084</v>
      </c>
      <c r="O311" s="160" t="s">
        <v>2091</v>
      </c>
      <c r="P311" s="164"/>
      <c r="Q311" s="189" t="s">
        <v>1879</v>
      </c>
      <c r="R311" s="227" t="s">
        <v>1874</v>
      </c>
      <c r="S311" s="189" t="s">
        <v>1879</v>
      </c>
      <c r="T311" s="189" t="s">
        <v>1879</v>
      </c>
      <c r="U311" s="162" t="s">
        <v>2061</v>
      </c>
    </row>
    <row r="312" spans="1:21" ht="19.2" customHeight="1">
      <c r="A312" s="178">
        <v>429</v>
      </c>
      <c r="B312" s="172">
        <v>4</v>
      </c>
      <c r="C312" s="160" t="s">
        <v>2137</v>
      </c>
      <c r="D312" s="160" t="s">
        <v>2077</v>
      </c>
      <c r="E312" s="160" t="s">
        <v>2133</v>
      </c>
      <c r="F312" s="160" t="s">
        <v>1140</v>
      </c>
      <c r="G312" s="160" t="s">
        <v>2079</v>
      </c>
      <c r="H312" s="160" t="s">
        <v>2080</v>
      </c>
      <c r="I312" s="160" t="s">
        <v>2081</v>
      </c>
      <c r="J312" s="160" t="s">
        <v>2082</v>
      </c>
      <c r="K312" s="161">
        <v>249</v>
      </c>
      <c r="L312" s="161">
        <v>33</v>
      </c>
      <c r="M312" s="164"/>
      <c r="N312" s="160" t="s">
        <v>2084</v>
      </c>
      <c r="O312" s="160" t="s">
        <v>2093</v>
      </c>
      <c r="P312" s="164"/>
      <c r="Q312" s="189" t="s">
        <v>1879</v>
      </c>
      <c r="R312" s="227" t="s">
        <v>1874</v>
      </c>
      <c r="S312" s="189" t="s">
        <v>1879</v>
      </c>
      <c r="T312" s="189" t="s">
        <v>1879</v>
      </c>
      <c r="U312" s="162" t="s">
        <v>2061</v>
      </c>
    </row>
    <row r="313" spans="1:21" ht="19.2" customHeight="1">
      <c r="A313" s="178">
        <v>430</v>
      </c>
      <c r="B313" s="172">
        <v>3</v>
      </c>
      <c r="C313" s="160" t="s">
        <v>2138</v>
      </c>
      <c r="D313" s="160" t="s">
        <v>2095</v>
      </c>
      <c r="E313" s="160" t="s">
        <v>2139</v>
      </c>
      <c r="F313" s="160" t="s">
        <v>1140</v>
      </c>
      <c r="G313" s="160" t="s">
        <v>2079</v>
      </c>
      <c r="H313" s="160" t="s">
        <v>2080</v>
      </c>
      <c r="I313" s="160" t="s">
        <v>2081</v>
      </c>
      <c r="J313" s="164"/>
      <c r="K313" s="164"/>
      <c r="L313" s="164"/>
      <c r="M313" s="160" t="s">
        <v>2097</v>
      </c>
      <c r="N313" s="160" t="s">
        <v>2084</v>
      </c>
      <c r="O313" s="160" t="s">
        <v>2091</v>
      </c>
      <c r="P313" s="164"/>
      <c r="Q313" s="189" t="s">
        <v>1879</v>
      </c>
      <c r="R313" s="227" t="s">
        <v>1874</v>
      </c>
      <c r="S313" s="189" t="s">
        <v>1879</v>
      </c>
      <c r="T313" s="189" t="s">
        <v>1879</v>
      </c>
      <c r="U313" s="162" t="s">
        <v>2061</v>
      </c>
    </row>
    <row r="314" spans="1:21" ht="19.2" customHeight="1">
      <c r="A314" s="178">
        <v>431</v>
      </c>
      <c r="B314" s="172">
        <v>3</v>
      </c>
      <c r="C314" s="160" t="s">
        <v>2140</v>
      </c>
      <c r="D314" s="160" t="s">
        <v>2099</v>
      </c>
      <c r="E314" s="160" t="s">
        <v>2139</v>
      </c>
      <c r="F314" s="160" t="s">
        <v>1140</v>
      </c>
      <c r="G314" s="160" t="s">
        <v>2079</v>
      </c>
      <c r="H314" s="160" t="s">
        <v>2100</v>
      </c>
      <c r="I314" s="160" t="s">
        <v>2081</v>
      </c>
      <c r="J314" s="164"/>
      <c r="K314" s="164"/>
      <c r="L314" s="164"/>
      <c r="M314" s="160" t="s">
        <v>2097</v>
      </c>
      <c r="N314" s="160" t="s">
        <v>2084</v>
      </c>
      <c r="O314" s="160" t="s">
        <v>2101</v>
      </c>
      <c r="P314" s="164"/>
      <c r="Q314" s="189" t="s">
        <v>1879</v>
      </c>
      <c r="R314" s="227" t="s">
        <v>1874</v>
      </c>
      <c r="S314" s="189" t="s">
        <v>1879</v>
      </c>
      <c r="T314" s="189" t="s">
        <v>1879</v>
      </c>
      <c r="U314" s="162" t="s">
        <v>2061</v>
      </c>
    </row>
    <row r="315" spans="1:21" ht="19.2" customHeight="1">
      <c r="A315" s="178">
        <v>432</v>
      </c>
      <c r="B315" s="172">
        <v>3</v>
      </c>
      <c r="C315" s="160" t="s">
        <v>2141</v>
      </c>
      <c r="D315" s="160" t="s">
        <v>2099</v>
      </c>
      <c r="E315" s="160" t="s">
        <v>2139</v>
      </c>
      <c r="F315" s="160" t="s">
        <v>1140</v>
      </c>
      <c r="G315" s="160" t="s">
        <v>2079</v>
      </c>
      <c r="H315" s="160" t="s">
        <v>2100</v>
      </c>
      <c r="I315" s="160" t="s">
        <v>2081</v>
      </c>
      <c r="J315" s="164"/>
      <c r="K315" s="164"/>
      <c r="L315" s="164"/>
      <c r="M315" s="160" t="s">
        <v>2097</v>
      </c>
      <c r="N315" s="160" t="s">
        <v>2084</v>
      </c>
      <c r="O315" s="160" t="s">
        <v>2101</v>
      </c>
      <c r="P315" s="164"/>
      <c r="Q315" s="189" t="s">
        <v>1879</v>
      </c>
      <c r="R315" s="227" t="s">
        <v>1874</v>
      </c>
      <c r="S315" s="189" t="s">
        <v>1879</v>
      </c>
      <c r="T315" s="189" t="s">
        <v>1879</v>
      </c>
      <c r="U315" s="162" t="s">
        <v>2061</v>
      </c>
    </row>
    <row r="316" spans="1:21" ht="19.2" customHeight="1">
      <c r="A316" s="178">
        <v>433</v>
      </c>
      <c r="B316" s="172">
        <v>3</v>
      </c>
      <c r="C316" s="160" t="s">
        <v>2142</v>
      </c>
      <c r="D316" s="160" t="s">
        <v>2104</v>
      </c>
      <c r="E316" s="160" t="s">
        <v>2143</v>
      </c>
      <c r="F316" s="160" t="s">
        <v>1140</v>
      </c>
      <c r="G316" s="160" t="s">
        <v>2079</v>
      </c>
      <c r="H316" s="160" t="s">
        <v>2106</v>
      </c>
      <c r="I316" s="160" t="s">
        <v>2081</v>
      </c>
      <c r="J316" s="164"/>
      <c r="K316" s="164"/>
      <c r="L316" s="164"/>
      <c r="M316" s="164"/>
      <c r="N316" s="160" t="s">
        <v>2084</v>
      </c>
      <c r="O316" s="160" t="s">
        <v>2126</v>
      </c>
      <c r="P316" s="164"/>
      <c r="Q316" s="189" t="s">
        <v>1879</v>
      </c>
      <c r="R316" s="227" t="s">
        <v>1874</v>
      </c>
      <c r="S316" s="189" t="s">
        <v>1879</v>
      </c>
      <c r="T316" s="189" t="s">
        <v>1879</v>
      </c>
      <c r="U316" s="162" t="s">
        <v>2061</v>
      </c>
    </row>
    <row r="317" spans="1:21" ht="19.2" customHeight="1">
      <c r="A317" s="178">
        <v>434</v>
      </c>
      <c r="B317" s="172">
        <v>3</v>
      </c>
      <c r="C317" s="160" t="s">
        <v>2144</v>
      </c>
      <c r="D317" s="160" t="s">
        <v>2109</v>
      </c>
      <c r="E317" s="160" t="s">
        <v>2145</v>
      </c>
      <c r="F317" s="160" t="s">
        <v>1140</v>
      </c>
      <c r="G317" s="160" t="s">
        <v>2079</v>
      </c>
      <c r="H317" s="160" t="s">
        <v>2106</v>
      </c>
      <c r="I317" s="160" t="s">
        <v>2081</v>
      </c>
      <c r="J317" s="164"/>
      <c r="K317" s="164"/>
      <c r="L317" s="164"/>
      <c r="M317" s="164"/>
      <c r="N317" s="160" t="s">
        <v>2084</v>
      </c>
      <c r="O317" s="160" t="s">
        <v>2126</v>
      </c>
      <c r="P317" s="164"/>
      <c r="Q317" s="189" t="s">
        <v>1879</v>
      </c>
      <c r="R317" s="227" t="s">
        <v>1874</v>
      </c>
      <c r="S317" s="189" t="s">
        <v>1879</v>
      </c>
      <c r="T317" s="189" t="s">
        <v>1879</v>
      </c>
      <c r="U317" s="162" t="s">
        <v>2061</v>
      </c>
    </row>
    <row r="318" spans="1:21" ht="19.2" customHeight="1">
      <c r="A318" s="178">
        <v>435</v>
      </c>
      <c r="B318" s="172">
        <v>3</v>
      </c>
      <c r="C318" s="160" t="s">
        <v>2146</v>
      </c>
      <c r="D318" s="160" t="s">
        <v>2104</v>
      </c>
      <c r="E318" s="160" t="s">
        <v>2147</v>
      </c>
      <c r="F318" s="160" t="s">
        <v>1140</v>
      </c>
      <c r="G318" s="160" t="s">
        <v>2079</v>
      </c>
      <c r="H318" s="160" t="s">
        <v>2106</v>
      </c>
      <c r="I318" s="160" t="s">
        <v>2081</v>
      </c>
      <c r="J318" s="164"/>
      <c r="K318" s="164"/>
      <c r="L318" s="164"/>
      <c r="M318" s="164"/>
      <c r="N318" s="160" t="s">
        <v>2084</v>
      </c>
      <c r="O318" s="160" t="s">
        <v>2126</v>
      </c>
      <c r="P318" s="164"/>
      <c r="Q318" s="189" t="s">
        <v>1879</v>
      </c>
      <c r="R318" s="227" t="s">
        <v>1874</v>
      </c>
      <c r="S318" s="189" t="s">
        <v>1879</v>
      </c>
      <c r="T318" s="189" t="s">
        <v>1879</v>
      </c>
      <c r="U318" s="162" t="s">
        <v>2061</v>
      </c>
    </row>
    <row r="319" spans="1:21" ht="19.2" customHeight="1">
      <c r="A319" s="178">
        <v>436</v>
      </c>
      <c r="B319" s="172">
        <v>3</v>
      </c>
      <c r="C319" s="160" t="s">
        <v>2148</v>
      </c>
      <c r="D319" s="160" t="s">
        <v>2109</v>
      </c>
      <c r="E319" s="160" t="s">
        <v>2149</v>
      </c>
      <c r="F319" s="160" t="s">
        <v>1140</v>
      </c>
      <c r="G319" s="160" t="s">
        <v>2079</v>
      </c>
      <c r="H319" s="160" t="s">
        <v>2106</v>
      </c>
      <c r="I319" s="160" t="s">
        <v>2081</v>
      </c>
      <c r="J319" s="164"/>
      <c r="K319" s="164"/>
      <c r="L319" s="164"/>
      <c r="M319" s="164"/>
      <c r="N319" s="160" t="s">
        <v>2084</v>
      </c>
      <c r="O319" s="160" t="s">
        <v>2126</v>
      </c>
      <c r="P319" s="164"/>
      <c r="Q319" s="189" t="s">
        <v>1879</v>
      </c>
      <c r="R319" s="227" t="s">
        <v>1874</v>
      </c>
      <c r="S319" s="189" t="s">
        <v>1879</v>
      </c>
      <c r="T319" s="189" t="s">
        <v>1879</v>
      </c>
      <c r="U319" s="162" t="s">
        <v>2061</v>
      </c>
    </row>
    <row r="320" spans="1:21" ht="19.2" customHeight="1">
      <c r="A320" s="178">
        <v>437</v>
      </c>
      <c r="B320" s="172">
        <v>4</v>
      </c>
      <c r="C320" s="160" t="s">
        <v>2150</v>
      </c>
      <c r="D320" s="160" t="s">
        <v>2077</v>
      </c>
      <c r="E320" s="160" t="s">
        <v>2151</v>
      </c>
      <c r="F320" s="160" t="s">
        <v>1145</v>
      </c>
      <c r="G320" s="160" t="s">
        <v>2079</v>
      </c>
      <c r="H320" s="160" t="s">
        <v>2080</v>
      </c>
      <c r="I320" s="160" t="s">
        <v>2081</v>
      </c>
      <c r="J320" s="160" t="s">
        <v>2082</v>
      </c>
      <c r="K320" s="161">
        <v>109</v>
      </c>
      <c r="L320" s="160" t="s">
        <v>2083</v>
      </c>
      <c r="M320" s="164"/>
      <c r="N320" s="160" t="s">
        <v>2084</v>
      </c>
      <c r="O320" s="160" t="s">
        <v>2152</v>
      </c>
      <c r="P320" s="164"/>
      <c r="Q320" s="189" t="s">
        <v>1879</v>
      </c>
      <c r="R320" s="227" t="s">
        <v>1874</v>
      </c>
      <c r="S320" s="189" t="s">
        <v>1879</v>
      </c>
      <c r="T320" s="189" t="s">
        <v>1879</v>
      </c>
      <c r="U320" s="162" t="s">
        <v>2061</v>
      </c>
    </row>
    <row r="321" spans="1:21" ht="19.2" customHeight="1">
      <c r="A321" s="178">
        <v>438</v>
      </c>
      <c r="B321" s="172">
        <v>4</v>
      </c>
      <c r="C321" s="160" t="s">
        <v>2153</v>
      </c>
      <c r="D321" s="160" t="s">
        <v>2077</v>
      </c>
      <c r="E321" s="160" t="s">
        <v>2151</v>
      </c>
      <c r="F321" s="160" t="s">
        <v>1145</v>
      </c>
      <c r="G321" s="160" t="s">
        <v>2079</v>
      </c>
      <c r="H321" s="160" t="s">
        <v>2080</v>
      </c>
      <c r="I321" s="160" t="s">
        <v>2081</v>
      </c>
      <c r="J321" s="160" t="s">
        <v>2082</v>
      </c>
      <c r="K321" s="161">
        <v>109</v>
      </c>
      <c r="L321" s="160" t="s">
        <v>2083</v>
      </c>
      <c r="M321" s="164"/>
      <c r="N321" s="160" t="s">
        <v>2084</v>
      </c>
      <c r="O321" s="160" t="s">
        <v>2152</v>
      </c>
      <c r="P321" s="164"/>
      <c r="Q321" s="189" t="s">
        <v>1879</v>
      </c>
      <c r="R321" s="227" t="s">
        <v>1874</v>
      </c>
      <c r="S321" s="189" t="s">
        <v>1879</v>
      </c>
      <c r="T321" s="189" t="s">
        <v>1879</v>
      </c>
      <c r="U321" s="162" t="s">
        <v>2061</v>
      </c>
    </row>
    <row r="322" spans="1:21" ht="19.2" customHeight="1">
      <c r="A322" s="178">
        <v>439</v>
      </c>
      <c r="B322" s="172">
        <v>4</v>
      </c>
      <c r="C322" s="160" t="s">
        <v>2154</v>
      </c>
      <c r="D322" s="160" t="s">
        <v>2077</v>
      </c>
      <c r="E322" s="160" t="s">
        <v>2151</v>
      </c>
      <c r="F322" s="160" t="s">
        <v>1145</v>
      </c>
      <c r="G322" s="160" t="s">
        <v>2079</v>
      </c>
      <c r="H322" s="160" t="s">
        <v>2080</v>
      </c>
      <c r="I322" s="160" t="s">
        <v>2081</v>
      </c>
      <c r="J322" s="160" t="s">
        <v>2082</v>
      </c>
      <c r="K322" s="161">
        <v>109</v>
      </c>
      <c r="L322" s="160" t="s">
        <v>2083</v>
      </c>
      <c r="M322" s="164"/>
      <c r="N322" s="160" t="s">
        <v>2084</v>
      </c>
      <c r="O322" s="160" t="s">
        <v>2152</v>
      </c>
      <c r="P322" s="164"/>
      <c r="Q322" s="189" t="s">
        <v>1879</v>
      </c>
      <c r="R322" s="227" t="s">
        <v>1874</v>
      </c>
      <c r="S322" s="189" t="s">
        <v>1879</v>
      </c>
      <c r="T322" s="189" t="s">
        <v>1879</v>
      </c>
      <c r="U322" s="162" t="s">
        <v>2061</v>
      </c>
    </row>
    <row r="323" spans="1:21" ht="19.2" customHeight="1">
      <c r="A323" s="178">
        <v>440</v>
      </c>
      <c r="B323" s="172">
        <v>4</v>
      </c>
      <c r="C323" s="160" t="s">
        <v>2155</v>
      </c>
      <c r="D323" s="160" t="s">
        <v>2089</v>
      </c>
      <c r="E323" s="160" t="s">
        <v>2151</v>
      </c>
      <c r="F323" s="160" t="s">
        <v>1145</v>
      </c>
      <c r="G323" s="160" t="s">
        <v>2079</v>
      </c>
      <c r="H323" s="160" t="s">
        <v>2080</v>
      </c>
      <c r="I323" s="160" t="s">
        <v>2081</v>
      </c>
      <c r="J323" s="160" t="s">
        <v>2090</v>
      </c>
      <c r="K323" s="163">
        <v>62.78</v>
      </c>
      <c r="L323" s="163">
        <v>29.22</v>
      </c>
      <c r="M323" s="164"/>
      <c r="N323" s="160" t="s">
        <v>2084</v>
      </c>
      <c r="O323" s="160" t="s">
        <v>2091</v>
      </c>
      <c r="P323" s="164"/>
      <c r="Q323" s="189" t="s">
        <v>1879</v>
      </c>
      <c r="R323" s="227" t="s">
        <v>1874</v>
      </c>
      <c r="S323" s="189" t="s">
        <v>1879</v>
      </c>
      <c r="T323" s="189" t="s">
        <v>1879</v>
      </c>
      <c r="U323" s="162" t="s">
        <v>2061</v>
      </c>
    </row>
    <row r="324" spans="1:21" ht="19.2" customHeight="1">
      <c r="A324" s="178">
        <v>441</v>
      </c>
      <c r="B324" s="172">
        <v>4</v>
      </c>
      <c r="C324" s="173" t="s">
        <v>2049</v>
      </c>
      <c r="D324" s="160" t="s">
        <v>2077</v>
      </c>
      <c r="E324" s="160" t="s">
        <v>2151</v>
      </c>
      <c r="F324" s="160" t="s">
        <v>1145</v>
      </c>
      <c r="G324" s="160" t="s">
        <v>2079</v>
      </c>
      <c r="H324" s="160" t="s">
        <v>2080</v>
      </c>
      <c r="I324" s="160" t="s">
        <v>2081</v>
      </c>
      <c r="J324" s="160" t="s">
        <v>2082</v>
      </c>
      <c r="K324" s="161">
        <v>249</v>
      </c>
      <c r="L324" s="161">
        <v>33</v>
      </c>
      <c r="M324" s="164"/>
      <c r="N324" s="160" t="s">
        <v>2084</v>
      </c>
      <c r="O324" s="160" t="s">
        <v>2093</v>
      </c>
      <c r="P324" s="164"/>
      <c r="Q324" s="189" t="s">
        <v>1879</v>
      </c>
      <c r="R324" s="227" t="s">
        <v>1874</v>
      </c>
      <c r="S324" s="189" t="s">
        <v>1879</v>
      </c>
      <c r="T324" s="189" t="s">
        <v>1879</v>
      </c>
      <c r="U324" s="162" t="s">
        <v>2061</v>
      </c>
    </row>
    <row r="325" spans="1:21" ht="19.2" customHeight="1">
      <c r="A325" s="178">
        <v>442</v>
      </c>
      <c r="B325" s="172">
        <v>4</v>
      </c>
      <c r="C325" s="160" t="s">
        <v>2156</v>
      </c>
      <c r="D325" s="160" t="s">
        <v>2095</v>
      </c>
      <c r="E325" s="160" t="s">
        <v>2157</v>
      </c>
      <c r="F325" s="160" t="s">
        <v>1145</v>
      </c>
      <c r="G325" s="160" t="s">
        <v>2079</v>
      </c>
      <c r="H325" s="160" t="s">
        <v>2080</v>
      </c>
      <c r="I325" s="160" t="s">
        <v>2081</v>
      </c>
      <c r="J325" s="164"/>
      <c r="K325" s="164"/>
      <c r="L325" s="164"/>
      <c r="M325" s="160" t="s">
        <v>2097</v>
      </c>
      <c r="N325" s="160" t="s">
        <v>2084</v>
      </c>
      <c r="O325" s="160" t="s">
        <v>2091</v>
      </c>
      <c r="P325" s="164"/>
      <c r="Q325" s="189" t="s">
        <v>1879</v>
      </c>
      <c r="R325" s="227" t="s">
        <v>1874</v>
      </c>
      <c r="S325" s="189" t="s">
        <v>1879</v>
      </c>
      <c r="T325" s="189" t="s">
        <v>1879</v>
      </c>
      <c r="U325" s="162" t="s">
        <v>2061</v>
      </c>
    </row>
    <row r="326" spans="1:21" ht="19.2" customHeight="1">
      <c r="A326" s="178">
        <v>443</v>
      </c>
      <c r="B326" s="172">
        <v>3</v>
      </c>
      <c r="C326" s="160" t="s">
        <v>2158</v>
      </c>
      <c r="D326" s="160" t="s">
        <v>2099</v>
      </c>
      <c r="E326" s="160" t="s">
        <v>2157</v>
      </c>
      <c r="F326" s="160" t="s">
        <v>1145</v>
      </c>
      <c r="G326" s="160" t="s">
        <v>2079</v>
      </c>
      <c r="H326" s="160" t="s">
        <v>2100</v>
      </c>
      <c r="I326" s="160" t="s">
        <v>2081</v>
      </c>
      <c r="J326" s="164"/>
      <c r="K326" s="164"/>
      <c r="L326" s="164"/>
      <c r="M326" s="160" t="s">
        <v>2097</v>
      </c>
      <c r="N326" s="160" t="s">
        <v>2084</v>
      </c>
      <c r="O326" s="160" t="s">
        <v>2101</v>
      </c>
      <c r="P326" s="164"/>
      <c r="Q326" s="189" t="s">
        <v>1879</v>
      </c>
      <c r="R326" s="227" t="s">
        <v>1874</v>
      </c>
      <c r="S326" s="189" t="s">
        <v>1879</v>
      </c>
      <c r="T326" s="189" t="s">
        <v>1879</v>
      </c>
      <c r="U326" s="162" t="s">
        <v>2061</v>
      </c>
    </row>
    <row r="327" spans="1:21" ht="19.2" customHeight="1">
      <c r="A327" s="178">
        <v>444</v>
      </c>
      <c r="B327" s="172">
        <v>3</v>
      </c>
      <c r="C327" s="160" t="s">
        <v>2159</v>
      </c>
      <c r="D327" s="160" t="s">
        <v>2099</v>
      </c>
      <c r="E327" s="160" t="s">
        <v>2157</v>
      </c>
      <c r="F327" s="160" t="s">
        <v>1145</v>
      </c>
      <c r="G327" s="160" t="s">
        <v>2079</v>
      </c>
      <c r="H327" s="160" t="s">
        <v>2100</v>
      </c>
      <c r="I327" s="160" t="s">
        <v>2081</v>
      </c>
      <c r="J327" s="164"/>
      <c r="K327" s="164"/>
      <c r="L327" s="164"/>
      <c r="M327" s="160" t="s">
        <v>2097</v>
      </c>
      <c r="N327" s="160" t="s">
        <v>2084</v>
      </c>
      <c r="O327" s="160" t="s">
        <v>2101</v>
      </c>
      <c r="P327" s="164"/>
      <c r="Q327" s="189" t="s">
        <v>1879</v>
      </c>
      <c r="R327" s="227" t="s">
        <v>1874</v>
      </c>
      <c r="S327" s="189" t="s">
        <v>1879</v>
      </c>
      <c r="T327" s="189" t="s">
        <v>1879</v>
      </c>
      <c r="U327" s="162" t="s">
        <v>2061</v>
      </c>
    </row>
    <row r="328" spans="1:21" ht="19.2" customHeight="1">
      <c r="A328" s="178">
        <v>445</v>
      </c>
      <c r="B328" s="172">
        <v>3</v>
      </c>
      <c r="C328" s="160" t="s">
        <v>2160</v>
      </c>
      <c r="D328" s="160" t="s">
        <v>2104</v>
      </c>
      <c r="E328" s="160" t="s">
        <v>2161</v>
      </c>
      <c r="F328" s="160" t="s">
        <v>1145</v>
      </c>
      <c r="G328" s="160" t="s">
        <v>2079</v>
      </c>
      <c r="H328" s="160" t="s">
        <v>2106</v>
      </c>
      <c r="I328" s="160" t="s">
        <v>2081</v>
      </c>
      <c r="J328" s="165"/>
      <c r="K328" s="165"/>
      <c r="L328" s="165"/>
      <c r="M328" s="165"/>
      <c r="N328" s="160" t="s">
        <v>2084</v>
      </c>
      <c r="O328" s="160" t="s">
        <v>2107</v>
      </c>
      <c r="P328" s="165"/>
      <c r="Q328" s="189" t="s">
        <v>1879</v>
      </c>
      <c r="R328" s="227" t="s">
        <v>1874</v>
      </c>
      <c r="S328" s="189" t="s">
        <v>1879</v>
      </c>
      <c r="T328" s="189" t="s">
        <v>1879</v>
      </c>
      <c r="U328" s="162" t="s">
        <v>2061</v>
      </c>
    </row>
    <row r="329" spans="1:21" ht="19.2" customHeight="1">
      <c r="A329" s="178">
        <v>446</v>
      </c>
      <c r="B329" s="172">
        <v>3</v>
      </c>
      <c r="C329" s="160" t="s">
        <v>2162</v>
      </c>
      <c r="D329" s="160" t="s">
        <v>2109</v>
      </c>
      <c r="E329" s="160" t="s">
        <v>2163</v>
      </c>
      <c r="F329" s="160" t="s">
        <v>1145</v>
      </c>
      <c r="G329" s="160" t="s">
        <v>2079</v>
      </c>
      <c r="H329" s="160" t="s">
        <v>2106</v>
      </c>
      <c r="I329" s="160" t="s">
        <v>2081</v>
      </c>
      <c r="J329" s="165"/>
      <c r="K329" s="165"/>
      <c r="L329" s="165"/>
      <c r="M329" s="165"/>
      <c r="N329" s="160" t="s">
        <v>2084</v>
      </c>
      <c r="O329" s="160" t="s">
        <v>2107</v>
      </c>
      <c r="P329" s="165"/>
      <c r="Q329" s="189" t="s">
        <v>1879</v>
      </c>
      <c r="R329" s="227" t="s">
        <v>1874</v>
      </c>
      <c r="S329" s="189" t="s">
        <v>1879</v>
      </c>
      <c r="T329" s="189" t="s">
        <v>1879</v>
      </c>
      <c r="U329" s="162" t="s">
        <v>2061</v>
      </c>
    </row>
    <row r="330" spans="1:21" ht="19.2" customHeight="1">
      <c r="A330" s="178">
        <v>447</v>
      </c>
      <c r="B330" s="172">
        <v>3</v>
      </c>
      <c r="C330" s="160" t="s">
        <v>2164</v>
      </c>
      <c r="D330" s="160" t="s">
        <v>2104</v>
      </c>
      <c r="E330" s="160" t="s">
        <v>2165</v>
      </c>
      <c r="F330" s="160" t="s">
        <v>1145</v>
      </c>
      <c r="G330" s="160" t="s">
        <v>2079</v>
      </c>
      <c r="H330" s="160" t="s">
        <v>2106</v>
      </c>
      <c r="I330" s="160" t="s">
        <v>2081</v>
      </c>
      <c r="J330" s="165"/>
      <c r="K330" s="165"/>
      <c r="L330" s="165"/>
      <c r="M330" s="165"/>
      <c r="N330" s="160" t="s">
        <v>2084</v>
      </c>
      <c r="O330" s="160" t="s">
        <v>2107</v>
      </c>
      <c r="P330" s="165"/>
      <c r="Q330" s="189" t="s">
        <v>1879</v>
      </c>
      <c r="R330" s="227" t="s">
        <v>1874</v>
      </c>
      <c r="S330" s="189" t="s">
        <v>1879</v>
      </c>
      <c r="T330" s="189" t="s">
        <v>1879</v>
      </c>
      <c r="U330" s="162" t="s">
        <v>2061</v>
      </c>
    </row>
    <row r="331" spans="1:21" ht="19.2" customHeight="1">
      <c r="A331" s="178">
        <v>448</v>
      </c>
      <c r="B331" s="172">
        <v>3</v>
      </c>
      <c r="C331" s="160" t="s">
        <v>2166</v>
      </c>
      <c r="D331" s="160" t="s">
        <v>2109</v>
      </c>
      <c r="E331" s="160" t="s">
        <v>2167</v>
      </c>
      <c r="F331" s="160" t="s">
        <v>1145</v>
      </c>
      <c r="G331" s="160" t="s">
        <v>2079</v>
      </c>
      <c r="H331" s="160" t="s">
        <v>2106</v>
      </c>
      <c r="I331" s="160" t="s">
        <v>2081</v>
      </c>
      <c r="J331" s="165"/>
      <c r="K331" s="165"/>
      <c r="L331" s="165"/>
      <c r="M331" s="165"/>
      <c r="N331" s="160" t="s">
        <v>2084</v>
      </c>
      <c r="O331" s="160" t="s">
        <v>2107</v>
      </c>
      <c r="P331" s="165"/>
      <c r="Q331" s="189" t="s">
        <v>1879</v>
      </c>
      <c r="R331" s="227" t="s">
        <v>1874</v>
      </c>
      <c r="S331" s="189" t="s">
        <v>1879</v>
      </c>
      <c r="T331" s="189" t="s">
        <v>1879</v>
      </c>
      <c r="U331" s="162" t="s">
        <v>2061</v>
      </c>
    </row>
    <row r="332" spans="1:21" ht="19.2" customHeight="1">
      <c r="A332" s="178">
        <v>501</v>
      </c>
      <c r="B332" s="172">
        <v>4</v>
      </c>
      <c r="C332" s="160" t="s">
        <v>2217</v>
      </c>
      <c r="D332" s="160" t="s">
        <v>2218</v>
      </c>
      <c r="E332" s="160" t="s">
        <v>2219</v>
      </c>
      <c r="F332" s="160" t="s">
        <v>1637</v>
      </c>
      <c r="G332" s="160" t="s">
        <v>2079</v>
      </c>
      <c r="H332" s="160" t="s">
        <v>2080</v>
      </c>
      <c r="I332" s="160" t="s">
        <v>2081</v>
      </c>
      <c r="J332" s="160" t="s">
        <v>2173</v>
      </c>
      <c r="K332" s="165"/>
      <c r="L332" s="165"/>
      <c r="M332" s="165"/>
      <c r="N332" s="160" t="s">
        <v>2084</v>
      </c>
      <c r="O332" s="160" t="s">
        <v>2220</v>
      </c>
      <c r="P332" s="165"/>
      <c r="Q332" s="189" t="s">
        <v>1879</v>
      </c>
      <c r="R332" s="227" t="s">
        <v>1874</v>
      </c>
      <c r="S332" s="189" t="s">
        <v>1879</v>
      </c>
      <c r="T332" s="189" t="s">
        <v>1879</v>
      </c>
      <c r="U332" s="162" t="s">
        <v>2061</v>
      </c>
    </row>
    <row r="333" spans="1:21" ht="19.2" customHeight="1">
      <c r="A333" s="179">
        <v>502</v>
      </c>
      <c r="B333" s="172">
        <v>4</v>
      </c>
      <c r="C333" s="160" t="s">
        <v>2221</v>
      </c>
      <c r="D333" s="160" t="s">
        <v>2077</v>
      </c>
      <c r="E333" s="160" t="s">
        <v>2219</v>
      </c>
      <c r="F333" s="160" t="s">
        <v>1637</v>
      </c>
      <c r="G333" s="160" t="s">
        <v>2079</v>
      </c>
      <c r="H333" s="160" t="s">
        <v>2080</v>
      </c>
      <c r="I333" s="160" t="s">
        <v>2081</v>
      </c>
      <c r="J333" s="160" t="s">
        <v>2222</v>
      </c>
      <c r="K333" s="161">
        <v>116</v>
      </c>
      <c r="L333" s="161">
        <v>32</v>
      </c>
      <c r="M333" s="165"/>
      <c r="N333" s="160" t="s">
        <v>2084</v>
      </c>
      <c r="O333" s="160" t="s">
        <v>2220</v>
      </c>
      <c r="P333" s="165"/>
      <c r="Q333" s="189" t="s">
        <v>1879</v>
      </c>
      <c r="R333" s="227" t="s">
        <v>1874</v>
      </c>
      <c r="S333" s="189" t="s">
        <v>1879</v>
      </c>
      <c r="T333" s="189" t="s">
        <v>1879</v>
      </c>
      <c r="U333" s="162" t="s">
        <v>2061</v>
      </c>
    </row>
    <row r="334" spans="1:21" ht="19.2" customHeight="1">
      <c r="A334" s="179">
        <v>503</v>
      </c>
      <c r="B334" s="172">
        <v>4</v>
      </c>
      <c r="C334" s="160" t="s">
        <v>2223</v>
      </c>
      <c r="D334" s="160" t="s">
        <v>2224</v>
      </c>
      <c r="E334" s="160" t="s">
        <v>2219</v>
      </c>
      <c r="F334" s="160" t="s">
        <v>1637</v>
      </c>
      <c r="G334" s="160" t="s">
        <v>2079</v>
      </c>
      <c r="H334" s="160" t="s">
        <v>2080</v>
      </c>
      <c r="I334" s="160" t="s">
        <v>2081</v>
      </c>
      <c r="J334" s="160" t="s">
        <v>2173</v>
      </c>
      <c r="K334" s="165"/>
      <c r="L334" s="165"/>
      <c r="M334" s="165"/>
      <c r="N334" s="160" t="s">
        <v>2084</v>
      </c>
      <c r="O334" s="160" t="s">
        <v>2220</v>
      </c>
      <c r="P334" s="165"/>
      <c r="Q334" s="189" t="s">
        <v>1879</v>
      </c>
      <c r="R334" s="227" t="s">
        <v>1874</v>
      </c>
      <c r="S334" s="189" t="s">
        <v>1879</v>
      </c>
      <c r="T334" s="189" t="s">
        <v>1879</v>
      </c>
      <c r="U334" s="162" t="s">
        <v>2061</v>
      </c>
    </row>
    <row r="335" spans="1:21" ht="19.2" customHeight="1">
      <c r="A335" s="179">
        <v>504</v>
      </c>
      <c r="B335" s="172">
        <v>4</v>
      </c>
      <c r="C335" s="160" t="s">
        <v>2225</v>
      </c>
      <c r="D335" s="160" t="s">
        <v>2089</v>
      </c>
      <c r="E335" s="160" t="s">
        <v>2219</v>
      </c>
      <c r="F335" s="160" t="s">
        <v>1637</v>
      </c>
      <c r="G335" s="160" t="s">
        <v>2079</v>
      </c>
      <c r="H335" s="160" t="s">
        <v>2080</v>
      </c>
      <c r="I335" s="160" t="s">
        <v>2081</v>
      </c>
      <c r="J335" s="160" t="s">
        <v>2226</v>
      </c>
      <c r="K335" s="163">
        <v>39.61</v>
      </c>
      <c r="L335" s="163">
        <v>22.69</v>
      </c>
      <c r="M335" s="165"/>
      <c r="N335" s="160" t="s">
        <v>2084</v>
      </c>
      <c r="O335" s="160" t="s">
        <v>2220</v>
      </c>
      <c r="P335" s="165"/>
      <c r="Q335" s="189" t="s">
        <v>1879</v>
      </c>
      <c r="R335" s="227" t="s">
        <v>1874</v>
      </c>
      <c r="S335" s="189" t="s">
        <v>1879</v>
      </c>
      <c r="T335" s="189" t="s">
        <v>1879</v>
      </c>
      <c r="U335" s="162" t="s">
        <v>2061</v>
      </c>
    </row>
    <row r="336" spans="1:21" ht="19.2" customHeight="1">
      <c r="A336" s="179">
        <v>505</v>
      </c>
      <c r="B336" s="172">
        <v>4</v>
      </c>
      <c r="C336" s="160" t="s">
        <v>2227</v>
      </c>
      <c r="D336" s="160" t="s">
        <v>2218</v>
      </c>
      <c r="E336" s="160" t="s">
        <v>2228</v>
      </c>
      <c r="F336" s="160" t="s">
        <v>1637</v>
      </c>
      <c r="G336" s="160" t="s">
        <v>2079</v>
      </c>
      <c r="H336" s="160" t="s">
        <v>2080</v>
      </c>
      <c r="I336" s="160" t="s">
        <v>2081</v>
      </c>
      <c r="J336" s="160" t="s">
        <v>2173</v>
      </c>
      <c r="K336" s="165"/>
      <c r="L336" s="165"/>
      <c r="M336" s="165"/>
      <c r="N336" s="160" t="s">
        <v>2084</v>
      </c>
      <c r="O336" s="160" t="s">
        <v>2220</v>
      </c>
      <c r="P336" s="165"/>
      <c r="Q336" s="189" t="s">
        <v>1879</v>
      </c>
      <c r="R336" s="227" t="s">
        <v>1874</v>
      </c>
      <c r="S336" s="189" t="s">
        <v>1879</v>
      </c>
      <c r="T336" s="189" t="s">
        <v>1879</v>
      </c>
      <c r="U336" s="162" t="s">
        <v>2061</v>
      </c>
    </row>
    <row r="337" spans="1:21" ht="19.2" customHeight="1">
      <c r="A337" s="179">
        <v>506</v>
      </c>
      <c r="B337" s="172">
        <v>4</v>
      </c>
      <c r="C337" s="160" t="s">
        <v>2229</v>
      </c>
      <c r="D337" s="160" t="s">
        <v>2077</v>
      </c>
      <c r="E337" s="160" t="s">
        <v>2228</v>
      </c>
      <c r="F337" s="160" t="s">
        <v>1637</v>
      </c>
      <c r="G337" s="160" t="s">
        <v>2079</v>
      </c>
      <c r="H337" s="160" t="s">
        <v>2080</v>
      </c>
      <c r="I337" s="160" t="s">
        <v>2081</v>
      </c>
      <c r="J337" s="160" t="s">
        <v>2222</v>
      </c>
      <c r="K337" s="161">
        <v>116</v>
      </c>
      <c r="L337" s="161">
        <v>32</v>
      </c>
      <c r="M337" s="165"/>
      <c r="N337" s="160" t="s">
        <v>2084</v>
      </c>
      <c r="O337" s="160" t="s">
        <v>2220</v>
      </c>
      <c r="P337" s="165"/>
      <c r="Q337" s="189" t="s">
        <v>1879</v>
      </c>
      <c r="R337" s="227" t="s">
        <v>1874</v>
      </c>
      <c r="S337" s="189" t="s">
        <v>1879</v>
      </c>
      <c r="T337" s="189" t="s">
        <v>1879</v>
      </c>
      <c r="U337" s="162" t="s">
        <v>2061</v>
      </c>
    </row>
    <row r="338" spans="1:21" ht="19.2" customHeight="1">
      <c r="A338" s="179">
        <v>507</v>
      </c>
      <c r="B338" s="172">
        <v>4</v>
      </c>
      <c r="C338" s="160" t="s">
        <v>2230</v>
      </c>
      <c r="D338" s="160" t="s">
        <v>2224</v>
      </c>
      <c r="E338" s="160" t="s">
        <v>2228</v>
      </c>
      <c r="F338" s="160" t="s">
        <v>1637</v>
      </c>
      <c r="G338" s="160" t="s">
        <v>2079</v>
      </c>
      <c r="H338" s="160" t="s">
        <v>2080</v>
      </c>
      <c r="I338" s="160" t="s">
        <v>2081</v>
      </c>
      <c r="J338" s="160" t="s">
        <v>2173</v>
      </c>
      <c r="K338" s="165"/>
      <c r="L338" s="165"/>
      <c r="M338" s="165"/>
      <c r="N338" s="160" t="s">
        <v>2084</v>
      </c>
      <c r="O338" s="160" t="s">
        <v>2220</v>
      </c>
      <c r="P338" s="165"/>
      <c r="Q338" s="189" t="s">
        <v>1879</v>
      </c>
      <c r="R338" s="227" t="s">
        <v>1874</v>
      </c>
      <c r="S338" s="189" t="s">
        <v>1879</v>
      </c>
      <c r="T338" s="189" t="s">
        <v>1879</v>
      </c>
      <c r="U338" s="162" t="s">
        <v>2061</v>
      </c>
    </row>
    <row r="339" spans="1:21" ht="19.2" customHeight="1">
      <c r="A339" s="179">
        <v>508</v>
      </c>
      <c r="B339" s="172">
        <v>4</v>
      </c>
      <c r="C339" s="160" t="s">
        <v>2231</v>
      </c>
      <c r="D339" s="160" t="s">
        <v>2089</v>
      </c>
      <c r="E339" s="160" t="s">
        <v>2228</v>
      </c>
      <c r="F339" s="160" t="s">
        <v>1637</v>
      </c>
      <c r="G339" s="160" t="s">
        <v>2079</v>
      </c>
      <c r="H339" s="160" t="s">
        <v>2080</v>
      </c>
      <c r="I339" s="160" t="s">
        <v>2081</v>
      </c>
      <c r="J339" s="160" t="s">
        <v>2226</v>
      </c>
      <c r="K339" s="163">
        <v>39.61</v>
      </c>
      <c r="L339" s="163">
        <v>22.69</v>
      </c>
      <c r="M339" s="165"/>
      <c r="N339" s="160" t="s">
        <v>2084</v>
      </c>
      <c r="O339" s="160" t="s">
        <v>2220</v>
      </c>
      <c r="P339" s="165"/>
      <c r="Q339" s="189" t="s">
        <v>1879</v>
      </c>
      <c r="R339" s="227" t="s">
        <v>1874</v>
      </c>
      <c r="S339" s="189" t="s">
        <v>1879</v>
      </c>
      <c r="T339" s="189" t="s">
        <v>1879</v>
      </c>
      <c r="U339" s="162" t="s">
        <v>2061</v>
      </c>
    </row>
    <row r="340" spans="1:21" ht="19.2" customHeight="1">
      <c r="A340" s="179">
        <v>509</v>
      </c>
      <c r="B340" s="172">
        <v>4</v>
      </c>
      <c r="C340" s="160" t="s">
        <v>2232</v>
      </c>
      <c r="D340" s="160" t="s">
        <v>2218</v>
      </c>
      <c r="E340" s="160" t="s">
        <v>2233</v>
      </c>
      <c r="F340" s="160" t="s">
        <v>1637</v>
      </c>
      <c r="G340" s="160" t="s">
        <v>2079</v>
      </c>
      <c r="H340" s="160" t="s">
        <v>2080</v>
      </c>
      <c r="I340" s="160" t="s">
        <v>2081</v>
      </c>
      <c r="J340" s="160" t="s">
        <v>2173</v>
      </c>
      <c r="K340" s="165"/>
      <c r="L340" s="165"/>
      <c r="M340" s="165"/>
      <c r="N340" s="160" t="s">
        <v>2084</v>
      </c>
      <c r="O340" s="160" t="s">
        <v>2234</v>
      </c>
      <c r="P340" s="165"/>
      <c r="Q340" s="189" t="s">
        <v>1879</v>
      </c>
      <c r="R340" s="227" t="s">
        <v>1874</v>
      </c>
      <c r="S340" s="189" t="s">
        <v>1879</v>
      </c>
      <c r="T340" s="189" t="s">
        <v>1879</v>
      </c>
      <c r="U340" s="162" t="s">
        <v>2061</v>
      </c>
    </row>
    <row r="341" spans="1:21" ht="19.2" customHeight="1">
      <c r="A341" s="179">
        <v>510</v>
      </c>
      <c r="B341" s="172">
        <v>4</v>
      </c>
      <c r="C341" s="160" t="s">
        <v>2235</v>
      </c>
      <c r="D341" s="160" t="s">
        <v>2077</v>
      </c>
      <c r="E341" s="160" t="s">
        <v>2233</v>
      </c>
      <c r="F341" s="160" t="s">
        <v>1637</v>
      </c>
      <c r="G341" s="160" t="s">
        <v>2079</v>
      </c>
      <c r="H341" s="160" t="s">
        <v>2080</v>
      </c>
      <c r="I341" s="160" t="s">
        <v>2081</v>
      </c>
      <c r="J341" s="160" t="s">
        <v>2222</v>
      </c>
      <c r="K341" s="161">
        <v>116</v>
      </c>
      <c r="L341" s="161">
        <v>32</v>
      </c>
      <c r="M341" s="165"/>
      <c r="N341" s="160" t="s">
        <v>2084</v>
      </c>
      <c r="O341" s="160" t="s">
        <v>2234</v>
      </c>
      <c r="P341" s="165"/>
      <c r="Q341" s="189" t="s">
        <v>1879</v>
      </c>
      <c r="R341" s="227" t="s">
        <v>1874</v>
      </c>
      <c r="S341" s="189" t="s">
        <v>1879</v>
      </c>
      <c r="T341" s="189" t="s">
        <v>1879</v>
      </c>
      <c r="U341" s="162" t="s">
        <v>2061</v>
      </c>
    </row>
    <row r="342" spans="1:21" ht="19.2" customHeight="1">
      <c r="A342" s="179">
        <v>511</v>
      </c>
      <c r="B342" s="172">
        <v>4</v>
      </c>
      <c r="C342" s="160" t="s">
        <v>2236</v>
      </c>
      <c r="D342" s="160" t="s">
        <v>2224</v>
      </c>
      <c r="E342" s="160" t="s">
        <v>2233</v>
      </c>
      <c r="F342" s="160" t="s">
        <v>1637</v>
      </c>
      <c r="G342" s="160" t="s">
        <v>2079</v>
      </c>
      <c r="H342" s="160" t="s">
        <v>2080</v>
      </c>
      <c r="I342" s="160" t="s">
        <v>2081</v>
      </c>
      <c r="J342" s="160" t="s">
        <v>2173</v>
      </c>
      <c r="K342" s="165"/>
      <c r="L342" s="165"/>
      <c r="M342" s="165"/>
      <c r="N342" s="160" t="s">
        <v>2084</v>
      </c>
      <c r="O342" s="160" t="s">
        <v>2234</v>
      </c>
      <c r="P342" s="165"/>
      <c r="Q342" s="189" t="s">
        <v>1879</v>
      </c>
      <c r="R342" s="227" t="s">
        <v>1874</v>
      </c>
      <c r="S342" s="189" t="s">
        <v>1879</v>
      </c>
      <c r="T342" s="189" t="s">
        <v>1879</v>
      </c>
      <c r="U342" s="162" t="s">
        <v>2061</v>
      </c>
    </row>
    <row r="343" spans="1:21" ht="19.2" customHeight="1">
      <c r="A343" s="179">
        <v>512</v>
      </c>
      <c r="B343" s="172">
        <v>4</v>
      </c>
      <c r="C343" s="160" t="s">
        <v>2237</v>
      </c>
      <c r="D343" s="160" t="s">
        <v>2089</v>
      </c>
      <c r="E343" s="160" t="s">
        <v>2233</v>
      </c>
      <c r="F343" s="160" t="s">
        <v>1637</v>
      </c>
      <c r="G343" s="160" t="s">
        <v>2079</v>
      </c>
      <c r="H343" s="160" t="s">
        <v>2080</v>
      </c>
      <c r="I343" s="160" t="s">
        <v>2081</v>
      </c>
      <c r="J343" s="160" t="s">
        <v>2226</v>
      </c>
      <c r="K343" s="163">
        <v>39.61</v>
      </c>
      <c r="L343" s="163">
        <v>22.69</v>
      </c>
      <c r="M343" s="165"/>
      <c r="N343" s="160" t="s">
        <v>2084</v>
      </c>
      <c r="O343" s="160" t="s">
        <v>2234</v>
      </c>
      <c r="P343" s="165"/>
      <c r="Q343" s="189" t="s">
        <v>1879</v>
      </c>
      <c r="R343" s="227" t="s">
        <v>1874</v>
      </c>
      <c r="S343" s="189" t="s">
        <v>1879</v>
      </c>
      <c r="T343" s="189" t="s">
        <v>1879</v>
      </c>
      <c r="U343" s="162" t="s">
        <v>2061</v>
      </c>
    </row>
    <row r="344" spans="1:21" ht="19.2" customHeight="1">
      <c r="A344" s="179">
        <v>513</v>
      </c>
      <c r="B344" s="172">
        <v>4</v>
      </c>
      <c r="C344" s="160" t="s">
        <v>2238</v>
      </c>
      <c r="D344" s="160" t="s">
        <v>2218</v>
      </c>
      <c r="E344" s="160" t="s">
        <v>2239</v>
      </c>
      <c r="F344" s="160" t="s">
        <v>1637</v>
      </c>
      <c r="G344" s="160" t="s">
        <v>2079</v>
      </c>
      <c r="H344" s="160" t="s">
        <v>2080</v>
      </c>
      <c r="I344" s="160" t="s">
        <v>2081</v>
      </c>
      <c r="J344" s="160" t="s">
        <v>2173</v>
      </c>
      <c r="K344" s="165"/>
      <c r="L344" s="165"/>
      <c r="M344" s="165"/>
      <c r="N344" s="160" t="s">
        <v>2084</v>
      </c>
      <c r="O344" s="160" t="s">
        <v>2234</v>
      </c>
      <c r="P344" s="165"/>
      <c r="Q344" s="189" t="s">
        <v>1879</v>
      </c>
      <c r="R344" s="227" t="s">
        <v>1874</v>
      </c>
      <c r="S344" s="189" t="s">
        <v>1879</v>
      </c>
      <c r="T344" s="189" t="s">
        <v>1879</v>
      </c>
      <c r="U344" s="162" t="s">
        <v>2061</v>
      </c>
    </row>
    <row r="345" spans="1:21" ht="19.2" customHeight="1">
      <c r="A345" s="179">
        <v>514</v>
      </c>
      <c r="B345" s="172">
        <v>4</v>
      </c>
      <c r="C345" s="160" t="s">
        <v>2240</v>
      </c>
      <c r="D345" s="160" t="s">
        <v>2077</v>
      </c>
      <c r="E345" s="160" t="s">
        <v>2239</v>
      </c>
      <c r="F345" s="160" t="s">
        <v>1637</v>
      </c>
      <c r="G345" s="160" t="s">
        <v>2079</v>
      </c>
      <c r="H345" s="160" t="s">
        <v>2080</v>
      </c>
      <c r="I345" s="160" t="s">
        <v>2081</v>
      </c>
      <c r="J345" s="160" t="s">
        <v>2222</v>
      </c>
      <c r="K345" s="161">
        <v>116</v>
      </c>
      <c r="L345" s="161">
        <v>32</v>
      </c>
      <c r="M345" s="165"/>
      <c r="N345" s="160" t="s">
        <v>2084</v>
      </c>
      <c r="O345" s="160" t="s">
        <v>2234</v>
      </c>
      <c r="P345" s="165"/>
      <c r="Q345" s="189" t="s">
        <v>1879</v>
      </c>
      <c r="R345" s="227" t="s">
        <v>1874</v>
      </c>
      <c r="S345" s="189" t="s">
        <v>1879</v>
      </c>
      <c r="T345" s="189" t="s">
        <v>1879</v>
      </c>
      <c r="U345" s="162" t="s">
        <v>2061</v>
      </c>
    </row>
    <row r="346" spans="1:21" ht="19.2" customHeight="1">
      <c r="A346" s="179">
        <v>515</v>
      </c>
      <c r="B346" s="172">
        <v>4</v>
      </c>
      <c r="C346" s="160" t="s">
        <v>2241</v>
      </c>
      <c r="D346" s="160" t="s">
        <v>2224</v>
      </c>
      <c r="E346" s="160" t="s">
        <v>2239</v>
      </c>
      <c r="F346" s="160" t="s">
        <v>1637</v>
      </c>
      <c r="G346" s="160" t="s">
        <v>2079</v>
      </c>
      <c r="H346" s="160" t="s">
        <v>2080</v>
      </c>
      <c r="I346" s="160" t="s">
        <v>2081</v>
      </c>
      <c r="J346" s="160" t="s">
        <v>2173</v>
      </c>
      <c r="K346" s="165"/>
      <c r="L346" s="165"/>
      <c r="M346" s="165"/>
      <c r="N346" s="160" t="s">
        <v>2084</v>
      </c>
      <c r="O346" s="160" t="s">
        <v>2234</v>
      </c>
      <c r="P346" s="165"/>
      <c r="Q346" s="189" t="s">
        <v>1879</v>
      </c>
      <c r="R346" s="227" t="s">
        <v>1874</v>
      </c>
      <c r="S346" s="189" t="s">
        <v>1879</v>
      </c>
      <c r="T346" s="189" t="s">
        <v>1879</v>
      </c>
      <c r="U346" s="162" t="s">
        <v>2061</v>
      </c>
    </row>
    <row r="347" spans="1:21" ht="19.2" customHeight="1">
      <c r="A347" s="179">
        <v>516</v>
      </c>
      <c r="B347" s="172">
        <v>4</v>
      </c>
      <c r="C347" s="160" t="s">
        <v>2242</v>
      </c>
      <c r="D347" s="160" t="s">
        <v>2089</v>
      </c>
      <c r="E347" s="160" t="s">
        <v>2239</v>
      </c>
      <c r="F347" s="160" t="s">
        <v>1637</v>
      </c>
      <c r="G347" s="160" t="s">
        <v>2079</v>
      </c>
      <c r="H347" s="160" t="s">
        <v>2080</v>
      </c>
      <c r="I347" s="160" t="s">
        <v>2081</v>
      </c>
      <c r="J347" s="160" t="s">
        <v>2226</v>
      </c>
      <c r="K347" s="163">
        <v>39.61</v>
      </c>
      <c r="L347" s="163">
        <v>22.69</v>
      </c>
      <c r="M347" s="165"/>
      <c r="N347" s="160" t="s">
        <v>2084</v>
      </c>
      <c r="O347" s="160" t="s">
        <v>2234</v>
      </c>
      <c r="P347" s="165"/>
      <c r="Q347" s="189" t="s">
        <v>1879</v>
      </c>
      <c r="R347" s="227" t="s">
        <v>1874</v>
      </c>
      <c r="S347" s="189" t="s">
        <v>1879</v>
      </c>
      <c r="T347" s="189" t="s">
        <v>1879</v>
      </c>
      <c r="U347" s="162" t="s">
        <v>2061</v>
      </c>
    </row>
    <row r="348" spans="1:21" ht="19.2" customHeight="1">
      <c r="A348" s="179">
        <v>517</v>
      </c>
      <c r="B348" s="172">
        <v>3</v>
      </c>
      <c r="C348" s="160" t="s">
        <v>2243</v>
      </c>
      <c r="D348" s="160" t="s">
        <v>2089</v>
      </c>
      <c r="E348" s="160" t="s">
        <v>2244</v>
      </c>
      <c r="F348" s="160" t="s">
        <v>1640</v>
      </c>
      <c r="G348" s="160" t="s">
        <v>2079</v>
      </c>
      <c r="H348" s="160" t="s">
        <v>2080</v>
      </c>
      <c r="I348" s="160" t="s">
        <v>2081</v>
      </c>
      <c r="J348" s="160" t="s">
        <v>2226</v>
      </c>
      <c r="K348" s="163">
        <v>44.38</v>
      </c>
      <c r="L348" s="163">
        <v>5.71</v>
      </c>
      <c r="M348" s="165"/>
      <c r="N348" s="160" t="s">
        <v>2084</v>
      </c>
      <c r="O348" s="160" t="s">
        <v>2245</v>
      </c>
      <c r="P348" s="165"/>
      <c r="Q348" s="189" t="s">
        <v>1879</v>
      </c>
      <c r="R348" s="227" t="s">
        <v>1874</v>
      </c>
      <c r="S348" s="189" t="s">
        <v>1879</v>
      </c>
      <c r="T348" s="189" t="s">
        <v>1879</v>
      </c>
      <c r="U348" s="162" t="s">
        <v>2061</v>
      </c>
    </row>
    <row r="349" spans="1:21" ht="19.2" customHeight="1">
      <c r="A349" s="179">
        <v>518</v>
      </c>
      <c r="B349" s="172">
        <v>3</v>
      </c>
      <c r="C349" s="160" t="s">
        <v>2246</v>
      </c>
      <c r="D349" s="160" t="s">
        <v>2077</v>
      </c>
      <c r="E349" s="160" t="s">
        <v>2244</v>
      </c>
      <c r="F349" s="160" t="s">
        <v>1640</v>
      </c>
      <c r="G349" s="160" t="s">
        <v>2079</v>
      </c>
      <c r="H349" s="160" t="s">
        <v>2080</v>
      </c>
      <c r="I349" s="160" t="s">
        <v>2081</v>
      </c>
      <c r="J349" s="160" t="s">
        <v>2222</v>
      </c>
      <c r="K349" s="161">
        <v>116</v>
      </c>
      <c r="L349" s="161">
        <v>32</v>
      </c>
      <c r="M349" s="165"/>
      <c r="N349" s="160" t="s">
        <v>2084</v>
      </c>
      <c r="O349" s="160" t="s">
        <v>2245</v>
      </c>
      <c r="P349" s="165"/>
      <c r="Q349" s="189" t="s">
        <v>1879</v>
      </c>
      <c r="R349" s="227" t="s">
        <v>1874</v>
      </c>
      <c r="S349" s="189" t="s">
        <v>1879</v>
      </c>
      <c r="T349" s="189" t="s">
        <v>1879</v>
      </c>
      <c r="U349" s="162" t="s">
        <v>2061</v>
      </c>
    </row>
    <row r="350" spans="1:21" ht="19.2" customHeight="1">
      <c r="A350" s="179">
        <v>519</v>
      </c>
      <c r="B350" s="172">
        <v>3</v>
      </c>
      <c r="C350" s="160" t="s">
        <v>2247</v>
      </c>
      <c r="D350" s="160" t="s">
        <v>2248</v>
      </c>
      <c r="E350" s="160" t="s">
        <v>2249</v>
      </c>
      <c r="F350" s="160" t="s">
        <v>1546</v>
      </c>
      <c r="G350" s="160" t="s">
        <v>2079</v>
      </c>
      <c r="H350" s="160" t="s">
        <v>2080</v>
      </c>
      <c r="I350" s="160" t="s">
        <v>2081</v>
      </c>
      <c r="J350" s="165" t="s">
        <v>2250</v>
      </c>
      <c r="K350" s="161">
        <v>4800</v>
      </c>
      <c r="L350" s="161">
        <v>1100</v>
      </c>
      <c r="M350" s="165"/>
      <c r="N350" s="160" t="s">
        <v>2084</v>
      </c>
      <c r="O350" s="160" t="s">
        <v>2245</v>
      </c>
      <c r="P350" s="165"/>
      <c r="Q350" s="189" t="s">
        <v>1879</v>
      </c>
      <c r="R350" s="227" t="s">
        <v>1874</v>
      </c>
      <c r="S350" s="189" t="s">
        <v>1879</v>
      </c>
      <c r="T350" s="189" t="s">
        <v>1879</v>
      </c>
      <c r="U350" s="162" t="s">
        <v>2061</v>
      </c>
    </row>
    <row r="351" spans="1:21" ht="19.2" customHeight="1">
      <c r="A351" s="179">
        <v>520</v>
      </c>
      <c r="B351" s="172">
        <v>3</v>
      </c>
      <c r="C351" s="160" t="s">
        <v>2251</v>
      </c>
      <c r="D351" s="160" t="s">
        <v>2252</v>
      </c>
      <c r="E351" s="160" t="s">
        <v>2253</v>
      </c>
      <c r="F351" s="160" t="s">
        <v>1546</v>
      </c>
      <c r="G351" s="160" t="s">
        <v>2079</v>
      </c>
      <c r="H351" s="160" t="s">
        <v>2254</v>
      </c>
      <c r="I351" s="160" t="s">
        <v>2081</v>
      </c>
      <c r="J351" s="165"/>
      <c r="K351" s="165"/>
      <c r="L351" s="165"/>
      <c r="M351" s="165"/>
      <c r="N351" s="160" t="s">
        <v>2084</v>
      </c>
      <c r="O351" s="160" t="s">
        <v>2255</v>
      </c>
      <c r="P351" s="165"/>
      <c r="Q351" s="189" t="s">
        <v>1879</v>
      </c>
      <c r="R351" s="227" t="s">
        <v>1874</v>
      </c>
      <c r="S351" s="189" t="s">
        <v>1879</v>
      </c>
      <c r="T351" s="189" t="s">
        <v>1879</v>
      </c>
      <c r="U351" s="162" t="s">
        <v>2061</v>
      </c>
    </row>
    <row r="352" spans="1:21" ht="19.2" customHeight="1">
      <c r="A352" s="179">
        <v>521</v>
      </c>
      <c r="B352" s="175">
        <v>3</v>
      </c>
      <c r="C352" s="168" t="s">
        <v>2256</v>
      </c>
      <c r="D352" s="168" t="s">
        <v>2077</v>
      </c>
      <c r="E352" s="168" t="s">
        <v>2257</v>
      </c>
      <c r="F352" s="168" t="s">
        <v>1546</v>
      </c>
      <c r="G352" s="168" t="s">
        <v>2079</v>
      </c>
      <c r="H352" s="168" t="s">
        <v>2080</v>
      </c>
      <c r="I352" s="168" t="s">
        <v>2081</v>
      </c>
      <c r="J352" s="168" t="s">
        <v>2173</v>
      </c>
      <c r="K352" s="169"/>
      <c r="L352" s="169"/>
      <c r="M352" s="168" t="s">
        <v>2258</v>
      </c>
      <c r="N352" s="168" t="s">
        <v>2084</v>
      </c>
      <c r="O352" s="168" t="s">
        <v>2259</v>
      </c>
      <c r="P352" s="169"/>
      <c r="Q352" s="189" t="s">
        <v>1879</v>
      </c>
      <c r="R352" s="227" t="s">
        <v>1874</v>
      </c>
      <c r="S352" s="153" t="s">
        <v>1874</v>
      </c>
      <c r="T352" s="189" t="s">
        <v>1879</v>
      </c>
      <c r="U352" s="162" t="s">
        <v>2061</v>
      </c>
    </row>
    <row r="353" spans="1:21" ht="19.2" customHeight="1">
      <c r="A353" s="179">
        <v>522</v>
      </c>
      <c r="B353" s="175">
        <v>3</v>
      </c>
      <c r="C353" s="168" t="s">
        <v>2260</v>
      </c>
      <c r="D353" s="168" t="s">
        <v>2077</v>
      </c>
      <c r="E353" s="168" t="s">
        <v>2261</v>
      </c>
      <c r="F353" s="168" t="s">
        <v>1546</v>
      </c>
      <c r="G353" s="168" t="s">
        <v>2079</v>
      </c>
      <c r="H353" s="168" t="s">
        <v>2080</v>
      </c>
      <c r="I353" s="168" t="s">
        <v>2081</v>
      </c>
      <c r="J353" s="168" t="s">
        <v>2173</v>
      </c>
      <c r="K353" s="169"/>
      <c r="L353" s="169"/>
      <c r="M353" s="168" t="s">
        <v>2258</v>
      </c>
      <c r="N353" s="168" t="s">
        <v>2084</v>
      </c>
      <c r="O353" s="168" t="s">
        <v>2259</v>
      </c>
      <c r="P353" s="169"/>
      <c r="Q353" s="189" t="s">
        <v>1879</v>
      </c>
      <c r="R353" s="227" t="s">
        <v>1874</v>
      </c>
      <c r="S353" s="153" t="s">
        <v>1874</v>
      </c>
      <c r="T353" s="189" t="s">
        <v>1879</v>
      </c>
      <c r="U353" s="162" t="s">
        <v>2061</v>
      </c>
    </row>
    <row r="354" spans="1:21" ht="19.2" customHeight="1">
      <c r="A354" s="179">
        <v>523</v>
      </c>
      <c r="B354" s="175">
        <v>3</v>
      </c>
      <c r="C354" s="168" t="s">
        <v>2269</v>
      </c>
      <c r="D354" s="168" t="s">
        <v>2270</v>
      </c>
      <c r="E354" s="168" t="s">
        <v>2271</v>
      </c>
      <c r="F354" s="176" t="s">
        <v>2031</v>
      </c>
      <c r="G354" s="168" t="s">
        <v>2079</v>
      </c>
      <c r="H354" s="168" t="s">
        <v>2080</v>
      </c>
      <c r="I354" s="168" t="s">
        <v>2081</v>
      </c>
      <c r="J354" s="168" t="s">
        <v>2173</v>
      </c>
      <c r="K354" s="170">
        <v>1.65</v>
      </c>
      <c r="L354" s="169"/>
      <c r="M354" s="168" t="s">
        <v>2258</v>
      </c>
      <c r="N354" s="168" t="s">
        <v>2084</v>
      </c>
      <c r="O354" s="168" t="s">
        <v>2259</v>
      </c>
      <c r="P354" s="169"/>
      <c r="Q354" s="189" t="s">
        <v>1879</v>
      </c>
      <c r="R354" s="227" t="s">
        <v>1874</v>
      </c>
      <c r="S354" s="153" t="s">
        <v>1874</v>
      </c>
      <c r="T354" s="189" t="s">
        <v>1879</v>
      </c>
      <c r="U354" s="162" t="s">
        <v>2061</v>
      </c>
    </row>
    <row r="355" spans="1:21" ht="19.2" customHeight="1">
      <c r="A355" s="179">
        <v>524</v>
      </c>
      <c r="B355" s="175">
        <v>3</v>
      </c>
      <c r="C355" s="168" t="s">
        <v>2272</v>
      </c>
      <c r="D355" s="168" t="s">
        <v>2270</v>
      </c>
      <c r="E355" s="168" t="s">
        <v>2273</v>
      </c>
      <c r="F355" s="168" t="s">
        <v>1546</v>
      </c>
      <c r="G355" s="168" t="s">
        <v>2079</v>
      </c>
      <c r="H355" s="168" t="s">
        <v>2080</v>
      </c>
      <c r="I355" s="168" t="s">
        <v>2081</v>
      </c>
      <c r="J355" s="168" t="s">
        <v>2173</v>
      </c>
      <c r="K355" s="170">
        <v>1.65</v>
      </c>
      <c r="L355" s="169"/>
      <c r="M355" s="168" t="s">
        <v>2258</v>
      </c>
      <c r="N355" s="168" t="s">
        <v>2084</v>
      </c>
      <c r="O355" s="168" t="s">
        <v>2259</v>
      </c>
      <c r="P355" s="169"/>
      <c r="Q355" s="189" t="s">
        <v>1879</v>
      </c>
      <c r="R355" s="227" t="s">
        <v>1874</v>
      </c>
      <c r="S355" s="153" t="s">
        <v>1874</v>
      </c>
      <c r="T355" s="189" t="s">
        <v>1879</v>
      </c>
      <c r="U355" s="162" t="s">
        <v>2061</v>
      </c>
    </row>
    <row r="356" spans="1:21" ht="19.2" customHeight="1">
      <c r="A356" s="179">
        <v>525</v>
      </c>
      <c r="B356" s="175">
        <v>3</v>
      </c>
      <c r="C356" s="176" t="s">
        <v>2057</v>
      </c>
      <c r="D356" s="168" t="s">
        <v>2077</v>
      </c>
      <c r="E356" s="168" t="s">
        <v>2293</v>
      </c>
      <c r="F356" s="168" t="s">
        <v>2294</v>
      </c>
      <c r="G356" s="168" t="s">
        <v>2079</v>
      </c>
      <c r="H356" s="168" t="s">
        <v>2080</v>
      </c>
      <c r="I356" s="168" t="s">
        <v>2081</v>
      </c>
      <c r="J356" s="168" t="s">
        <v>2173</v>
      </c>
      <c r="K356" s="168" t="s">
        <v>2173</v>
      </c>
      <c r="L356" s="169"/>
      <c r="M356" s="168" t="s">
        <v>2295</v>
      </c>
      <c r="N356" s="168" t="s">
        <v>2084</v>
      </c>
      <c r="O356" s="168" t="s">
        <v>2255</v>
      </c>
      <c r="P356" s="169"/>
      <c r="Q356" s="189" t="s">
        <v>1879</v>
      </c>
      <c r="R356" s="227" t="s">
        <v>1874</v>
      </c>
      <c r="S356" s="153" t="s">
        <v>1874</v>
      </c>
      <c r="T356" s="189" t="s">
        <v>1879</v>
      </c>
      <c r="U356" s="162" t="s">
        <v>2061</v>
      </c>
    </row>
    <row r="357" spans="1:21" ht="19.2" customHeight="1">
      <c r="A357" s="179">
        <v>526</v>
      </c>
      <c r="B357" s="172">
        <v>4</v>
      </c>
      <c r="C357" s="160" t="s">
        <v>2296</v>
      </c>
      <c r="D357" s="160" t="s">
        <v>2297</v>
      </c>
      <c r="E357" s="160" t="s">
        <v>2298</v>
      </c>
      <c r="F357" s="160" t="s">
        <v>2294</v>
      </c>
      <c r="G357" s="160" t="s">
        <v>2079</v>
      </c>
      <c r="H357" s="160" t="s">
        <v>2080</v>
      </c>
      <c r="I357" s="160" t="s">
        <v>2081</v>
      </c>
      <c r="J357" s="160" t="s">
        <v>2299</v>
      </c>
      <c r="K357" s="161">
        <v>650</v>
      </c>
      <c r="L357" s="161">
        <v>400</v>
      </c>
      <c r="M357" s="165"/>
      <c r="N357" s="160" t="s">
        <v>2084</v>
      </c>
      <c r="O357" s="160" t="s">
        <v>2300</v>
      </c>
      <c r="P357" s="165"/>
      <c r="Q357" s="189" t="s">
        <v>1879</v>
      </c>
      <c r="R357" s="227" t="s">
        <v>1874</v>
      </c>
      <c r="S357" s="189" t="s">
        <v>1879</v>
      </c>
      <c r="T357" s="189" t="s">
        <v>1879</v>
      </c>
      <c r="U357" s="162" t="s">
        <v>2061</v>
      </c>
    </row>
    <row r="358" spans="1:21" ht="19.2" customHeight="1">
      <c r="A358" s="179">
        <v>527</v>
      </c>
      <c r="B358" s="172">
        <v>3</v>
      </c>
      <c r="C358" s="160" t="s">
        <v>2301</v>
      </c>
      <c r="D358" s="160" t="s">
        <v>2252</v>
      </c>
      <c r="E358" s="160" t="s">
        <v>2302</v>
      </c>
      <c r="F358" s="160" t="s">
        <v>2294</v>
      </c>
      <c r="G358" s="160" t="s">
        <v>2079</v>
      </c>
      <c r="H358" s="160" t="s">
        <v>2254</v>
      </c>
      <c r="I358" s="160" t="s">
        <v>2081</v>
      </c>
      <c r="J358" s="165"/>
      <c r="K358" s="165"/>
      <c r="L358" s="165"/>
      <c r="M358" s="165"/>
      <c r="N358" s="160" t="s">
        <v>2084</v>
      </c>
      <c r="O358" s="160" t="s">
        <v>2255</v>
      </c>
      <c r="P358" s="165"/>
      <c r="Q358" s="189" t="s">
        <v>1879</v>
      </c>
      <c r="R358" s="227" t="s">
        <v>1874</v>
      </c>
      <c r="S358" s="189" t="s">
        <v>1879</v>
      </c>
      <c r="T358" s="189" t="s">
        <v>1879</v>
      </c>
      <c r="U358" s="162" t="s">
        <v>2061</v>
      </c>
    </row>
    <row r="359" spans="1:21" ht="19.2" customHeight="1">
      <c r="A359" s="179">
        <v>528</v>
      </c>
      <c r="B359" s="172">
        <v>4</v>
      </c>
      <c r="C359" s="160" t="s">
        <v>2303</v>
      </c>
      <c r="D359" s="160" t="s">
        <v>2089</v>
      </c>
      <c r="E359" s="160" t="s">
        <v>2298</v>
      </c>
      <c r="F359" s="160" t="s">
        <v>2294</v>
      </c>
      <c r="G359" s="160" t="s">
        <v>2079</v>
      </c>
      <c r="H359" s="160" t="s">
        <v>2080</v>
      </c>
      <c r="I359" s="160" t="s">
        <v>2081</v>
      </c>
      <c r="J359" s="160" t="s">
        <v>2304</v>
      </c>
      <c r="K359" s="161">
        <v>48</v>
      </c>
      <c r="L359" s="161">
        <v>-32</v>
      </c>
      <c r="M359" s="165"/>
      <c r="N359" s="160" t="s">
        <v>2084</v>
      </c>
      <c r="O359" s="160" t="s">
        <v>2300</v>
      </c>
      <c r="P359" s="165"/>
      <c r="Q359" s="189" t="s">
        <v>1879</v>
      </c>
      <c r="R359" s="227" t="s">
        <v>1874</v>
      </c>
      <c r="S359" s="189" t="s">
        <v>1879</v>
      </c>
      <c r="T359" s="189" t="s">
        <v>1879</v>
      </c>
      <c r="U359" s="162" t="s">
        <v>2061</v>
      </c>
    </row>
    <row r="360" spans="1:21" ht="19.2" customHeight="1">
      <c r="A360" s="179">
        <v>529</v>
      </c>
      <c r="B360" s="172">
        <v>4</v>
      </c>
      <c r="C360" s="160" t="s">
        <v>2305</v>
      </c>
      <c r="D360" s="160" t="s">
        <v>2077</v>
      </c>
      <c r="E360" s="160" t="s">
        <v>2306</v>
      </c>
      <c r="F360" s="160" t="s">
        <v>2294</v>
      </c>
      <c r="G360" s="160" t="s">
        <v>2079</v>
      </c>
      <c r="H360" s="160" t="s">
        <v>2080</v>
      </c>
      <c r="I360" s="160" t="s">
        <v>2081</v>
      </c>
      <c r="J360" s="160" t="s">
        <v>2307</v>
      </c>
      <c r="K360" s="171">
        <v>0.3</v>
      </c>
      <c r="L360" s="160" t="s">
        <v>2083</v>
      </c>
      <c r="M360" s="165"/>
      <c r="N360" s="160" t="s">
        <v>2084</v>
      </c>
      <c r="O360" s="160" t="s">
        <v>2300</v>
      </c>
      <c r="P360" s="165"/>
      <c r="Q360" s="189" t="s">
        <v>1879</v>
      </c>
      <c r="R360" s="227" t="s">
        <v>1874</v>
      </c>
      <c r="S360" s="189" t="s">
        <v>1879</v>
      </c>
      <c r="T360" s="189" t="s">
        <v>1879</v>
      </c>
      <c r="U360" s="162" t="s">
        <v>2061</v>
      </c>
    </row>
    <row r="361" spans="1:21" ht="19.2" customHeight="1">
      <c r="A361" s="179">
        <v>530</v>
      </c>
      <c r="B361" s="172">
        <v>4</v>
      </c>
      <c r="C361" s="160" t="s">
        <v>2308</v>
      </c>
      <c r="D361" s="160" t="s">
        <v>2309</v>
      </c>
      <c r="E361" s="160" t="s">
        <v>2310</v>
      </c>
      <c r="F361" s="160" t="s">
        <v>2294</v>
      </c>
      <c r="G361" s="160" t="s">
        <v>2079</v>
      </c>
      <c r="H361" s="160" t="s">
        <v>2080</v>
      </c>
      <c r="I361" s="160" t="s">
        <v>2081</v>
      </c>
      <c r="J361" s="160" t="s">
        <v>2311</v>
      </c>
      <c r="K361" s="161">
        <v>6702</v>
      </c>
      <c r="L361" s="160" t="s">
        <v>2083</v>
      </c>
      <c r="M361" s="165"/>
      <c r="N361" s="160" t="s">
        <v>2084</v>
      </c>
      <c r="O361" s="160" t="s">
        <v>2300</v>
      </c>
      <c r="P361" s="165"/>
      <c r="Q361" s="189" t="s">
        <v>1879</v>
      </c>
      <c r="R361" s="227" t="s">
        <v>1874</v>
      </c>
      <c r="S361" s="189" t="s">
        <v>1879</v>
      </c>
      <c r="T361" s="189" t="s">
        <v>1879</v>
      </c>
      <c r="U361" s="162" t="s">
        <v>2061</v>
      </c>
    </row>
    <row r="362" spans="1:21" ht="19.2" customHeight="1">
      <c r="A362" s="179">
        <v>531</v>
      </c>
      <c r="B362" s="172">
        <v>4</v>
      </c>
      <c r="C362" s="160" t="s">
        <v>2312</v>
      </c>
      <c r="D362" s="160" t="s">
        <v>2313</v>
      </c>
      <c r="E362" s="160" t="s">
        <v>2314</v>
      </c>
      <c r="F362" s="160" t="s">
        <v>2315</v>
      </c>
      <c r="G362" s="160" t="s">
        <v>2079</v>
      </c>
      <c r="H362" s="160" t="s">
        <v>2080</v>
      </c>
      <c r="I362" s="160" t="s">
        <v>2081</v>
      </c>
      <c r="J362" s="165" t="s">
        <v>2316</v>
      </c>
      <c r="K362" s="161">
        <v>1150</v>
      </c>
      <c r="L362" s="161">
        <v>350</v>
      </c>
      <c r="M362" s="165"/>
      <c r="N362" s="160" t="s">
        <v>2084</v>
      </c>
      <c r="O362" s="160" t="s">
        <v>2300</v>
      </c>
      <c r="P362" s="165"/>
      <c r="Q362" s="189" t="s">
        <v>1879</v>
      </c>
      <c r="R362" s="227" t="s">
        <v>1874</v>
      </c>
      <c r="S362" s="189" t="s">
        <v>1879</v>
      </c>
      <c r="T362" s="189" t="s">
        <v>1879</v>
      </c>
      <c r="U362" s="162" t="s">
        <v>2061</v>
      </c>
    </row>
    <row r="363" spans="1:21" ht="19.2" customHeight="1">
      <c r="A363" s="179">
        <v>532</v>
      </c>
      <c r="B363" s="175">
        <v>3</v>
      </c>
      <c r="C363" s="168" t="s">
        <v>2317</v>
      </c>
      <c r="D363" s="168" t="s">
        <v>2169</v>
      </c>
      <c r="E363" s="168" t="s">
        <v>2318</v>
      </c>
      <c r="F363" s="168" t="s">
        <v>1556</v>
      </c>
      <c r="G363" s="168" t="s">
        <v>2079</v>
      </c>
      <c r="H363" s="168" t="s">
        <v>2080</v>
      </c>
      <c r="I363" s="168" t="s">
        <v>2081</v>
      </c>
      <c r="J363" s="168" t="s">
        <v>2173</v>
      </c>
      <c r="K363" s="180">
        <v>1500</v>
      </c>
      <c r="L363" s="180">
        <v>500</v>
      </c>
      <c r="M363" s="168" t="s">
        <v>2319</v>
      </c>
      <c r="N363" s="168" t="s">
        <v>2084</v>
      </c>
      <c r="O363" s="168" t="s">
        <v>2320</v>
      </c>
      <c r="P363" s="169"/>
      <c r="Q363" s="189" t="s">
        <v>1879</v>
      </c>
      <c r="R363" s="227" t="s">
        <v>1874</v>
      </c>
      <c r="S363" s="153" t="s">
        <v>1874</v>
      </c>
      <c r="T363" s="189" t="s">
        <v>1879</v>
      </c>
      <c r="U363" s="162" t="s">
        <v>2061</v>
      </c>
    </row>
    <row r="364" spans="1:21" ht="19.2" customHeight="1">
      <c r="A364" s="179">
        <v>533</v>
      </c>
      <c r="B364" s="175">
        <v>3</v>
      </c>
      <c r="C364" s="168" t="s">
        <v>2321</v>
      </c>
      <c r="D364" s="168" t="s">
        <v>2077</v>
      </c>
      <c r="E364" s="168" t="s">
        <v>2322</v>
      </c>
      <c r="F364" s="168" t="s">
        <v>1556</v>
      </c>
      <c r="G364" s="168" t="s">
        <v>2079</v>
      </c>
      <c r="H364" s="168" t="s">
        <v>2080</v>
      </c>
      <c r="I364" s="168" t="s">
        <v>2081</v>
      </c>
      <c r="J364" s="168" t="s">
        <v>2173</v>
      </c>
      <c r="K364" s="180">
        <v>249</v>
      </c>
      <c r="L364" s="180">
        <v>33</v>
      </c>
      <c r="M364" s="168" t="s">
        <v>2319</v>
      </c>
      <c r="N364" s="168" t="s">
        <v>2084</v>
      </c>
      <c r="O364" s="168" t="s">
        <v>2320</v>
      </c>
      <c r="P364" s="169"/>
      <c r="Q364" s="189" t="s">
        <v>1879</v>
      </c>
      <c r="R364" s="227" t="s">
        <v>1874</v>
      </c>
      <c r="S364" s="153" t="s">
        <v>1874</v>
      </c>
      <c r="T364" s="189" t="s">
        <v>1879</v>
      </c>
      <c r="U364" s="162" t="s">
        <v>2061</v>
      </c>
    </row>
    <row r="365" spans="1:21" ht="19.2" customHeight="1">
      <c r="A365" s="179">
        <v>534</v>
      </c>
      <c r="B365" s="175">
        <v>3</v>
      </c>
      <c r="C365" s="168" t="s">
        <v>2323</v>
      </c>
      <c r="D365" s="168" t="s">
        <v>2077</v>
      </c>
      <c r="E365" s="168" t="s">
        <v>2324</v>
      </c>
      <c r="F365" s="168" t="s">
        <v>1556</v>
      </c>
      <c r="G365" s="168" t="s">
        <v>2079</v>
      </c>
      <c r="H365" s="168" t="s">
        <v>2080</v>
      </c>
      <c r="I365" s="168" t="s">
        <v>2081</v>
      </c>
      <c r="J365" s="168" t="s">
        <v>2173</v>
      </c>
      <c r="K365" s="180">
        <v>249</v>
      </c>
      <c r="L365" s="180">
        <v>33</v>
      </c>
      <c r="M365" s="168" t="s">
        <v>2319</v>
      </c>
      <c r="N365" s="168" t="s">
        <v>2084</v>
      </c>
      <c r="O365" s="168" t="s">
        <v>2320</v>
      </c>
      <c r="P365" s="169"/>
      <c r="Q365" s="189" t="s">
        <v>1879</v>
      </c>
      <c r="R365" s="227" t="s">
        <v>1874</v>
      </c>
      <c r="S365" s="153" t="s">
        <v>1874</v>
      </c>
      <c r="T365" s="189" t="s">
        <v>1879</v>
      </c>
      <c r="U365" s="162" t="s">
        <v>2061</v>
      </c>
    </row>
    <row r="366" spans="1:21" ht="19.2" customHeight="1">
      <c r="A366" s="179">
        <v>535</v>
      </c>
      <c r="B366" s="175">
        <v>3</v>
      </c>
      <c r="C366" s="168" t="s">
        <v>2334</v>
      </c>
      <c r="D366" s="168" t="s">
        <v>2169</v>
      </c>
      <c r="E366" s="168" t="s">
        <v>2335</v>
      </c>
      <c r="F366" s="168" t="s">
        <v>1563</v>
      </c>
      <c r="G366" s="168" t="s">
        <v>2079</v>
      </c>
      <c r="H366" s="168" t="s">
        <v>2080</v>
      </c>
      <c r="I366" s="168" t="s">
        <v>2081</v>
      </c>
      <c r="J366" s="168" t="s">
        <v>2173</v>
      </c>
      <c r="K366" s="180">
        <v>3300</v>
      </c>
      <c r="L366" s="180">
        <v>500</v>
      </c>
      <c r="M366" s="168" t="s">
        <v>2336</v>
      </c>
      <c r="N366" s="168" t="s">
        <v>2084</v>
      </c>
      <c r="O366" s="168" t="s">
        <v>2337</v>
      </c>
      <c r="P366" s="169"/>
      <c r="Q366" s="189" t="s">
        <v>1879</v>
      </c>
      <c r="R366" s="227" t="s">
        <v>1874</v>
      </c>
      <c r="S366" s="153" t="s">
        <v>1874</v>
      </c>
      <c r="T366" s="189" t="s">
        <v>1879</v>
      </c>
      <c r="U366" s="162" t="s">
        <v>2061</v>
      </c>
    </row>
    <row r="367" spans="1:21" ht="19.2" customHeight="1">
      <c r="A367" s="179">
        <v>536</v>
      </c>
      <c r="B367" s="174">
        <v>3</v>
      </c>
      <c r="C367" s="166" t="s">
        <v>2341</v>
      </c>
      <c r="D367" s="166" t="s">
        <v>2077</v>
      </c>
      <c r="E367" s="166" t="s">
        <v>2342</v>
      </c>
      <c r="F367" s="166" t="s">
        <v>1563</v>
      </c>
      <c r="G367" s="166" t="s">
        <v>2079</v>
      </c>
      <c r="H367" s="166" t="s">
        <v>2080</v>
      </c>
      <c r="I367" s="166" t="s">
        <v>2081</v>
      </c>
      <c r="J367" s="166" t="s">
        <v>2173</v>
      </c>
      <c r="K367" s="181">
        <v>249</v>
      </c>
      <c r="L367" s="181">
        <v>33</v>
      </c>
      <c r="M367" s="166" t="s">
        <v>2336</v>
      </c>
      <c r="N367" s="166" t="s">
        <v>2084</v>
      </c>
      <c r="O367" s="166" t="s">
        <v>2337</v>
      </c>
      <c r="P367" s="167"/>
      <c r="Q367" s="227" t="s">
        <v>1874</v>
      </c>
      <c r="R367" s="227" t="s">
        <v>1874</v>
      </c>
      <c r="S367" s="226" t="s">
        <v>2054</v>
      </c>
      <c r="T367" s="189" t="s">
        <v>1879</v>
      </c>
      <c r="U367" s="162" t="s">
        <v>2061</v>
      </c>
    </row>
    <row r="368" spans="1:21" ht="19.2" customHeight="1">
      <c r="A368" s="179">
        <v>537</v>
      </c>
      <c r="B368" s="174">
        <v>3</v>
      </c>
      <c r="C368" s="166" t="s">
        <v>2343</v>
      </c>
      <c r="D368" s="166" t="s">
        <v>2077</v>
      </c>
      <c r="E368" s="166" t="s">
        <v>2344</v>
      </c>
      <c r="F368" s="166" t="s">
        <v>1563</v>
      </c>
      <c r="G368" s="166" t="s">
        <v>2079</v>
      </c>
      <c r="H368" s="166" t="s">
        <v>2080</v>
      </c>
      <c r="I368" s="166" t="s">
        <v>2081</v>
      </c>
      <c r="J368" s="166" t="s">
        <v>2173</v>
      </c>
      <c r="K368" s="181">
        <v>249</v>
      </c>
      <c r="L368" s="181">
        <v>33</v>
      </c>
      <c r="M368" s="166" t="s">
        <v>2336</v>
      </c>
      <c r="N368" s="166" t="s">
        <v>2084</v>
      </c>
      <c r="O368" s="166" t="s">
        <v>2337</v>
      </c>
      <c r="P368" s="167"/>
      <c r="Q368" s="227" t="s">
        <v>1874</v>
      </c>
      <c r="R368" s="227" t="s">
        <v>1874</v>
      </c>
      <c r="S368" s="226" t="s">
        <v>2054</v>
      </c>
      <c r="T368" s="189" t="s">
        <v>1879</v>
      </c>
      <c r="U368" s="162" t="s">
        <v>2061</v>
      </c>
    </row>
    <row r="369" spans="1:21" ht="19.2" customHeight="1">
      <c r="A369" s="179">
        <v>538</v>
      </c>
      <c r="B369" s="175">
        <v>3</v>
      </c>
      <c r="C369" s="168" t="s">
        <v>2351</v>
      </c>
      <c r="D369" s="168" t="s">
        <v>2077</v>
      </c>
      <c r="E369" s="168" t="s">
        <v>2352</v>
      </c>
      <c r="F369" s="168" t="s">
        <v>1571</v>
      </c>
      <c r="G369" s="168" t="s">
        <v>2079</v>
      </c>
      <c r="H369" s="168" t="s">
        <v>2080</v>
      </c>
      <c r="I369" s="168" t="s">
        <v>2081</v>
      </c>
      <c r="J369" s="168" t="s">
        <v>2173</v>
      </c>
      <c r="K369" s="182">
        <v>1.6</v>
      </c>
      <c r="L369" s="182">
        <v>0.5</v>
      </c>
      <c r="M369" s="168" t="s">
        <v>2353</v>
      </c>
      <c r="N369" s="168" t="s">
        <v>2084</v>
      </c>
      <c r="O369" s="168" t="s">
        <v>2354</v>
      </c>
      <c r="P369" s="169"/>
      <c r="Q369" s="189" t="s">
        <v>1879</v>
      </c>
      <c r="R369" s="227" t="s">
        <v>1874</v>
      </c>
      <c r="S369" s="153" t="s">
        <v>1874</v>
      </c>
      <c r="T369" s="189" t="s">
        <v>1879</v>
      </c>
      <c r="U369" s="162" t="s">
        <v>2061</v>
      </c>
    </row>
    <row r="370" spans="1:21" ht="19.2" customHeight="1">
      <c r="A370" s="179">
        <v>539</v>
      </c>
      <c r="B370" s="175">
        <v>3</v>
      </c>
      <c r="C370" s="168" t="s">
        <v>2355</v>
      </c>
      <c r="D370" s="168" t="s">
        <v>2169</v>
      </c>
      <c r="E370" s="168" t="s">
        <v>2356</v>
      </c>
      <c r="F370" s="168" t="s">
        <v>1571</v>
      </c>
      <c r="G370" s="168" t="s">
        <v>2079</v>
      </c>
      <c r="H370" s="168" t="s">
        <v>2080</v>
      </c>
      <c r="I370" s="168" t="s">
        <v>2081</v>
      </c>
      <c r="J370" s="168" t="s">
        <v>2173</v>
      </c>
      <c r="K370" s="180">
        <v>950</v>
      </c>
      <c r="L370" s="180">
        <v>350</v>
      </c>
      <c r="M370" s="168" t="s">
        <v>2353</v>
      </c>
      <c r="N370" s="168" t="s">
        <v>2084</v>
      </c>
      <c r="O370" s="168" t="s">
        <v>2354</v>
      </c>
      <c r="P370" s="169"/>
      <c r="Q370" s="189" t="s">
        <v>1879</v>
      </c>
      <c r="R370" s="227" t="s">
        <v>1874</v>
      </c>
      <c r="S370" s="153" t="s">
        <v>1874</v>
      </c>
      <c r="T370" s="189" t="s">
        <v>1879</v>
      </c>
      <c r="U370" s="162" t="s">
        <v>2061</v>
      </c>
    </row>
    <row r="371" spans="1:21" ht="19.2" customHeight="1">
      <c r="A371" s="179">
        <v>540</v>
      </c>
      <c r="B371" s="175">
        <v>3</v>
      </c>
      <c r="C371" s="176" t="s">
        <v>2813</v>
      </c>
      <c r="D371" s="168" t="s">
        <v>2077</v>
      </c>
      <c r="E371" s="168" t="s">
        <v>2357</v>
      </c>
      <c r="F371" s="168" t="s">
        <v>1571</v>
      </c>
      <c r="G371" s="168" t="s">
        <v>2079</v>
      </c>
      <c r="H371" s="168" t="s">
        <v>2080</v>
      </c>
      <c r="I371" s="168" t="s">
        <v>2081</v>
      </c>
      <c r="J371" s="168" t="s">
        <v>2173</v>
      </c>
      <c r="K371" s="180">
        <v>298</v>
      </c>
      <c r="L371" s="180">
        <v>33</v>
      </c>
      <c r="M371" s="168" t="s">
        <v>2353</v>
      </c>
      <c r="N371" s="168" t="s">
        <v>2084</v>
      </c>
      <c r="O371" s="168" t="s">
        <v>2354</v>
      </c>
      <c r="P371" s="169"/>
      <c r="Q371" s="189" t="s">
        <v>1879</v>
      </c>
      <c r="R371" s="227" t="s">
        <v>1874</v>
      </c>
      <c r="S371" s="153" t="s">
        <v>1874</v>
      </c>
      <c r="T371" s="189" t="s">
        <v>1879</v>
      </c>
      <c r="U371" s="162" t="s">
        <v>2061</v>
      </c>
    </row>
    <row r="372" spans="1:21" ht="19.2" customHeight="1">
      <c r="A372" s="179">
        <v>541</v>
      </c>
      <c r="B372" s="175">
        <v>3</v>
      </c>
      <c r="C372" s="168" t="s">
        <v>2358</v>
      </c>
      <c r="D372" s="168" t="s">
        <v>2077</v>
      </c>
      <c r="E372" s="168" t="s">
        <v>2359</v>
      </c>
      <c r="F372" s="168" t="s">
        <v>1571</v>
      </c>
      <c r="G372" s="168" t="s">
        <v>2079</v>
      </c>
      <c r="H372" s="168" t="s">
        <v>2080</v>
      </c>
      <c r="I372" s="168" t="s">
        <v>2081</v>
      </c>
      <c r="J372" s="168" t="s">
        <v>2173</v>
      </c>
      <c r="K372" s="180">
        <v>298</v>
      </c>
      <c r="L372" s="180">
        <v>33</v>
      </c>
      <c r="M372" s="168" t="s">
        <v>2353</v>
      </c>
      <c r="N372" s="168" t="s">
        <v>2084</v>
      </c>
      <c r="O372" s="168" t="s">
        <v>2354</v>
      </c>
      <c r="P372" s="169"/>
      <c r="Q372" s="189" t="s">
        <v>1879</v>
      </c>
      <c r="R372" s="227" t="s">
        <v>1874</v>
      </c>
      <c r="S372" s="153" t="s">
        <v>1874</v>
      </c>
      <c r="T372" s="189" t="s">
        <v>1879</v>
      </c>
      <c r="U372" s="162" t="s">
        <v>2061</v>
      </c>
    </row>
    <row r="373" spans="1:21" ht="19.2" customHeight="1">
      <c r="A373" s="179">
        <v>542</v>
      </c>
      <c r="B373" s="172">
        <v>3</v>
      </c>
      <c r="C373" s="160" t="s">
        <v>2366</v>
      </c>
      <c r="D373" s="160" t="s">
        <v>2077</v>
      </c>
      <c r="E373" s="160" t="s">
        <v>2367</v>
      </c>
      <c r="F373" s="160" t="s">
        <v>2368</v>
      </c>
      <c r="G373" s="160" t="s">
        <v>2079</v>
      </c>
      <c r="H373" s="160" t="s">
        <v>2080</v>
      </c>
      <c r="I373" s="160" t="s">
        <v>2081</v>
      </c>
      <c r="J373" s="160" t="s">
        <v>2369</v>
      </c>
      <c r="K373" s="171">
        <v>7.7</v>
      </c>
      <c r="L373" s="161">
        <v>5</v>
      </c>
      <c r="M373" s="165"/>
      <c r="N373" s="160" t="s">
        <v>2084</v>
      </c>
      <c r="O373" s="160" t="s">
        <v>2093</v>
      </c>
      <c r="P373" s="165"/>
      <c r="Q373" s="189" t="s">
        <v>1879</v>
      </c>
      <c r="R373" s="227" t="s">
        <v>1874</v>
      </c>
      <c r="S373" s="189" t="s">
        <v>1879</v>
      </c>
      <c r="T373" s="189" t="s">
        <v>1879</v>
      </c>
      <c r="U373" s="162" t="s">
        <v>2061</v>
      </c>
    </row>
    <row r="374" spans="1:21" ht="19.2" customHeight="1">
      <c r="A374" s="179">
        <v>543</v>
      </c>
      <c r="B374" s="175">
        <v>3</v>
      </c>
      <c r="C374" s="168" t="s">
        <v>2370</v>
      </c>
      <c r="D374" s="168" t="s">
        <v>2169</v>
      </c>
      <c r="E374" s="168" t="s">
        <v>2371</v>
      </c>
      <c r="F374" s="168" t="s">
        <v>1578</v>
      </c>
      <c r="G374" s="168" t="s">
        <v>2079</v>
      </c>
      <c r="H374" s="168" t="s">
        <v>2080</v>
      </c>
      <c r="I374" s="168" t="s">
        <v>2081</v>
      </c>
      <c r="J374" s="168" t="s">
        <v>2173</v>
      </c>
      <c r="K374" s="180">
        <v>1500</v>
      </c>
      <c r="L374" s="180">
        <v>500</v>
      </c>
      <c r="M374" s="168" t="s">
        <v>2372</v>
      </c>
      <c r="N374" s="168" t="s">
        <v>2084</v>
      </c>
      <c r="O374" s="168" t="s">
        <v>2373</v>
      </c>
      <c r="P374" s="169"/>
      <c r="Q374" s="189" t="s">
        <v>1879</v>
      </c>
      <c r="R374" s="227" t="s">
        <v>1874</v>
      </c>
      <c r="S374" s="153" t="s">
        <v>1874</v>
      </c>
      <c r="T374" s="189" t="s">
        <v>1879</v>
      </c>
      <c r="U374" s="162" t="s">
        <v>2061</v>
      </c>
    </row>
    <row r="375" spans="1:21" ht="19.2" customHeight="1">
      <c r="A375" s="179">
        <v>544</v>
      </c>
      <c r="B375" s="175">
        <v>3</v>
      </c>
      <c r="C375" s="168" t="s">
        <v>2377</v>
      </c>
      <c r="D375" s="168" t="s">
        <v>2077</v>
      </c>
      <c r="E375" s="168" t="s">
        <v>2378</v>
      </c>
      <c r="F375" s="168" t="s">
        <v>1578</v>
      </c>
      <c r="G375" s="168" t="s">
        <v>2079</v>
      </c>
      <c r="H375" s="168" t="s">
        <v>2080</v>
      </c>
      <c r="I375" s="168" t="s">
        <v>2081</v>
      </c>
      <c r="J375" s="168" t="s">
        <v>2173</v>
      </c>
      <c r="K375" s="180">
        <v>117</v>
      </c>
      <c r="L375" s="182">
        <v>32.4</v>
      </c>
      <c r="M375" s="168" t="s">
        <v>2372</v>
      </c>
      <c r="N375" s="168" t="s">
        <v>2084</v>
      </c>
      <c r="O375" s="168" t="s">
        <v>2373</v>
      </c>
      <c r="P375" s="169"/>
      <c r="Q375" s="189" t="s">
        <v>1879</v>
      </c>
      <c r="R375" s="227" t="s">
        <v>1874</v>
      </c>
      <c r="S375" s="153" t="s">
        <v>1874</v>
      </c>
      <c r="T375" s="189" t="s">
        <v>1879</v>
      </c>
      <c r="U375" s="162" t="s">
        <v>2061</v>
      </c>
    </row>
    <row r="376" spans="1:21" ht="19.2" customHeight="1">
      <c r="A376" s="179">
        <v>545</v>
      </c>
      <c r="B376" s="175">
        <v>3</v>
      </c>
      <c r="C376" s="168" t="s">
        <v>2379</v>
      </c>
      <c r="D376" s="168" t="s">
        <v>2077</v>
      </c>
      <c r="E376" s="168" t="s">
        <v>2380</v>
      </c>
      <c r="F376" s="168" t="s">
        <v>1578</v>
      </c>
      <c r="G376" s="168" t="s">
        <v>2079</v>
      </c>
      <c r="H376" s="168" t="s">
        <v>2080</v>
      </c>
      <c r="I376" s="168" t="s">
        <v>2081</v>
      </c>
      <c r="J376" s="168" t="s">
        <v>2173</v>
      </c>
      <c r="K376" s="180">
        <v>117</v>
      </c>
      <c r="L376" s="182">
        <v>32.4</v>
      </c>
      <c r="M376" s="168" t="s">
        <v>2372</v>
      </c>
      <c r="N376" s="168" t="s">
        <v>2084</v>
      </c>
      <c r="O376" s="168" t="s">
        <v>2373</v>
      </c>
      <c r="P376" s="169"/>
      <c r="Q376" s="189" t="s">
        <v>1879</v>
      </c>
      <c r="R376" s="227" t="s">
        <v>1874</v>
      </c>
      <c r="S376" s="153" t="s">
        <v>1874</v>
      </c>
      <c r="T376" s="189" t="s">
        <v>1879</v>
      </c>
      <c r="U376" s="162" t="s">
        <v>2061</v>
      </c>
    </row>
    <row r="377" spans="1:21" ht="19.2" customHeight="1">
      <c r="A377" s="179">
        <v>546</v>
      </c>
      <c r="B377" s="172">
        <v>3</v>
      </c>
      <c r="C377" s="160" t="s">
        <v>2387</v>
      </c>
      <c r="D377" s="160" t="s">
        <v>2248</v>
      </c>
      <c r="E377" s="160" t="s">
        <v>2388</v>
      </c>
      <c r="F377" s="160" t="s">
        <v>1551</v>
      </c>
      <c r="G377" s="160" t="s">
        <v>2079</v>
      </c>
      <c r="H377" s="160" t="s">
        <v>2080</v>
      </c>
      <c r="I377" s="160" t="s">
        <v>2081</v>
      </c>
      <c r="J377" s="165" t="s">
        <v>2389</v>
      </c>
      <c r="K377" s="161">
        <v>1650</v>
      </c>
      <c r="L377" s="161">
        <v>450</v>
      </c>
      <c r="M377" s="165"/>
      <c r="N377" s="160" t="s">
        <v>2084</v>
      </c>
      <c r="O377" s="160" t="s">
        <v>2093</v>
      </c>
      <c r="P377" s="165"/>
      <c r="Q377" s="189" t="s">
        <v>1879</v>
      </c>
      <c r="R377" s="227" t="s">
        <v>1874</v>
      </c>
      <c r="S377" s="189" t="s">
        <v>1879</v>
      </c>
      <c r="T377" s="189" t="s">
        <v>1879</v>
      </c>
      <c r="U377" s="162" t="s">
        <v>2061</v>
      </c>
    </row>
    <row r="378" spans="1:21" ht="19.2" customHeight="1">
      <c r="A378" s="179">
        <v>547</v>
      </c>
      <c r="B378" s="172">
        <v>3</v>
      </c>
      <c r="C378" s="160" t="s">
        <v>2390</v>
      </c>
      <c r="D378" s="160" t="s">
        <v>2252</v>
      </c>
      <c r="E378" s="160" t="s">
        <v>2391</v>
      </c>
      <c r="F378" s="160" t="s">
        <v>1551</v>
      </c>
      <c r="G378" s="160" t="s">
        <v>2079</v>
      </c>
      <c r="H378" s="160" t="s">
        <v>2254</v>
      </c>
      <c r="I378" s="160" t="s">
        <v>2081</v>
      </c>
      <c r="J378" s="165"/>
      <c r="K378" s="165"/>
      <c r="L378" s="165"/>
      <c r="M378" s="165"/>
      <c r="N378" s="160" t="s">
        <v>2084</v>
      </c>
      <c r="O378" s="160" t="s">
        <v>2255</v>
      </c>
      <c r="P378" s="165"/>
      <c r="Q378" s="189" t="s">
        <v>1879</v>
      </c>
      <c r="R378" s="227" t="s">
        <v>1874</v>
      </c>
      <c r="S378" s="189" t="s">
        <v>1879</v>
      </c>
      <c r="T378" s="189" t="s">
        <v>1879</v>
      </c>
      <c r="U378" s="162" t="s">
        <v>2061</v>
      </c>
    </row>
    <row r="379" spans="1:21" ht="19.2" customHeight="1">
      <c r="A379" s="179">
        <v>548</v>
      </c>
      <c r="B379" s="172">
        <v>3</v>
      </c>
      <c r="C379" s="160" t="s">
        <v>2398</v>
      </c>
      <c r="D379" s="160" t="s">
        <v>2077</v>
      </c>
      <c r="E379" s="160" t="s">
        <v>2399</v>
      </c>
      <c r="F379" s="160" t="s">
        <v>1551</v>
      </c>
      <c r="G379" s="160" t="s">
        <v>2079</v>
      </c>
      <c r="H379" s="160" t="s">
        <v>2080</v>
      </c>
      <c r="I379" s="160" t="s">
        <v>2081</v>
      </c>
      <c r="J379" s="160" t="s">
        <v>2400</v>
      </c>
      <c r="K379" s="163">
        <v>1.65</v>
      </c>
      <c r="L379" s="171">
        <v>0.1</v>
      </c>
      <c r="M379" s="165"/>
      <c r="N379" s="160" t="s">
        <v>2084</v>
      </c>
      <c r="O379" s="160" t="s">
        <v>2093</v>
      </c>
      <c r="P379" s="165"/>
      <c r="Q379" s="189" t="s">
        <v>1879</v>
      </c>
      <c r="R379" s="227" t="s">
        <v>1874</v>
      </c>
      <c r="S379" s="189" t="s">
        <v>1879</v>
      </c>
      <c r="T379" s="189" t="s">
        <v>1879</v>
      </c>
      <c r="U379" s="162" t="s">
        <v>2061</v>
      </c>
    </row>
    <row r="380" spans="1:21" ht="19.2" customHeight="1">
      <c r="A380" s="179">
        <v>549</v>
      </c>
      <c r="B380" s="172">
        <v>3</v>
      </c>
      <c r="C380" s="160" t="s">
        <v>2401</v>
      </c>
      <c r="D380" s="160" t="s">
        <v>2077</v>
      </c>
      <c r="E380" s="160" t="s">
        <v>2402</v>
      </c>
      <c r="F380" s="160" t="s">
        <v>1551</v>
      </c>
      <c r="G380" s="160" t="s">
        <v>2079</v>
      </c>
      <c r="H380" s="160" t="s">
        <v>2080</v>
      </c>
      <c r="I380" s="160" t="s">
        <v>2081</v>
      </c>
      <c r="J380" s="160" t="s">
        <v>2400</v>
      </c>
      <c r="K380" s="163">
        <v>1.65</v>
      </c>
      <c r="L380" s="171">
        <v>0.1</v>
      </c>
      <c r="M380" s="165"/>
      <c r="N380" s="160" t="s">
        <v>2084</v>
      </c>
      <c r="O380" s="160" t="s">
        <v>2093</v>
      </c>
      <c r="P380" s="165"/>
      <c r="Q380" s="189" t="s">
        <v>1879</v>
      </c>
      <c r="R380" s="227" t="s">
        <v>1874</v>
      </c>
      <c r="S380" s="189" t="s">
        <v>1879</v>
      </c>
      <c r="T380" s="189" t="s">
        <v>1879</v>
      </c>
      <c r="U380" s="162" t="s">
        <v>2061</v>
      </c>
    </row>
    <row r="381" spans="1:21" ht="19.2" customHeight="1">
      <c r="A381" s="179">
        <v>550</v>
      </c>
      <c r="B381" s="172">
        <v>3</v>
      </c>
      <c r="C381" s="160" t="s">
        <v>2403</v>
      </c>
      <c r="D381" s="160" t="s">
        <v>2077</v>
      </c>
      <c r="E381" s="160" t="s">
        <v>2404</v>
      </c>
      <c r="F381" s="160" t="s">
        <v>1551</v>
      </c>
      <c r="G381" s="160" t="s">
        <v>2079</v>
      </c>
      <c r="H381" s="160" t="s">
        <v>2080</v>
      </c>
      <c r="I381" s="160" t="s">
        <v>2081</v>
      </c>
      <c r="J381" s="160" t="s">
        <v>2400</v>
      </c>
      <c r="K381" s="163">
        <v>1.65</v>
      </c>
      <c r="L381" s="171">
        <v>0.1</v>
      </c>
      <c r="M381" s="165"/>
      <c r="N381" s="160" t="s">
        <v>2084</v>
      </c>
      <c r="O381" s="160" t="s">
        <v>2093</v>
      </c>
      <c r="P381" s="165"/>
      <c r="Q381" s="189" t="s">
        <v>1879</v>
      </c>
      <c r="R381" s="227" t="s">
        <v>1874</v>
      </c>
      <c r="S381" s="189" t="s">
        <v>1879</v>
      </c>
      <c r="T381" s="189" t="s">
        <v>1879</v>
      </c>
      <c r="U381" s="162" t="s">
        <v>2061</v>
      </c>
    </row>
    <row r="382" spans="1:21" ht="19.2" customHeight="1">
      <c r="A382" s="179">
        <v>551</v>
      </c>
      <c r="B382" s="172">
        <v>3</v>
      </c>
      <c r="C382" s="160" t="s">
        <v>2405</v>
      </c>
      <c r="D382" s="160" t="s">
        <v>2089</v>
      </c>
      <c r="E382" s="160" t="s">
        <v>2406</v>
      </c>
      <c r="F382" s="160" t="s">
        <v>1170</v>
      </c>
      <c r="G382" s="160" t="s">
        <v>2079</v>
      </c>
      <c r="H382" s="160" t="s">
        <v>2080</v>
      </c>
      <c r="I382" s="160" t="s">
        <v>2081</v>
      </c>
      <c r="J382" s="160" t="s">
        <v>2407</v>
      </c>
      <c r="K382" s="163">
        <v>44.38</v>
      </c>
      <c r="L382" s="163">
        <v>5.71</v>
      </c>
      <c r="M382" s="165"/>
      <c r="N382" s="160" t="s">
        <v>2084</v>
      </c>
      <c r="O382" s="160" t="s">
        <v>2245</v>
      </c>
      <c r="P382" s="165"/>
      <c r="Q382" s="189" t="s">
        <v>1879</v>
      </c>
      <c r="R382" s="227" t="s">
        <v>1874</v>
      </c>
      <c r="S382" s="189" t="s">
        <v>1879</v>
      </c>
      <c r="T382" s="189" t="s">
        <v>1879</v>
      </c>
      <c r="U382" s="162" t="s">
        <v>2061</v>
      </c>
    </row>
    <row r="383" spans="1:21" ht="19.2" customHeight="1">
      <c r="A383" s="179">
        <v>552</v>
      </c>
      <c r="B383" s="172">
        <v>3</v>
      </c>
      <c r="C383" s="160" t="s">
        <v>2408</v>
      </c>
      <c r="D383" s="160" t="s">
        <v>2077</v>
      </c>
      <c r="E383" s="160" t="s">
        <v>2406</v>
      </c>
      <c r="F383" s="160" t="s">
        <v>1170</v>
      </c>
      <c r="G383" s="160" t="s">
        <v>2079</v>
      </c>
      <c r="H383" s="160" t="s">
        <v>2080</v>
      </c>
      <c r="I383" s="160" t="s">
        <v>2081</v>
      </c>
      <c r="J383" s="160" t="s">
        <v>2222</v>
      </c>
      <c r="K383" s="161">
        <v>116</v>
      </c>
      <c r="L383" s="161">
        <v>32</v>
      </c>
      <c r="M383" s="165"/>
      <c r="N383" s="160" t="s">
        <v>2084</v>
      </c>
      <c r="O383" s="160" t="s">
        <v>2245</v>
      </c>
      <c r="P383" s="165"/>
      <c r="Q383" s="189" t="s">
        <v>1879</v>
      </c>
      <c r="R383" s="227" t="s">
        <v>1874</v>
      </c>
      <c r="S383" s="189" t="s">
        <v>1879</v>
      </c>
      <c r="T383" s="189" t="s">
        <v>1879</v>
      </c>
      <c r="U383" s="162" t="s">
        <v>2061</v>
      </c>
    </row>
    <row r="384" spans="1:21" ht="19.2" customHeight="1">
      <c r="A384" s="179">
        <v>553</v>
      </c>
      <c r="B384" s="174">
        <v>4</v>
      </c>
      <c r="C384" s="166" t="s">
        <v>2409</v>
      </c>
      <c r="D384" s="166" t="s">
        <v>2410</v>
      </c>
      <c r="E384" s="166" t="s">
        <v>2411</v>
      </c>
      <c r="F384" s="166" t="s">
        <v>2412</v>
      </c>
      <c r="G384" s="166" t="s">
        <v>2079</v>
      </c>
      <c r="H384" s="166" t="s">
        <v>2106</v>
      </c>
      <c r="I384" s="166" t="s">
        <v>2081</v>
      </c>
      <c r="J384" s="167"/>
      <c r="K384" s="167"/>
      <c r="L384" s="167"/>
      <c r="M384" s="166" t="s">
        <v>2413</v>
      </c>
      <c r="N384" s="166" t="s">
        <v>2084</v>
      </c>
      <c r="O384" s="166" t="s">
        <v>2414</v>
      </c>
      <c r="P384" s="167"/>
      <c r="Q384" s="227" t="s">
        <v>1874</v>
      </c>
      <c r="R384" s="227" t="s">
        <v>1874</v>
      </c>
      <c r="S384" s="153" t="s">
        <v>1874</v>
      </c>
      <c r="T384" s="189" t="s">
        <v>1879</v>
      </c>
      <c r="U384" s="162" t="s">
        <v>2061</v>
      </c>
    </row>
    <row r="385" spans="1:21" ht="19.2" customHeight="1">
      <c r="A385" s="179">
        <v>554</v>
      </c>
      <c r="B385" s="174">
        <v>4</v>
      </c>
      <c r="C385" s="166" t="s">
        <v>2415</v>
      </c>
      <c r="D385" s="166" t="s">
        <v>2416</v>
      </c>
      <c r="E385" s="166" t="s">
        <v>2417</v>
      </c>
      <c r="F385" s="166" t="s">
        <v>2412</v>
      </c>
      <c r="G385" s="166" t="s">
        <v>2079</v>
      </c>
      <c r="H385" s="166" t="s">
        <v>2106</v>
      </c>
      <c r="I385" s="166" t="s">
        <v>2081</v>
      </c>
      <c r="J385" s="167"/>
      <c r="K385" s="167"/>
      <c r="L385" s="167"/>
      <c r="M385" s="166" t="s">
        <v>2413</v>
      </c>
      <c r="N385" s="166" t="s">
        <v>2084</v>
      </c>
      <c r="O385" s="166" t="s">
        <v>2414</v>
      </c>
      <c r="P385" s="167"/>
      <c r="Q385" s="227" t="s">
        <v>1874</v>
      </c>
      <c r="R385" s="227" t="s">
        <v>1874</v>
      </c>
      <c r="S385" s="153" t="s">
        <v>1874</v>
      </c>
      <c r="T385" s="189" t="s">
        <v>1879</v>
      </c>
      <c r="U385" s="162" t="s">
        <v>2061</v>
      </c>
    </row>
    <row r="386" spans="1:21" ht="19.2" customHeight="1">
      <c r="A386" s="179">
        <v>555</v>
      </c>
      <c r="B386" s="174">
        <v>4</v>
      </c>
      <c r="C386" s="166" t="s">
        <v>2418</v>
      </c>
      <c r="D386" s="166" t="s">
        <v>2416</v>
      </c>
      <c r="E386" s="166" t="s">
        <v>2419</v>
      </c>
      <c r="F386" s="166" t="s">
        <v>2412</v>
      </c>
      <c r="G386" s="166" t="s">
        <v>2079</v>
      </c>
      <c r="H386" s="166" t="s">
        <v>2106</v>
      </c>
      <c r="I386" s="166" t="s">
        <v>2081</v>
      </c>
      <c r="J386" s="167"/>
      <c r="K386" s="167"/>
      <c r="L386" s="167"/>
      <c r="M386" s="166" t="s">
        <v>2413</v>
      </c>
      <c r="N386" s="166" t="s">
        <v>2084</v>
      </c>
      <c r="O386" s="166" t="s">
        <v>2414</v>
      </c>
      <c r="P386" s="167"/>
      <c r="Q386" s="227" t="s">
        <v>1874</v>
      </c>
      <c r="R386" s="227" t="s">
        <v>1874</v>
      </c>
      <c r="S386" s="153" t="s">
        <v>1874</v>
      </c>
      <c r="T386" s="189" t="s">
        <v>1879</v>
      </c>
      <c r="U386" s="162" t="s">
        <v>2061</v>
      </c>
    </row>
    <row r="387" spans="1:21" ht="19.2" customHeight="1">
      <c r="A387" s="179">
        <v>556</v>
      </c>
      <c r="B387" s="174">
        <v>4</v>
      </c>
      <c r="C387" s="166" t="s">
        <v>2420</v>
      </c>
      <c r="D387" s="166" t="s">
        <v>2416</v>
      </c>
      <c r="E387" s="166" t="s">
        <v>2421</v>
      </c>
      <c r="F387" s="166" t="s">
        <v>2412</v>
      </c>
      <c r="G387" s="166" t="s">
        <v>2079</v>
      </c>
      <c r="H387" s="166" t="s">
        <v>2106</v>
      </c>
      <c r="I387" s="166" t="s">
        <v>2081</v>
      </c>
      <c r="J387" s="167"/>
      <c r="K387" s="167"/>
      <c r="L387" s="167"/>
      <c r="M387" s="166" t="s">
        <v>2413</v>
      </c>
      <c r="N387" s="166" t="s">
        <v>2084</v>
      </c>
      <c r="O387" s="166" t="s">
        <v>2414</v>
      </c>
      <c r="P387" s="167"/>
      <c r="Q387" s="227" t="s">
        <v>1874</v>
      </c>
      <c r="R387" s="227" t="s">
        <v>1874</v>
      </c>
      <c r="S387" s="153" t="s">
        <v>1874</v>
      </c>
      <c r="T387" s="189" t="s">
        <v>1879</v>
      </c>
      <c r="U387" s="162" t="s">
        <v>2061</v>
      </c>
    </row>
    <row r="388" spans="1:21" ht="19.2" customHeight="1">
      <c r="A388" s="179">
        <v>557</v>
      </c>
      <c r="B388" s="174">
        <v>4</v>
      </c>
      <c r="C388" s="166" t="s">
        <v>2422</v>
      </c>
      <c r="D388" s="166" t="s">
        <v>2077</v>
      </c>
      <c r="E388" s="166" t="s">
        <v>2423</v>
      </c>
      <c r="F388" s="166" t="s">
        <v>2412</v>
      </c>
      <c r="G388" s="166" t="s">
        <v>2079</v>
      </c>
      <c r="H388" s="166" t="s">
        <v>2080</v>
      </c>
      <c r="I388" s="166" t="s">
        <v>2081</v>
      </c>
      <c r="J388" s="166" t="s">
        <v>2173</v>
      </c>
      <c r="K388" s="167"/>
      <c r="L388" s="167"/>
      <c r="M388" s="166" t="s">
        <v>2413</v>
      </c>
      <c r="N388" s="166" t="s">
        <v>2084</v>
      </c>
      <c r="O388" s="166" t="s">
        <v>2255</v>
      </c>
      <c r="P388" s="167"/>
      <c r="Q388" s="227" t="s">
        <v>1874</v>
      </c>
      <c r="R388" s="227" t="s">
        <v>1874</v>
      </c>
      <c r="S388" s="153" t="s">
        <v>1874</v>
      </c>
      <c r="T388" s="189" t="s">
        <v>1879</v>
      </c>
      <c r="U388" s="162" t="s">
        <v>2061</v>
      </c>
    </row>
    <row r="389" spans="1:21" ht="19.2" customHeight="1">
      <c r="A389" s="179">
        <v>558</v>
      </c>
      <c r="B389" s="174">
        <v>4</v>
      </c>
      <c r="C389" s="166" t="s">
        <v>2424</v>
      </c>
      <c r="D389" s="166" t="s">
        <v>2109</v>
      </c>
      <c r="E389" s="166" t="s">
        <v>2425</v>
      </c>
      <c r="F389" s="166" t="s">
        <v>2412</v>
      </c>
      <c r="G389" s="166" t="s">
        <v>2079</v>
      </c>
      <c r="H389" s="166" t="s">
        <v>2106</v>
      </c>
      <c r="I389" s="166" t="s">
        <v>2081</v>
      </c>
      <c r="J389" s="167"/>
      <c r="K389" s="167"/>
      <c r="L389" s="167"/>
      <c r="M389" s="166" t="s">
        <v>2413</v>
      </c>
      <c r="N389" s="166" t="s">
        <v>2084</v>
      </c>
      <c r="O389" s="166" t="s">
        <v>2414</v>
      </c>
      <c r="P389" s="167"/>
      <c r="Q389" s="227" t="s">
        <v>1874</v>
      </c>
      <c r="R389" s="227" t="s">
        <v>1874</v>
      </c>
      <c r="S389" s="153" t="s">
        <v>1874</v>
      </c>
      <c r="T389" s="189" t="s">
        <v>1879</v>
      </c>
      <c r="U389" s="162" t="s">
        <v>2061</v>
      </c>
    </row>
    <row r="390" spans="1:21" ht="19.2" customHeight="1">
      <c r="A390" s="179">
        <v>559</v>
      </c>
      <c r="B390" s="174">
        <v>4</v>
      </c>
      <c r="C390" s="166" t="s">
        <v>2426</v>
      </c>
      <c r="D390" s="166" t="s">
        <v>2109</v>
      </c>
      <c r="E390" s="166" t="s">
        <v>2425</v>
      </c>
      <c r="F390" s="166" t="s">
        <v>2412</v>
      </c>
      <c r="G390" s="166" t="s">
        <v>2079</v>
      </c>
      <c r="H390" s="166" t="s">
        <v>2106</v>
      </c>
      <c r="I390" s="166" t="s">
        <v>2081</v>
      </c>
      <c r="J390" s="167"/>
      <c r="K390" s="167"/>
      <c r="L390" s="167"/>
      <c r="M390" s="166" t="s">
        <v>2413</v>
      </c>
      <c r="N390" s="166" t="s">
        <v>2084</v>
      </c>
      <c r="O390" s="166" t="s">
        <v>2414</v>
      </c>
      <c r="P390" s="167"/>
      <c r="Q390" s="227" t="s">
        <v>1874</v>
      </c>
      <c r="R390" s="227" t="s">
        <v>1874</v>
      </c>
      <c r="S390" s="153" t="s">
        <v>1874</v>
      </c>
      <c r="T390" s="189" t="s">
        <v>1879</v>
      </c>
      <c r="U390" s="162" t="s">
        <v>2061</v>
      </c>
    </row>
    <row r="391" spans="1:21" ht="19.2" customHeight="1">
      <c r="A391" s="179">
        <v>560</v>
      </c>
      <c r="B391" s="136"/>
      <c r="C391" s="160" t="s">
        <v>2150</v>
      </c>
      <c r="D391" s="160" t="s">
        <v>2077</v>
      </c>
      <c r="E391" s="160" t="s">
        <v>2151</v>
      </c>
      <c r="F391" s="160" t="s">
        <v>1145</v>
      </c>
      <c r="G391" s="160" t="s">
        <v>2079</v>
      </c>
      <c r="H391" s="160" t="s">
        <v>2080</v>
      </c>
      <c r="I391" s="160" t="s">
        <v>2081</v>
      </c>
      <c r="J391" s="160" t="s">
        <v>2082</v>
      </c>
      <c r="K391" s="161">
        <v>109</v>
      </c>
      <c r="L391" s="160" t="s">
        <v>2083</v>
      </c>
      <c r="M391" s="164"/>
      <c r="N391" s="160" t="s">
        <v>2084</v>
      </c>
      <c r="O391" s="160" t="s">
        <v>2152</v>
      </c>
      <c r="P391" s="164"/>
      <c r="Q391" s="189" t="s">
        <v>1879</v>
      </c>
      <c r="R391" s="227" t="s">
        <v>1874</v>
      </c>
      <c r="S391" s="189" t="s">
        <v>1879</v>
      </c>
      <c r="T391" s="189" t="s">
        <v>1879</v>
      </c>
    </row>
    <row r="392" spans="1:21" ht="19.2" customHeight="1">
      <c r="A392" s="179">
        <v>561</v>
      </c>
      <c r="B392" s="136"/>
      <c r="C392" s="160" t="s">
        <v>2153</v>
      </c>
      <c r="D392" s="160" t="s">
        <v>2077</v>
      </c>
      <c r="E392" s="160" t="s">
        <v>2151</v>
      </c>
      <c r="F392" s="160" t="s">
        <v>1145</v>
      </c>
      <c r="G392" s="160" t="s">
        <v>2079</v>
      </c>
      <c r="H392" s="160" t="s">
        <v>2080</v>
      </c>
      <c r="I392" s="160" t="s">
        <v>2081</v>
      </c>
      <c r="J392" s="160" t="s">
        <v>2082</v>
      </c>
      <c r="K392" s="161">
        <v>109</v>
      </c>
      <c r="L392" s="160" t="s">
        <v>2083</v>
      </c>
      <c r="M392" s="164"/>
      <c r="N392" s="160" t="s">
        <v>2084</v>
      </c>
      <c r="O392" s="160" t="s">
        <v>2152</v>
      </c>
      <c r="P392" s="164"/>
      <c r="Q392" s="189" t="s">
        <v>1879</v>
      </c>
      <c r="R392" s="227" t="s">
        <v>1874</v>
      </c>
      <c r="S392" s="189" t="s">
        <v>1879</v>
      </c>
      <c r="T392" s="189" t="s">
        <v>1879</v>
      </c>
    </row>
    <row r="393" spans="1:21" ht="19.2" customHeight="1">
      <c r="A393" s="179">
        <v>562</v>
      </c>
      <c r="B393" s="136"/>
      <c r="C393" s="160" t="s">
        <v>2154</v>
      </c>
      <c r="D393" s="160" t="s">
        <v>2077</v>
      </c>
      <c r="E393" s="160" t="s">
        <v>2151</v>
      </c>
      <c r="F393" s="160" t="s">
        <v>1145</v>
      </c>
      <c r="G393" s="160" t="s">
        <v>2079</v>
      </c>
      <c r="H393" s="160" t="s">
        <v>2080</v>
      </c>
      <c r="I393" s="160" t="s">
        <v>2081</v>
      </c>
      <c r="J393" s="160" t="s">
        <v>2082</v>
      </c>
      <c r="K393" s="161">
        <v>109</v>
      </c>
      <c r="L393" s="160" t="s">
        <v>2083</v>
      </c>
      <c r="M393" s="164"/>
      <c r="N393" s="160" t="s">
        <v>2084</v>
      </c>
      <c r="O393" s="160" t="s">
        <v>2152</v>
      </c>
      <c r="P393" s="164"/>
      <c r="Q393" s="189" t="s">
        <v>1879</v>
      </c>
      <c r="R393" s="227" t="s">
        <v>1874</v>
      </c>
      <c r="S393" s="189" t="s">
        <v>1879</v>
      </c>
      <c r="T393" s="189" t="s">
        <v>1879</v>
      </c>
    </row>
    <row r="394" spans="1:21" ht="19.2" customHeight="1">
      <c r="A394" s="179">
        <v>563</v>
      </c>
      <c r="B394" s="136"/>
      <c r="C394" s="160" t="s">
        <v>2155</v>
      </c>
      <c r="D394" s="160" t="s">
        <v>2089</v>
      </c>
      <c r="E394" s="160" t="s">
        <v>2151</v>
      </c>
      <c r="F394" s="160" t="s">
        <v>1145</v>
      </c>
      <c r="G394" s="160" t="s">
        <v>2079</v>
      </c>
      <c r="H394" s="160" t="s">
        <v>2080</v>
      </c>
      <c r="I394" s="160" t="s">
        <v>2081</v>
      </c>
      <c r="J394" s="160" t="s">
        <v>2090</v>
      </c>
      <c r="K394" s="163">
        <v>62.78</v>
      </c>
      <c r="L394" s="163">
        <v>29.22</v>
      </c>
      <c r="M394" s="164"/>
      <c r="N394" s="160" t="s">
        <v>2084</v>
      </c>
      <c r="O394" s="160" t="s">
        <v>2091</v>
      </c>
      <c r="P394" s="164"/>
      <c r="Q394" s="189" t="s">
        <v>1879</v>
      </c>
      <c r="R394" s="227" t="s">
        <v>1874</v>
      </c>
      <c r="S394" s="189" t="s">
        <v>1879</v>
      </c>
      <c r="T394" s="189" t="s">
        <v>1879</v>
      </c>
    </row>
    <row r="395" spans="1:21">
      <c r="C395" s="173" t="s">
        <v>2049</v>
      </c>
      <c r="D395" s="160" t="s">
        <v>2077</v>
      </c>
      <c r="E395" s="160" t="s">
        <v>2151</v>
      </c>
      <c r="F395" s="160" t="s">
        <v>1145</v>
      </c>
      <c r="G395" s="160" t="s">
        <v>2079</v>
      </c>
      <c r="H395" s="160" t="s">
        <v>2080</v>
      </c>
      <c r="I395" s="160" t="s">
        <v>2081</v>
      </c>
      <c r="J395" s="160" t="s">
        <v>2082</v>
      </c>
      <c r="K395" s="161">
        <v>249</v>
      </c>
      <c r="L395" s="161">
        <v>33</v>
      </c>
      <c r="M395" s="164"/>
      <c r="N395" s="160" t="s">
        <v>2084</v>
      </c>
      <c r="O395" s="160" t="s">
        <v>2093</v>
      </c>
      <c r="P395" s="164"/>
      <c r="Q395" s="189" t="s">
        <v>1879</v>
      </c>
      <c r="R395" s="227" t="s">
        <v>1874</v>
      </c>
      <c r="S395" s="189" t="s">
        <v>1879</v>
      </c>
      <c r="T395" s="189" t="s">
        <v>1879</v>
      </c>
    </row>
    <row r="396" spans="1:21">
      <c r="C396" s="160" t="s">
        <v>2156</v>
      </c>
      <c r="D396" s="160" t="s">
        <v>2095</v>
      </c>
      <c r="E396" s="160" t="s">
        <v>2157</v>
      </c>
      <c r="F396" s="160" t="s">
        <v>1145</v>
      </c>
      <c r="G396" s="160" t="s">
        <v>2079</v>
      </c>
      <c r="H396" s="160" t="s">
        <v>2080</v>
      </c>
      <c r="I396" s="160" t="s">
        <v>2081</v>
      </c>
      <c r="J396" s="164"/>
      <c r="K396" s="164"/>
      <c r="L396" s="164"/>
      <c r="M396" s="160" t="s">
        <v>2097</v>
      </c>
      <c r="N396" s="160" t="s">
        <v>2084</v>
      </c>
      <c r="O396" s="160" t="s">
        <v>2091</v>
      </c>
      <c r="P396" s="164"/>
      <c r="Q396" s="189" t="s">
        <v>1879</v>
      </c>
      <c r="R396" s="227" t="s">
        <v>1874</v>
      </c>
      <c r="S396" s="189" t="s">
        <v>1879</v>
      </c>
      <c r="T396" s="189" t="s">
        <v>1879</v>
      </c>
    </row>
    <row r="397" spans="1:21">
      <c r="C397" s="160" t="s">
        <v>2158</v>
      </c>
      <c r="D397" s="160" t="s">
        <v>2099</v>
      </c>
      <c r="E397" s="160" t="s">
        <v>2157</v>
      </c>
      <c r="F397" s="160" t="s">
        <v>1145</v>
      </c>
      <c r="G397" s="160" t="s">
        <v>2079</v>
      </c>
      <c r="H397" s="160" t="s">
        <v>2100</v>
      </c>
      <c r="I397" s="160" t="s">
        <v>2081</v>
      </c>
      <c r="J397" s="164"/>
      <c r="K397" s="164"/>
      <c r="L397" s="164"/>
      <c r="M397" s="160" t="s">
        <v>2097</v>
      </c>
      <c r="N397" s="160" t="s">
        <v>2084</v>
      </c>
      <c r="O397" s="160" t="s">
        <v>2101</v>
      </c>
      <c r="P397" s="164"/>
      <c r="Q397" s="189" t="s">
        <v>1879</v>
      </c>
      <c r="R397" s="227" t="s">
        <v>1874</v>
      </c>
      <c r="S397" s="189" t="s">
        <v>1879</v>
      </c>
      <c r="T397" s="189" t="s">
        <v>1879</v>
      </c>
    </row>
    <row r="398" spans="1:21">
      <c r="C398" s="243" t="s">
        <v>2159</v>
      </c>
      <c r="D398" s="160" t="s">
        <v>2099</v>
      </c>
      <c r="E398" s="160" t="s">
        <v>2157</v>
      </c>
      <c r="F398" s="160" t="s">
        <v>1145</v>
      </c>
      <c r="G398" s="160" t="s">
        <v>2079</v>
      </c>
      <c r="H398" s="160" t="s">
        <v>2100</v>
      </c>
      <c r="I398" s="160" t="s">
        <v>2081</v>
      </c>
      <c r="J398" s="164"/>
      <c r="K398" s="164"/>
      <c r="L398" s="164"/>
      <c r="M398" s="160" t="s">
        <v>2097</v>
      </c>
      <c r="N398" s="160" t="s">
        <v>2084</v>
      </c>
      <c r="O398" s="160" t="s">
        <v>2101</v>
      </c>
      <c r="P398" s="164"/>
      <c r="Q398" s="189" t="s">
        <v>1879</v>
      </c>
      <c r="R398" s="227" t="s">
        <v>1874</v>
      </c>
      <c r="S398" s="189" t="s">
        <v>1879</v>
      </c>
      <c r="T398" s="189" t="s">
        <v>1879</v>
      </c>
    </row>
    <row r="399" spans="1:21">
      <c r="C399" s="160" t="s">
        <v>2160</v>
      </c>
      <c r="D399" s="160" t="s">
        <v>2104</v>
      </c>
      <c r="E399" s="160" t="s">
        <v>2161</v>
      </c>
      <c r="F399" s="160" t="s">
        <v>1145</v>
      </c>
      <c r="G399" s="160" t="s">
        <v>2079</v>
      </c>
      <c r="H399" s="160" t="s">
        <v>2106</v>
      </c>
      <c r="I399" s="160" t="s">
        <v>2081</v>
      </c>
      <c r="J399" s="165"/>
      <c r="K399" s="165"/>
      <c r="L399" s="165"/>
      <c r="M399" s="165"/>
      <c r="N399" s="160" t="s">
        <v>2084</v>
      </c>
      <c r="O399" s="160" t="s">
        <v>2107</v>
      </c>
      <c r="P399" s="165"/>
      <c r="Q399" s="189" t="s">
        <v>1879</v>
      </c>
      <c r="R399" s="227" t="s">
        <v>1874</v>
      </c>
      <c r="S399" s="189" t="s">
        <v>1879</v>
      </c>
      <c r="T399" s="189" t="s">
        <v>1879</v>
      </c>
    </row>
    <row r="400" spans="1:21">
      <c r="C400" s="160" t="s">
        <v>2162</v>
      </c>
      <c r="D400" s="160" t="s">
        <v>2109</v>
      </c>
      <c r="E400" s="160" t="s">
        <v>2163</v>
      </c>
      <c r="F400" s="160" t="s">
        <v>1145</v>
      </c>
      <c r="G400" s="160" t="s">
        <v>2079</v>
      </c>
      <c r="H400" s="160" t="s">
        <v>2106</v>
      </c>
      <c r="I400" s="160" t="s">
        <v>2081</v>
      </c>
      <c r="J400" s="165"/>
      <c r="K400" s="165"/>
      <c r="L400" s="165"/>
      <c r="M400" s="165"/>
      <c r="N400" s="160" t="s">
        <v>2084</v>
      </c>
      <c r="O400" s="160" t="s">
        <v>2107</v>
      </c>
      <c r="P400" s="165"/>
      <c r="Q400" s="189" t="s">
        <v>1879</v>
      </c>
      <c r="R400" s="227" t="s">
        <v>1874</v>
      </c>
      <c r="S400" s="189" t="s">
        <v>1879</v>
      </c>
      <c r="T400" s="189" t="s">
        <v>1879</v>
      </c>
    </row>
    <row r="401" spans="2:21">
      <c r="C401" s="160" t="s">
        <v>2164</v>
      </c>
      <c r="D401" s="160" t="s">
        <v>2104</v>
      </c>
      <c r="E401" s="160" t="s">
        <v>2165</v>
      </c>
      <c r="F401" s="160" t="s">
        <v>1145</v>
      </c>
      <c r="G401" s="160" t="s">
        <v>2079</v>
      </c>
      <c r="H401" s="160" t="s">
        <v>2106</v>
      </c>
      <c r="I401" s="160" t="s">
        <v>2081</v>
      </c>
      <c r="J401" s="165"/>
      <c r="K401" s="165"/>
      <c r="L401" s="165"/>
      <c r="M401" s="165"/>
      <c r="N401" s="160" t="s">
        <v>2084</v>
      </c>
      <c r="O401" s="160" t="s">
        <v>2107</v>
      </c>
      <c r="P401" s="165"/>
      <c r="Q401" s="189" t="s">
        <v>1879</v>
      </c>
      <c r="R401" s="227" t="s">
        <v>1874</v>
      </c>
      <c r="S401" s="189" t="s">
        <v>1879</v>
      </c>
      <c r="T401" s="189" t="s">
        <v>1879</v>
      </c>
    </row>
    <row r="402" spans="2:21">
      <c r="C402" s="160" t="s">
        <v>2166</v>
      </c>
      <c r="D402" s="160" t="s">
        <v>2109</v>
      </c>
      <c r="E402" s="160" t="s">
        <v>2167</v>
      </c>
      <c r="F402" s="160" t="s">
        <v>1145</v>
      </c>
      <c r="G402" s="160" t="s">
        <v>2079</v>
      </c>
      <c r="H402" s="160" t="s">
        <v>2106</v>
      </c>
      <c r="I402" s="160" t="s">
        <v>2081</v>
      </c>
      <c r="J402" s="165"/>
      <c r="K402" s="165"/>
      <c r="L402" s="165"/>
      <c r="M402" s="165"/>
      <c r="N402" s="160" t="s">
        <v>2084</v>
      </c>
      <c r="O402" s="160" t="s">
        <v>2107</v>
      </c>
      <c r="P402" s="165"/>
      <c r="Q402" s="189" t="s">
        <v>1879</v>
      </c>
      <c r="R402" s="227" t="s">
        <v>1874</v>
      </c>
      <c r="S402" s="189" t="s">
        <v>1879</v>
      </c>
      <c r="T402" s="189" t="s">
        <v>1879</v>
      </c>
    </row>
    <row r="403" spans="2:21" ht="33">
      <c r="B403" s="237">
        <v>4</v>
      </c>
      <c r="C403" s="166" t="s">
        <v>2188</v>
      </c>
      <c r="D403" s="166" t="s">
        <v>2189</v>
      </c>
      <c r="E403" s="166" t="s">
        <v>2190</v>
      </c>
      <c r="F403" s="166" t="s">
        <v>2171</v>
      </c>
      <c r="G403" s="166" t="s">
        <v>2191</v>
      </c>
      <c r="H403" s="166" t="s">
        <v>2100</v>
      </c>
      <c r="I403" s="166" t="s">
        <v>2081</v>
      </c>
      <c r="J403" s="167"/>
      <c r="K403" s="167"/>
      <c r="L403" s="167"/>
      <c r="M403" s="167"/>
      <c r="N403" s="166" t="s">
        <v>2084</v>
      </c>
      <c r="O403" s="166" t="s">
        <v>2192</v>
      </c>
      <c r="P403" s="167"/>
      <c r="Q403" s="227" t="s">
        <v>1874</v>
      </c>
      <c r="R403" s="227" t="s">
        <v>1874</v>
      </c>
      <c r="S403" s="226" t="s">
        <v>2054</v>
      </c>
      <c r="T403" s="189" t="s">
        <v>1879</v>
      </c>
      <c r="U403" s="162" t="s">
        <v>2061</v>
      </c>
    </row>
    <row r="404" spans="2:21" ht="33">
      <c r="B404" s="237">
        <v>4</v>
      </c>
      <c r="C404" s="166" t="s">
        <v>2193</v>
      </c>
      <c r="D404" s="166" t="s">
        <v>2194</v>
      </c>
      <c r="E404" s="166" t="s">
        <v>2190</v>
      </c>
      <c r="F404" s="166" t="s">
        <v>2171</v>
      </c>
      <c r="G404" s="166" t="s">
        <v>2191</v>
      </c>
      <c r="H404" s="166" t="s">
        <v>2100</v>
      </c>
      <c r="I404" s="166" t="s">
        <v>2081</v>
      </c>
      <c r="J404" s="167"/>
      <c r="K404" s="167"/>
      <c r="L404" s="167"/>
      <c r="M404" s="167"/>
      <c r="N404" s="166" t="s">
        <v>2084</v>
      </c>
      <c r="O404" s="166" t="s">
        <v>2192</v>
      </c>
      <c r="P404" s="167"/>
      <c r="Q404" s="227" t="s">
        <v>1874</v>
      </c>
      <c r="R404" s="227" t="s">
        <v>1874</v>
      </c>
      <c r="S404" s="226" t="s">
        <v>2054</v>
      </c>
      <c r="T404" s="189" t="s">
        <v>1879</v>
      </c>
      <c r="U404" s="162" t="s">
        <v>2061</v>
      </c>
    </row>
    <row r="405" spans="2:21" ht="33">
      <c r="B405" s="237">
        <v>4</v>
      </c>
      <c r="C405" s="239" t="s">
        <v>2195</v>
      </c>
      <c r="D405" s="166" t="s">
        <v>2189</v>
      </c>
      <c r="E405" s="166" t="s">
        <v>2196</v>
      </c>
      <c r="F405" s="166" t="s">
        <v>2171</v>
      </c>
      <c r="G405" s="166" t="s">
        <v>2191</v>
      </c>
      <c r="H405" s="166" t="s">
        <v>2100</v>
      </c>
      <c r="I405" s="166" t="s">
        <v>2081</v>
      </c>
      <c r="J405" s="167"/>
      <c r="K405" s="167"/>
      <c r="L405" s="167"/>
      <c r="M405" s="167"/>
      <c r="N405" s="166" t="s">
        <v>2084</v>
      </c>
      <c r="O405" s="166" t="s">
        <v>2192</v>
      </c>
      <c r="P405" s="167"/>
      <c r="Q405" s="227" t="s">
        <v>1874</v>
      </c>
      <c r="R405" s="227" t="s">
        <v>1874</v>
      </c>
      <c r="S405" s="226" t="s">
        <v>2054</v>
      </c>
      <c r="T405" s="189" t="s">
        <v>1879</v>
      </c>
      <c r="U405" s="162" t="s">
        <v>2061</v>
      </c>
    </row>
    <row r="406" spans="2:21" ht="33">
      <c r="B406" s="237">
        <v>4</v>
      </c>
      <c r="C406" s="239" t="s">
        <v>2197</v>
      </c>
      <c r="D406" s="166" t="s">
        <v>2194</v>
      </c>
      <c r="E406" s="166" t="s">
        <v>2196</v>
      </c>
      <c r="F406" s="166" t="s">
        <v>2171</v>
      </c>
      <c r="G406" s="166" t="s">
        <v>2191</v>
      </c>
      <c r="H406" s="166" t="s">
        <v>2100</v>
      </c>
      <c r="I406" s="166" t="s">
        <v>2081</v>
      </c>
      <c r="J406" s="167"/>
      <c r="K406" s="167"/>
      <c r="L406" s="167"/>
      <c r="M406" s="167"/>
      <c r="N406" s="166" t="s">
        <v>2084</v>
      </c>
      <c r="O406" s="166" t="s">
        <v>2192</v>
      </c>
      <c r="P406" s="167"/>
      <c r="Q406" s="227" t="s">
        <v>1874</v>
      </c>
      <c r="R406" s="227" t="s">
        <v>1874</v>
      </c>
      <c r="S406" s="226" t="s">
        <v>2054</v>
      </c>
      <c r="T406" s="189" t="s">
        <v>1879</v>
      </c>
      <c r="U406" s="162" t="s">
        <v>2061</v>
      </c>
    </row>
    <row r="407" spans="2:21" ht="33">
      <c r="B407" s="237">
        <v>4</v>
      </c>
      <c r="C407" s="166" t="s">
        <v>2207</v>
      </c>
      <c r="D407" s="166" t="s">
        <v>2208</v>
      </c>
      <c r="E407" s="166" t="s">
        <v>2190</v>
      </c>
      <c r="F407" s="166" t="s">
        <v>2171</v>
      </c>
      <c r="G407" s="166" t="s">
        <v>2191</v>
      </c>
      <c r="H407" s="166" t="s">
        <v>2106</v>
      </c>
      <c r="I407" s="166" t="s">
        <v>2081</v>
      </c>
      <c r="J407" s="167"/>
      <c r="K407" s="167"/>
      <c r="L407" s="167"/>
      <c r="M407" s="167"/>
      <c r="N407" s="166" t="s">
        <v>2084</v>
      </c>
      <c r="O407" s="166" t="s">
        <v>2192</v>
      </c>
      <c r="P407" s="167"/>
      <c r="Q407" s="227" t="s">
        <v>1874</v>
      </c>
      <c r="R407" s="227" t="s">
        <v>1874</v>
      </c>
      <c r="S407" s="226" t="s">
        <v>2054</v>
      </c>
      <c r="T407" s="189" t="s">
        <v>1879</v>
      </c>
      <c r="U407" s="162" t="s">
        <v>2061</v>
      </c>
    </row>
    <row r="408" spans="2:21" ht="33">
      <c r="B408" s="237">
        <v>4</v>
      </c>
      <c r="C408" s="166" t="s">
        <v>2209</v>
      </c>
      <c r="D408" s="166" t="s">
        <v>2210</v>
      </c>
      <c r="E408" s="166" t="s">
        <v>2190</v>
      </c>
      <c r="F408" s="166" t="s">
        <v>2171</v>
      </c>
      <c r="G408" s="166" t="s">
        <v>2191</v>
      </c>
      <c r="H408" s="166" t="s">
        <v>2106</v>
      </c>
      <c r="I408" s="166" t="s">
        <v>2081</v>
      </c>
      <c r="J408" s="167"/>
      <c r="K408" s="167"/>
      <c r="L408" s="167"/>
      <c r="M408" s="167"/>
      <c r="N408" s="166" t="s">
        <v>2084</v>
      </c>
      <c r="O408" s="166" t="s">
        <v>2192</v>
      </c>
      <c r="P408" s="167"/>
      <c r="Q408" s="227" t="s">
        <v>1874</v>
      </c>
      <c r="R408" s="227" t="s">
        <v>1874</v>
      </c>
      <c r="S408" s="226" t="s">
        <v>2054</v>
      </c>
      <c r="T408" s="189" t="s">
        <v>1879</v>
      </c>
      <c r="U408" s="162" t="s">
        <v>2061</v>
      </c>
    </row>
    <row r="409" spans="2:21" ht="33">
      <c r="B409" s="237">
        <v>4</v>
      </c>
      <c r="C409" s="166" t="s">
        <v>2211</v>
      </c>
      <c r="D409" s="166" t="s">
        <v>2208</v>
      </c>
      <c r="E409" s="166" t="s">
        <v>2196</v>
      </c>
      <c r="F409" s="166" t="s">
        <v>2171</v>
      </c>
      <c r="G409" s="166" t="s">
        <v>2191</v>
      </c>
      <c r="H409" s="166" t="s">
        <v>2106</v>
      </c>
      <c r="I409" s="166" t="s">
        <v>2081</v>
      </c>
      <c r="J409" s="167"/>
      <c r="K409" s="167"/>
      <c r="L409" s="167"/>
      <c r="M409" s="167"/>
      <c r="N409" s="166" t="s">
        <v>2084</v>
      </c>
      <c r="O409" s="166" t="s">
        <v>2192</v>
      </c>
      <c r="P409" s="167"/>
      <c r="Q409" s="227" t="s">
        <v>1874</v>
      </c>
      <c r="R409" s="227" t="s">
        <v>1874</v>
      </c>
      <c r="S409" s="226" t="s">
        <v>2054</v>
      </c>
      <c r="T409" s="189" t="s">
        <v>1879</v>
      </c>
      <c r="U409" s="162" t="s">
        <v>2061</v>
      </c>
    </row>
    <row r="410" spans="2:21" ht="33">
      <c r="B410" s="237">
        <v>4</v>
      </c>
      <c r="C410" s="166" t="s">
        <v>2212</v>
      </c>
      <c r="D410" s="166" t="s">
        <v>2210</v>
      </c>
      <c r="E410" s="166" t="s">
        <v>2196</v>
      </c>
      <c r="F410" s="166" t="s">
        <v>2171</v>
      </c>
      <c r="G410" s="166" t="s">
        <v>2191</v>
      </c>
      <c r="H410" s="166" t="s">
        <v>2106</v>
      </c>
      <c r="I410" s="166" t="s">
        <v>2081</v>
      </c>
      <c r="J410" s="167"/>
      <c r="K410" s="167"/>
      <c r="L410" s="167"/>
      <c r="M410" s="167"/>
      <c r="N410" s="166" t="s">
        <v>2084</v>
      </c>
      <c r="O410" s="166" t="s">
        <v>2192</v>
      </c>
      <c r="P410" s="167"/>
      <c r="Q410" s="227" t="s">
        <v>1874</v>
      </c>
      <c r="R410" s="227" t="s">
        <v>1874</v>
      </c>
      <c r="S410" s="226" t="s">
        <v>2054</v>
      </c>
      <c r="T410" s="189" t="s">
        <v>1879</v>
      </c>
      <c r="U410" s="162" t="s">
        <v>2061</v>
      </c>
    </row>
    <row r="411" spans="2:21">
      <c r="B411" s="237">
        <v>3</v>
      </c>
      <c r="C411" s="166" t="s">
        <v>2439</v>
      </c>
      <c r="D411" s="166" t="s">
        <v>2440</v>
      </c>
      <c r="E411" s="166" t="s">
        <v>2441</v>
      </c>
      <c r="F411" s="166" t="s">
        <v>1127</v>
      </c>
      <c r="G411" s="166" t="s">
        <v>2442</v>
      </c>
      <c r="H411" s="166" t="s">
        <v>2254</v>
      </c>
      <c r="I411" s="166" t="s">
        <v>2081</v>
      </c>
      <c r="J411" s="167"/>
      <c r="K411" s="167"/>
      <c r="L411" s="167"/>
      <c r="M411" s="167"/>
      <c r="N411" s="166" t="s">
        <v>2084</v>
      </c>
      <c r="O411" s="166" t="s">
        <v>2443</v>
      </c>
      <c r="P411" s="167"/>
      <c r="Q411" s="166"/>
      <c r="R411" s="166"/>
      <c r="S411" s="166"/>
      <c r="T411" s="189" t="s">
        <v>1879</v>
      </c>
      <c r="U411" s="162" t="s">
        <v>2061</v>
      </c>
    </row>
    <row r="412" spans="2:21" ht="33">
      <c r="B412" s="237">
        <v>4</v>
      </c>
      <c r="C412" s="166" t="s">
        <v>2198</v>
      </c>
      <c r="D412" s="166" t="s">
        <v>2189</v>
      </c>
      <c r="E412" s="166" t="s">
        <v>2199</v>
      </c>
      <c r="F412" s="166" t="s">
        <v>2171</v>
      </c>
      <c r="G412" s="166" t="s">
        <v>2200</v>
      </c>
      <c r="H412" s="166" t="s">
        <v>2100</v>
      </c>
      <c r="I412" s="166" t="s">
        <v>2081</v>
      </c>
      <c r="J412" s="167"/>
      <c r="K412" s="167"/>
      <c r="L412" s="167"/>
      <c r="M412" s="167"/>
      <c r="N412" s="166" t="s">
        <v>2084</v>
      </c>
      <c r="O412" s="166" t="s">
        <v>2192</v>
      </c>
      <c r="P412" s="167"/>
      <c r="Q412" s="227" t="s">
        <v>1874</v>
      </c>
      <c r="R412" s="227" t="s">
        <v>1874</v>
      </c>
      <c r="S412" s="226" t="s">
        <v>2054</v>
      </c>
      <c r="T412" s="189" t="s">
        <v>1879</v>
      </c>
      <c r="U412" s="162" t="s">
        <v>2061</v>
      </c>
    </row>
    <row r="413" spans="2:21" ht="33">
      <c r="B413" s="237">
        <v>4</v>
      </c>
      <c r="C413" s="239" t="s">
        <v>2201</v>
      </c>
      <c r="D413" s="166" t="s">
        <v>2194</v>
      </c>
      <c r="E413" s="166" t="s">
        <v>2199</v>
      </c>
      <c r="F413" s="166" t="s">
        <v>2171</v>
      </c>
      <c r="G413" s="166" t="s">
        <v>2200</v>
      </c>
      <c r="H413" s="166" t="s">
        <v>2100</v>
      </c>
      <c r="I413" s="166" t="s">
        <v>2081</v>
      </c>
      <c r="J413" s="167"/>
      <c r="K413" s="167"/>
      <c r="L413" s="167"/>
      <c r="M413" s="167"/>
      <c r="N413" s="166" t="s">
        <v>2084</v>
      </c>
      <c r="O413" s="166" t="s">
        <v>2192</v>
      </c>
      <c r="P413" s="167"/>
      <c r="Q413" s="227" t="s">
        <v>1874</v>
      </c>
      <c r="R413" s="227" t="s">
        <v>1874</v>
      </c>
      <c r="S413" s="226" t="s">
        <v>2054</v>
      </c>
      <c r="T413" s="189" t="s">
        <v>1879</v>
      </c>
      <c r="U413" s="162" t="s">
        <v>2061</v>
      </c>
    </row>
    <row r="414" spans="2:21" ht="33">
      <c r="B414" s="237">
        <v>4</v>
      </c>
      <c r="C414" s="166" t="s">
        <v>2202</v>
      </c>
      <c r="D414" s="166" t="s">
        <v>2189</v>
      </c>
      <c r="E414" s="166" t="s">
        <v>2203</v>
      </c>
      <c r="F414" s="166" t="s">
        <v>2171</v>
      </c>
      <c r="G414" s="166" t="s">
        <v>2200</v>
      </c>
      <c r="H414" s="166" t="s">
        <v>2100</v>
      </c>
      <c r="I414" s="166" t="s">
        <v>2081</v>
      </c>
      <c r="J414" s="167"/>
      <c r="K414" s="167"/>
      <c r="L414" s="167"/>
      <c r="M414" s="167"/>
      <c r="N414" s="166" t="s">
        <v>2084</v>
      </c>
      <c r="O414" s="166" t="s">
        <v>2192</v>
      </c>
      <c r="P414" s="167"/>
      <c r="Q414" s="227" t="s">
        <v>1874</v>
      </c>
      <c r="R414" s="227" t="s">
        <v>1874</v>
      </c>
      <c r="S414" s="226" t="s">
        <v>2054</v>
      </c>
      <c r="T414" s="189" t="s">
        <v>1879</v>
      </c>
      <c r="U414" s="162" t="s">
        <v>2061</v>
      </c>
    </row>
    <row r="415" spans="2:21" ht="33">
      <c r="B415" s="237">
        <v>4</v>
      </c>
      <c r="C415" s="166" t="s">
        <v>2204</v>
      </c>
      <c r="D415" s="166" t="s">
        <v>2194</v>
      </c>
      <c r="E415" s="166" t="s">
        <v>2203</v>
      </c>
      <c r="F415" s="166" t="s">
        <v>2171</v>
      </c>
      <c r="G415" s="166" t="s">
        <v>2200</v>
      </c>
      <c r="H415" s="166" t="s">
        <v>2100</v>
      </c>
      <c r="I415" s="166" t="s">
        <v>2081</v>
      </c>
      <c r="J415" s="167"/>
      <c r="K415" s="167"/>
      <c r="L415" s="167"/>
      <c r="M415" s="167"/>
      <c r="N415" s="166" t="s">
        <v>2084</v>
      </c>
      <c r="O415" s="166" t="s">
        <v>2192</v>
      </c>
      <c r="P415" s="167"/>
      <c r="Q415" s="227" t="s">
        <v>1874</v>
      </c>
      <c r="R415" s="227" t="s">
        <v>1874</v>
      </c>
      <c r="S415" s="226" t="s">
        <v>2054</v>
      </c>
      <c r="T415" s="189" t="s">
        <v>1879</v>
      </c>
      <c r="U415" s="162" t="s">
        <v>2061</v>
      </c>
    </row>
    <row r="416" spans="2:21" ht="33">
      <c r="B416" s="237">
        <v>4</v>
      </c>
      <c r="C416" s="166" t="s">
        <v>2213</v>
      </c>
      <c r="D416" s="166" t="s">
        <v>2208</v>
      </c>
      <c r="E416" s="166" t="s">
        <v>2199</v>
      </c>
      <c r="F416" s="166" t="s">
        <v>2171</v>
      </c>
      <c r="G416" s="166" t="s">
        <v>2200</v>
      </c>
      <c r="H416" s="166" t="s">
        <v>2106</v>
      </c>
      <c r="I416" s="166" t="s">
        <v>2081</v>
      </c>
      <c r="J416" s="167"/>
      <c r="K416" s="167"/>
      <c r="L416" s="167"/>
      <c r="M416" s="167"/>
      <c r="N416" s="166" t="s">
        <v>2084</v>
      </c>
      <c r="O416" s="166" t="s">
        <v>2192</v>
      </c>
      <c r="P416" s="167"/>
      <c r="Q416" s="227" t="s">
        <v>1874</v>
      </c>
      <c r="R416" s="227" t="s">
        <v>1874</v>
      </c>
      <c r="S416" s="226" t="s">
        <v>2054</v>
      </c>
      <c r="T416" s="189" t="s">
        <v>1879</v>
      </c>
      <c r="U416" s="162" t="s">
        <v>2061</v>
      </c>
    </row>
    <row r="417" spans="2:21" ht="33">
      <c r="B417" s="237">
        <v>4</v>
      </c>
      <c r="C417" s="166" t="s">
        <v>2214</v>
      </c>
      <c r="D417" s="166" t="s">
        <v>2210</v>
      </c>
      <c r="E417" s="166" t="s">
        <v>2199</v>
      </c>
      <c r="F417" s="166" t="s">
        <v>2171</v>
      </c>
      <c r="G417" s="166" t="s">
        <v>2200</v>
      </c>
      <c r="H417" s="166" t="s">
        <v>2106</v>
      </c>
      <c r="I417" s="166" t="s">
        <v>2081</v>
      </c>
      <c r="J417" s="167"/>
      <c r="K417" s="167"/>
      <c r="L417" s="167"/>
      <c r="M417" s="167"/>
      <c r="N417" s="166" t="s">
        <v>2084</v>
      </c>
      <c r="O417" s="166" t="s">
        <v>2192</v>
      </c>
      <c r="P417" s="167"/>
      <c r="Q417" s="227" t="s">
        <v>1874</v>
      </c>
      <c r="R417" s="227" t="s">
        <v>1874</v>
      </c>
      <c r="S417" s="226" t="s">
        <v>2054</v>
      </c>
      <c r="T417" s="189" t="s">
        <v>1879</v>
      </c>
      <c r="U417" s="162" t="s">
        <v>2061</v>
      </c>
    </row>
    <row r="418" spans="2:21" ht="33">
      <c r="B418" s="237">
        <v>4</v>
      </c>
      <c r="C418" s="166" t="s">
        <v>2215</v>
      </c>
      <c r="D418" s="166" t="s">
        <v>2208</v>
      </c>
      <c r="E418" s="166" t="s">
        <v>2203</v>
      </c>
      <c r="F418" s="166" t="s">
        <v>2171</v>
      </c>
      <c r="G418" s="166" t="s">
        <v>2200</v>
      </c>
      <c r="H418" s="166" t="s">
        <v>2106</v>
      </c>
      <c r="I418" s="166" t="s">
        <v>2081</v>
      </c>
      <c r="J418" s="167"/>
      <c r="K418" s="167"/>
      <c r="L418" s="167"/>
      <c r="M418" s="167"/>
      <c r="N418" s="166" t="s">
        <v>2084</v>
      </c>
      <c r="O418" s="166" t="s">
        <v>2192</v>
      </c>
      <c r="P418" s="167"/>
      <c r="Q418" s="227" t="s">
        <v>1874</v>
      </c>
      <c r="R418" s="227" t="s">
        <v>1874</v>
      </c>
      <c r="S418" s="226" t="s">
        <v>2054</v>
      </c>
      <c r="T418" s="189" t="s">
        <v>1879</v>
      </c>
      <c r="U418" s="162" t="s">
        <v>2061</v>
      </c>
    </row>
    <row r="419" spans="2:21" ht="33">
      <c r="B419" s="237">
        <v>4</v>
      </c>
      <c r="C419" s="166" t="s">
        <v>2216</v>
      </c>
      <c r="D419" s="166" t="s">
        <v>2210</v>
      </c>
      <c r="E419" s="166" t="s">
        <v>2203</v>
      </c>
      <c r="F419" s="166" t="s">
        <v>2171</v>
      </c>
      <c r="G419" s="166" t="s">
        <v>2200</v>
      </c>
      <c r="H419" s="166" t="s">
        <v>2106</v>
      </c>
      <c r="I419" s="166" t="s">
        <v>2081</v>
      </c>
      <c r="J419" s="167"/>
      <c r="K419" s="167"/>
      <c r="L419" s="167"/>
      <c r="M419" s="167"/>
      <c r="N419" s="166" t="s">
        <v>2084</v>
      </c>
      <c r="O419" s="166" t="s">
        <v>2192</v>
      </c>
      <c r="P419" s="167"/>
      <c r="Q419" s="227" t="s">
        <v>1874</v>
      </c>
      <c r="R419" s="227" t="s">
        <v>1874</v>
      </c>
      <c r="S419" s="226" t="s">
        <v>2054</v>
      </c>
      <c r="T419" s="189" t="s">
        <v>1879</v>
      </c>
      <c r="U419" s="162" t="s">
        <v>2061</v>
      </c>
    </row>
    <row r="420" spans="2:21">
      <c r="B420" s="240">
        <v>3</v>
      </c>
      <c r="C420" s="244" t="s">
        <v>2055</v>
      </c>
      <c r="D420" s="184" t="s">
        <v>2189</v>
      </c>
      <c r="E420" s="184" t="s">
        <v>2262</v>
      </c>
      <c r="F420" s="184" t="s">
        <v>1546</v>
      </c>
      <c r="G420" s="184" t="s">
        <v>2263</v>
      </c>
      <c r="H420" s="184" t="s">
        <v>2100</v>
      </c>
      <c r="I420" s="184" t="s">
        <v>2081</v>
      </c>
      <c r="J420" s="185"/>
      <c r="K420" s="185"/>
      <c r="L420" s="185"/>
      <c r="M420" s="185"/>
      <c r="N420" s="184" t="s">
        <v>2084</v>
      </c>
      <c r="O420" s="184" t="s">
        <v>2264</v>
      </c>
      <c r="P420" s="185"/>
      <c r="Q420" s="227" t="s">
        <v>1874</v>
      </c>
      <c r="R420" s="227" t="s">
        <v>1874</v>
      </c>
      <c r="S420" s="226" t="s">
        <v>2054</v>
      </c>
      <c r="T420" s="189" t="s">
        <v>1879</v>
      </c>
      <c r="U420" s="162" t="s">
        <v>2061</v>
      </c>
    </row>
    <row r="421" spans="2:21">
      <c r="B421" s="240">
        <v>3</v>
      </c>
      <c r="C421" s="242" t="s">
        <v>2265</v>
      </c>
      <c r="D421" s="184" t="s">
        <v>2194</v>
      </c>
      <c r="E421" s="184" t="s">
        <v>2262</v>
      </c>
      <c r="F421" s="184" t="s">
        <v>1546</v>
      </c>
      <c r="G421" s="184" t="s">
        <v>2263</v>
      </c>
      <c r="H421" s="184" t="s">
        <v>2100</v>
      </c>
      <c r="I421" s="184" t="s">
        <v>2081</v>
      </c>
      <c r="J421" s="185"/>
      <c r="K421" s="185"/>
      <c r="L421" s="185"/>
      <c r="M421" s="185"/>
      <c r="N421" s="184" t="s">
        <v>2084</v>
      </c>
      <c r="O421" s="184" t="s">
        <v>2264</v>
      </c>
      <c r="P421" s="185"/>
      <c r="Q421" s="184"/>
      <c r="R421" s="184"/>
      <c r="S421" s="184"/>
      <c r="T421" s="189" t="s">
        <v>1879</v>
      </c>
      <c r="U421" s="162" t="s">
        <v>2061</v>
      </c>
    </row>
    <row r="422" spans="2:21">
      <c r="B422" s="240">
        <v>3</v>
      </c>
      <c r="C422" s="184" t="s">
        <v>2266</v>
      </c>
      <c r="D422" s="184" t="s">
        <v>2189</v>
      </c>
      <c r="E422" s="184" t="s">
        <v>2267</v>
      </c>
      <c r="F422" s="184" t="s">
        <v>1546</v>
      </c>
      <c r="G422" s="184" t="s">
        <v>2263</v>
      </c>
      <c r="H422" s="184" t="s">
        <v>2100</v>
      </c>
      <c r="I422" s="184" t="s">
        <v>2081</v>
      </c>
      <c r="J422" s="185"/>
      <c r="K422" s="185"/>
      <c r="L422" s="185"/>
      <c r="M422" s="185"/>
      <c r="N422" s="184" t="s">
        <v>2084</v>
      </c>
      <c r="O422" s="184" t="s">
        <v>2264</v>
      </c>
      <c r="P422" s="185"/>
      <c r="Q422" s="184"/>
      <c r="R422" s="184"/>
      <c r="S422" s="184"/>
      <c r="T422" s="189" t="s">
        <v>1879</v>
      </c>
      <c r="U422" s="162" t="s">
        <v>2061</v>
      </c>
    </row>
    <row r="423" spans="2:21">
      <c r="B423" s="240">
        <v>3</v>
      </c>
      <c r="C423" s="184" t="s">
        <v>2268</v>
      </c>
      <c r="D423" s="184" t="s">
        <v>2194</v>
      </c>
      <c r="E423" s="184" t="s">
        <v>2267</v>
      </c>
      <c r="F423" s="184" t="s">
        <v>1546</v>
      </c>
      <c r="G423" s="184" t="s">
        <v>2263</v>
      </c>
      <c r="H423" s="184" t="s">
        <v>2100</v>
      </c>
      <c r="I423" s="184" t="s">
        <v>2081</v>
      </c>
      <c r="J423" s="185"/>
      <c r="K423" s="185"/>
      <c r="L423" s="185"/>
      <c r="M423" s="185"/>
      <c r="N423" s="184" t="s">
        <v>2084</v>
      </c>
      <c r="O423" s="184" t="s">
        <v>2264</v>
      </c>
      <c r="P423" s="185"/>
      <c r="Q423" s="184"/>
      <c r="R423" s="184"/>
      <c r="S423" s="184"/>
      <c r="T423" s="189" t="s">
        <v>1879</v>
      </c>
      <c r="U423" s="162" t="s">
        <v>2061</v>
      </c>
    </row>
    <row r="424" spans="2:21">
      <c r="B424" s="240">
        <v>3</v>
      </c>
      <c r="C424" s="184" t="s">
        <v>2325</v>
      </c>
      <c r="D424" s="184" t="s">
        <v>2189</v>
      </c>
      <c r="E424" s="184" t="s">
        <v>2326</v>
      </c>
      <c r="F424" s="184" t="s">
        <v>1556</v>
      </c>
      <c r="G424" s="184" t="s">
        <v>2263</v>
      </c>
      <c r="H424" s="184" t="s">
        <v>2100</v>
      </c>
      <c r="I424" s="184" t="s">
        <v>2081</v>
      </c>
      <c r="J424" s="185"/>
      <c r="K424" s="185"/>
      <c r="L424" s="185"/>
      <c r="M424" s="185"/>
      <c r="N424" s="184" t="s">
        <v>2084</v>
      </c>
      <c r="O424" s="184" t="s">
        <v>2264</v>
      </c>
      <c r="P424" s="185"/>
      <c r="Q424" s="227" t="s">
        <v>1874</v>
      </c>
      <c r="R424" s="227" t="s">
        <v>1874</v>
      </c>
      <c r="S424" s="226" t="s">
        <v>2054</v>
      </c>
      <c r="T424" s="189" t="s">
        <v>1879</v>
      </c>
      <c r="U424" s="162" t="s">
        <v>2061</v>
      </c>
    </row>
    <row r="425" spans="2:21">
      <c r="B425" s="240">
        <v>3</v>
      </c>
      <c r="C425" s="242" t="s">
        <v>2327</v>
      </c>
      <c r="D425" s="184" t="s">
        <v>2194</v>
      </c>
      <c r="E425" s="184" t="s">
        <v>2326</v>
      </c>
      <c r="F425" s="184" t="s">
        <v>1556</v>
      </c>
      <c r="G425" s="184" t="s">
        <v>2263</v>
      </c>
      <c r="H425" s="184" t="s">
        <v>2100</v>
      </c>
      <c r="I425" s="184" t="s">
        <v>2081</v>
      </c>
      <c r="J425" s="185"/>
      <c r="K425" s="185"/>
      <c r="L425" s="185"/>
      <c r="M425" s="185"/>
      <c r="N425" s="184" t="s">
        <v>2084</v>
      </c>
      <c r="O425" s="184" t="s">
        <v>2264</v>
      </c>
      <c r="P425" s="185"/>
      <c r="Q425" s="227" t="s">
        <v>1874</v>
      </c>
      <c r="R425" s="227" t="s">
        <v>1874</v>
      </c>
      <c r="S425" s="226" t="s">
        <v>2054</v>
      </c>
      <c r="T425" s="189" t="s">
        <v>1879</v>
      </c>
      <c r="U425" s="162" t="s">
        <v>2061</v>
      </c>
    </row>
    <row r="426" spans="2:21">
      <c r="B426" s="240">
        <v>3</v>
      </c>
      <c r="C426" s="184" t="s">
        <v>2328</v>
      </c>
      <c r="D426" s="184" t="s">
        <v>2189</v>
      </c>
      <c r="E426" s="184" t="s">
        <v>2329</v>
      </c>
      <c r="F426" s="184" t="s">
        <v>1556</v>
      </c>
      <c r="G426" s="184" t="s">
        <v>2263</v>
      </c>
      <c r="H426" s="184" t="s">
        <v>2100</v>
      </c>
      <c r="I426" s="184" t="s">
        <v>2081</v>
      </c>
      <c r="J426" s="185"/>
      <c r="K426" s="185"/>
      <c r="L426" s="185"/>
      <c r="M426" s="185"/>
      <c r="N426" s="184" t="s">
        <v>2084</v>
      </c>
      <c r="O426" s="184" t="s">
        <v>2264</v>
      </c>
      <c r="P426" s="185"/>
      <c r="Q426" s="227" t="s">
        <v>1874</v>
      </c>
      <c r="R426" s="227" t="s">
        <v>1874</v>
      </c>
      <c r="S426" s="226" t="s">
        <v>2054</v>
      </c>
      <c r="T426" s="189" t="s">
        <v>1879</v>
      </c>
      <c r="U426" s="162" t="s">
        <v>2061</v>
      </c>
    </row>
    <row r="427" spans="2:21">
      <c r="B427" s="240">
        <v>3</v>
      </c>
      <c r="C427" s="184" t="s">
        <v>2330</v>
      </c>
      <c r="D427" s="184" t="s">
        <v>2194</v>
      </c>
      <c r="E427" s="184" t="s">
        <v>2329</v>
      </c>
      <c r="F427" s="184" t="s">
        <v>1556</v>
      </c>
      <c r="G427" s="184" t="s">
        <v>2263</v>
      </c>
      <c r="H427" s="184" t="s">
        <v>2100</v>
      </c>
      <c r="I427" s="184" t="s">
        <v>2081</v>
      </c>
      <c r="J427" s="185"/>
      <c r="K427" s="185"/>
      <c r="L427" s="185"/>
      <c r="M427" s="185"/>
      <c r="N427" s="184" t="s">
        <v>2084</v>
      </c>
      <c r="O427" s="184" t="s">
        <v>2264</v>
      </c>
      <c r="P427" s="185"/>
      <c r="Q427" s="227" t="s">
        <v>1874</v>
      </c>
      <c r="R427" s="227" t="s">
        <v>1874</v>
      </c>
      <c r="S427" s="226" t="s">
        <v>2054</v>
      </c>
      <c r="T427" s="189" t="s">
        <v>1879</v>
      </c>
      <c r="U427" s="162" t="s">
        <v>2061</v>
      </c>
    </row>
    <row r="428" spans="2:21">
      <c r="B428" s="240">
        <v>3</v>
      </c>
      <c r="C428" s="184" t="s">
        <v>2331</v>
      </c>
      <c r="D428" s="184" t="s">
        <v>2189</v>
      </c>
      <c r="E428" s="184" t="s">
        <v>2332</v>
      </c>
      <c r="F428" s="184" t="s">
        <v>1556</v>
      </c>
      <c r="G428" s="184" t="s">
        <v>2263</v>
      </c>
      <c r="H428" s="184" t="s">
        <v>2100</v>
      </c>
      <c r="I428" s="184" t="s">
        <v>2081</v>
      </c>
      <c r="J428" s="185"/>
      <c r="K428" s="185"/>
      <c r="L428" s="185"/>
      <c r="M428" s="185"/>
      <c r="N428" s="184" t="s">
        <v>2084</v>
      </c>
      <c r="O428" s="184" t="s">
        <v>2264</v>
      </c>
      <c r="P428" s="185"/>
      <c r="Q428" s="227" t="s">
        <v>1874</v>
      </c>
      <c r="R428" s="227" t="s">
        <v>1874</v>
      </c>
      <c r="S428" s="226" t="s">
        <v>2054</v>
      </c>
      <c r="T428" s="189" t="s">
        <v>1879</v>
      </c>
      <c r="U428" s="162" t="s">
        <v>2061</v>
      </c>
    </row>
    <row r="429" spans="2:21">
      <c r="B429" s="240">
        <v>3</v>
      </c>
      <c r="C429" s="184" t="s">
        <v>2333</v>
      </c>
      <c r="D429" s="184" t="s">
        <v>2194</v>
      </c>
      <c r="E429" s="184" t="s">
        <v>2332</v>
      </c>
      <c r="F429" s="184" t="s">
        <v>1556</v>
      </c>
      <c r="G429" s="184" t="s">
        <v>2263</v>
      </c>
      <c r="H429" s="184" t="s">
        <v>2100</v>
      </c>
      <c r="I429" s="184" t="s">
        <v>2081</v>
      </c>
      <c r="J429" s="185"/>
      <c r="K429" s="185"/>
      <c r="L429" s="185"/>
      <c r="M429" s="185"/>
      <c r="N429" s="184" t="s">
        <v>2084</v>
      </c>
      <c r="O429" s="184" t="s">
        <v>2264</v>
      </c>
      <c r="P429" s="185"/>
      <c r="Q429" s="227" t="s">
        <v>1874</v>
      </c>
      <c r="R429" s="227" t="s">
        <v>1874</v>
      </c>
      <c r="S429" s="226" t="s">
        <v>2054</v>
      </c>
      <c r="T429" s="189" t="s">
        <v>1879</v>
      </c>
      <c r="U429" s="162" t="s">
        <v>2061</v>
      </c>
    </row>
    <row r="430" spans="2:21">
      <c r="B430" s="240">
        <v>3</v>
      </c>
      <c r="C430" s="184" t="s">
        <v>2338</v>
      </c>
      <c r="D430" s="184" t="s">
        <v>2189</v>
      </c>
      <c r="E430" s="184" t="s">
        <v>2339</v>
      </c>
      <c r="F430" s="184" t="s">
        <v>1563</v>
      </c>
      <c r="G430" s="184" t="s">
        <v>2263</v>
      </c>
      <c r="H430" s="184" t="s">
        <v>2100</v>
      </c>
      <c r="I430" s="184" t="s">
        <v>2081</v>
      </c>
      <c r="J430" s="185"/>
      <c r="K430" s="185"/>
      <c r="L430" s="185"/>
      <c r="M430" s="185"/>
      <c r="N430" s="184" t="s">
        <v>2084</v>
      </c>
      <c r="O430" s="184" t="s">
        <v>2264</v>
      </c>
      <c r="P430" s="185"/>
      <c r="Q430" s="227" t="s">
        <v>1874</v>
      </c>
      <c r="R430" s="227" t="s">
        <v>1874</v>
      </c>
      <c r="S430" s="226" t="s">
        <v>2054</v>
      </c>
      <c r="T430" s="189" t="s">
        <v>1879</v>
      </c>
      <c r="U430" s="162" t="s">
        <v>2061</v>
      </c>
    </row>
    <row r="431" spans="2:21">
      <c r="B431" s="240">
        <v>3</v>
      </c>
      <c r="C431" s="184" t="s">
        <v>2340</v>
      </c>
      <c r="D431" s="184" t="s">
        <v>2194</v>
      </c>
      <c r="E431" s="184" t="s">
        <v>2339</v>
      </c>
      <c r="F431" s="184" t="s">
        <v>1563</v>
      </c>
      <c r="G431" s="184" t="s">
        <v>2263</v>
      </c>
      <c r="H431" s="184" t="s">
        <v>2100</v>
      </c>
      <c r="I431" s="184" t="s">
        <v>2081</v>
      </c>
      <c r="J431" s="185"/>
      <c r="K431" s="185"/>
      <c r="L431" s="185"/>
      <c r="M431" s="185"/>
      <c r="N431" s="184" t="s">
        <v>2084</v>
      </c>
      <c r="O431" s="184" t="s">
        <v>2264</v>
      </c>
      <c r="P431" s="185"/>
      <c r="Q431" s="227" t="s">
        <v>1874</v>
      </c>
      <c r="R431" s="227" t="s">
        <v>1874</v>
      </c>
      <c r="S431" s="226" t="s">
        <v>2054</v>
      </c>
      <c r="T431" s="189" t="s">
        <v>1879</v>
      </c>
      <c r="U431" s="162" t="s">
        <v>2061</v>
      </c>
    </row>
    <row r="432" spans="2:21">
      <c r="B432" s="240">
        <v>3</v>
      </c>
      <c r="C432" s="242" t="s">
        <v>2345</v>
      </c>
      <c r="D432" s="184" t="s">
        <v>2189</v>
      </c>
      <c r="E432" s="184" t="s">
        <v>2346</v>
      </c>
      <c r="F432" s="184" t="s">
        <v>1563</v>
      </c>
      <c r="G432" s="184" t="s">
        <v>2263</v>
      </c>
      <c r="H432" s="184" t="s">
        <v>2100</v>
      </c>
      <c r="I432" s="184" t="s">
        <v>2081</v>
      </c>
      <c r="J432" s="185"/>
      <c r="K432" s="185"/>
      <c r="L432" s="185"/>
      <c r="M432" s="185"/>
      <c r="N432" s="184" t="s">
        <v>2084</v>
      </c>
      <c r="O432" s="184" t="s">
        <v>2264</v>
      </c>
      <c r="P432" s="185"/>
      <c r="Q432" s="227" t="s">
        <v>1874</v>
      </c>
      <c r="R432" s="227" t="s">
        <v>1874</v>
      </c>
      <c r="S432" s="226" t="s">
        <v>2054</v>
      </c>
      <c r="T432" s="189" t="s">
        <v>1879</v>
      </c>
      <c r="U432" s="162" t="s">
        <v>2061</v>
      </c>
    </row>
    <row r="433" spans="2:21">
      <c r="B433" s="240">
        <v>3</v>
      </c>
      <c r="C433" s="242" t="s">
        <v>2347</v>
      </c>
      <c r="D433" s="184" t="s">
        <v>2194</v>
      </c>
      <c r="E433" s="184" t="s">
        <v>2346</v>
      </c>
      <c r="F433" s="184" t="s">
        <v>1563</v>
      </c>
      <c r="G433" s="184" t="s">
        <v>2263</v>
      </c>
      <c r="H433" s="184" t="s">
        <v>2100</v>
      </c>
      <c r="I433" s="184" t="s">
        <v>2081</v>
      </c>
      <c r="J433" s="185"/>
      <c r="K433" s="185"/>
      <c r="L433" s="185"/>
      <c r="M433" s="185"/>
      <c r="N433" s="184" t="s">
        <v>2084</v>
      </c>
      <c r="O433" s="184" t="s">
        <v>2264</v>
      </c>
      <c r="P433" s="185"/>
      <c r="Q433" s="227" t="s">
        <v>1874</v>
      </c>
      <c r="R433" s="227" t="s">
        <v>1874</v>
      </c>
      <c r="S433" s="226" t="s">
        <v>2054</v>
      </c>
      <c r="T433" s="189" t="s">
        <v>1879</v>
      </c>
      <c r="U433" s="162" t="s">
        <v>2061</v>
      </c>
    </row>
    <row r="434" spans="2:21">
      <c r="B434" s="240">
        <v>3</v>
      </c>
      <c r="C434" s="184" t="s">
        <v>2348</v>
      </c>
      <c r="D434" s="184" t="s">
        <v>2189</v>
      </c>
      <c r="E434" s="184" t="s">
        <v>2349</v>
      </c>
      <c r="F434" s="184" t="s">
        <v>1563</v>
      </c>
      <c r="G434" s="184" t="s">
        <v>2263</v>
      </c>
      <c r="H434" s="184" t="s">
        <v>2100</v>
      </c>
      <c r="I434" s="184" t="s">
        <v>2081</v>
      </c>
      <c r="J434" s="185"/>
      <c r="K434" s="185"/>
      <c r="L434" s="185"/>
      <c r="M434" s="185"/>
      <c r="N434" s="184" t="s">
        <v>2084</v>
      </c>
      <c r="O434" s="184" t="s">
        <v>2264</v>
      </c>
      <c r="P434" s="185"/>
      <c r="Q434" s="227" t="s">
        <v>1874</v>
      </c>
      <c r="R434" s="227" t="s">
        <v>1874</v>
      </c>
      <c r="S434" s="226" t="s">
        <v>2054</v>
      </c>
      <c r="T434" s="189" t="s">
        <v>1879</v>
      </c>
      <c r="U434" s="162" t="s">
        <v>2061</v>
      </c>
    </row>
    <row r="435" spans="2:21">
      <c r="B435" s="240">
        <v>3</v>
      </c>
      <c r="C435" s="184" t="s">
        <v>2350</v>
      </c>
      <c r="D435" s="184" t="s">
        <v>2194</v>
      </c>
      <c r="E435" s="184" t="s">
        <v>2349</v>
      </c>
      <c r="F435" s="184" t="s">
        <v>1563</v>
      </c>
      <c r="G435" s="184" t="s">
        <v>2263</v>
      </c>
      <c r="H435" s="184" t="s">
        <v>2100</v>
      </c>
      <c r="I435" s="184" t="s">
        <v>2081</v>
      </c>
      <c r="J435" s="185"/>
      <c r="K435" s="185"/>
      <c r="L435" s="185"/>
      <c r="M435" s="185"/>
      <c r="N435" s="184" t="s">
        <v>2084</v>
      </c>
      <c r="O435" s="184" t="s">
        <v>2264</v>
      </c>
      <c r="P435" s="185"/>
      <c r="Q435" s="227" t="s">
        <v>1874</v>
      </c>
      <c r="R435" s="227" t="s">
        <v>1874</v>
      </c>
      <c r="S435" s="226" t="s">
        <v>2054</v>
      </c>
      <c r="T435" s="189" t="s">
        <v>1879</v>
      </c>
      <c r="U435" s="162" t="s">
        <v>2061</v>
      </c>
    </row>
    <row r="436" spans="2:21">
      <c r="B436" s="240">
        <v>3</v>
      </c>
      <c r="C436" s="184" t="s">
        <v>2360</v>
      </c>
      <c r="D436" s="184" t="s">
        <v>2189</v>
      </c>
      <c r="E436" s="184" t="s">
        <v>2361</v>
      </c>
      <c r="F436" s="184" t="s">
        <v>1571</v>
      </c>
      <c r="G436" s="184" t="s">
        <v>2263</v>
      </c>
      <c r="H436" s="184" t="s">
        <v>2100</v>
      </c>
      <c r="I436" s="184" t="s">
        <v>2081</v>
      </c>
      <c r="J436" s="185"/>
      <c r="K436" s="185"/>
      <c r="L436" s="185"/>
      <c r="M436" s="185"/>
      <c r="N436" s="184" t="s">
        <v>2084</v>
      </c>
      <c r="O436" s="184" t="s">
        <v>2264</v>
      </c>
      <c r="P436" s="185"/>
      <c r="Q436" s="184"/>
      <c r="R436" s="184"/>
      <c r="S436" s="184"/>
      <c r="T436" s="184"/>
      <c r="U436" s="162" t="s">
        <v>2061</v>
      </c>
    </row>
    <row r="437" spans="2:21">
      <c r="B437" s="240">
        <v>3</v>
      </c>
      <c r="C437" s="242" t="s">
        <v>2362</v>
      </c>
      <c r="D437" s="184" t="s">
        <v>2194</v>
      </c>
      <c r="E437" s="184" t="s">
        <v>2361</v>
      </c>
      <c r="F437" s="184" t="s">
        <v>1571</v>
      </c>
      <c r="G437" s="184" t="s">
        <v>2263</v>
      </c>
      <c r="H437" s="184" t="s">
        <v>2100</v>
      </c>
      <c r="I437" s="184" t="s">
        <v>2081</v>
      </c>
      <c r="J437" s="185"/>
      <c r="K437" s="185"/>
      <c r="L437" s="185"/>
      <c r="M437" s="185"/>
      <c r="N437" s="184" t="s">
        <v>2084</v>
      </c>
      <c r="O437" s="184" t="s">
        <v>2264</v>
      </c>
      <c r="P437" s="185"/>
      <c r="Q437" s="184"/>
      <c r="R437" s="184"/>
      <c r="S437" s="184"/>
      <c r="T437" s="184"/>
      <c r="U437" s="162" t="s">
        <v>2061</v>
      </c>
    </row>
    <row r="438" spans="2:21">
      <c r="B438" s="240">
        <v>3</v>
      </c>
      <c r="C438" s="184" t="s">
        <v>2363</v>
      </c>
      <c r="D438" s="184" t="s">
        <v>2189</v>
      </c>
      <c r="E438" s="184" t="s">
        <v>2364</v>
      </c>
      <c r="F438" s="184" t="s">
        <v>1571</v>
      </c>
      <c r="G438" s="184" t="s">
        <v>2263</v>
      </c>
      <c r="H438" s="184" t="s">
        <v>2100</v>
      </c>
      <c r="I438" s="184" t="s">
        <v>2081</v>
      </c>
      <c r="J438" s="185"/>
      <c r="K438" s="185"/>
      <c r="L438" s="185"/>
      <c r="M438" s="185"/>
      <c r="N438" s="184" t="s">
        <v>2084</v>
      </c>
      <c r="O438" s="184" t="s">
        <v>2264</v>
      </c>
      <c r="P438" s="185"/>
      <c r="Q438" s="184"/>
      <c r="R438" s="184"/>
      <c r="S438" s="184"/>
      <c r="T438" s="184"/>
      <c r="U438" s="162" t="s">
        <v>2061</v>
      </c>
    </row>
    <row r="439" spans="2:21">
      <c r="B439" s="240">
        <v>3</v>
      </c>
      <c r="C439" s="184" t="s">
        <v>2365</v>
      </c>
      <c r="D439" s="184" t="s">
        <v>2194</v>
      </c>
      <c r="E439" s="184" t="s">
        <v>2364</v>
      </c>
      <c r="F439" s="184" t="s">
        <v>1571</v>
      </c>
      <c r="G439" s="184" t="s">
        <v>2263</v>
      </c>
      <c r="H439" s="184" t="s">
        <v>2100</v>
      </c>
      <c r="I439" s="184" t="s">
        <v>2081</v>
      </c>
      <c r="J439" s="185"/>
      <c r="K439" s="185"/>
      <c r="L439" s="185"/>
      <c r="M439" s="185"/>
      <c r="N439" s="184" t="s">
        <v>2084</v>
      </c>
      <c r="O439" s="184" t="s">
        <v>2264</v>
      </c>
      <c r="P439" s="185"/>
      <c r="Q439" s="184"/>
      <c r="R439" s="184"/>
      <c r="S439" s="184"/>
      <c r="T439" s="184"/>
      <c r="U439" s="162" t="s">
        <v>2061</v>
      </c>
    </row>
    <row r="440" spans="2:21">
      <c r="B440" s="240">
        <v>3</v>
      </c>
      <c r="C440" s="184" t="s">
        <v>2374</v>
      </c>
      <c r="D440" s="184" t="s">
        <v>2189</v>
      </c>
      <c r="E440" s="184" t="s">
        <v>2375</v>
      </c>
      <c r="F440" s="184" t="s">
        <v>1578</v>
      </c>
      <c r="G440" s="184" t="s">
        <v>2263</v>
      </c>
      <c r="H440" s="184" t="s">
        <v>2100</v>
      </c>
      <c r="I440" s="184" t="s">
        <v>2081</v>
      </c>
      <c r="J440" s="185"/>
      <c r="K440" s="185"/>
      <c r="L440" s="185"/>
      <c r="M440" s="185"/>
      <c r="N440" s="184" t="s">
        <v>2084</v>
      </c>
      <c r="O440" s="184" t="s">
        <v>2264</v>
      </c>
      <c r="P440" s="185"/>
      <c r="Q440" s="184"/>
      <c r="R440" s="184"/>
      <c r="S440" s="184"/>
      <c r="T440" s="184"/>
      <c r="U440" s="162" t="s">
        <v>2061</v>
      </c>
    </row>
    <row r="441" spans="2:21">
      <c r="B441" s="240">
        <v>3</v>
      </c>
      <c r="C441" s="184" t="s">
        <v>2376</v>
      </c>
      <c r="D441" s="184" t="s">
        <v>2194</v>
      </c>
      <c r="E441" s="184" t="s">
        <v>2375</v>
      </c>
      <c r="F441" s="184" t="s">
        <v>1578</v>
      </c>
      <c r="G441" s="184" t="s">
        <v>2263</v>
      </c>
      <c r="H441" s="184" t="s">
        <v>2100</v>
      </c>
      <c r="I441" s="184" t="s">
        <v>2081</v>
      </c>
      <c r="J441" s="185"/>
      <c r="K441" s="185"/>
      <c r="L441" s="185"/>
      <c r="M441" s="185"/>
      <c r="N441" s="184" t="s">
        <v>2084</v>
      </c>
      <c r="O441" s="184" t="s">
        <v>2264</v>
      </c>
      <c r="P441" s="185"/>
      <c r="Q441" s="184"/>
      <c r="R441" s="184"/>
      <c r="S441" s="184"/>
      <c r="T441" s="184"/>
      <c r="U441" s="162" t="s">
        <v>2061</v>
      </c>
    </row>
    <row r="442" spans="2:21">
      <c r="B442" s="240">
        <v>3</v>
      </c>
      <c r="C442" s="184" t="s">
        <v>2381</v>
      </c>
      <c r="D442" s="184" t="s">
        <v>2189</v>
      </c>
      <c r="E442" s="184" t="s">
        <v>2382</v>
      </c>
      <c r="F442" s="184" t="s">
        <v>1578</v>
      </c>
      <c r="G442" s="184" t="s">
        <v>2263</v>
      </c>
      <c r="H442" s="184" t="s">
        <v>2100</v>
      </c>
      <c r="I442" s="184" t="s">
        <v>2081</v>
      </c>
      <c r="J442" s="185"/>
      <c r="K442" s="185"/>
      <c r="L442" s="185"/>
      <c r="M442" s="185"/>
      <c r="N442" s="184" t="s">
        <v>2084</v>
      </c>
      <c r="O442" s="184" t="s">
        <v>2264</v>
      </c>
      <c r="P442" s="185"/>
      <c r="Q442" s="184"/>
      <c r="R442" s="184"/>
      <c r="S442" s="184"/>
      <c r="T442" s="184"/>
      <c r="U442" s="162" t="s">
        <v>2061</v>
      </c>
    </row>
    <row r="443" spans="2:21">
      <c r="B443" s="240">
        <v>3</v>
      </c>
      <c r="C443" s="184" t="s">
        <v>2383</v>
      </c>
      <c r="D443" s="184" t="s">
        <v>2194</v>
      </c>
      <c r="E443" s="184" t="s">
        <v>2382</v>
      </c>
      <c r="F443" s="184" t="s">
        <v>1578</v>
      </c>
      <c r="G443" s="184" t="s">
        <v>2263</v>
      </c>
      <c r="H443" s="184" t="s">
        <v>2100</v>
      </c>
      <c r="I443" s="184" t="s">
        <v>2081</v>
      </c>
      <c r="J443" s="185"/>
      <c r="K443" s="185"/>
      <c r="L443" s="185"/>
      <c r="M443" s="185"/>
      <c r="N443" s="184" t="s">
        <v>2084</v>
      </c>
      <c r="O443" s="184" t="s">
        <v>2264</v>
      </c>
      <c r="P443" s="185"/>
      <c r="Q443" s="184"/>
      <c r="R443" s="184"/>
      <c r="S443" s="184"/>
      <c r="T443" s="184"/>
      <c r="U443" s="162" t="s">
        <v>2061</v>
      </c>
    </row>
    <row r="444" spans="2:21">
      <c r="B444" s="240">
        <v>3</v>
      </c>
      <c r="C444" s="242" t="s">
        <v>2384</v>
      </c>
      <c r="D444" s="184" t="s">
        <v>2189</v>
      </c>
      <c r="E444" s="184" t="s">
        <v>2385</v>
      </c>
      <c r="F444" s="184" t="s">
        <v>1578</v>
      </c>
      <c r="G444" s="184" t="s">
        <v>2263</v>
      </c>
      <c r="H444" s="184" t="s">
        <v>2100</v>
      </c>
      <c r="I444" s="184" t="s">
        <v>2081</v>
      </c>
      <c r="J444" s="185"/>
      <c r="K444" s="185"/>
      <c r="L444" s="185"/>
      <c r="M444" s="185"/>
      <c r="N444" s="184" t="s">
        <v>2084</v>
      </c>
      <c r="O444" s="184" t="s">
        <v>2264</v>
      </c>
      <c r="P444" s="185"/>
      <c r="Q444" s="184"/>
      <c r="R444" s="184"/>
      <c r="S444" s="184"/>
      <c r="T444" s="184"/>
      <c r="U444" s="162" t="s">
        <v>2061</v>
      </c>
    </row>
    <row r="445" spans="2:21">
      <c r="B445" s="240">
        <v>3</v>
      </c>
      <c r="C445" s="242" t="s">
        <v>2386</v>
      </c>
      <c r="D445" s="184" t="s">
        <v>2194</v>
      </c>
      <c r="E445" s="184" t="s">
        <v>2385</v>
      </c>
      <c r="F445" s="184" t="s">
        <v>1578</v>
      </c>
      <c r="G445" s="184" t="s">
        <v>2263</v>
      </c>
      <c r="H445" s="184" t="s">
        <v>2100</v>
      </c>
      <c r="I445" s="184" t="s">
        <v>2081</v>
      </c>
      <c r="J445" s="185"/>
      <c r="K445" s="185"/>
      <c r="L445" s="185"/>
      <c r="M445" s="185"/>
      <c r="N445" s="184" t="s">
        <v>2084</v>
      </c>
      <c r="O445" s="184" t="s">
        <v>2264</v>
      </c>
      <c r="P445" s="185"/>
      <c r="Q445" s="184"/>
      <c r="R445" s="184"/>
      <c r="S445" s="184"/>
      <c r="T445" s="184"/>
      <c r="U445" s="162" t="s">
        <v>2061</v>
      </c>
    </row>
    <row r="446" spans="2:21">
      <c r="B446" s="240">
        <v>3</v>
      </c>
      <c r="C446" s="184" t="s">
        <v>2392</v>
      </c>
      <c r="D446" s="184" t="s">
        <v>2189</v>
      </c>
      <c r="E446" s="184" t="s">
        <v>2393</v>
      </c>
      <c r="F446" s="184" t="s">
        <v>1551</v>
      </c>
      <c r="G446" s="184" t="s">
        <v>2263</v>
      </c>
      <c r="H446" s="184" t="s">
        <v>2100</v>
      </c>
      <c r="I446" s="184" t="s">
        <v>2081</v>
      </c>
      <c r="J446" s="185"/>
      <c r="K446" s="185"/>
      <c r="L446" s="185"/>
      <c r="M446" s="185"/>
      <c r="N446" s="184" t="s">
        <v>2084</v>
      </c>
      <c r="O446" s="184" t="s">
        <v>2264</v>
      </c>
      <c r="P446" s="185"/>
      <c r="Q446" s="184"/>
      <c r="R446" s="184"/>
      <c r="S446" s="184"/>
      <c r="T446" s="184"/>
      <c r="U446" s="162" t="s">
        <v>2061</v>
      </c>
    </row>
    <row r="447" spans="2:21">
      <c r="B447" s="240">
        <v>3</v>
      </c>
      <c r="C447" s="184" t="s">
        <v>2394</v>
      </c>
      <c r="D447" s="184" t="s">
        <v>2194</v>
      </c>
      <c r="E447" s="184" t="s">
        <v>2393</v>
      </c>
      <c r="F447" s="184" t="s">
        <v>1551</v>
      </c>
      <c r="G447" s="184" t="s">
        <v>2263</v>
      </c>
      <c r="H447" s="184" t="s">
        <v>2100</v>
      </c>
      <c r="I447" s="184" t="s">
        <v>2081</v>
      </c>
      <c r="J447" s="185"/>
      <c r="K447" s="185"/>
      <c r="L447" s="185"/>
      <c r="M447" s="185"/>
      <c r="N447" s="184" t="s">
        <v>2084</v>
      </c>
      <c r="O447" s="184" t="s">
        <v>2264</v>
      </c>
      <c r="P447" s="185"/>
      <c r="Q447" s="184"/>
      <c r="R447" s="184"/>
      <c r="S447" s="184"/>
      <c r="T447" s="184"/>
      <c r="U447" s="162" t="s">
        <v>2061</v>
      </c>
    </row>
    <row r="448" spans="2:21">
      <c r="B448" s="240">
        <v>3</v>
      </c>
      <c r="C448" s="184" t="s">
        <v>2395</v>
      </c>
      <c r="D448" s="184" t="s">
        <v>2189</v>
      </c>
      <c r="E448" s="184" t="s">
        <v>2396</v>
      </c>
      <c r="F448" s="184" t="s">
        <v>1551</v>
      </c>
      <c r="G448" s="184" t="s">
        <v>2263</v>
      </c>
      <c r="H448" s="184" t="s">
        <v>2100</v>
      </c>
      <c r="I448" s="184" t="s">
        <v>2081</v>
      </c>
      <c r="J448" s="185"/>
      <c r="K448" s="185"/>
      <c r="L448" s="185"/>
      <c r="M448" s="185"/>
      <c r="N448" s="184" t="s">
        <v>2084</v>
      </c>
      <c r="O448" s="184" t="s">
        <v>2264</v>
      </c>
      <c r="P448" s="185"/>
      <c r="Q448" s="184"/>
      <c r="R448" s="184"/>
      <c r="S448" s="184"/>
      <c r="T448" s="184"/>
      <c r="U448" s="162" t="s">
        <v>2061</v>
      </c>
    </row>
    <row r="449" spans="2:21">
      <c r="B449" s="240">
        <v>3</v>
      </c>
      <c r="C449" s="184" t="s">
        <v>2397</v>
      </c>
      <c r="D449" s="184" t="s">
        <v>2194</v>
      </c>
      <c r="E449" s="184" t="s">
        <v>2396</v>
      </c>
      <c r="F449" s="184" t="s">
        <v>1551</v>
      </c>
      <c r="G449" s="184" t="s">
        <v>2263</v>
      </c>
      <c r="H449" s="184" t="s">
        <v>2100</v>
      </c>
      <c r="I449" s="184" t="s">
        <v>2081</v>
      </c>
      <c r="J449" s="185"/>
      <c r="K449" s="185"/>
      <c r="L449" s="185"/>
      <c r="M449" s="185"/>
      <c r="N449" s="184" t="s">
        <v>2084</v>
      </c>
      <c r="O449" s="184" t="s">
        <v>2264</v>
      </c>
      <c r="P449" s="185"/>
      <c r="Q449" s="184"/>
      <c r="R449" s="184"/>
      <c r="S449" s="184"/>
      <c r="T449" s="184"/>
      <c r="U449" s="162" t="s">
        <v>2061</v>
      </c>
    </row>
    <row r="450" spans="2:21">
      <c r="B450" s="237">
        <v>3</v>
      </c>
      <c r="C450" s="166" t="s">
        <v>2427</v>
      </c>
      <c r="D450" s="166" t="s">
        <v>1702</v>
      </c>
      <c r="E450" s="166" t="s">
        <v>2428</v>
      </c>
      <c r="F450" s="166" t="s">
        <v>1127</v>
      </c>
      <c r="G450" s="166" t="s">
        <v>2429</v>
      </c>
      <c r="H450" s="166" t="s">
        <v>2106</v>
      </c>
      <c r="I450" s="166" t="s">
        <v>2081</v>
      </c>
      <c r="J450" s="167"/>
      <c r="K450" s="167"/>
      <c r="L450" s="167"/>
      <c r="M450" s="167"/>
      <c r="N450" s="166" t="s">
        <v>2084</v>
      </c>
      <c r="O450" s="166" t="s">
        <v>2430</v>
      </c>
      <c r="P450" s="167"/>
      <c r="Q450" s="166"/>
      <c r="R450" s="166"/>
      <c r="S450" s="166"/>
      <c r="T450" s="189" t="s">
        <v>1879</v>
      </c>
      <c r="U450" s="162" t="s">
        <v>2061</v>
      </c>
    </row>
    <row r="451" spans="2:21">
      <c r="B451" s="237">
        <v>3</v>
      </c>
      <c r="C451" s="166" t="s">
        <v>2431</v>
      </c>
      <c r="D451" s="166" t="s">
        <v>2432</v>
      </c>
      <c r="E451" s="166" t="s">
        <v>2433</v>
      </c>
      <c r="F451" s="166" t="s">
        <v>1127</v>
      </c>
      <c r="G451" s="166" t="s">
        <v>2434</v>
      </c>
      <c r="H451" s="166" t="s">
        <v>2106</v>
      </c>
      <c r="I451" s="166" t="s">
        <v>2081</v>
      </c>
      <c r="J451" s="167"/>
      <c r="K451" s="167"/>
      <c r="L451" s="167"/>
      <c r="M451" s="167"/>
      <c r="N451" s="166" t="s">
        <v>2084</v>
      </c>
      <c r="O451" s="166" t="s">
        <v>2435</v>
      </c>
      <c r="P451" s="167"/>
      <c r="Q451" s="166"/>
      <c r="R451" s="166"/>
      <c r="S451" s="166"/>
      <c r="T451" s="189" t="s">
        <v>1879</v>
      </c>
      <c r="U451" s="162" t="s">
        <v>2061</v>
      </c>
    </row>
    <row r="452" spans="2:21">
      <c r="B452" s="237">
        <v>3</v>
      </c>
      <c r="C452" s="166" t="s">
        <v>2436</v>
      </c>
      <c r="D452" s="166" t="s">
        <v>2437</v>
      </c>
      <c r="E452" s="166" t="s">
        <v>2438</v>
      </c>
      <c r="F452" s="166" t="s">
        <v>1127</v>
      </c>
      <c r="G452" s="166" t="s">
        <v>2434</v>
      </c>
      <c r="H452" s="166" t="s">
        <v>2106</v>
      </c>
      <c r="I452" s="166" t="s">
        <v>2081</v>
      </c>
      <c r="J452" s="167"/>
      <c r="K452" s="167"/>
      <c r="L452" s="167"/>
      <c r="M452" s="167"/>
      <c r="N452" s="166" t="s">
        <v>2084</v>
      </c>
      <c r="O452" s="166" t="s">
        <v>2435</v>
      </c>
      <c r="P452" s="167"/>
      <c r="Q452" s="166"/>
      <c r="R452" s="166"/>
      <c r="S452" s="166"/>
      <c r="T452" s="189" t="s">
        <v>1879</v>
      </c>
      <c r="U452" s="162" t="s">
        <v>2061</v>
      </c>
    </row>
    <row r="453" spans="2:21">
      <c r="B453" s="237">
        <v>4</v>
      </c>
      <c r="C453" s="166" t="s">
        <v>2168</v>
      </c>
      <c r="D453" s="166" t="s">
        <v>2169</v>
      </c>
      <c r="E453" s="166" t="s">
        <v>2170</v>
      </c>
      <c r="F453" s="166" t="s">
        <v>2171</v>
      </c>
      <c r="G453" s="166" t="s">
        <v>2172</v>
      </c>
      <c r="H453" s="166" t="s">
        <v>2080</v>
      </c>
      <c r="I453" s="166" t="s">
        <v>2081</v>
      </c>
      <c r="J453" s="166" t="s">
        <v>2173</v>
      </c>
      <c r="K453" s="167"/>
      <c r="L453" s="167"/>
      <c r="M453" s="166" t="s">
        <v>2174</v>
      </c>
      <c r="N453" s="166" t="s">
        <v>2084</v>
      </c>
      <c r="O453" s="166" t="s">
        <v>2175</v>
      </c>
      <c r="P453" s="167"/>
      <c r="Q453" s="227" t="s">
        <v>1874</v>
      </c>
      <c r="R453" s="227" t="s">
        <v>1874</v>
      </c>
      <c r="S453" s="226" t="s">
        <v>2054</v>
      </c>
      <c r="T453" s="189" t="s">
        <v>1879</v>
      </c>
      <c r="U453" s="162" t="s">
        <v>2061</v>
      </c>
    </row>
    <row r="454" spans="2:21">
      <c r="B454" s="237">
        <v>4</v>
      </c>
      <c r="C454" s="166" t="s">
        <v>2176</v>
      </c>
      <c r="D454" s="166" t="s">
        <v>2169</v>
      </c>
      <c r="E454" s="166" t="s">
        <v>2177</v>
      </c>
      <c r="F454" s="166" t="s">
        <v>2171</v>
      </c>
      <c r="G454" s="166" t="s">
        <v>2172</v>
      </c>
      <c r="H454" s="166" t="s">
        <v>2080</v>
      </c>
      <c r="I454" s="166" t="s">
        <v>2081</v>
      </c>
      <c r="J454" s="166" t="s">
        <v>2173</v>
      </c>
      <c r="K454" s="167"/>
      <c r="L454" s="167"/>
      <c r="M454" s="166" t="s">
        <v>2174</v>
      </c>
      <c r="N454" s="166" t="s">
        <v>2084</v>
      </c>
      <c r="O454" s="166" t="s">
        <v>2175</v>
      </c>
      <c r="P454" s="167"/>
      <c r="Q454" s="227" t="s">
        <v>1874</v>
      </c>
      <c r="R454" s="227" t="s">
        <v>1874</v>
      </c>
      <c r="S454" s="226" t="s">
        <v>2054</v>
      </c>
      <c r="T454" s="189" t="s">
        <v>1879</v>
      </c>
      <c r="U454" s="162" t="s">
        <v>2061</v>
      </c>
    </row>
    <row r="455" spans="2:21">
      <c r="B455" s="237">
        <v>4</v>
      </c>
      <c r="C455" s="166" t="s">
        <v>2178</v>
      </c>
      <c r="D455" s="166" t="s">
        <v>2077</v>
      </c>
      <c r="E455" s="166" t="s">
        <v>2179</v>
      </c>
      <c r="F455" s="166" t="s">
        <v>2171</v>
      </c>
      <c r="G455" s="166" t="s">
        <v>2172</v>
      </c>
      <c r="H455" s="166" t="s">
        <v>2080</v>
      </c>
      <c r="I455" s="166" t="s">
        <v>2081</v>
      </c>
      <c r="J455" s="166" t="s">
        <v>2173</v>
      </c>
      <c r="K455" s="167"/>
      <c r="L455" s="167"/>
      <c r="M455" s="166" t="s">
        <v>2174</v>
      </c>
      <c r="N455" s="166" t="s">
        <v>2084</v>
      </c>
      <c r="O455" s="166" t="s">
        <v>2175</v>
      </c>
      <c r="P455" s="167"/>
      <c r="Q455" s="227" t="s">
        <v>1874</v>
      </c>
      <c r="R455" s="227" t="s">
        <v>1874</v>
      </c>
      <c r="S455" s="226" t="s">
        <v>2054</v>
      </c>
      <c r="T455" s="189" t="s">
        <v>1879</v>
      </c>
      <c r="U455" s="162" t="s">
        <v>2061</v>
      </c>
    </row>
    <row r="456" spans="2:21">
      <c r="B456" s="237">
        <v>4</v>
      </c>
      <c r="C456" s="166" t="s">
        <v>2180</v>
      </c>
      <c r="D456" s="166" t="s">
        <v>2077</v>
      </c>
      <c r="E456" s="166" t="s">
        <v>2181</v>
      </c>
      <c r="F456" s="166" t="s">
        <v>2171</v>
      </c>
      <c r="G456" s="166" t="s">
        <v>2172</v>
      </c>
      <c r="H456" s="166" t="s">
        <v>2080</v>
      </c>
      <c r="I456" s="166" t="s">
        <v>2081</v>
      </c>
      <c r="J456" s="166" t="s">
        <v>2173</v>
      </c>
      <c r="K456" s="167"/>
      <c r="L456" s="167"/>
      <c r="M456" s="166" t="s">
        <v>2174</v>
      </c>
      <c r="N456" s="166" t="s">
        <v>2084</v>
      </c>
      <c r="O456" s="166" t="s">
        <v>2175</v>
      </c>
      <c r="P456" s="167"/>
      <c r="Q456" s="227" t="s">
        <v>1874</v>
      </c>
      <c r="R456" s="227" t="s">
        <v>1874</v>
      </c>
      <c r="S456" s="226" t="s">
        <v>2054</v>
      </c>
      <c r="T456" s="189" t="s">
        <v>1879</v>
      </c>
      <c r="U456" s="162" t="s">
        <v>2061</v>
      </c>
    </row>
    <row r="457" spans="2:21">
      <c r="B457" s="237">
        <v>4</v>
      </c>
      <c r="C457" s="166" t="s">
        <v>2182</v>
      </c>
      <c r="D457" s="166" t="s">
        <v>2077</v>
      </c>
      <c r="E457" s="166" t="s">
        <v>2183</v>
      </c>
      <c r="F457" s="166" t="s">
        <v>2171</v>
      </c>
      <c r="G457" s="166" t="s">
        <v>2172</v>
      </c>
      <c r="H457" s="166" t="s">
        <v>2080</v>
      </c>
      <c r="I457" s="166" t="s">
        <v>2081</v>
      </c>
      <c r="J457" s="166" t="s">
        <v>2173</v>
      </c>
      <c r="K457" s="167"/>
      <c r="L457" s="167"/>
      <c r="M457" s="166" t="s">
        <v>2174</v>
      </c>
      <c r="N457" s="166" t="s">
        <v>2084</v>
      </c>
      <c r="O457" s="166" t="s">
        <v>2175</v>
      </c>
      <c r="P457" s="167"/>
      <c r="Q457" s="227" t="s">
        <v>1874</v>
      </c>
      <c r="R457" s="227" t="s">
        <v>1874</v>
      </c>
      <c r="S457" s="226" t="s">
        <v>2054</v>
      </c>
      <c r="T457" s="189" t="s">
        <v>1879</v>
      </c>
      <c r="U457" s="162" t="s">
        <v>2061</v>
      </c>
    </row>
    <row r="458" spans="2:21">
      <c r="B458" s="237">
        <v>4</v>
      </c>
      <c r="C458" s="166" t="s">
        <v>2184</v>
      </c>
      <c r="D458" s="166" t="s">
        <v>2077</v>
      </c>
      <c r="E458" s="166" t="s">
        <v>2185</v>
      </c>
      <c r="F458" s="166" t="s">
        <v>2171</v>
      </c>
      <c r="G458" s="166" t="s">
        <v>2172</v>
      </c>
      <c r="H458" s="166" t="s">
        <v>2080</v>
      </c>
      <c r="I458" s="166" t="s">
        <v>2081</v>
      </c>
      <c r="J458" s="166" t="s">
        <v>2173</v>
      </c>
      <c r="K458" s="167"/>
      <c r="L458" s="167"/>
      <c r="M458" s="166" t="s">
        <v>2174</v>
      </c>
      <c r="N458" s="166" t="s">
        <v>2084</v>
      </c>
      <c r="O458" s="166" t="s">
        <v>2175</v>
      </c>
      <c r="P458" s="167"/>
      <c r="Q458" s="227" t="s">
        <v>1874</v>
      </c>
      <c r="R458" s="227" t="s">
        <v>1874</v>
      </c>
      <c r="S458" s="226" t="s">
        <v>2054</v>
      </c>
      <c r="T458" s="189" t="s">
        <v>1879</v>
      </c>
      <c r="U458" s="162" t="s">
        <v>2061</v>
      </c>
    </row>
    <row r="459" spans="2:21">
      <c r="B459" s="237">
        <v>4</v>
      </c>
      <c r="C459" s="166" t="s">
        <v>2186</v>
      </c>
      <c r="D459" s="166" t="s">
        <v>2077</v>
      </c>
      <c r="E459" s="166" t="s">
        <v>2187</v>
      </c>
      <c r="F459" s="166" t="s">
        <v>2171</v>
      </c>
      <c r="G459" s="166" t="s">
        <v>2172</v>
      </c>
      <c r="H459" s="166" t="s">
        <v>2080</v>
      </c>
      <c r="I459" s="166" t="s">
        <v>2081</v>
      </c>
      <c r="J459" s="166" t="s">
        <v>2173</v>
      </c>
      <c r="K459" s="167"/>
      <c r="L459" s="167"/>
      <c r="M459" s="166" t="s">
        <v>2174</v>
      </c>
      <c r="N459" s="166" t="s">
        <v>2084</v>
      </c>
      <c r="O459" s="166" t="s">
        <v>2175</v>
      </c>
      <c r="P459" s="167"/>
      <c r="Q459" s="227" t="s">
        <v>1874</v>
      </c>
      <c r="R459" s="227" t="s">
        <v>1874</v>
      </c>
      <c r="S459" s="226" t="s">
        <v>2054</v>
      </c>
      <c r="T459" s="189" t="s">
        <v>1879</v>
      </c>
      <c r="U459" s="162" t="s">
        <v>2061</v>
      </c>
    </row>
    <row r="460" spans="2:21">
      <c r="B460" s="237">
        <v>4</v>
      </c>
      <c r="C460" s="166" t="s">
        <v>2205</v>
      </c>
      <c r="D460" s="166" t="s">
        <v>2077</v>
      </c>
      <c r="E460" s="166" t="s">
        <v>2206</v>
      </c>
      <c r="F460" s="166" t="s">
        <v>2171</v>
      </c>
      <c r="G460" s="166" t="s">
        <v>2172</v>
      </c>
      <c r="H460" s="166" t="s">
        <v>2080</v>
      </c>
      <c r="I460" s="166" t="s">
        <v>2081</v>
      </c>
      <c r="J460" s="166" t="s">
        <v>2173</v>
      </c>
      <c r="K460" s="167"/>
      <c r="L460" s="167"/>
      <c r="M460" s="166" t="s">
        <v>2174</v>
      </c>
      <c r="N460" s="166" t="s">
        <v>2084</v>
      </c>
      <c r="O460" s="166" t="s">
        <v>2175</v>
      </c>
      <c r="P460" s="167"/>
      <c r="Q460" s="227" t="s">
        <v>1874</v>
      </c>
      <c r="R460" s="227" t="s">
        <v>1874</v>
      </c>
      <c r="S460" s="226" t="s">
        <v>2054</v>
      </c>
      <c r="T460" s="189" t="s">
        <v>1879</v>
      </c>
      <c r="U460" s="162" t="s">
        <v>2061</v>
      </c>
    </row>
    <row r="461" spans="2:21">
      <c r="B461" s="236">
        <v>3</v>
      </c>
      <c r="C461" s="168" t="s">
        <v>2801</v>
      </c>
      <c r="D461" s="168" t="s">
        <v>2802</v>
      </c>
      <c r="E461" s="168" t="s">
        <v>2803</v>
      </c>
      <c r="F461" s="168" t="s">
        <v>1127</v>
      </c>
      <c r="G461" s="168" t="s">
        <v>2804</v>
      </c>
      <c r="H461" s="168" t="s">
        <v>2476</v>
      </c>
      <c r="I461" s="168" t="s">
        <v>2696</v>
      </c>
      <c r="J461" s="169"/>
      <c r="K461" s="169"/>
      <c r="L461" s="169"/>
      <c r="M461" s="169"/>
      <c r="N461" s="168" t="s">
        <v>2084</v>
      </c>
      <c r="O461" s="168" t="s">
        <v>2805</v>
      </c>
      <c r="P461" s="169"/>
      <c r="Q461" s="166" t="s">
        <v>1874</v>
      </c>
      <c r="R461" s="189" t="s">
        <v>1879</v>
      </c>
      <c r="S461" s="166" t="s">
        <v>1874</v>
      </c>
      <c r="T461" s="189" t="s">
        <v>1879</v>
      </c>
      <c r="U461" s="162" t="s">
        <v>2061</v>
      </c>
    </row>
    <row r="462" spans="2:21" ht="19.8">
      <c r="B462" s="236">
        <v>4</v>
      </c>
      <c r="C462" s="168" t="s">
        <v>2796</v>
      </c>
      <c r="D462" s="168" t="s">
        <v>2797</v>
      </c>
      <c r="E462" s="168" t="s">
        <v>2798</v>
      </c>
      <c r="F462" s="168" t="s">
        <v>1127</v>
      </c>
      <c r="G462" s="168" t="s">
        <v>2798</v>
      </c>
      <c r="H462" s="168" t="s">
        <v>2254</v>
      </c>
      <c r="I462" s="168" t="s">
        <v>2696</v>
      </c>
      <c r="J462" s="169"/>
      <c r="K462" s="169"/>
      <c r="L462" s="169"/>
      <c r="M462" s="169"/>
      <c r="N462" s="168" t="s">
        <v>2084</v>
      </c>
      <c r="O462" s="168" t="s">
        <v>2455</v>
      </c>
      <c r="P462" s="169"/>
      <c r="Q462" s="166" t="s">
        <v>1874</v>
      </c>
      <c r="R462" s="189" t="s">
        <v>1879</v>
      </c>
      <c r="S462" s="166" t="s">
        <v>1874</v>
      </c>
      <c r="T462" s="189" t="s">
        <v>1879</v>
      </c>
      <c r="U462" s="162" t="s">
        <v>2061</v>
      </c>
    </row>
    <row r="463" spans="2:21" ht="26.4">
      <c r="B463" s="237">
        <v>3</v>
      </c>
      <c r="C463" s="166" t="s">
        <v>2693</v>
      </c>
      <c r="D463" s="166" t="s">
        <v>2694</v>
      </c>
      <c r="E463" s="166" t="s">
        <v>2695</v>
      </c>
      <c r="F463" s="166" t="s">
        <v>1546</v>
      </c>
      <c r="G463" s="166" t="s">
        <v>2277</v>
      </c>
      <c r="H463" s="166" t="s">
        <v>2106</v>
      </c>
      <c r="I463" s="166" t="s">
        <v>2696</v>
      </c>
      <c r="J463" s="167"/>
      <c r="K463" s="167"/>
      <c r="L463" s="167"/>
      <c r="M463" s="167"/>
      <c r="N463" s="166" t="s">
        <v>2084</v>
      </c>
      <c r="O463" s="166" t="s">
        <v>2278</v>
      </c>
      <c r="P463" s="167" t="s">
        <v>2920</v>
      </c>
      <c r="Q463" s="166" t="s">
        <v>1874</v>
      </c>
      <c r="R463" s="166" t="s">
        <v>1874</v>
      </c>
      <c r="S463" s="166" t="s">
        <v>2921</v>
      </c>
      <c r="T463" s="189" t="s">
        <v>1879</v>
      </c>
      <c r="U463" s="162" t="s">
        <v>2061</v>
      </c>
    </row>
    <row r="464" spans="2:21" ht="26.4">
      <c r="B464" s="237">
        <v>3</v>
      </c>
      <c r="C464" s="166" t="s">
        <v>2697</v>
      </c>
      <c r="D464" s="166" t="s">
        <v>2694</v>
      </c>
      <c r="E464" s="166" t="s">
        <v>2698</v>
      </c>
      <c r="F464" s="166" t="s">
        <v>1546</v>
      </c>
      <c r="G464" s="166" t="s">
        <v>2277</v>
      </c>
      <c r="H464" s="166" t="s">
        <v>2106</v>
      </c>
      <c r="I464" s="166" t="s">
        <v>2696</v>
      </c>
      <c r="J464" s="167"/>
      <c r="K464" s="167"/>
      <c r="L464" s="167"/>
      <c r="M464" s="167"/>
      <c r="N464" s="166" t="s">
        <v>2084</v>
      </c>
      <c r="O464" s="166" t="s">
        <v>2288</v>
      </c>
      <c r="P464" s="167" t="s">
        <v>2920</v>
      </c>
      <c r="Q464" s="166" t="s">
        <v>1874</v>
      </c>
      <c r="R464" s="166" t="s">
        <v>1874</v>
      </c>
      <c r="S464" s="166" t="s">
        <v>2921</v>
      </c>
      <c r="T464" s="189" t="s">
        <v>1879</v>
      </c>
      <c r="U464" s="162" t="s">
        <v>2061</v>
      </c>
    </row>
    <row r="465" spans="2:21" ht="26.4">
      <c r="B465" s="236">
        <v>4</v>
      </c>
      <c r="C465" s="168" t="s">
        <v>2699</v>
      </c>
      <c r="D465" s="168" t="s">
        <v>2099</v>
      </c>
      <c r="E465" s="168" t="s">
        <v>1522</v>
      </c>
      <c r="F465" s="168" t="s">
        <v>2294</v>
      </c>
      <c r="G465" s="168" t="s">
        <v>2079</v>
      </c>
      <c r="H465" s="168" t="s">
        <v>2254</v>
      </c>
      <c r="I465" s="168" t="s">
        <v>2696</v>
      </c>
      <c r="J465" s="169"/>
      <c r="K465" s="169"/>
      <c r="L465" s="169"/>
      <c r="M465" s="168" t="s">
        <v>2700</v>
      </c>
      <c r="N465" s="168" t="s">
        <v>2084</v>
      </c>
      <c r="O465" s="168" t="s">
        <v>2255</v>
      </c>
      <c r="P465" s="169" t="s">
        <v>2922</v>
      </c>
      <c r="Q465" s="189" t="s">
        <v>1879</v>
      </c>
      <c r="R465" s="166" t="s">
        <v>1874</v>
      </c>
      <c r="S465" s="166" t="s">
        <v>1874</v>
      </c>
      <c r="T465" s="189" t="s">
        <v>1879</v>
      </c>
      <c r="U465" s="162" t="s">
        <v>2061</v>
      </c>
    </row>
    <row r="466" spans="2:21" ht="19.8">
      <c r="B466" s="236">
        <v>3</v>
      </c>
      <c r="C466" s="168" t="s">
        <v>1717</v>
      </c>
      <c r="D466" s="168" t="s">
        <v>2089</v>
      </c>
      <c r="E466" s="168" t="s">
        <v>2701</v>
      </c>
      <c r="F466" s="168" t="s">
        <v>2294</v>
      </c>
      <c r="G466" s="168" t="s">
        <v>2079</v>
      </c>
      <c r="H466" s="168" t="s">
        <v>2080</v>
      </c>
      <c r="I466" s="168" t="s">
        <v>2696</v>
      </c>
      <c r="J466" s="168" t="s">
        <v>2173</v>
      </c>
      <c r="K466" s="169"/>
      <c r="L466" s="169"/>
      <c r="M466" s="168" t="s">
        <v>2702</v>
      </c>
      <c r="N466" s="168" t="s">
        <v>2084</v>
      </c>
      <c r="O466" s="168" t="s">
        <v>2703</v>
      </c>
      <c r="P466" s="169"/>
      <c r="Q466" s="189" t="s">
        <v>1879</v>
      </c>
      <c r="R466" s="166" t="s">
        <v>1874</v>
      </c>
      <c r="S466" s="166" t="s">
        <v>1874</v>
      </c>
      <c r="T466" s="189" t="s">
        <v>1879</v>
      </c>
      <c r="U466" s="162" t="s">
        <v>2061</v>
      </c>
    </row>
    <row r="467" spans="2:21" ht="19.8">
      <c r="B467" s="236">
        <v>3</v>
      </c>
      <c r="C467" s="168" t="s">
        <v>1718</v>
      </c>
      <c r="D467" s="168" t="s">
        <v>2089</v>
      </c>
      <c r="E467" s="168" t="s">
        <v>2701</v>
      </c>
      <c r="F467" s="168" t="s">
        <v>2294</v>
      </c>
      <c r="G467" s="168" t="s">
        <v>2079</v>
      </c>
      <c r="H467" s="168" t="s">
        <v>2080</v>
      </c>
      <c r="I467" s="168" t="s">
        <v>2696</v>
      </c>
      <c r="J467" s="168" t="s">
        <v>2173</v>
      </c>
      <c r="K467" s="169"/>
      <c r="L467" s="169"/>
      <c r="M467" s="168" t="s">
        <v>2702</v>
      </c>
      <c r="N467" s="168" t="s">
        <v>2084</v>
      </c>
      <c r="O467" s="168" t="s">
        <v>2703</v>
      </c>
      <c r="P467" s="169"/>
      <c r="Q467" s="189" t="s">
        <v>1879</v>
      </c>
      <c r="R467" s="166" t="s">
        <v>1874</v>
      </c>
      <c r="S467" s="166" t="s">
        <v>1874</v>
      </c>
      <c r="T467" s="189" t="s">
        <v>1879</v>
      </c>
      <c r="U467" s="162" t="s">
        <v>2061</v>
      </c>
    </row>
    <row r="468" spans="2:21">
      <c r="B468" s="236">
        <v>4</v>
      </c>
      <c r="C468" s="168" t="s">
        <v>2708</v>
      </c>
      <c r="D468" s="168" t="s">
        <v>2709</v>
      </c>
      <c r="E468" s="168" t="s">
        <v>2710</v>
      </c>
      <c r="F468" s="168" t="s">
        <v>2711</v>
      </c>
      <c r="G468" s="168" t="s">
        <v>2079</v>
      </c>
      <c r="H468" s="168" t="s">
        <v>2106</v>
      </c>
      <c r="I468" s="168" t="s">
        <v>2696</v>
      </c>
      <c r="J468" s="169"/>
      <c r="K468" s="169"/>
      <c r="L468" s="169"/>
      <c r="M468" s="169"/>
      <c r="N468" s="168" t="s">
        <v>2084</v>
      </c>
      <c r="O468" s="168" t="s">
        <v>2712</v>
      </c>
      <c r="P468" s="169"/>
      <c r="Q468" s="166" t="s">
        <v>1874</v>
      </c>
      <c r="R468" s="189" t="s">
        <v>1879</v>
      </c>
      <c r="S468" s="166" t="s">
        <v>1874</v>
      </c>
      <c r="T468" s="189" t="s">
        <v>1879</v>
      </c>
      <c r="U468" s="162" t="s">
        <v>2061</v>
      </c>
    </row>
    <row r="469" spans="2:21">
      <c r="B469" s="236">
        <v>4</v>
      </c>
      <c r="C469" s="168" t="s">
        <v>2713</v>
      </c>
      <c r="D469" s="168" t="s">
        <v>2709</v>
      </c>
      <c r="E469" s="168" t="s">
        <v>2710</v>
      </c>
      <c r="F469" s="168" t="s">
        <v>2711</v>
      </c>
      <c r="G469" s="168" t="s">
        <v>2079</v>
      </c>
      <c r="H469" s="168" t="s">
        <v>2106</v>
      </c>
      <c r="I469" s="168" t="s">
        <v>2696</v>
      </c>
      <c r="J469" s="169"/>
      <c r="K469" s="169"/>
      <c r="L469" s="169"/>
      <c r="M469" s="169"/>
      <c r="N469" s="168" t="s">
        <v>2084</v>
      </c>
      <c r="O469" s="168" t="s">
        <v>2712</v>
      </c>
      <c r="P469" s="169"/>
      <c r="Q469" s="166" t="s">
        <v>1874</v>
      </c>
      <c r="R469" s="189" t="s">
        <v>1879</v>
      </c>
      <c r="S469" s="166" t="s">
        <v>1874</v>
      </c>
      <c r="T469" s="189" t="s">
        <v>1879</v>
      </c>
      <c r="U469" s="162" t="s">
        <v>2061</v>
      </c>
    </row>
    <row r="470" spans="2:21">
      <c r="B470" s="236">
        <v>3</v>
      </c>
      <c r="C470" s="168" t="s">
        <v>2714</v>
      </c>
      <c r="D470" s="168" t="s">
        <v>1686</v>
      </c>
      <c r="E470" s="168" t="s">
        <v>2715</v>
      </c>
      <c r="F470" s="168" t="s">
        <v>2711</v>
      </c>
      <c r="G470" s="168" t="s">
        <v>2079</v>
      </c>
      <c r="H470" s="168" t="s">
        <v>2106</v>
      </c>
      <c r="I470" s="168" t="s">
        <v>2696</v>
      </c>
      <c r="J470" s="169"/>
      <c r="K470" s="169"/>
      <c r="L470" s="169"/>
      <c r="M470" s="169"/>
      <c r="N470" s="168" t="s">
        <v>2084</v>
      </c>
      <c r="O470" s="168" t="s">
        <v>2716</v>
      </c>
      <c r="P470" s="169"/>
      <c r="Q470" s="166" t="s">
        <v>1874</v>
      </c>
      <c r="R470" s="189" t="s">
        <v>1879</v>
      </c>
      <c r="S470" s="166" t="s">
        <v>1874</v>
      </c>
      <c r="T470" s="189" t="s">
        <v>1879</v>
      </c>
      <c r="U470" s="162" t="s">
        <v>2061</v>
      </c>
    </row>
    <row r="471" spans="2:21">
      <c r="B471" s="236">
        <v>3</v>
      </c>
      <c r="C471" s="238" t="s">
        <v>2717</v>
      </c>
      <c r="D471" s="168" t="s">
        <v>1686</v>
      </c>
      <c r="E471" s="168" t="s">
        <v>2715</v>
      </c>
      <c r="F471" s="168" t="s">
        <v>2711</v>
      </c>
      <c r="G471" s="168" t="s">
        <v>2079</v>
      </c>
      <c r="H471" s="168" t="s">
        <v>2106</v>
      </c>
      <c r="I471" s="168" t="s">
        <v>2696</v>
      </c>
      <c r="J471" s="169"/>
      <c r="K471" s="169"/>
      <c r="L471" s="169"/>
      <c r="M471" s="169"/>
      <c r="N471" s="168" t="s">
        <v>2084</v>
      </c>
      <c r="O471" s="168" t="s">
        <v>2716</v>
      </c>
      <c r="P471" s="169"/>
      <c r="Q471" s="166" t="s">
        <v>1874</v>
      </c>
      <c r="R471" s="189" t="s">
        <v>1879</v>
      </c>
      <c r="S471" s="166" t="s">
        <v>1874</v>
      </c>
      <c r="T471" s="189" t="s">
        <v>1879</v>
      </c>
      <c r="U471" s="162" t="s">
        <v>2061</v>
      </c>
    </row>
    <row r="472" spans="2:21">
      <c r="B472" s="236">
        <v>3</v>
      </c>
      <c r="C472" s="238" t="s">
        <v>2718</v>
      </c>
      <c r="D472" s="168" t="s">
        <v>2719</v>
      </c>
      <c r="E472" s="168" t="s">
        <v>1705</v>
      </c>
      <c r="F472" s="168" t="s">
        <v>2720</v>
      </c>
      <c r="G472" s="168" t="s">
        <v>2079</v>
      </c>
      <c r="H472" s="168" t="s">
        <v>2106</v>
      </c>
      <c r="I472" s="168" t="s">
        <v>2696</v>
      </c>
      <c r="J472" s="168" t="s">
        <v>2721</v>
      </c>
      <c r="K472" s="168" t="s">
        <v>2722</v>
      </c>
      <c r="L472" s="168" t="s">
        <v>2723</v>
      </c>
      <c r="M472" s="169"/>
      <c r="N472" s="168" t="s">
        <v>2084</v>
      </c>
      <c r="O472" s="168" t="s">
        <v>2255</v>
      </c>
      <c r="P472" s="169"/>
      <c r="Q472" s="166" t="s">
        <v>1874</v>
      </c>
      <c r="R472" s="189" t="s">
        <v>1879</v>
      </c>
      <c r="S472" s="166" t="s">
        <v>1874</v>
      </c>
      <c r="T472" s="189" t="s">
        <v>1879</v>
      </c>
      <c r="U472" s="162" t="s">
        <v>2061</v>
      </c>
    </row>
    <row r="473" spans="2:21">
      <c r="B473" s="236">
        <v>3</v>
      </c>
      <c r="C473" s="168" t="s">
        <v>2724</v>
      </c>
      <c r="D473" s="168" t="s">
        <v>2719</v>
      </c>
      <c r="E473" s="168" t="s">
        <v>1705</v>
      </c>
      <c r="F473" s="168" t="s">
        <v>2720</v>
      </c>
      <c r="G473" s="168" t="s">
        <v>2079</v>
      </c>
      <c r="H473" s="168" t="s">
        <v>2106</v>
      </c>
      <c r="I473" s="168" t="s">
        <v>2696</v>
      </c>
      <c r="J473" s="168" t="s">
        <v>2721</v>
      </c>
      <c r="K473" s="168" t="s">
        <v>2722</v>
      </c>
      <c r="L473" s="168" t="s">
        <v>2723</v>
      </c>
      <c r="M473" s="169"/>
      <c r="N473" s="168" t="s">
        <v>2084</v>
      </c>
      <c r="O473" s="168" t="s">
        <v>2255</v>
      </c>
      <c r="P473" s="169"/>
      <c r="Q473" s="166" t="s">
        <v>1874</v>
      </c>
      <c r="R473" s="189" t="s">
        <v>1879</v>
      </c>
      <c r="S473" s="166" t="s">
        <v>1874</v>
      </c>
      <c r="T473" s="189" t="s">
        <v>1879</v>
      </c>
      <c r="U473" s="162" t="s">
        <v>2061</v>
      </c>
    </row>
    <row r="474" spans="2:21">
      <c r="B474" s="236">
        <v>3</v>
      </c>
      <c r="C474" s="168" t="s">
        <v>2725</v>
      </c>
      <c r="D474" s="168" t="s">
        <v>2726</v>
      </c>
      <c r="E474" s="168" t="s">
        <v>2727</v>
      </c>
      <c r="F474" s="168" t="s">
        <v>2720</v>
      </c>
      <c r="G474" s="168" t="s">
        <v>2079</v>
      </c>
      <c r="H474" s="168" t="s">
        <v>2080</v>
      </c>
      <c r="I474" s="168" t="s">
        <v>2696</v>
      </c>
      <c r="J474" s="168" t="s">
        <v>2721</v>
      </c>
      <c r="K474" s="168" t="s">
        <v>2722</v>
      </c>
      <c r="L474" s="168" t="s">
        <v>2728</v>
      </c>
      <c r="M474" s="169"/>
      <c r="N474" s="168" t="s">
        <v>2084</v>
      </c>
      <c r="O474" s="168" t="s">
        <v>2255</v>
      </c>
      <c r="P474" s="169"/>
      <c r="Q474" s="166" t="s">
        <v>1874</v>
      </c>
      <c r="R474" s="189" t="s">
        <v>1879</v>
      </c>
      <c r="S474" s="166" t="s">
        <v>1874</v>
      </c>
      <c r="T474" s="189" t="s">
        <v>1879</v>
      </c>
      <c r="U474" s="162" t="s">
        <v>2061</v>
      </c>
    </row>
    <row r="475" spans="2:21">
      <c r="B475" s="236">
        <v>3</v>
      </c>
      <c r="C475" s="168" t="s">
        <v>2729</v>
      </c>
      <c r="D475" s="168" t="s">
        <v>2726</v>
      </c>
      <c r="E475" s="168" t="s">
        <v>2727</v>
      </c>
      <c r="F475" s="168" t="s">
        <v>2720</v>
      </c>
      <c r="G475" s="168" t="s">
        <v>2079</v>
      </c>
      <c r="H475" s="168" t="s">
        <v>2080</v>
      </c>
      <c r="I475" s="168" t="s">
        <v>2696</v>
      </c>
      <c r="J475" s="168" t="s">
        <v>2721</v>
      </c>
      <c r="K475" s="168" t="s">
        <v>2722</v>
      </c>
      <c r="L475" s="168" t="s">
        <v>2728</v>
      </c>
      <c r="M475" s="169"/>
      <c r="N475" s="168" t="s">
        <v>2084</v>
      </c>
      <c r="O475" s="168" t="s">
        <v>2255</v>
      </c>
      <c r="P475" s="169"/>
      <c r="Q475" s="166" t="s">
        <v>1874</v>
      </c>
      <c r="R475" s="189" t="s">
        <v>1879</v>
      </c>
      <c r="S475" s="166" t="s">
        <v>1874</v>
      </c>
      <c r="T475" s="189" t="s">
        <v>1879</v>
      </c>
      <c r="U475" s="162" t="s">
        <v>2061</v>
      </c>
    </row>
    <row r="476" spans="2:21">
      <c r="B476" s="236">
        <v>3</v>
      </c>
      <c r="C476" s="168" t="s">
        <v>2730</v>
      </c>
      <c r="D476" s="168" t="s">
        <v>2726</v>
      </c>
      <c r="E476" s="168" t="s">
        <v>2727</v>
      </c>
      <c r="F476" s="168" t="s">
        <v>2720</v>
      </c>
      <c r="G476" s="168" t="s">
        <v>2079</v>
      </c>
      <c r="H476" s="168" t="s">
        <v>2080</v>
      </c>
      <c r="I476" s="168" t="s">
        <v>2696</v>
      </c>
      <c r="J476" s="168" t="s">
        <v>2721</v>
      </c>
      <c r="K476" s="168" t="s">
        <v>2722</v>
      </c>
      <c r="L476" s="168" t="s">
        <v>2728</v>
      </c>
      <c r="M476" s="169"/>
      <c r="N476" s="168" t="s">
        <v>2084</v>
      </c>
      <c r="O476" s="168" t="s">
        <v>2255</v>
      </c>
      <c r="P476" s="169"/>
      <c r="Q476" s="166" t="s">
        <v>1874</v>
      </c>
      <c r="R476" s="189" t="s">
        <v>1879</v>
      </c>
      <c r="S476" s="166" t="s">
        <v>1874</v>
      </c>
      <c r="T476" s="189" t="s">
        <v>1879</v>
      </c>
      <c r="U476" s="162" t="s">
        <v>2061</v>
      </c>
    </row>
    <row r="477" spans="2:21">
      <c r="B477" s="236">
        <v>3</v>
      </c>
      <c r="C477" s="168" t="s">
        <v>2731</v>
      </c>
      <c r="D477" s="168" t="s">
        <v>1713</v>
      </c>
      <c r="E477" s="168" t="s">
        <v>1705</v>
      </c>
      <c r="F477" s="168" t="s">
        <v>2720</v>
      </c>
      <c r="G477" s="168" t="s">
        <v>2079</v>
      </c>
      <c r="H477" s="168" t="s">
        <v>2080</v>
      </c>
      <c r="I477" s="168" t="s">
        <v>2696</v>
      </c>
      <c r="J477" s="169"/>
      <c r="K477" s="169"/>
      <c r="L477" s="169"/>
      <c r="M477" s="169"/>
      <c r="N477" s="168" t="s">
        <v>2084</v>
      </c>
      <c r="O477" s="168" t="s">
        <v>2732</v>
      </c>
      <c r="P477" s="169"/>
      <c r="Q477" s="166" t="s">
        <v>1874</v>
      </c>
      <c r="R477" s="189" t="s">
        <v>1879</v>
      </c>
      <c r="S477" s="166" t="s">
        <v>1874</v>
      </c>
      <c r="T477" s="189" t="s">
        <v>1879</v>
      </c>
      <c r="U477" s="162" t="s">
        <v>2061</v>
      </c>
    </row>
    <row r="478" spans="2:21">
      <c r="B478" s="236">
        <v>3</v>
      </c>
      <c r="C478" s="168" t="s">
        <v>2733</v>
      </c>
      <c r="D478" s="168" t="s">
        <v>1713</v>
      </c>
      <c r="E478" s="168" t="s">
        <v>1705</v>
      </c>
      <c r="F478" s="168" t="s">
        <v>2720</v>
      </c>
      <c r="G478" s="168" t="s">
        <v>2079</v>
      </c>
      <c r="H478" s="168" t="s">
        <v>2080</v>
      </c>
      <c r="I478" s="168" t="s">
        <v>2696</v>
      </c>
      <c r="J478" s="169"/>
      <c r="K478" s="169"/>
      <c r="L478" s="169"/>
      <c r="M478" s="169"/>
      <c r="N478" s="168" t="s">
        <v>2084</v>
      </c>
      <c r="O478" s="168" t="s">
        <v>2732</v>
      </c>
      <c r="P478" s="169"/>
      <c r="Q478" s="166" t="s">
        <v>1874</v>
      </c>
      <c r="R478" s="189" t="s">
        <v>1879</v>
      </c>
      <c r="S478" s="166" t="s">
        <v>1874</v>
      </c>
      <c r="T478" s="189" t="s">
        <v>1879</v>
      </c>
      <c r="U478" s="162" t="s">
        <v>2061</v>
      </c>
    </row>
    <row r="479" spans="2:21">
      <c r="B479" s="236">
        <v>3</v>
      </c>
      <c r="C479" s="238" t="s">
        <v>2734</v>
      </c>
      <c r="D479" s="168" t="s">
        <v>1686</v>
      </c>
      <c r="E479" s="168" t="s">
        <v>1705</v>
      </c>
      <c r="F479" s="168" t="s">
        <v>2720</v>
      </c>
      <c r="G479" s="168" t="s">
        <v>2079</v>
      </c>
      <c r="H479" s="168" t="s">
        <v>2106</v>
      </c>
      <c r="I479" s="168" t="s">
        <v>2696</v>
      </c>
      <c r="J479" s="169"/>
      <c r="K479" s="169"/>
      <c r="L479" s="169"/>
      <c r="M479" s="169"/>
      <c r="N479" s="168" t="s">
        <v>2084</v>
      </c>
      <c r="O479" s="168" t="s">
        <v>2716</v>
      </c>
      <c r="P479" s="169"/>
      <c r="Q479" s="166" t="s">
        <v>1874</v>
      </c>
      <c r="R479" s="189" t="s">
        <v>1879</v>
      </c>
      <c r="S479" s="166" t="s">
        <v>1874</v>
      </c>
      <c r="T479" s="189" t="s">
        <v>1879</v>
      </c>
      <c r="U479" s="162" t="s">
        <v>2061</v>
      </c>
    </row>
    <row r="480" spans="2:21">
      <c r="B480" s="236">
        <v>3</v>
      </c>
      <c r="C480" s="168" t="s">
        <v>2735</v>
      </c>
      <c r="D480" s="168" t="s">
        <v>1686</v>
      </c>
      <c r="E480" s="168" t="s">
        <v>1705</v>
      </c>
      <c r="F480" s="168" t="s">
        <v>2720</v>
      </c>
      <c r="G480" s="168" t="s">
        <v>2079</v>
      </c>
      <c r="H480" s="168" t="s">
        <v>2106</v>
      </c>
      <c r="I480" s="168" t="s">
        <v>2696</v>
      </c>
      <c r="J480" s="169"/>
      <c r="K480" s="169"/>
      <c r="L480" s="169"/>
      <c r="M480" s="169"/>
      <c r="N480" s="168" t="s">
        <v>2084</v>
      </c>
      <c r="O480" s="168" t="s">
        <v>2716</v>
      </c>
      <c r="P480" s="169"/>
      <c r="Q480" s="166" t="s">
        <v>1874</v>
      </c>
      <c r="R480" s="189" t="s">
        <v>1879</v>
      </c>
      <c r="S480" s="166" t="s">
        <v>1874</v>
      </c>
      <c r="T480" s="189" t="s">
        <v>1879</v>
      </c>
      <c r="U480" s="162" t="s">
        <v>2061</v>
      </c>
    </row>
    <row r="481" spans="2:21">
      <c r="B481" s="236">
        <v>3</v>
      </c>
      <c r="C481" s="168" t="s">
        <v>2736</v>
      </c>
      <c r="D481" s="168" t="s">
        <v>1689</v>
      </c>
      <c r="E481" s="168" t="s">
        <v>2737</v>
      </c>
      <c r="F481" s="168" t="s">
        <v>2720</v>
      </c>
      <c r="G481" s="168" t="s">
        <v>2079</v>
      </c>
      <c r="H481" s="168" t="s">
        <v>2106</v>
      </c>
      <c r="I481" s="168" t="s">
        <v>2696</v>
      </c>
      <c r="J481" s="169"/>
      <c r="K481" s="169"/>
      <c r="L481" s="169"/>
      <c r="M481" s="169"/>
      <c r="N481" s="168" t="s">
        <v>2084</v>
      </c>
      <c r="O481" s="168" t="s">
        <v>2255</v>
      </c>
      <c r="P481" s="169"/>
      <c r="Q481" s="166" t="s">
        <v>1874</v>
      </c>
      <c r="R481" s="189" t="s">
        <v>1879</v>
      </c>
      <c r="S481" s="166" t="s">
        <v>1874</v>
      </c>
      <c r="T481" s="189" t="s">
        <v>1879</v>
      </c>
      <c r="U481" s="162" t="s">
        <v>2061</v>
      </c>
    </row>
    <row r="482" spans="2:21">
      <c r="B482" s="236">
        <v>3</v>
      </c>
      <c r="C482" s="168" t="s">
        <v>2738</v>
      </c>
      <c r="D482" s="168" t="s">
        <v>1689</v>
      </c>
      <c r="E482" s="168" t="s">
        <v>2737</v>
      </c>
      <c r="F482" s="168" t="s">
        <v>2720</v>
      </c>
      <c r="G482" s="168" t="s">
        <v>2079</v>
      </c>
      <c r="H482" s="168" t="s">
        <v>2106</v>
      </c>
      <c r="I482" s="168" t="s">
        <v>2696</v>
      </c>
      <c r="J482" s="169"/>
      <c r="K482" s="169"/>
      <c r="L482" s="169"/>
      <c r="M482" s="169"/>
      <c r="N482" s="168" t="s">
        <v>2084</v>
      </c>
      <c r="O482" s="168" t="s">
        <v>2255</v>
      </c>
      <c r="P482" s="169"/>
      <c r="Q482" s="166" t="s">
        <v>1874</v>
      </c>
      <c r="R482" s="189" t="s">
        <v>1879</v>
      </c>
      <c r="S482" s="166" t="s">
        <v>1874</v>
      </c>
      <c r="T482" s="189" t="s">
        <v>1879</v>
      </c>
      <c r="U482" s="162" t="s">
        <v>2061</v>
      </c>
    </row>
    <row r="483" spans="2:21">
      <c r="B483" s="236">
        <v>3</v>
      </c>
      <c r="C483" s="168" t="s">
        <v>2739</v>
      </c>
      <c r="D483" s="168" t="s">
        <v>1689</v>
      </c>
      <c r="E483" s="168" t="s">
        <v>2740</v>
      </c>
      <c r="F483" s="168" t="s">
        <v>2720</v>
      </c>
      <c r="G483" s="168" t="s">
        <v>2079</v>
      </c>
      <c r="H483" s="168" t="s">
        <v>2106</v>
      </c>
      <c r="I483" s="168" t="s">
        <v>2696</v>
      </c>
      <c r="J483" s="169"/>
      <c r="K483" s="169"/>
      <c r="L483" s="169"/>
      <c r="M483" s="169"/>
      <c r="N483" s="168" t="s">
        <v>2084</v>
      </c>
      <c r="O483" s="168" t="s">
        <v>2255</v>
      </c>
      <c r="P483" s="169"/>
      <c r="Q483" s="166" t="s">
        <v>1874</v>
      </c>
      <c r="R483" s="189" t="s">
        <v>1879</v>
      </c>
      <c r="S483" s="166" t="s">
        <v>1874</v>
      </c>
      <c r="T483" s="189" t="s">
        <v>1879</v>
      </c>
      <c r="U483" s="162" t="s">
        <v>2061</v>
      </c>
    </row>
    <row r="484" spans="2:21">
      <c r="B484" s="236">
        <v>3</v>
      </c>
      <c r="C484" s="168" t="s">
        <v>2741</v>
      </c>
      <c r="D484" s="168" t="s">
        <v>1689</v>
      </c>
      <c r="E484" s="168" t="s">
        <v>2740</v>
      </c>
      <c r="F484" s="168" t="s">
        <v>2720</v>
      </c>
      <c r="G484" s="168" t="s">
        <v>2079</v>
      </c>
      <c r="H484" s="168" t="s">
        <v>2106</v>
      </c>
      <c r="I484" s="168" t="s">
        <v>2696</v>
      </c>
      <c r="J484" s="169"/>
      <c r="K484" s="169"/>
      <c r="L484" s="169"/>
      <c r="M484" s="169"/>
      <c r="N484" s="168" t="s">
        <v>2084</v>
      </c>
      <c r="O484" s="168" t="s">
        <v>2255</v>
      </c>
      <c r="P484" s="169"/>
      <c r="Q484" s="166" t="s">
        <v>1874</v>
      </c>
      <c r="R484" s="189" t="s">
        <v>1879</v>
      </c>
      <c r="S484" s="166" t="s">
        <v>1874</v>
      </c>
      <c r="T484" s="189" t="s">
        <v>1879</v>
      </c>
      <c r="U484" s="162" t="s">
        <v>2061</v>
      </c>
    </row>
    <row r="485" spans="2:21">
      <c r="B485" s="236">
        <v>3</v>
      </c>
      <c r="C485" s="168" t="s">
        <v>2742</v>
      </c>
      <c r="D485" s="168" t="s">
        <v>1689</v>
      </c>
      <c r="E485" s="168" t="s">
        <v>2743</v>
      </c>
      <c r="F485" s="168" t="s">
        <v>2720</v>
      </c>
      <c r="G485" s="168" t="s">
        <v>2079</v>
      </c>
      <c r="H485" s="168" t="s">
        <v>2106</v>
      </c>
      <c r="I485" s="168" t="s">
        <v>2696</v>
      </c>
      <c r="J485" s="169"/>
      <c r="K485" s="169"/>
      <c r="L485" s="169"/>
      <c r="M485" s="169"/>
      <c r="N485" s="168" t="s">
        <v>2084</v>
      </c>
      <c r="O485" s="168" t="s">
        <v>2255</v>
      </c>
      <c r="P485" s="169"/>
      <c r="Q485" s="166" t="s">
        <v>1874</v>
      </c>
      <c r="R485" s="189" t="s">
        <v>1879</v>
      </c>
      <c r="S485" s="166" t="s">
        <v>1874</v>
      </c>
      <c r="T485" s="189" t="s">
        <v>1879</v>
      </c>
      <c r="U485" s="162" t="s">
        <v>2061</v>
      </c>
    </row>
    <row r="486" spans="2:21">
      <c r="B486" s="236">
        <v>3</v>
      </c>
      <c r="C486" s="238" t="s">
        <v>2744</v>
      </c>
      <c r="D486" s="168" t="s">
        <v>1689</v>
      </c>
      <c r="E486" s="168" t="s">
        <v>2743</v>
      </c>
      <c r="F486" s="168" t="s">
        <v>2720</v>
      </c>
      <c r="G486" s="168" t="s">
        <v>2079</v>
      </c>
      <c r="H486" s="168" t="s">
        <v>2106</v>
      </c>
      <c r="I486" s="168" t="s">
        <v>2696</v>
      </c>
      <c r="J486" s="169"/>
      <c r="K486" s="169"/>
      <c r="L486" s="169"/>
      <c r="M486" s="169"/>
      <c r="N486" s="168" t="s">
        <v>2084</v>
      </c>
      <c r="O486" s="168" t="s">
        <v>2255</v>
      </c>
      <c r="P486" s="169"/>
      <c r="Q486" s="166" t="s">
        <v>1874</v>
      </c>
      <c r="R486" s="189" t="s">
        <v>1879</v>
      </c>
      <c r="S486" s="166" t="s">
        <v>1874</v>
      </c>
      <c r="T486" s="189" t="s">
        <v>1879</v>
      </c>
      <c r="U486" s="162" t="s">
        <v>2061</v>
      </c>
    </row>
    <row r="487" spans="2:21">
      <c r="B487" s="236">
        <v>3</v>
      </c>
      <c r="C487" s="238" t="s">
        <v>1704</v>
      </c>
      <c r="D487" s="168" t="s">
        <v>1689</v>
      </c>
      <c r="E487" s="168" t="s">
        <v>2727</v>
      </c>
      <c r="F487" s="168" t="s">
        <v>2720</v>
      </c>
      <c r="G487" s="168" t="s">
        <v>2079</v>
      </c>
      <c r="H487" s="168" t="s">
        <v>2106</v>
      </c>
      <c r="I487" s="168" t="s">
        <v>2696</v>
      </c>
      <c r="J487" s="169"/>
      <c r="K487" s="169"/>
      <c r="L487" s="169"/>
      <c r="M487" s="168" t="s">
        <v>2745</v>
      </c>
      <c r="N487" s="168" t="s">
        <v>2084</v>
      </c>
      <c r="O487" s="168" t="s">
        <v>2255</v>
      </c>
      <c r="P487" s="169"/>
      <c r="Q487" s="166" t="s">
        <v>1874</v>
      </c>
      <c r="R487" s="189" t="s">
        <v>1879</v>
      </c>
      <c r="S487" s="166" t="s">
        <v>1874</v>
      </c>
      <c r="T487" s="189" t="s">
        <v>1879</v>
      </c>
      <c r="U487" s="162" t="s">
        <v>2061</v>
      </c>
    </row>
    <row r="488" spans="2:21">
      <c r="B488" s="236">
        <v>3</v>
      </c>
      <c r="C488" s="168" t="s">
        <v>2746</v>
      </c>
      <c r="D488" s="168" t="s">
        <v>2726</v>
      </c>
      <c r="E488" s="168" t="s">
        <v>2747</v>
      </c>
      <c r="F488" s="168" t="s">
        <v>2748</v>
      </c>
      <c r="G488" s="168" t="s">
        <v>2079</v>
      </c>
      <c r="H488" s="168" t="s">
        <v>2080</v>
      </c>
      <c r="I488" s="168" t="s">
        <v>2696</v>
      </c>
      <c r="J488" s="168" t="s">
        <v>2721</v>
      </c>
      <c r="K488" s="168" t="s">
        <v>2722</v>
      </c>
      <c r="L488" s="168" t="s">
        <v>2728</v>
      </c>
      <c r="M488" s="169"/>
      <c r="N488" s="168" t="s">
        <v>2084</v>
      </c>
      <c r="O488" s="168" t="s">
        <v>2749</v>
      </c>
      <c r="P488" s="169"/>
      <c r="Q488" s="166" t="s">
        <v>1874</v>
      </c>
      <c r="R488" s="189" t="s">
        <v>1879</v>
      </c>
      <c r="S488" s="166" t="s">
        <v>1874</v>
      </c>
      <c r="T488" s="189" t="s">
        <v>1879</v>
      </c>
      <c r="U488" s="162" t="s">
        <v>2061</v>
      </c>
    </row>
    <row r="489" spans="2:21">
      <c r="B489" s="236">
        <v>3</v>
      </c>
      <c r="C489" s="168" t="s">
        <v>2750</v>
      </c>
      <c r="D489" s="168" t="s">
        <v>2726</v>
      </c>
      <c r="E489" s="168" t="s">
        <v>2747</v>
      </c>
      <c r="F489" s="168" t="s">
        <v>2748</v>
      </c>
      <c r="G489" s="168" t="s">
        <v>2079</v>
      </c>
      <c r="H489" s="168" t="s">
        <v>2080</v>
      </c>
      <c r="I489" s="168" t="s">
        <v>2696</v>
      </c>
      <c r="J489" s="168" t="s">
        <v>2721</v>
      </c>
      <c r="K489" s="168" t="s">
        <v>2722</v>
      </c>
      <c r="L489" s="168" t="s">
        <v>2728</v>
      </c>
      <c r="M489" s="169"/>
      <c r="N489" s="168" t="s">
        <v>2084</v>
      </c>
      <c r="O489" s="168" t="s">
        <v>2749</v>
      </c>
      <c r="P489" s="169"/>
      <c r="Q489" s="166" t="s">
        <v>1874</v>
      </c>
      <c r="R489" s="189" t="s">
        <v>1879</v>
      </c>
      <c r="S489" s="166" t="s">
        <v>1874</v>
      </c>
      <c r="T489" s="189" t="s">
        <v>1879</v>
      </c>
      <c r="U489" s="162" t="s">
        <v>2061</v>
      </c>
    </row>
    <row r="490" spans="2:21">
      <c r="B490" s="236">
        <v>3</v>
      </c>
      <c r="C490" s="168" t="s">
        <v>2751</v>
      </c>
      <c r="D490" s="168" t="s">
        <v>2726</v>
      </c>
      <c r="E490" s="168" t="s">
        <v>2747</v>
      </c>
      <c r="F490" s="168" t="s">
        <v>2748</v>
      </c>
      <c r="G490" s="168" t="s">
        <v>2079</v>
      </c>
      <c r="H490" s="168" t="s">
        <v>2080</v>
      </c>
      <c r="I490" s="168" t="s">
        <v>2696</v>
      </c>
      <c r="J490" s="168" t="s">
        <v>2721</v>
      </c>
      <c r="K490" s="168" t="s">
        <v>2722</v>
      </c>
      <c r="L490" s="168" t="s">
        <v>2728</v>
      </c>
      <c r="M490" s="169"/>
      <c r="N490" s="168" t="s">
        <v>2084</v>
      </c>
      <c r="O490" s="168" t="s">
        <v>2749</v>
      </c>
      <c r="P490" s="169"/>
      <c r="Q490" s="166" t="s">
        <v>1874</v>
      </c>
      <c r="R490" s="189" t="s">
        <v>1879</v>
      </c>
      <c r="S490" s="166" t="s">
        <v>1874</v>
      </c>
      <c r="T490" s="189" t="s">
        <v>1879</v>
      </c>
      <c r="U490" s="162" t="s">
        <v>2061</v>
      </c>
    </row>
    <row r="491" spans="2:21">
      <c r="B491" s="236">
        <v>3</v>
      </c>
      <c r="C491" s="238" t="s">
        <v>2752</v>
      </c>
      <c r="D491" s="168" t="s">
        <v>2726</v>
      </c>
      <c r="E491" s="168" t="s">
        <v>2747</v>
      </c>
      <c r="F491" s="168" t="s">
        <v>2748</v>
      </c>
      <c r="G491" s="168" t="s">
        <v>2079</v>
      </c>
      <c r="H491" s="168" t="s">
        <v>2080</v>
      </c>
      <c r="I491" s="168" t="s">
        <v>2696</v>
      </c>
      <c r="J491" s="168" t="s">
        <v>2721</v>
      </c>
      <c r="K491" s="168" t="s">
        <v>2722</v>
      </c>
      <c r="L491" s="168" t="s">
        <v>2728</v>
      </c>
      <c r="M491" s="169"/>
      <c r="N491" s="168" t="s">
        <v>2084</v>
      </c>
      <c r="O491" s="168" t="s">
        <v>2749</v>
      </c>
      <c r="P491" s="169"/>
      <c r="Q491" s="166" t="s">
        <v>1874</v>
      </c>
      <c r="R491" s="189" t="s">
        <v>1879</v>
      </c>
      <c r="S491" s="166" t="s">
        <v>1874</v>
      </c>
      <c r="T491" s="189" t="s">
        <v>1879</v>
      </c>
      <c r="U491" s="162" t="s">
        <v>2061</v>
      </c>
    </row>
    <row r="492" spans="2:21">
      <c r="B492" s="236">
        <v>3</v>
      </c>
      <c r="C492" s="168" t="s">
        <v>2753</v>
      </c>
      <c r="D492" s="168" t="s">
        <v>1713</v>
      </c>
      <c r="E492" s="168" t="s">
        <v>2747</v>
      </c>
      <c r="F492" s="168" t="s">
        <v>2748</v>
      </c>
      <c r="G492" s="168" t="s">
        <v>2079</v>
      </c>
      <c r="H492" s="168" t="s">
        <v>2080</v>
      </c>
      <c r="I492" s="168" t="s">
        <v>2696</v>
      </c>
      <c r="J492" s="169"/>
      <c r="K492" s="169"/>
      <c r="L492" s="169"/>
      <c r="M492" s="169"/>
      <c r="N492" s="168" t="s">
        <v>2084</v>
      </c>
      <c r="O492" s="168" t="s">
        <v>2749</v>
      </c>
      <c r="P492" s="169"/>
      <c r="Q492" s="166" t="s">
        <v>1874</v>
      </c>
      <c r="R492" s="189" t="s">
        <v>1879</v>
      </c>
      <c r="S492" s="166" t="s">
        <v>1874</v>
      </c>
      <c r="T492" s="189" t="s">
        <v>1879</v>
      </c>
      <c r="U492" s="162" t="s">
        <v>2061</v>
      </c>
    </row>
    <row r="493" spans="2:21">
      <c r="B493" s="236">
        <v>3</v>
      </c>
      <c r="C493" s="168" t="s">
        <v>2754</v>
      </c>
      <c r="D493" s="168" t="s">
        <v>1713</v>
      </c>
      <c r="E493" s="168" t="s">
        <v>2747</v>
      </c>
      <c r="F493" s="168" t="s">
        <v>2748</v>
      </c>
      <c r="G493" s="168" t="s">
        <v>2079</v>
      </c>
      <c r="H493" s="168" t="s">
        <v>2080</v>
      </c>
      <c r="I493" s="168" t="s">
        <v>2696</v>
      </c>
      <c r="J493" s="169"/>
      <c r="K493" s="169"/>
      <c r="L493" s="169"/>
      <c r="M493" s="169"/>
      <c r="N493" s="168" t="s">
        <v>2084</v>
      </c>
      <c r="O493" s="168" t="s">
        <v>2755</v>
      </c>
      <c r="P493" s="169"/>
      <c r="Q493" s="166" t="s">
        <v>1874</v>
      </c>
      <c r="R493" s="189" t="s">
        <v>1879</v>
      </c>
      <c r="S493" s="166" t="s">
        <v>1874</v>
      </c>
      <c r="T493" s="189" t="s">
        <v>1879</v>
      </c>
      <c r="U493" s="162" t="s">
        <v>2061</v>
      </c>
    </row>
    <row r="494" spans="2:21">
      <c r="B494" s="236">
        <v>3</v>
      </c>
      <c r="C494" s="168" t="s">
        <v>2756</v>
      </c>
      <c r="D494" s="168" t="s">
        <v>1686</v>
      </c>
      <c r="E494" s="168" t="s">
        <v>2747</v>
      </c>
      <c r="F494" s="168" t="s">
        <v>2748</v>
      </c>
      <c r="G494" s="168" t="s">
        <v>2079</v>
      </c>
      <c r="H494" s="168" t="s">
        <v>2106</v>
      </c>
      <c r="I494" s="168" t="s">
        <v>2696</v>
      </c>
      <c r="J494" s="169"/>
      <c r="K494" s="169"/>
      <c r="L494" s="169"/>
      <c r="M494" s="169"/>
      <c r="N494" s="168" t="s">
        <v>2084</v>
      </c>
      <c r="O494" s="168" t="s">
        <v>2716</v>
      </c>
      <c r="P494" s="169"/>
      <c r="Q494" s="166" t="s">
        <v>1874</v>
      </c>
      <c r="R494" s="189" t="s">
        <v>1879</v>
      </c>
      <c r="S494" s="166" t="s">
        <v>1874</v>
      </c>
      <c r="T494" s="189" t="s">
        <v>1879</v>
      </c>
      <c r="U494" s="162" t="s">
        <v>2061</v>
      </c>
    </row>
    <row r="495" spans="2:21">
      <c r="B495" s="236">
        <v>3</v>
      </c>
      <c r="C495" s="168" t="s">
        <v>2757</v>
      </c>
      <c r="D495" s="168" t="s">
        <v>1686</v>
      </c>
      <c r="E495" s="168" t="s">
        <v>2747</v>
      </c>
      <c r="F495" s="168" t="s">
        <v>2748</v>
      </c>
      <c r="G495" s="168" t="s">
        <v>2079</v>
      </c>
      <c r="H495" s="168" t="s">
        <v>2106</v>
      </c>
      <c r="I495" s="168" t="s">
        <v>2696</v>
      </c>
      <c r="J495" s="169"/>
      <c r="K495" s="169"/>
      <c r="L495" s="169"/>
      <c r="M495" s="169"/>
      <c r="N495" s="168" t="s">
        <v>2084</v>
      </c>
      <c r="O495" s="168" t="s">
        <v>2716</v>
      </c>
      <c r="P495" s="169"/>
      <c r="Q495" s="166" t="s">
        <v>1874</v>
      </c>
      <c r="R495" s="189" t="s">
        <v>1879</v>
      </c>
      <c r="S495" s="166" t="s">
        <v>1874</v>
      </c>
      <c r="T495" s="189" t="s">
        <v>1879</v>
      </c>
      <c r="U495" s="162" t="s">
        <v>2061</v>
      </c>
    </row>
    <row r="496" spans="2:21">
      <c r="B496" s="236">
        <v>3</v>
      </c>
      <c r="C496" s="168" t="s">
        <v>2758</v>
      </c>
      <c r="D496" s="168" t="s">
        <v>2726</v>
      </c>
      <c r="E496" s="168" t="s">
        <v>2759</v>
      </c>
      <c r="F496" s="168" t="s">
        <v>2760</v>
      </c>
      <c r="G496" s="168" t="s">
        <v>2079</v>
      </c>
      <c r="H496" s="168" t="s">
        <v>2080</v>
      </c>
      <c r="I496" s="168" t="s">
        <v>2696</v>
      </c>
      <c r="J496" s="168" t="s">
        <v>2721</v>
      </c>
      <c r="K496" s="168" t="s">
        <v>2722</v>
      </c>
      <c r="L496" s="168" t="s">
        <v>2728</v>
      </c>
      <c r="M496" s="169"/>
      <c r="N496" s="168" t="s">
        <v>2084</v>
      </c>
      <c r="O496" s="168" t="s">
        <v>2761</v>
      </c>
      <c r="P496" s="169"/>
      <c r="Q496" s="166" t="s">
        <v>1874</v>
      </c>
      <c r="R496" s="189" t="s">
        <v>1879</v>
      </c>
      <c r="S496" s="166" t="s">
        <v>1874</v>
      </c>
      <c r="T496" s="189" t="s">
        <v>1879</v>
      </c>
      <c r="U496" s="162" t="s">
        <v>2061</v>
      </c>
    </row>
    <row r="497" spans="2:21">
      <c r="B497" s="236">
        <v>3</v>
      </c>
      <c r="C497" s="168" t="s">
        <v>2762</v>
      </c>
      <c r="D497" s="168" t="s">
        <v>1713</v>
      </c>
      <c r="E497" s="168" t="s">
        <v>2759</v>
      </c>
      <c r="F497" s="168" t="s">
        <v>2760</v>
      </c>
      <c r="G497" s="168" t="s">
        <v>2079</v>
      </c>
      <c r="H497" s="168" t="s">
        <v>2080</v>
      </c>
      <c r="I497" s="168" t="s">
        <v>2696</v>
      </c>
      <c r="J497" s="169"/>
      <c r="K497" s="169"/>
      <c r="L497" s="169"/>
      <c r="M497" s="169"/>
      <c r="N497" s="168" t="s">
        <v>2084</v>
      </c>
      <c r="O497" s="168" t="s">
        <v>2755</v>
      </c>
      <c r="P497" s="169"/>
      <c r="Q497" s="166" t="s">
        <v>1874</v>
      </c>
      <c r="R497" s="189" t="s">
        <v>1879</v>
      </c>
      <c r="S497" s="166" t="s">
        <v>1874</v>
      </c>
      <c r="T497" s="189" t="s">
        <v>1879</v>
      </c>
      <c r="U497" s="162" t="s">
        <v>2061</v>
      </c>
    </row>
    <row r="498" spans="2:21">
      <c r="B498" s="236">
        <v>4</v>
      </c>
      <c r="C498" s="238" t="s">
        <v>2763</v>
      </c>
      <c r="D498" s="168" t="s">
        <v>1713</v>
      </c>
      <c r="E498" s="168" t="s">
        <v>2759</v>
      </c>
      <c r="F498" s="168" t="s">
        <v>2760</v>
      </c>
      <c r="G498" s="168" t="s">
        <v>2079</v>
      </c>
      <c r="H498" s="168" t="s">
        <v>2080</v>
      </c>
      <c r="I498" s="168" t="s">
        <v>2696</v>
      </c>
      <c r="J498" s="169"/>
      <c r="K498" s="169"/>
      <c r="L498" s="169"/>
      <c r="M498" s="169"/>
      <c r="N498" s="168" t="s">
        <v>2084</v>
      </c>
      <c r="O498" s="168" t="s">
        <v>2761</v>
      </c>
      <c r="P498" s="169"/>
      <c r="Q498" s="166" t="s">
        <v>1874</v>
      </c>
      <c r="R498" s="189" t="s">
        <v>1879</v>
      </c>
      <c r="S498" s="166" t="s">
        <v>1874</v>
      </c>
      <c r="T498" s="189" t="s">
        <v>1879</v>
      </c>
      <c r="U498" s="162" t="s">
        <v>2061</v>
      </c>
    </row>
    <row r="499" spans="2:21">
      <c r="B499" s="236">
        <v>3</v>
      </c>
      <c r="C499" s="238" t="s">
        <v>2764</v>
      </c>
      <c r="D499" s="168" t="s">
        <v>2726</v>
      </c>
      <c r="E499" s="168" t="s">
        <v>2759</v>
      </c>
      <c r="F499" s="168" t="s">
        <v>2760</v>
      </c>
      <c r="G499" s="168" t="s">
        <v>2079</v>
      </c>
      <c r="H499" s="168" t="s">
        <v>2080</v>
      </c>
      <c r="I499" s="168" t="s">
        <v>2696</v>
      </c>
      <c r="J499" s="168" t="s">
        <v>2721</v>
      </c>
      <c r="K499" s="168" t="s">
        <v>2722</v>
      </c>
      <c r="L499" s="168" t="s">
        <v>2728</v>
      </c>
      <c r="M499" s="169"/>
      <c r="N499" s="168" t="s">
        <v>2084</v>
      </c>
      <c r="O499" s="168" t="s">
        <v>2761</v>
      </c>
      <c r="P499" s="169"/>
      <c r="Q499" s="166" t="s">
        <v>1874</v>
      </c>
      <c r="R499" s="189" t="s">
        <v>1879</v>
      </c>
      <c r="S499" s="166" t="s">
        <v>1874</v>
      </c>
      <c r="T499" s="189" t="s">
        <v>1879</v>
      </c>
      <c r="U499" s="162" t="s">
        <v>2061</v>
      </c>
    </row>
    <row r="500" spans="2:21">
      <c r="B500" s="236">
        <v>3</v>
      </c>
      <c r="C500" s="168" t="s">
        <v>2765</v>
      </c>
      <c r="D500" s="168" t="s">
        <v>2726</v>
      </c>
      <c r="E500" s="168" t="s">
        <v>2759</v>
      </c>
      <c r="F500" s="168" t="s">
        <v>2760</v>
      </c>
      <c r="G500" s="168" t="s">
        <v>2079</v>
      </c>
      <c r="H500" s="168" t="s">
        <v>2080</v>
      </c>
      <c r="I500" s="168" t="s">
        <v>2696</v>
      </c>
      <c r="J500" s="168" t="s">
        <v>2721</v>
      </c>
      <c r="K500" s="168" t="s">
        <v>2722</v>
      </c>
      <c r="L500" s="168" t="s">
        <v>2728</v>
      </c>
      <c r="M500" s="169"/>
      <c r="N500" s="168" t="s">
        <v>2084</v>
      </c>
      <c r="O500" s="168" t="s">
        <v>2761</v>
      </c>
      <c r="P500" s="169"/>
      <c r="Q500" s="166" t="s">
        <v>1874</v>
      </c>
      <c r="R500" s="189" t="s">
        <v>1879</v>
      </c>
      <c r="S500" s="166" t="s">
        <v>1874</v>
      </c>
      <c r="T500" s="189" t="s">
        <v>1879</v>
      </c>
      <c r="U500" s="162" t="s">
        <v>2061</v>
      </c>
    </row>
    <row r="501" spans="2:21">
      <c r="B501" s="236">
        <v>3</v>
      </c>
      <c r="C501" s="168" t="s">
        <v>2766</v>
      </c>
      <c r="D501" s="168" t="s">
        <v>2726</v>
      </c>
      <c r="E501" s="168" t="s">
        <v>2759</v>
      </c>
      <c r="F501" s="168" t="s">
        <v>2760</v>
      </c>
      <c r="G501" s="168" t="s">
        <v>2079</v>
      </c>
      <c r="H501" s="168" t="s">
        <v>2080</v>
      </c>
      <c r="I501" s="168" t="s">
        <v>2696</v>
      </c>
      <c r="J501" s="168" t="s">
        <v>2721</v>
      </c>
      <c r="K501" s="168" t="s">
        <v>2722</v>
      </c>
      <c r="L501" s="168" t="s">
        <v>2728</v>
      </c>
      <c r="M501" s="169"/>
      <c r="N501" s="168" t="s">
        <v>2084</v>
      </c>
      <c r="O501" s="168" t="s">
        <v>2761</v>
      </c>
      <c r="P501" s="169"/>
      <c r="Q501" s="166" t="s">
        <v>1874</v>
      </c>
      <c r="R501" s="189" t="s">
        <v>1879</v>
      </c>
      <c r="S501" s="166" t="s">
        <v>1874</v>
      </c>
      <c r="T501" s="189" t="s">
        <v>1879</v>
      </c>
      <c r="U501" s="162" t="s">
        <v>2061</v>
      </c>
    </row>
    <row r="502" spans="2:21">
      <c r="B502" s="236">
        <v>3</v>
      </c>
      <c r="C502" s="168" t="s">
        <v>2767</v>
      </c>
      <c r="D502" s="168" t="s">
        <v>2726</v>
      </c>
      <c r="E502" s="168" t="s">
        <v>2759</v>
      </c>
      <c r="F502" s="168" t="s">
        <v>2760</v>
      </c>
      <c r="G502" s="168" t="s">
        <v>2079</v>
      </c>
      <c r="H502" s="168" t="s">
        <v>2080</v>
      </c>
      <c r="I502" s="168" t="s">
        <v>2696</v>
      </c>
      <c r="J502" s="168" t="s">
        <v>2721</v>
      </c>
      <c r="K502" s="168" t="s">
        <v>2722</v>
      </c>
      <c r="L502" s="168" t="s">
        <v>2728</v>
      </c>
      <c r="M502" s="169"/>
      <c r="N502" s="168" t="s">
        <v>2084</v>
      </c>
      <c r="O502" s="168" t="s">
        <v>2768</v>
      </c>
      <c r="P502" s="169"/>
      <c r="Q502" s="166" t="s">
        <v>1874</v>
      </c>
      <c r="R502" s="189" t="s">
        <v>1879</v>
      </c>
      <c r="S502" s="166" t="s">
        <v>1874</v>
      </c>
      <c r="T502" s="189" t="s">
        <v>1879</v>
      </c>
      <c r="U502" s="162" t="s">
        <v>2061</v>
      </c>
    </row>
    <row r="503" spans="2:21">
      <c r="B503" s="236">
        <v>3</v>
      </c>
      <c r="C503" s="238" t="s">
        <v>2769</v>
      </c>
      <c r="D503" s="168" t="s">
        <v>2726</v>
      </c>
      <c r="E503" s="168" t="s">
        <v>2759</v>
      </c>
      <c r="F503" s="168" t="s">
        <v>2760</v>
      </c>
      <c r="G503" s="168" t="s">
        <v>2079</v>
      </c>
      <c r="H503" s="168" t="s">
        <v>2080</v>
      </c>
      <c r="I503" s="168" t="s">
        <v>2696</v>
      </c>
      <c r="J503" s="168" t="s">
        <v>2721</v>
      </c>
      <c r="K503" s="168" t="s">
        <v>2722</v>
      </c>
      <c r="L503" s="168" t="s">
        <v>2728</v>
      </c>
      <c r="M503" s="169"/>
      <c r="N503" s="168" t="s">
        <v>2084</v>
      </c>
      <c r="O503" s="168" t="s">
        <v>2768</v>
      </c>
      <c r="P503" s="169"/>
      <c r="Q503" s="166" t="s">
        <v>1874</v>
      </c>
      <c r="R503" s="189" t="s">
        <v>1879</v>
      </c>
      <c r="S503" s="166" t="s">
        <v>1874</v>
      </c>
      <c r="T503" s="189" t="s">
        <v>1879</v>
      </c>
      <c r="U503" s="162" t="s">
        <v>2061</v>
      </c>
    </row>
    <row r="504" spans="2:21">
      <c r="B504" s="236">
        <v>3</v>
      </c>
      <c r="C504" s="168" t="s">
        <v>2770</v>
      </c>
      <c r="D504" s="168" t="s">
        <v>2726</v>
      </c>
      <c r="E504" s="168" t="s">
        <v>2759</v>
      </c>
      <c r="F504" s="168" t="s">
        <v>2760</v>
      </c>
      <c r="G504" s="168" t="s">
        <v>2079</v>
      </c>
      <c r="H504" s="168" t="s">
        <v>2080</v>
      </c>
      <c r="I504" s="168" t="s">
        <v>2696</v>
      </c>
      <c r="J504" s="168" t="s">
        <v>2721</v>
      </c>
      <c r="K504" s="168" t="s">
        <v>2722</v>
      </c>
      <c r="L504" s="168" t="s">
        <v>2728</v>
      </c>
      <c r="M504" s="169"/>
      <c r="N504" s="168" t="s">
        <v>2084</v>
      </c>
      <c r="O504" s="168" t="s">
        <v>2768</v>
      </c>
      <c r="P504" s="169"/>
      <c r="Q504" s="166" t="s">
        <v>1874</v>
      </c>
      <c r="R504" s="189" t="s">
        <v>1879</v>
      </c>
      <c r="S504" s="166" t="s">
        <v>1874</v>
      </c>
      <c r="T504" s="189" t="s">
        <v>1879</v>
      </c>
      <c r="U504" s="162" t="s">
        <v>2061</v>
      </c>
    </row>
    <row r="505" spans="2:21">
      <c r="B505" s="236">
        <v>3</v>
      </c>
      <c r="C505" s="168" t="s">
        <v>2771</v>
      </c>
      <c r="D505" s="168" t="s">
        <v>2726</v>
      </c>
      <c r="E505" s="168" t="s">
        <v>2759</v>
      </c>
      <c r="F505" s="168" t="s">
        <v>2760</v>
      </c>
      <c r="G505" s="168" t="s">
        <v>2079</v>
      </c>
      <c r="H505" s="168" t="s">
        <v>2080</v>
      </c>
      <c r="I505" s="168" t="s">
        <v>2696</v>
      </c>
      <c r="J505" s="168" t="s">
        <v>2721</v>
      </c>
      <c r="K505" s="168" t="s">
        <v>2722</v>
      </c>
      <c r="L505" s="168" t="s">
        <v>2728</v>
      </c>
      <c r="M505" s="169"/>
      <c r="N505" s="168" t="s">
        <v>2084</v>
      </c>
      <c r="O505" s="168" t="s">
        <v>2768</v>
      </c>
      <c r="P505" s="169"/>
      <c r="Q505" s="166" t="s">
        <v>1874</v>
      </c>
      <c r="R505" s="189" t="s">
        <v>1879</v>
      </c>
      <c r="S505" s="166" t="s">
        <v>1874</v>
      </c>
      <c r="T505" s="189" t="s">
        <v>1879</v>
      </c>
      <c r="U505" s="162" t="s">
        <v>2061</v>
      </c>
    </row>
    <row r="506" spans="2:21">
      <c r="B506" s="236">
        <v>3</v>
      </c>
      <c r="C506" s="168" t="s">
        <v>2772</v>
      </c>
      <c r="D506" s="168" t="s">
        <v>1713</v>
      </c>
      <c r="E506" s="168" t="s">
        <v>2759</v>
      </c>
      <c r="F506" s="168" t="s">
        <v>2760</v>
      </c>
      <c r="G506" s="168" t="s">
        <v>2079</v>
      </c>
      <c r="H506" s="168" t="s">
        <v>2080</v>
      </c>
      <c r="I506" s="168" t="s">
        <v>2696</v>
      </c>
      <c r="J506" s="169"/>
      <c r="K506" s="169"/>
      <c r="L506" s="169"/>
      <c r="M506" s="169"/>
      <c r="N506" s="168" t="s">
        <v>2084</v>
      </c>
      <c r="O506" s="168" t="s">
        <v>2755</v>
      </c>
      <c r="P506" s="169"/>
      <c r="Q506" s="166" t="s">
        <v>1874</v>
      </c>
      <c r="R506" s="189" t="s">
        <v>1879</v>
      </c>
      <c r="S506" s="166" t="s">
        <v>1874</v>
      </c>
      <c r="T506" s="189" t="s">
        <v>1879</v>
      </c>
      <c r="U506" s="162" t="s">
        <v>2061</v>
      </c>
    </row>
    <row r="507" spans="2:21">
      <c r="B507" s="236">
        <v>4</v>
      </c>
      <c r="C507" s="168" t="s">
        <v>2773</v>
      </c>
      <c r="D507" s="168" t="s">
        <v>1713</v>
      </c>
      <c r="E507" s="168" t="s">
        <v>2759</v>
      </c>
      <c r="F507" s="168" t="s">
        <v>2760</v>
      </c>
      <c r="G507" s="168" t="s">
        <v>2079</v>
      </c>
      <c r="H507" s="168" t="s">
        <v>2080</v>
      </c>
      <c r="I507" s="168" t="s">
        <v>2696</v>
      </c>
      <c r="J507" s="169"/>
      <c r="K507" s="169"/>
      <c r="L507" s="169"/>
      <c r="M507" s="169"/>
      <c r="N507" s="168" t="s">
        <v>2084</v>
      </c>
      <c r="O507" s="168" t="s">
        <v>2768</v>
      </c>
      <c r="P507" s="169"/>
      <c r="Q507" s="166" t="s">
        <v>1874</v>
      </c>
      <c r="R507" s="189" t="s">
        <v>1879</v>
      </c>
      <c r="S507" s="166" t="s">
        <v>1874</v>
      </c>
      <c r="T507" s="189" t="s">
        <v>1879</v>
      </c>
      <c r="U507" s="162" t="s">
        <v>2061</v>
      </c>
    </row>
    <row r="508" spans="2:21">
      <c r="B508" s="236">
        <v>4</v>
      </c>
      <c r="C508" s="168" t="s">
        <v>2774</v>
      </c>
      <c r="D508" s="168" t="s">
        <v>1686</v>
      </c>
      <c r="E508" s="168" t="s">
        <v>2775</v>
      </c>
      <c r="F508" s="168" t="s">
        <v>2760</v>
      </c>
      <c r="G508" s="168" t="s">
        <v>2079</v>
      </c>
      <c r="H508" s="168" t="s">
        <v>2106</v>
      </c>
      <c r="I508" s="168" t="s">
        <v>2696</v>
      </c>
      <c r="J508" s="169"/>
      <c r="K508" s="169"/>
      <c r="L508" s="169"/>
      <c r="M508" s="169"/>
      <c r="N508" s="168" t="s">
        <v>2084</v>
      </c>
      <c r="O508" s="168" t="s">
        <v>2716</v>
      </c>
      <c r="P508" s="169"/>
      <c r="Q508" s="166" t="s">
        <v>1874</v>
      </c>
      <c r="R508" s="189" t="s">
        <v>1879</v>
      </c>
      <c r="S508" s="166" t="s">
        <v>1874</v>
      </c>
      <c r="T508" s="189" t="s">
        <v>1879</v>
      </c>
      <c r="U508" s="162" t="s">
        <v>2061</v>
      </c>
    </row>
    <row r="509" spans="2:21">
      <c r="B509" s="236">
        <v>3</v>
      </c>
      <c r="C509" s="168" t="s">
        <v>2776</v>
      </c>
      <c r="D509" s="168" t="s">
        <v>2726</v>
      </c>
      <c r="E509" s="168" t="s">
        <v>2777</v>
      </c>
      <c r="F509" s="168" t="s">
        <v>2778</v>
      </c>
      <c r="G509" s="168" t="s">
        <v>2079</v>
      </c>
      <c r="H509" s="168" t="s">
        <v>2080</v>
      </c>
      <c r="I509" s="168" t="s">
        <v>2696</v>
      </c>
      <c r="J509" s="168" t="s">
        <v>2721</v>
      </c>
      <c r="K509" s="168" t="s">
        <v>2722</v>
      </c>
      <c r="L509" s="168" t="s">
        <v>2728</v>
      </c>
      <c r="M509" s="169"/>
      <c r="N509" s="168" t="s">
        <v>2084</v>
      </c>
      <c r="O509" s="168" t="s">
        <v>2779</v>
      </c>
      <c r="P509" s="169"/>
      <c r="Q509" s="166" t="s">
        <v>1874</v>
      </c>
      <c r="R509" s="189" t="s">
        <v>1879</v>
      </c>
      <c r="S509" s="166" t="s">
        <v>1874</v>
      </c>
      <c r="T509" s="189" t="s">
        <v>1879</v>
      </c>
      <c r="U509" s="162" t="s">
        <v>2061</v>
      </c>
    </row>
    <row r="510" spans="2:21">
      <c r="B510" s="236">
        <v>3</v>
      </c>
      <c r="C510" s="238" t="s">
        <v>2780</v>
      </c>
      <c r="D510" s="168" t="s">
        <v>2726</v>
      </c>
      <c r="E510" s="168" t="s">
        <v>2777</v>
      </c>
      <c r="F510" s="168" t="s">
        <v>2778</v>
      </c>
      <c r="G510" s="168" t="s">
        <v>2079</v>
      </c>
      <c r="H510" s="168" t="s">
        <v>2080</v>
      </c>
      <c r="I510" s="168" t="s">
        <v>2696</v>
      </c>
      <c r="J510" s="168" t="s">
        <v>2721</v>
      </c>
      <c r="K510" s="168" t="s">
        <v>2722</v>
      </c>
      <c r="L510" s="168" t="s">
        <v>2728</v>
      </c>
      <c r="M510" s="169"/>
      <c r="N510" s="168" t="s">
        <v>2084</v>
      </c>
      <c r="O510" s="168" t="s">
        <v>2779</v>
      </c>
      <c r="P510" s="169"/>
      <c r="Q510" s="166" t="s">
        <v>1874</v>
      </c>
      <c r="R510" s="189" t="s">
        <v>1879</v>
      </c>
      <c r="S510" s="166" t="s">
        <v>1874</v>
      </c>
      <c r="T510" s="189" t="s">
        <v>1879</v>
      </c>
      <c r="U510" s="162" t="s">
        <v>2061</v>
      </c>
    </row>
    <row r="511" spans="2:21">
      <c r="B511" s="236">
        <v>3</v>
      </c>
      <c r="C511" s="238" t="s">
        <v>2781</v>
      </c>
      <c r="D511" s="168" t="s">
        <v>1713</v>
      </c>
      <c r="E511" s="168" t="s">
        <v>2782</v>
      </c>
      <c r="F511" s="168" t="s">
        <v>2778</v>
      </c>
      <c r="G511" s="168" t="s">
        <v>2079</v>
      </c>
      <c r="H511" s="168" t="s">
        <v>2080</v>
      </c>
      <c r="I511" s="168" t="s">
        <v>2696</v>
      </c>
      <c r="J511" s="169"/>
      <c r="K511" s="169"/>
      <c r="L511" s="169"/>
      <c r="M511" s="169"/>
      <c r="N511" s="168" t="s">
        <v>2084</v>
      </c>
      <c r="O511" s="168" t="s">
        <v>2779</v>
      </c>
      <c r="P511" s="169"/>
      <c r="Q511" s="166" t="s">
        <v>1874</v>
      </c>
      <c r="R511" s="189" t="s">
        <v>1879</v>
      </c>
      <c r="S511" s="166" t="s">
        <v>1874</v>
      </c>
      <c r="T511" s="189" t="s">
        <v>1879</v>
      </c>
      <c r="U511" s="162" t="s">
        <v>2061</v>
      </c>
    </row>
    <row r="512" spans="2:21">
      <c r="B512" s="236">
        <v>3</v>
      </c>
      <c r="C512" s="168" t="s">
        <v>2783</v>
      </c>
      <c r="D512" s="168" t="s">
        <v>1713</v>
      </c>
      <c r="E512" s="168" t="s">
        <v>2782</v>
      </c>
      <c r="F512" s="168" t="s">
        <v>2778</v>
      </c>
      <c r="G512" s="168" t="s">
        <v>2079</v>
      </c>
      <c r="H512" s="168" t="s">
        <v>2080</v>
      </c>
      <c r="I512" s="168" t="s">
        <v>2696</v>
      </c>
      <c r="J512" s="169"/>
      <c r="K512" s="169"/>
      <c r="L512" s="169"/>
      <c r="M512" s="169"/>
      <c r="N512" s="168" t="s">
        <v>2084</v>
      </c>
      <c r="O512" s="168" t="s">
        <v>2779</v>
      </c>
      <c r="P512" s="169"/>
      <c r="Q512" s="166" t="s">
        <v>1874</v>
      </c>
      <c r="R512" s="189" t="s">
        <v>1879</v>
      </c>
      <c r="S512" s="166" t="s">
        <v>1874</v>
      </c>
      <c r="T512" s="189" t="s">
        <v>1879</v>
      </c>
      <c r="U512" s="162" t="s">
        <v>2061</v>
      </c>
    </row>
    <row r="513" spans="2:21">
      <c r="B513" s="236">
        <v>4</v>
      </c>
      <c r="C513" s="168" t="s">
        <v>2784</v>
      </c>
      <c r="D513" s="168" t="s">
        <v>1686</v>
      </c>
      <c r="E513" s="168" t="s">
        <v>2785</v>
      </c>
      <c r="F513" s="168" t="s">
        <v>2778</v>
      </c>
      <c r="G513" s="168" t="s">
        <v>2079</v>
      </c>
      <c r="H513" s="168" t="s">
        <v>2106</v>
      </c>
      <c r="I513" s="168" t="s">
        <v>2696</v>
      </c>
      <c r="J513" s="169"/>
      <c r="K513" s="169"/>
      <c r="L513" s="169"/>
      <c r="M513" s="169"/>
      <c r="N513" s="168" t="s">
        <v>2084</v>
      </c>
      <c r="O513" s="168" t="s">
        <v>2716</v>
      </c>
      <c r="P513" s="169"/>
      <c r="Q513" s="166" t="s">
        <v>1874</v>
      </c>
      <c r="R513" s="189" t="s">
        <v>1879</v>
      </c>
      <c r="S513" s="166" t="s">
        <v>1874</v>
      </c>
      <c r="T513" s="189" t="s">
        <v>1879</v>
      </c>
      <c r="U513" s="162" t="s">
        <v>2061</v>
      </c>
    </row>
    <row r="514" spans="2:21" ht="33">
      <c r="B514" s="237">
        <v>4</v>
      </c>
      <c r="C514" s="166" t="s">
        <v>2786</v>
      </c>
      <c r="D514" s="166" t="s">
        <v>2099</v>
      </c>
      <c r="E514" s="166" t="s">
        <v>2787</v>
      </c>
      <c r="F514" s="166" t="s">
        <v>2412</v>
      </c>
      <c r="G514" s="166" t="s">
        <v>2079</v>
      </c>
      <c r="H514" s="166" t="s">
        <v>2254</v>
      </c>
      <c r="I514" s="166" t="s">
        <v>2696</v>
      </c>
      <c r="J514" s="167"/>
      <c r="K514" s="167"/>
      <c r="L514" s="167"/>
      <c r="M514" s="166" t="s">
        <v>2413</v>
      </c>
      <c r="N514" s="166" t="s">
        <v>2084</v>
      </c>
      <c r="O514" s="166" t="s">
        <v>2255</v>
      </c>
      <c r="P514" s="167"/>
      <c r="Q514" s="166" t="s">
        <v>1874</v>
      </c>
      <c r="R514" s="166" t="s">
        <v>1874</v>
      </c>
      <c r="S514" s="166" t="s">
        <v>1874</v>
      </c>
      <c r="T514" s="189" t="s">
        <v>1879</v>
      </c>
      <c r="U514" s="162" t="s">
        <v>2061</v>
      </c>
    </row>
    <row r="515" spans="2:21" ht="26.4">
      <c r="B515" s="237">
        <v>4</v>
      </c>
      <c r="C515" s="239" t="s">
        <v>2799</v>
      </c>
      <c r="D515" s="166" t="s">
        <v>2449</v>
      </c>
      <c r="E515" s="166" t="s">
        <v>2800</v>
      </c>
      <c r="F515" s="166" t="s">
        <v>1127</v>
      </c>
      <c r="G515" s="166" t="s">
        <v>2079</v>
      </c>
      <c r="H515" s="166" t="s">
        <v>2106</v>
      </c>
      <c r="I515" s="166" t="s">
        <v>2696</v>
      </c>
      <c r="J515" s="167"/>
      <c r="K515" s="167"/>
      <c r="L515" s="167"/>
      <c r="M515" s="166" t="s">
        <v>2700</v>
      </c>
      <c r="N515" s="166" t="s">
        <v>2084</v>
      </c>
      <c r="O515" s="166" t="s">
        <v>2255</v>
      </c>
      <c r="P515" s="167"/>
      <c r="Q515" s="166" t="s">
        <v>1874</v>
      </c>
      <c r="R515" s="166" t="s">
        <v>1874</v>
      </c>
      <c r="S515" s="166" t="s">
        <v>1874</v>
      </c>
      <c r="T515" s="189" t="s">
        <v>1879</v>
      </c>
      <c r="U515" s="162" t="s">
        <v>2061</v>
      </c>
    </row>
    <row r="516" spans="2:21" ht="19.8">
      <c r="B516" s="237">
        <v>3</v>
      </c>
      <c r="C516" s="166" t="s">
        <v>2810</v>
      </c>
      <c r="D516" s="166" t="s">
        <v>2449</v>
      </c>
      <c r="E516" s="166" t="s">
        <v>2811</v>
      </c>
      <c r="F516" s="166" t="s">
        <v>1127</v>
      </c>
      <c r="G516" s="166" t="s">
        <v>2079</v>
      </c>
      <c r="H516" s="166" t="s">
        <v>2106</v>
      </c>
      <c r="I516" s="166" t="s">
        <v>2696</v>
      </c>
      <c r="J516" s="167"/>
      <c r="K516" s="167"/>
      <c r="L516" s="167"/>
      <c r="M516" s="166" t="s">
        <v>2465</v>
      </c>
      <c r="N516" s="166" t="s">
        <v>2084</v>
      </c>
      <c r="O516" s="166" t="s">
        <v>2255</v>
      </c>
      <c r="P516" s="167"/>
      <c r="Q516" s="166" t="s">
        <v>1874</v>
      </c>
      <c r="R516" s="166" t="s">
        <v>1874</v>
      </c>
      <c r="S516" s="166" t="s">
        <v>1874</v>
      </c>
      <c r="T516" s="189" t="s">
        <v>1879</v>
      </c>
      <c r="U516" s="162" t="s">
        <v>2061</v>
      </c>
    </row>
    <row r="517" spans="2:21">
      <c r="B517" s="236">
        <v>3</v>
      </c>
      <c r="C517" s="168" t="s">
        <v>2806</v>
      </c>
      <c r="D517" s="168" t="s">
        <v>2802</v>
      </c>
      <c r="E517" s="168" t="s">
        <v>2807</v>
      </c>
      <c r="F517" s="168" t="s">
        <v>1127</v>
      </c>
      <c r="G517" s="168" t="s">
        <v>2808</v>
      </c>
      <c r="H517" s="168" t="s">
        <v>2476</v>
      </c>
      <c r="I517" s="168" t="s">
        <v>2696</v>
      </c>
      <c r="J517" s="169"/>
      <c r="K517" s="169"/>
      <c r="L517" s="169"/>
      <c r="M517" s="169"/>
      <c r="N517" s="168" t="s">
        <v>2084</v>
      </c>
      <c r="O517" s="168" t="s">
        <v>2809</v>
      </c>
      <c r="P517" s="169"/>
      <c r="Q517" s="166" t="s">
        <v>1874</v>
      </c>
      <c r="R517" s="189" t="s">
        <v>1879</v>
      </c>
      <c r="S517" s="166" t="s">
        <v>1874</v>
      </c>
      <c r="T517" s="189" t="s">
        <v>1879</v>
      </c>
      <c r="U517" s="162" t="s">
        <v>2061</v>
      </c>
    </row>
    <row r="518" spans="2:21">
      <c r="B518" s="236">
        <v>3</v>
      </c>
      <c r="C518" s="168" t="s">
        <v>2793</v>
      </c>
      <c r="D518" s="168" t="s">
        <v>2794</v>
      </c>
      <c r="E518" s="168" t="s">
        <v>2795</v>
      </c>
      <c r="F518" s="168" t="s">
        <v>1127</v>
      </c>
      <c r="G518" s="168" t="s">
        <v>2429</v>
      </c>
      <c r="H518" s="168" t="s">
        <v>2254</v>
      </c>
      <c r="I518" s="168" t="s">
        <v>2696</v>
      </c>
      <c r="J518" s="169"/>
      <c r="K518" s="169"/>
      <c r="L518" s="169"/>
      <c r="M518" s="169"/>
      <c r="N518" s="168" t="s">
        <v>2084</v>
      </c>
      <c r="O518" s="168" t="s">
        <v>2430</v>
      </c>
      <c r="P518" s="169"/>
      <c r="Q518" s="166" t="s">
        <v>1874</v>
      </c>
      <c r="R518" s="189" t="s">
        <v>1879</v>
      </c>
      <c r="S518" s="166" t="s">
        <v>1874</v>
      </c>
      <c r="T518" s="189" t="s">
        <v>1879</v>
      </c>
      <c r="U518" s="162" t="s">
        <v>2061</v>
      </c>
    </row>
    <row r="519" spans="2:21">
      <c r="B519" s="236">
        <v>3</v>
      </c>
      <c r="C519" s="168" t="s">
        <v>2788</v>
      </c>
      <c r="D519" s="168" t="s">
        <v>1721</v>
      </c>
      <c r="E519" s="168" t="s">
        <v>2789</v>
      </c>
      <c r="F519" s="168" t="s">
        <v>1127</v>
      </c>
      <c r="G519" s="168" t="s">
        <v>2434</v>
      </c>
      <c r="H519" s="168" t="s">
        <v>2254</v>
      </c>
      <c r="I519" s="168" t="s">
        <v>2696</v>
      </c>
      <c r="J519" s="169"/>
      <c r="K519" s="169"/>
      <c r="L519" s="169"/>
      <c r="M519" s="169"/>
      <c r="N519" s="168" t="s">
        <v>2084</v>
      </c>
      <c r="O519" s="168" t="s">
        <v>2435</v>
      </c>
      <c r="P519" s="169"/>
      <c r="Q519" s="166" t="s">
        <v>1874</v>
      </c>
      <c r="R519" s="189" t="s">
        <v>1879</v>
      </c>
      <c r="S519" s="166" t="s">
        <v>1874</v>
      </c>
      <c r="T519" s="189" t="s">
        <v>1879</v>
      </c>
      <c r="U519" s="162" t="s">
        <v>2061</v>
      </c>
    </row>
    <row r="520" spans="2:21">
      <c r="B520" s="236">
        <v>3</v>
      </c>
      <c r="C520" s="168" t="s">
        <v>2790</v>
      </c>
      <c r="D520" s="168" t="s">
        <v>2791</v>
      </c>
      <c r="E520" s="168" t="s">
        <v>2792</v>
      </c>
      <c r="F520" s="168" t="s">
        <v>1127</v>
      </c>
      <c r="G520" s="168" t="s">
        <v>2434</v>
      </c>
      <c r="H520" s="168" t="s">
        <v>2254</v>
      </c>
      <c r="I520" s="168" t="s">
        <v>2696</v>
      </c>
      <c r="J520" s="169"/>
      <c r="K520" s="169"/>
      <c r="L520" s="169"/>
      <c r="M520" s="169"/>
      <c r="N520" s="168" t="s">
        <v>2084</v>
      </c>
      <c r="O520" s="168" t="s">
        <v>2435</v>
      </c>
      <c r="P520" s="169"/>
      <c r="Q520" s="166" t="s">
        <v>1874</v>
      </c>
      <c r="R520" s="189" t="s">
        <v>1879</v>
      </c>
      <c r="S520" s="166" t="s">
        <v>1874</v>
      </c>
      <c r="T520" s="189" t="s">
        <v>1879</v>
      </c>
      <c r="U520" s="162" t="s">
        <v>2061</v>
      </c>
    </row>
    <row r="521" spans="2:21">
      <c r="B521" s="236">
        <v>4</v>
      </c>
      <c r="C521" s="168" t="s">
        <v>2704</v>
      </c>
      <c r="D521" s="168" t="s">
        <v>2467</v>
      </c>
      <c r="E521" s="168" t="s">
        <v>2705</v>
      </c>
      <c r="F521" s="168" t="s">
        <v>2171</v>
      </c>
      <c r="G521" s="168" t="s">
        <v>2172</v>
      </c>
      <c r="H521" s="168" t="s">
        <v>2080</v>
      </c>
      <c r="I521" s="168" t="s">
        <v>2696</v>
      </c>
      <c r="J521" s="168" t="s">
        <v>2173</v>
      </c>
      <c r="K521" s="169"/>
      <c r="L521" s="169"/>
      <c r="M521" s="168" t="s">
        <v>2174</v>
      </c>
      <c r="N521" s="168" t="s">
        <v>2084</v>
      </c>
      <c r="O521" s="168" t="s">
        <v>2706</v>
      </c>
      <c r="P521" s="169"/>
      <c r="Q521" s="166" t="s">
        <v>1874</v>
      </c>
      <c r="R521" s="189" t="s">
        <v>1879</v>
      </c>
      <c r="S521" s="166" t="s">
        <v>2921</v>
      </c>
      <c r="T521" s="189" t="s">
        <v>1879</v>
      </c>
      <c r="U521" s="162" t="s">
        <v>2061</v>
      </c>
    </row>
    <row r="522" spans="2:21">
      <c r="B522" s="236">
        <v>4</v>
      </c>
      <c r="C522" s="238" t="s">
        <v>2707</v>
      </c>
      <c r="D522" s="168" t="s">
        <v>2467</v>
      </c>
      <c r="E522" s="168" t="s">
        <v>2705</v>
      </c>
      <c r="F522" s="168" t="s">
        <v>2171</v>
      </c>
      <c r="G522" s="168" t="s">
        <v>2172</v>
      </c>
      <c r="H522" s="168" t="s">
        <v>2080</v>
      </c>
      <c r="I522" s="168" t="s">
        <v>2696</v>
      </c>
      <c r="J522" s="168" t="s">
        <v>2173</v>
      </c>
      <c r="K522" s="169"/>
      <c r="L522" s="169"/>
      <c r="M522" s="168" t="s">
        <v>2174</v>
      </c>
      <c r="N522" s="168" t="s">
        <v>2084</v>
      </c>
      <c r="O522" s="168" t="s">
        <v>2706</v>
      </c>
      <c r="P522" s="169"/>
      <c r="Q522" s="166" t="s">
        <v>1874</v>
      </c>
      <c r="R522" s="189" t="s">
        <v>1879</v>
      </c>
      <c r="S522" s="166" t="s">
        <v>2921</v>
      </c>
      <c r="T522" s="189" t="s">
        <v>1879</v>
      </c>
      <c r="U522" s="162" t="s">
        <v>2061</v>
      </c>
    </row>
    <row r="523" spans="2:21" ht="19.8">
      <c r="B523" s="241">
        <v>4</v>
      </c>
      <c r="C523" s="243" t="s">
        <v>2688</v>
      </c>
      <c r="D523" s="160" t="s">
        <v>2689</v>
      </c>
      <c r="E523" s="160" t="s">
        <v>2690</v>
      </c>
      <c r="F523" s="160" t="s">
        <v>1127</v>
      </c>
      <c r="G523" s="160" t="s">
        <v>2691</v>
      </c>
      <c r="H523" s="160" t="s">
        <v>2106</v>
      </c>
      <c r="I523" s="173" t="s">
        <v>2888</v>
      </c>
      <c r="J523" s="165"/>
      <c r="K523" s="165"/>
      <c r="L523" s="165"/>
      <c r="M523" s="165" t="s">
        <v>2692</v>
      </c>
      <c r="N523" s="160" t="s">
        <v>2084</v>
      </c>
      <c r="O523" s="160" t="s">
        <v>2665</v>
      </c>
      <c r="P523" s="165"/>
      <c r="Q523" s="224" t="s">
        <v>2821</v>
      </c>
      <c r="R523" s="189" t="s">
        <v>1879</v>
      </c>
      <c r="S523" s="166" t="s">
        <v>1874</v>
      </c>
      <c r="T523" s="189" t="s">
        <v>1879</v>
      </c>
      <c r="U523" s="162" t="s">
        <v>2061</v>
      </c>
    </row>
    <row r="524" spans="2:21">
      <c r="C524" s="229" t="s">
        <v>2991</v>
      </c>
      <c r="D524" s="229"/>
      <c r="E524" s="229"/>
      <c r="F524" s="231" t="s">
        <v>2942</v>
      </c>
      <c r="G524" s="229"/>
      <c r="H524" s="229"/>
      <c r="I524" s="229"/>
      <c r="J524" s="229"/>
      <c r="K524" s="229"/>
      <c r="L524" s="229"/>
      <c r="M524" s="229"/>
      <c r="N524" s="229"/>
      <c r="O524" s="229"/>
      <c r="P524" s="232" t="s">
        <v>2943</v>
      </c>
      <c r="Q524" s="189" t="s">
        <v>1879</v>
      </c>
      <c r="R524" s="189" t="s">
        <v>1879</v>
      </c>
      <c r="S524" s="166" t="s">
        <v>1874</v>
      </c>
      <c r="T524" s="166" t="s">
        <v>1874</v>
      </c>
    </row>
    <row r="525" spans="2:21">
      <c r="C525" s="229" t="s">
        <v>2992</v>
      </c>
      <c r="D525" s="229"/>
      <c r="E525" s="229"/>
      <c r="F525" s="231" t="s">
        <v>2942</v>
      </c>
      <c r="G525" s="229"/>
      <c r="H525" s="229"/>
      <c r="I525" s="229"/>
      <c r="J525" s="229"/>
      <c r="K525" s="229"/>
      <c r="L525" s="229"/>
      <c r="M525" s="229"/>
      <c r="N525" s="229"/>
      <c r="O525" s="229"/>
      <c r="P525" s="232" t="s">
        <v>2943</v>
      </c>
      <c r="Q525" s="189" t="s">
        <v>1879</v>
      </c>
      <c r="R525" s="189" t="s">
        <v>1879</v>
      </c>
      <c r="S525" s="166" t="s">
        <v>1874</v>
      </c>
      <c r="T525" s="166" t="s">
        <v>1874</v>
      </c>
    </row>
    <row r="526" spans="2:21">
      <c r="C526" s="229" t="s">
        <v>2993</v>
      </c>
      <c r="D526" s="229"/>
      <c r="E526" s="229"/>
      <c r="F526" s="231" t="s">
        <v>2942</v>
      </c>
      <c r="G526" s="229"/>
      <c r="H526" s="229"/>
      <c r="I526" s="229"/>
      <c r="J526" s="229"/>
      <c r="K526" s="229"/>
      <c r="L526" s="229"/>
      <c r="M526" s="229"/>
      <c r="N526" s="229"/>
      <c r="O526" s="229"/>
      <c r="P526" s="232" t="s">
        <v>2943</v>
      </c>
      <c r="Q526" s="189" t="s">
        <v>1879</v>
      </c>
      <c r="R526" s="189" t="s">
        <v>1879</v>
      </c>
      <c r="S526" s="166" t="s">
        <v>1874</v>
      </c>
      <c r="T526" s="166" t="s">
        <v>1874</v>
      </c>
    </row>
    <row r="527" spans="2:21">
      <c r="C527" s="229" t="s">
        <v>2994</v>
      </c>
      <c r="D527" s="229"/>
      <c r="E527" s="229"/>
      <c r="F527" s="231" t="s">
        <v>2942</v>
      </c>
      <c r="G527" s="229"/>
      <c r="H527" s="229"/>
      <c r="I527" s="229"/>
      <c r="J527" s="229"/>
      <c r="K527" s="229"/>
      <c r="L527" s="229"/>
      <c r="M527" s="229"/>
      <c r="N527" s="229"/>
      <c r="O527" s="229"/>
      <c r="P527" s="232" t="s">
        <v>2943</v>
      </c>
      <c r="Q527" s="189" t="s">
        <v>1879</v>
      </c>
      <c r="R527" s="189" t="s">
        <v>1879</v>
      </c>
      <c r="S527" s="166" t="s">
        <v>1874</v>
      </c>
      <c r="T527" s="166" t="s">
        <v>1874</v>
      </c>
    </row>
    <row r="528" spans="2:21">
      <c r="C528" s="229" t="s">
        <v>2995</v>
      </c>
      <c r="D528" s="229"/>
      <c r="E528" s="229"/>
      <c r="F528" s="231" t="s">
        <v>2942</v>
      </c>
      <c r="G528" s="229"/>
      <c r="H528" s="229"/>
      <c r="I528" s="229"/>
      <c r="J528" s="229"/>
      <c r="K528" s="229"/>
      <c r="L528" s="229"/>
      <c r="M528" s="229"/>
      <c r="N528" s="229"/>
      <c r="O528" s="229"/>
      <c r="P528" s="232" t="s">
        <v>2943</v>
      </c>
      <c r="Q528" s="189" t="s">
        <v>1879</v>
      </c>
      <c r="R528" s="189" t="s">
        <v>1879</v>
      </c>
      <c r="S528" s="166" t="s">
        <v>1874</v>
      </c>
      <c r="T528" s="166" t="s">
        <v>1874</v>
      </c>
    </row>
    <row r="529" spans="3:20">
      <c r="C529" s="229" t="s">
        <v>2996</v>
      </c>
      <c r="D529" s="229"/>
      <c r="E529" s="229"/>
      <c r="F529" s="231" t="s">
        <v>2942</v>
      </c>
      <c r="G529" s="229"/>
      <c r="H529" s="229"/>
      <c r="I529" s="229"/>
      <c r="J529" s="229"/>
      <c r="K529" s="229"/>
      <c r="L529" s="229"/>
      <c r="M529" s="229"/>
      <c r="N529" s="229"/>
      <c r="O529" s="229"/>
      <c r="P529" s="232" t="s">
        <v>2943</v>
      </c>
      <c r="Q529" s="189" t="s">
        <v>1879</v>
      </c>
      <c r="R529" s="189" t="s">
        <v>1879</v>
      </c>
      <c r="S529" s="166" t="s">
        <v>1874</v>
      </c>
      <c r="T529" s="166" t="s">
        <v>1874</v>
      </c>
    </row>
    <row r="530" spans="3:20">
      <c r="C530" s="229" t="s">
        <v>2997</v>
      </c>
      <c r="D530" s="229"/>
      <c r="E530" s="229"/>
      <c r="F530" s="231" t="s">
        <v>2942</v>
      </c>
      <c r="G530" s="229"/>
      <c r="H530" s="229"/>
      <c r="I530" s="229"/>
      <c r="J530" s="229"/>
      <c r="K530" s="229"/>
      <c r="L530" s="229"/>
      <c r="M530" s="229"/>
      <c r="N530" s="229"/>
      <c r="O530" s="229"/>
      <c r="P530" s="232" t="s">
        <v>2943</v>
      </c>
      <c r="Q530" s="189" t="s">
        <v>1879</v>
      </c>
      <c r="R530" s="189" t="s">
        <v>1879</v>
      </c>
      <c r="S530" s="166" t="s">
        <v>1874</v>
      </c>
      <c r="T530" s="166" t="s">
        <v>1874</v>
      </c>
    </row>
    <row r="531" spans="3:20">
      <c r="C531" s="229" t="s">
        <v>2998</v>
      </c>
      <c r="D531" s="229"/>
      <c r="E531" s="229"/>
      <c r="F531" s="231" t="s">
        <v>2942</v>
      </c>
      <c r="G531" s="229"/>
      <c r="H531" s="229"/>
      <c r="I531" s="229"/>
      <c r="J531" s="229"/>
      <c r="K531" s="229"/>
      <c r="L531" s="229"/>
      <c r="M531" s="229"/>
      <c r="N531" s="229"/>
      <c r="O531" s="229"/>
      <c r="P531" s="232" t="s">
        <v>2943</v>
      </c>
      <c r="Q531" s="189" t="s">
        <v>1879</v>
      </c>
      <c r="R531" s="189" t="s">
        <v>1879</v>
      </c>
      <c r="S531" s="166" t="s">
        <v>1874</v>
      </c>
      <c r="T531" s="166" t="s">
        <v>1874</v>
      </c>
    </row>
    <row r="532" spans="3:20">
      <c r="C532" s="229" t="s">
        <v>2999</v>
      </c>
      <c r="D532" s="229"/>
      <c r="E532" s="229"/>
      <c r="F532" s="231" t="s">
        <v>2942</v>
      </c>
      <c r="G532" s="229"/>
      <c r="H532" s="229"/>
      <c r="I532" s="229"/>
      <c r="J532" s="229"/>
      <c r="K532" s="229"/>
      <c r="L532" s="229"/>
      <c r="M532" s="229"/>
      <c r="N532" s="229"/>
      <c r="O532" s="229"/>
      <c r="P532" s="232" t="s">
        <v>2943</v>
      </c>
      <c r="Q532" s="189" t="s">
        <v>1879</v>
      </c>
      <c r="R532" s="189" t="s">
        <v>1879</v>
      </c>
      <c r="S532" s="166" t="s">
        <v>1874</v>
      </c>
      <c r="T532" s="166" t="s">
        <v>1874</v>
      </c>
    </row>
    <row r="533" spans="3:20">
      <c r="C533" s="229" t="s">
        <v>3000</v>
      </c>
      <c r="D533" s="229"/>
      <c r="E533" s="229"/>
      <c r="F533" s="231" t="s">
        <v>2942</v>
      </c>
      <c r="G533" s="229"/>
      <c r="H533" s="229"/>
      <c r="I533" s="229"/>
      <c r="J533" s="229"/>
      <c r="K533" s="229"/>
      <c r="L533" s="229"/>
      <c r="M533" s="229"/>
      <c r="N533" s="229"/>
      <c r="O533" s="229"/>
      <c r="P533" s="232" t="s">
        <v>2943</v>
      </c>
      <c r="Q533" s="189" t="s">
        <v>1879</v>
      </c>
      <c r="R533" s="189" t="s">
        <v>1879</v>
      </c>
      <c r="S533" s="166" t="s">
        <v>1874</v>
      </c>
      <c r="T533" s="166" t="s">
        <v>1874</v>
      </c>
    </row>
    <row r="534" spans="3:20">
      <c r="C534" s="229" t="s">
        <v>3001</v>
      </c>
      <c r="D534" s="229"/>
      <c r="E534" s="229"/>
      <c r="F534" s="231" t="s">
        <v>2942</v>
      </c>
      <c r="G534" s="229"/>
      <c r="H534" s="229"/>
      <c r="I534" s="229"/>
      <c r="J534" s="229"/>
      <c r="K534" s="229"/>
      <c r="L534" s="229"/>
      <c r="M534" s="229"/>
      <c r="N534" s="229"/>
      <c r="O534" s="229"/>
      <c r="P534" s="232" t="s">
        <v>2943</v>
      </c>
      <c r="Q534" s="189" t="s">
        <v>1879</v>
      </c>
      <c r="R534" s="189" t="s">
        <v>1879</v>
      </c>
      <c r="S534" s="166" t="s">
        <v>1874</v>
      </c>
      <c r="T534" s="166" t="s">
        <v>1874</v>
      </c>
    </row>
    <row r="535" spans="3:20">
      <c r="C535" s="229" t="s">
        <v>3002</v>
      </c>
      <c r="D535" s="229"/>
      <c r="E535" s="229"/>
      <c r="F535" s="231" t="s">
        <v>2942</v>
      </c>
      <c r="G535" s="229"/>
      <c r="H535" s="229"/>
      <c r="I535" s="229"/>
      <c r="J535" s="229"/>
      <c r="K535" s="229"/>
      <c r="L535" s="229"/>
      <c r="M535" s="229"/>
      <c r="N535" s="229"/>
      <c r="O535" s="229"/>
      <c r="P535" s="232" t="s">
        <v>2943</v>
      </c>
      <c r="Q535" s="189" t="s">
        <v>1879</v>
      </c>
      <c r="R535" s="189" t="s">
        <v>1879</v>
      </c>
      <c r="S535" s="166" t="s">
        <v>1874</v>
      </c>
      <c r="T535" s="166" t="s">
        <v>1874</v>
      </c>
    </row>
    <row r="536" spans="3:20">
      <c r="C536" s="229" t="s">
        <v>3003</v>
      </c>
      <c r="D536" s="229"/>
      <c r="E536" s="229"/>
      <c r="F536" s="231" t="s">
        <v>2942</v>
      </c>
      <c r="G536" s="229"/>
      <c r="H536" s="229"/>
      <c r="I536" s="229"/>
      <c r="J536" s="229"/>
      <c r="K536" s="229"/>
      <c r="L536" s="229"/>
      <c r="M536" s="229"/>
      <c r="N536" s="229"/>
      <c r="O536" s="229"/>
      <c r="P536" s="232" t="s">
        <v>2943</v>
      </c>
      <c r="Q536" s="189" t="s">
        <v>1879</v>
      </c>
      <c r="R536" s="189" t="s">
        <v>1879</v>
      </c>
      <c r="S536" s="166" t="s">
        <v>1874</v>
      </c>
      <c r="T536" s="166" t="s">
        <v>1874</v>
      </c>
    </row>
    <row r="537" spans="3:20">
      <c r="C537" s="229" t="s">
        <v>3004</v>
      </c>
      <c r="D537" s="229"/>
      <c r="E537" s="229"/>
      <c r="F537" s="231" t="s">
        <v>2942</v>
      </c>
      <c r="G537" s="229"/>
      <c r="H537" s="229"/>
      <c r="I537" s="229"/>
      <c r="J537" s="229"/>
      <c r="K537" s="229"/>
      <c r="L537" s="229"/>
      <c r="M537" s="229"/>
      <c r="N537" s="229"/>
      <c r="O537" s="229"/>
      <c r="P537" s="232" t="s">
        <v>2943</v>
      </c>
      <c r="Q537" s="189" t="s">
        <v>1879</v>
      </c>
      <c r="R537" s="189" t="s">
        <v>1879</v>
      </c>
      <c r="S537" s="166" t="s">
        <v>1874</v>
      </c>
      <c r="T537" s="166" t="s">
        <v>1874</v>
      </c>
    </row>
    <row r="538" spans="3:20">
      <c r="C538" s="229" t="s">
        <v>3005</v>
      </c>
      <c r="D538" s="229"/>
      <c r="E538" s="229"/>
      <c r="F538" s="231" t="s">
        <v>2942</v>
      </c>
      <c r="G538" s="229"/>
      <c r="H538" s="229"/>
      <c r="I538" s="229"/>
      <c r="J538" s="229"/>
      <c r="K538" s="229"/>
      <c r="L538" s="229"/>
      <c r="M538" s="229"/>
      <c r="N538" s="229"/>
      <c r="O538" s="229"/>
      <c r="P538" s="232" t="s">
        <v>2943</v>
      </c>
      <c r="Q538" s="189" t="s">
        <v>1879</v>
      </c>
      <c r="R538" s="189" t="s">
        <v>1879</v>
      </c>
      <c r="S538" s="166" t="s">
        <v>1874</v>
      </c>
      <c r="T538" s="166" t="s">
        <v>1874</v>
      </c>
    </row>
    <row r="539" spans="3:20">
      <c r="C539" s="229" t="s">
        <v>3006</v>
      </c>
      <c r="D539" s="229"/>
      <c r="E539" s="229"/>
      <c r="F539" s="231" t="s">
        <v>2942</v>
      </c>
      <c r="G539" s="229"/>
      <c r="H539" s="229"/>
      <c r="I539" s="229"/>
      <c r="J539" s="229"/>
      <c r="K539" s="229"/>
      <c r="L539" s="229"/>
      <c r="M539" s="229"/>
      <c r="N539" s="229"/>
      <c r="O539" s="229"/>
      <c r="P539" s="232" t="s">
        <v>2943</v>
      </c>
      <c r="Q539" s="189" t="s">
        <v>1879</v>
      </c>
      <c r="R539" s="189" t="s">
        <v>1879</v>
      </c>
      <c r="S539" s="166" t="s">
        <v>1874</v>
      </c>
      <c r="T539" s="166" t="s">
        <v>1874</v>
      </c>
    </row>
    <row r="540" spans="3:20">
      <c r="C540" s="229" t="s">
        <v>3007</v>
      </c>
      <c r="D540" s="229"/>
      <c r="E540" s="229"/>
      <c r="F540" s="231" t="s">
        <v>2942</v>
      </c>
      <c r="G540" s="229"/>
      <c r="H540" s="229"/>
      <c r="I540" s="229"/>
      <c r="J540" s="229"/>
      <c r="K540" s="229"/>
      <c r="L540" s="229"/>
      <c r="M540" s="229"/>
      <c r="N540" s="229"/>
      <c r="O540" s="229"/>
      <c r="P540" s="232" t="s">
        <v>2943</v>
      </c>
      <c r="Q540" s="189" t="s">
        <v>1879</v>
      </c>
      <c r="R540" s="189" t="s">
        <v>1879</v>
      </c>
      <c r="S540" s="166" t="s">
        <v>1874</v>
      </c>
      <c r="T540" s="166" t="s">
        <v>1874</v>
      </c>
    </row>
    <row r="541" spans="3:20">
      <c r="C541" s="231" t="s">
        <v>2979</v>
      </c>
      <c r="D541" s="229"/>
      <c r="E541" s="229"/>
      <c r="F541" s="231" t="s">
        <v>2942</v>
      </c>
      <c r="G541" s="229"/>
      <c r="H541" s="229"/>
      <c r="I541" s="231"/>
      <c r="J541" s="230"/>
      <c r="K541" s="230"/>
      <c r="L541" s="230"/>
      <c r="M541" s="230"/>
      <c r="N541" s="229"/>
      <c r="O541" s="229"/>
      <c r="P541" s="232" t="s">
        <v>2943</v>
      </c>
      <c r="Q541" s="189" t="s">
        <v>1879</v>
      </c>
      <c r="R541" s="189" t="s">
        <v>1879</v>
      </c>
      <c r="S541" s="166" t="s">
        <v>1874</v>
      </c>
      <c r="T541" s="166" t="s">
        <v>1874</v>
      </c>
    </row>
    <row r="542" spans="3:20">
      <c r="C542" s="231" t="s">
        <v>2980</v>
      </c>
      <c r="D542" s="229"/>
      <c r="E542" s="229"/>
      <c r="F542" s="231" t="s">
        <v>2942</v>
      </c>
      <c r="G542" s="229"/>
      <c r="H542" s="229"/>
      <c r="I542" s="231"/>
      <c r="J542" s="230"/>
      <c r="K542" s="230"/>
      <c r="L542" s="230"/>
      <c r="M542" s="230"/>
      <c r="N542" s="229"/>
      <c r="O542" s="229"/>
      <c r="P542" s="232" t="s">
        <v>2943</v>
      </c>
      <c r="Q542" s="189" t="s">
        <v>1879</v>
      </c>
      <c r="R542" s="189" t="s">
        <v>1879</v>
      </c>
      <c r="S542" s="166" t="s">
        <v>1874</v>
      </c>
      <c r="T542" s="166" t="s">
        <v>1874</v>
      </c>
    </row>
    <row r="543" spans="3:20">
      <c r="C543" s="231" t="s">
        <v>2981</v>
      </c>
      <c r="D543" s="229"/>
      <c r="E543" s="229"/>
      <c r="F543" s="231" t="s">
        <v>2942</v>
      </c>
      <c r="G543" s="229"/>
      <c r="H543" s="229"/>
      <c r="I543" s="231"/>
      <c r="J543" s="230"/>
      <c r="K543" s="230"/>
      <c r="L543" s="230"/>
      <c r="M543" s="230"/>
      <c r="N543" s="229"/>
      <c r="O543" s="229"/>
      <c r="P543" s="232" t="s">
        <v>2943</v>
      </c>
      <c r="Q543" s="189" t="s">
        <v>1879</v>
      </c>
      <c r="R543" s="189" t="s">
        <v>1879</v>
      </c>
      <c r="S543" s="166" t="s">
        <v>1874</v>
      </c>
      <c r="T543" s="166" t="s">
        <v>1874</v>
      </c>
    </row>
    <row r="544" spans="3:20">
      <c r="C544" s="233" t="s">
        <v>2982</v>
      </c>
      <c r="D544" s="234"/>
      <c r="E544" s="234"/>
      <c r="F544" s="231" t="s">
        <v>2942</v>
      </c>
      <c r="G544" s="229"/>
      <c r="H544" s="229"/>
      <c r="I544" s="231"/>
      <c r="J544" s="230"/>
      <c r="K544" s="230"/>
      <c r="L544" s="230"/>
      <c r="M544" s="230"/>
      <c r="N544" s="229"/>
      <c r="O544" s="229"/>
      <c r="P544" s="232" t="s">
        <v>2943</v>
      </c>
      <c r="Q544" s="189" t="s">
        <v>1879</v>
      </c>
      <c r="R544" s="189" t="s">
        <v>1879</v>
      </c>
      <c r="S544" s="166" t="s">
        <v>1874</v>
      </c>
      <c r="T544" s="166" t="s">
        <v>1874</v>
      </c>
    </row>
    <row r="545" spans="3:20">
      <c r="C545" s="229" t="s">
        <v>2983</v>
      </c>
      <c r="D545" s="229"/>
      <c r="E545" s="229"/>
      <c r="F545" s="231" t="s">
        <v>2942</v>
      </c>
      <c r="G545" s="229"/>
      <c r="H545" s="229"/>
      <c r="I545" s="231"/>
      <c r="J545" s="229"/>
      <c r="K545" s="229"/>
      <c r="L545" s="229"/>
      <c r="M545" s="229"/>
      <c r="N545" s="229"/>
      <c r="O545" s="229"/>
      <c r="P545" s="232" t="s">
        <v>2943</v>
      </c>
      <c r="Q545" s="189" t="s">
        <v>1879</v>
      </c>
      <c r="R545" s="189" t="s">
        <v>1879</v>
      </c>
      <c r="S545" s="166" t="s">
        <v>1874</v>
      </c>
      <c r="T545" s="166" t="s">
        <v>1874</v>
      </c>
    </row>
    <row r="546" spans="3:20">
      <c r="C546" s="229" t="s">
        <v>2984</v>
      </c>
      <c r="D546" s="229"/>
      <c r="E546" s="229"/>
      <c r="F546" s="231" t="s">
        <v>2942</v>
      </c>
      <c r="G546" s="229"/>
      <c r="H546" s="229"/>
      <c r="I546" s="231"/>
      <c r="J546" s="229"/>
      <c r="K546" s="229"/>
      <c r="L546" s="229"/>
      <c r="M546" s="229"/>
      <c r="N546" s="229"/>
      <c r="O546" s="229"/>
      <c r="P546" s="232" t="s">
        <v>2943</v>
      </c>
      <c r="Q546" s="189" t="s">
        <v>1879</v>
      </c>
      <c r="R546" s="189" t="s">
        <v>1879</v>
      </c>
      <c r="S546" s="166" t="s">
        <v>1874</v>
      </c>
      <c r="T546" s="166" t="s">
        <v>1874</v>
      </c>
    </row>
    <row r="547" spans="3:20">
      <c r="C547" s="229" t="s">
        <v>2985</v>
      </c>
      <c r="D547" s="229"/>
      <c r="E547" s="229"/>
      <c r="F547" s="231" t="s">
        <v>2942</v>
      </c>
      <c r="G547" s="229"/>
      <c r="H547" s="229"/>
      <c r="I547" s="231"/>
      <c r="J547" s="229"/>
      <c r="K547" s="229"/>
      <c r="L547" s="229"/>
      <c r="M547" s="229"/>
      <c r="N547" s="229"/>
      <c r="O547" s="229"/>
      <c r="P547" s="232" t="s">
        <v>2943</v>
      </c>
      <c r="Q547" s="189" t="s">
        <v>1879</v>
      </c>
      <c r="R547" s="189" t="s">
        <v>1879</v>
      </c>
      <c r="S547" s="166" t="s">
        <v>1874</v>
      </c>
      <c r="T547" s="166" t="s">
        <v>1874</v>
      </c>
    </row>
    <row r="548" spans="3:20">
      <c r="C548" s="229" t="s">
        <v>2986</v>
      </c>
      <c r="D548" s="229"/>
      <c r="E548" s="229"/>
      <c r="F548" s="231" t="s">
        <v>2942</v>
      </c>
      <c r="G548" s="229"/>
      <c r="H548" s="229"/>
      <c r="I548" s="231"/>
      <c r="J548" s="229"/>
      <c r="K548" s="229"/>
      <c r="L548" s="229"/>
      <c r="M548" s="229"/>
      <c r="N548" s="229"/>
      <c r="O548" s="229"/>
      <c r="P548" s="232" t="s">
        <v>2943</v>
      </c>
      <c r="Q548" s="189" t="s">
        <v>1879</v>
      </c>
      <c r="R548" s="189" t="s">
        <v>1879</v>
      </c>
      <c r="S548" s="166" t="s">
        <v>1874</v>
      </c>
      <c r="T548" s="166" t="s">
        <v>1874</v>
      </c>
    </row>
    <row r="549" spans="3:20">
      <c r="C549" s="229" t="s">
        <v>2987</v>
      </c>
      <c r="D549" s="229"/>
      <c r="E549" s="229"/>
      <c r="F549" s="231" t="s">
        <v>2942</v>
      </c>
      <c r="G549" s="229"/>
      <c r="H549" s="229"/>
      <c r="I549" s="231"/>
      <c r="J549" s="229"/>
      <c r="K549" s="229"/>
      <c r="L549" s="229"/>
      <c r="M549" s="229"/>
      <c r="N549" s="229"/>
      <c r="O549" s="229"/>
      <c r="P549" s="232" t="s">
        <v>2943</v>
      </c>
      <c r="Q549" s="189" t="s">
        <v>1879</v>
      </c>
      <c r="R549" s="189" t="s">
        <v>1879</v>
      </c>
      <c r="S549" s="166" t="s">
        <v>1874</v>
      </c>
      <c r="T549" s="166" t="s">
        <v>1874</v>
      </c>
    </row>
    <row r="550" spans="3:20">
      <c r="C550" s="229" t="s">
        <v>2988</v>
      </c>
      <c r="D550" s="229"/>
      <c r="E550" s="229"/>
      <c r="F550" s="231" t="s">
        <v>2942</v>
      </c>
      <c r="G550" s="229"/>
      <c r="H550" s="229"/>
      <c r="I550" s="231"/>
      <c r="J550" s="229"/>
      <c r="K550" s="229"/>
      <c r="L550" s="229"/>
      <c r="M550" s="229"/>
      <c r="N550" s="229"/>
      <c r="O550" s="229"/>
      <c r="P550" s="232" t="s">
        <v>2943</v>
      </c>
      <c r="Q550" s="189" t="s">
        <v>1879</v>
      </c>
      <c r="R550" s="189" t="s">
        <v>1879</v>
      </c>
      <c r="S550" s="166" t="s">
        <v>1874</v>
      </c>
      <c r="T550" s="166" t="s">
        <v>1874</v>
      </c>
    </row>
    <row r="551" spans="3:20">
      <c r="C551" s="235" t="s">
        <v>3008</v>
      </c>
      <c r="D551" s="229"/>
      <c r="E551" s="229"/>
      <c r="F551" s="231" t="s">
        <v>2942</v>
      </c>
      <c r="G551" s="229"/>
      <c r="H551" s="229"/>
      <c r="I551" s="231"/>
      <c r="J551" s="229"/>
      <c r="K551" s="229"/>
      <c r="L551" s="229"/>
      <c r="M551" s="229"/>
      <c r="N551" s="229"/>
      <c r="O551" s="229"/>
      <c r="P551" s="232" t="s">
        <v>2943</v>
      </c>
      <c r="Q551" s="189" t="s">
        <v>1879</v>
      </c>
      <c r="R551" s="189" t="s">
        <v>1879</v>
      </c>
      <c r="S551" s="166" t="s">
        <v>1874</v>
      </c>
      <c r="T551" s="166" t="s">
        <v>1874</v>
      </c>
    </row>
    <row r="552" spans="3:20">
      <c r="C552" s="235" t="s">
        <v>3009</v>
      </c>
      <c r="D552" s="229"/>
      <c r="E552" s="229"/>
      <c r="F552" s="231" t="s">
        <v>2942</v>
      </c>
      <c r="G552" s="229"/>
      <c r="H552" s="229"/>
      <c r="I552" s="231"/>
      <c r="J552" s="229"/>
      <c r="K552" s="229"/>
      <c r="L552" s="229"/>
      <c r="M552" s="229"/>
      <c r="N552" s="229"/>
      <c r="O552" s="229"/>
      <c r="P552" s="232" t="s">
        <v>2943</v>
      </c>
      <c r="Q552" s="189" t="s">
        <v>1879</v>
      </c>
      <c r="R552" s="189" t="s">
        <v>1879</v>
      </c>
      <c r="S552" s="166" t="s">
        <v>1874</v>
      </c>
      <c r="T552" s="166" t="s">
        <v>1874</v>
      </c>
    </row>
    <row r="553" spans="3:20">
      <c r="C553" s="229" t="s">
        <v>3010</v>
      </c>
      <c r="D553" s="229"/>
      <c r="E553" s="229"/>
      <c r="F553" s="231" t="s">
        <v>3039</v>
      </c>
      <c r="G553" s="229"/>
      <c r="H553" s="229"/>
      <c r="I553" s="231"/>
      <c r="J553" s="229"/>
      <c r="K553" s="229"/>
      <c r="L553" s="229"/>
      <c r="M553" s="229"/>
      <c r="N553" s="229"/>
      <c r="O553" s="229"/>
      <c r="P553" s="232" t="s">
        <v>2943</v>
      </c>
      <c r="Q553" s="189" t="s">
        <v>1879</v>
      </c>
      <c r="R553" s="189" t="s">
        <v>1879</v>
      </c>
      <c r="S553" s="166" t="s">
        <v>1874</v>
      </c>
      <c r="T553" s="166" t="s">
        <v>1874</v>
      </c>
    </row>
    <row r="554" spans="3:20">
      <c r="C554" s="229" t="s">
        <v>3011</v>
      </c>
      <c r="D554" s="229"/>
      <c r="E554" s="229"/>
      <c r="F554" s="231" t="s">
        <v>3039</v>
      </c>
      <c r="G554" s="229"/>
      <c r="H554" s="229"/>
      <c r="I554" s="231"/>
      <c r="J554" s="229"/>
      <c r="K554" s="229"/>
      <c r="L554" s="229"/>
      <c r="M554" s="229"/>
      <c r="N554" s="229"/>
      <c r="O554" s="229"/>
      <c r="P554" s="232" t="s">
        <v>2943</v>
      </c>
      <c r="Q554" s="189" t="s">
        <v>1879</v>
      </c>
      <c r="R554" s="189" t="s">
        <v>1879</v>
      </c>
      <c r="S554" s="166" t="s">
        <v>1874</v>
      </c>
      <c r="T554" s="166" t="s">
        <v>1874</v>
      </c>
    </row>
    <row r="555" spans="3:20">
      <c r="C555" s="229" t="s">
        <v>3012</v>
      </c>
      <c r="D555" s="229"/>
      <c r="E555" s="229"/>
      <c r="F555" s="231" t="s">
        <v>3039</v>
      </c>
      <c r="G555" s="229"/>
      <c r="H555" s="229"/>
      <c r="I555" s="231"/>
      <c r="J555" s="229"/>
      <c r="K555" s="229"/>
      <c r="L555" s="229"/>
      <c r="M555" s="229"/>
      <c r="N555" s="229"/>
      <c r="O555" s="229"/>
      <c r="P555" s="232" t="s">
        <v>2943</v>
      </c>
      <c r="Q555" s="189" t="s">
        <v>1879</v>
      </c>
      <c r="R555" s="189" t="s">
        <v>1879</v>
      </c>
      <c r="S555" s="166" t="s">
        <v>1874</v>
      </c>
      <c r="T555" s="166" t="s">
        <v>1874</v>
      </c>
    </row>
    <row r="556" spans="3:20">
      <c r="C556" s="229" t="s">
        <v>3013</v>
      </c>
      <c r="D556" s="229"/>
      <c r="E556" s="229"/>
      <c r="F556" s="231" t="s">
        <v>3039</v>
      </c>
      <c r="G556" s="229"/>
      <c r="H556" s="229"/>
      <c r="I556" s="231"/>
      <c r="J556" s="229"/>
      <c r="K556" s="229"/>
      <c r="L556" s="229"/>
      <c r="M556" s="229"/>
      <c r="N556" s="229"/>
      <c r="O556" s="229"/>
      <c r="P556" s="232" t="s">
        <v>2943</v>
      </c>
      <c r="Q556" s="189" t="s">
        <v>1879</v>
      </c>
      <c r="R556" s="189" t="s">
        <v>1879</v>
      </c>
      <c r="S556" s="166" t="s">
        <v>1874</v>
      </c>
      <c r="T556" s="166" t="s">
        <v>1874</v>
      </c>
    </row>
    <row r="557" spans="3:20">
      <c r="C557" s="229" t="s">
        <v>3014</v>
      </c>
      <c r="D557" s="229"/>
      <c r="E557" s="229"/>
      <c r="F557" s="231" t="s">
        <v>3039</v>
      </c>
      <c r="G557" s="229"/>
      <c r="H557" s="229"/>
      <c r="I557" s="231"/>
      <c r="J557" s="229"/>
      <c r="K557" s="229"/>
      <c r="L557" s="229"/>
      <c r="M557" s="229"/>
      <c r="N557" s="229"/>
      <c r="O557" s="229"/>
      <c r="P557" s="232" t="s">
        <v>2943</v>
      </c>
      <c r="Q557" s="189" t="s">
        <v>1879</v>
      </c>
      <c r="R557" s="189" t="s">
        <v>1879</v>
      </c>
      <c r="S557" s="166" t="s">
        <v>1874</v>
      </c>
      <c r="T557" s="166" t="s">
        <v>1874</v>
      </c>
    </row>
    <row r="558" spans="3:20">
      <c r="C558" s="229" t="s">
        <v>3015</v>
      </c>
      <c r="D558" s="229"/>
      <c r="E558" s="229"/>
      <c r="F558" s="231" t="s">
        <v>3039</v>
      </c>
      <c r="G558" s="229"/>
      <c r="H558" s="229"/>
      <c r="I558" s="231"/>
      <c r="J558" s="229"/>
      <c r="K558" s="229"/>
      <c r="L558" s="229"/>
      <c r="M558" s="229"/>
      <c r="N558" s="229"/>
      <c r="O558" s="229"/>
      <c r="P558" s="232" t="s">
        <v>2943</v>
      </c>
      <c r="Q558" s="189" t="s">
        <v>1879</v>
      </c>
      <c r="R558" s="189" t="s">
        <v>1879</v>
      </c>
      <c r="S558" s="166" t="s">
        <v>1874</v>
      </c>
      <c r="T558" s="166" t="s">
        <v>1874</v>
      </c>
    </row>
    <row r="559" spans="3:20">
      <c r="C559" s="229" t="s">
        <v>3016</v>
      </c>
      <c r="D559" s="229"/>
      <c r="E559" s="229"/>
      <c r="F559" s="231" t="s">
        <v>3039</v>
      </c>
      <c r="G559" s="229"/>
      <c r="H559" s="229"/>
      <c r="I559" s="231"/>
      <c r="J559" s="229"/>
      <c r="K559" s="229"/>
      <c r="L559" s="229"/>
      <c r="M559" s="229"/>
      <c r="N559" s="229"/>
      <c r="O559" s="229"/>
      <c r="P559" s="232" t="s">
        <v>2943</v>
      </c>
      <c r="Q559" s="189" t="s">
        <v>1879</v>
      </c>
      <c r="R559" s="189" t="s">
        <v>1879</v>
      </c>
      <c r="S559" s="166" t="s">
        <v>1874</v>
      </c>
      <c r="T559" s="166" t="s">
        <v>1874</v>
      </c>
    </row>
    <row r="560" spans="3:20">
      <c r="C560" s="229" t="s">
        <v>3017</v>
      </c>
      <c r="D560" s="229"/>
      <c r="E560" s="229"/>
      <c r="F560" s="231" t="s">
        <v>3039</v>
      </c>
      <c r="G560" s="229"/>
      <c r="H560" s="229"/>
      <c r="I560" s="231"/>
      <c r="J560" s="229"/>
      <c r="K560" s="229"/>
      <c r="L560" s="229"/>
      <c r="M560" s="229"/>
      <c r="N560" s="229"/>
      <c r="O560" s="229"/>
      <c r="P560" s="232" t="s">
        <v>2943</v>
      </c>
      <c r="Q560" s="189" t="s">
        <v>1879</v>
      </c>
      <c r="R560" s="189" t="s">
        <v>1879</v>
      </c>
      <c r="S560" s="166" t="s">
        <v>1874</v>
      </c>
      <c r="T560" s="166" t="s">
        <v>1874</v>
      </c>
    </row>
    <row r="561" spans="3:20">
      <c r="C561" s="229" t="s">
        <v>3018</v>
      </c>
      <c r="D561" s="229"/>
      <c r="E561" s="229"/>
      <c r="F561" s="231" t="s">
        <v>3039</v>
      </c>
      <c r="G561" s="229"/>
      <c r="H561" s="229"/>
      <c r="I561" s="231"/>
      <c r="J561" s="229"/>
      <c r="K561" s="229"/>
      <c r="L561" s="229"/>
      <c r="M561" s="229"/>
      <c r="N561" s="229"/>
      <c r="O561" s="229"/>
      <c r="P561" s="232" t="s">
        <v>2943</v>
      </c>
      <c r="Q561" s="189" t="s">
        <v>1879</v>
      </c>
      <c r="R561" s="189" t="s">
        <v>1879</v>
      </c>
      <c r="S561" s="166" t="s">
        <v>1874</v>
      </c>
      <c r="T561" s="166" t="s">
        <v>1874</v>
      </c>
    </row>
    <row r="562" spans="3:20">
      <c r="C562" s="229" t="s">
        <v>3019</v>
      </c>
      <c r="D562" s="229"/>
      <c r="E562" s="229"/>
      <c r="F562" s="231" t="s">
        <v>3039</v>
      </c>
      <c r="G562" s="229"/>
      <c r="H562" s="229"/>
      <c r="I562" s="231"/>
      <c r="J562" s="229"/>
      <c r="K562" s="229"/>
      <c r="L562" s="229"/>
      <c r="M562" s="229"/>
      <c r="N562" s="229"/>
      <c r="O562" s="229"/>
      <c r="P562" s="232" t="s">
        <v>2943</v>
      </c>
      <c r="Q562" s="189" t="s">
        <v>1879</v>
      </c>
      <c r="R562" s="189" t="s">
        <v>1879</v>
      </c>
      <c r="S562" s="166" t="s">
        <v>1874</v>
      </c>
      <c r="T562" s="166" t="s">
        <v>1874</v>
      </c>
    </row>
    <row r="563" spans="3:20">
      <c r="C563" s="229" t="s">
        <v>3020</v>
      </c>
      <c r="D563" s="229"/>
      <c r="E563" s="229"/>
      <c r="F563" s="231" t="s">
        <v>3039</v>
      </c>
      <c r="G563" s="229"/>
      <c r="H563" s="229"/>
      <c r="I563" s="231"/>
      <c r="J563" s="229"/>
      <c r="K563" s="229"/>
      <c r="L563" s="229"/>
      <c r="M563" s="229"/>
      <c r="N563" s="229"/>
      <c r="O563" s="229"/>
      <c r="P563" s="232" t="s">
        <v>2943</v>
      </c>
      <c r="Q563" s="189" t="s">
        <v>1879</v>
      </c>
      <c r="R563" s="189" t="s">
        <v>1879</v>
      </c>
      <c r="S563" s="166" t="s">
        <v>1874</v>
      </c>
      <c r="T563" s="166" t="s">
        <v>1874</v>
      </c>
    </row>
    <row r="564" spans="3:20">
      <c r="C564" s="229" t="s">
        <v>3021</v>
      </c>
      <c r="D564" s="229"/>
      <c r="E564" s="229"/>
      <c r="F564" s="231" t="s">
        <v>3039</v>
      </c>
      <c r="G564" s="229"/>
      <c r="H564" s="229"/>
      <c r="I564" s="231"/>
      <c r="J564" s="229"/>
      <c r="K564" s="229"/>
      <c r="L564" s="229"/>
      <c r="M564" s="229"/>
      <c r="N564" s="229"/>
      <c r="O564" s="229"/>
      <c r="P564" s="232" t="s">
        <v>2943</v>
      </c>
      <c r="Q564" s="189" t="s">
        <v>1879</v>
      </c>
      <c r="R564" s="189" t="s">
        <v>1879</v>
      </c>
      <c r="S564" s="166" t="s">
        <v>1874</v>
      </c>
      <c r="T564" s="166" t="s">
        <v>1874</v>
      </c>
    </row>
    <row r="565" spans="3:20">
      <c r="C565" s="229" t="s">
        <v>3022</v>
      </c>
      <c r="D565" s="229"/>
      <c r="E565" s="229"/>
      <c r="F565" s="231" t="s">
        <v>3039</v>
      </c>
      <c r="G565" s="229"/>
      <c r="H565" s="229"/>
      <c r="I565" s="231"/>
      <c r="J565" s="229"/>
      <c r="K565" s="229"/>
      <c r="L565" s="229"/>
      <c r="M565" s="229"/>
      <c r="N565" s="229"/>
      <c r="O565" s="229"/>
      <c r="P565" s="232" t="s">
        <v>2943</v>
      </c>
      <c r="Q565" s="189" t="s">
        <v>1879</v>
      </c>
      <c r="R565" s="189" t="s">
        <v>1879</v>
      </c>
      <c r="S565" s="166" t="s">
        <v>1874</v>
      </c>
      <c r="T565" s="166" t="s">
        <v>1874</v>
      </c>
    </row>
    <row r="566" spans="3:20">
      <c r="C566" s="229" t="s">
        <v>3023</v>
      </c>
      <c r="D566" s="229"/>
      <c r="E566" s="229"/>
      <c r="F566" s="231" t="s">
        <v>3039</v>
      </c>
      <c r="G566" s="229"/>
      <c r="H566" s="229"/>
      <c r="I566" s="231"/>
      <c r="J566" s="229"/>
      <c r="K566" s="229"/>
      <c r="L566" s="229"/>
      <c r="M566" s="229"/>
      <c r="N566" s="229"/>
      <c r="O566" s="229"/>
      <c r="P566" s="232" t="s">
        <v>2943</v>
      </c>
      <c r="Q566" s="189" t="s">
        <v>1879</v>
      </c>
      <c r="R566" s="189" t="s">
        <v>1879</v>
      </c>
      <c r="S566" s="166" t="s">
        <v>1874</v>
      </c>
      <c r="T566" s="166" t="s">
        <v>1874</v>
      </c>
    </row>
    <row r="567" spans="3:20">
      <c r="C567" s="229" t="s">
        <v>3024</v>
      </c>
      <c r="D567" s="229"/>
      <c r="E567" s="229"/>
      <c r="F567" s="231" t="s">
        <v>3039</v>
      </c>
      <c r="G567" s="229"/>
      <c r="H567" s="229"/>
      <c r="I567" s="231"/>
      <c r="J567" s="229"/>
      <c r="K567" s="229"/>
      <c r="L567" s="229"/>
      <c r="M567" s="229"/>
      <c r="N567" s="229"/>
      <c r="O567" s="229"/>
      <c r="P567" s="232" t="s">
        <v>2943</v>
      </c>
      <c r="Q567" s="189" t="s">
        <v>1879</v>
      </c>
      <c r="R567" s="189" t="s">
        <v>1879</v>
      </c>
      <c r="S567" s="166" t="s">
        <v>1874</v>
      </c>
      <c r="T567" s="166" t="s">
        <v>1874</v>
      </c>
    </row>
    <row r="568" spans="3:20">
      <c r="C568" s="229" t="s">
        <v>3025</v>
      </c>
      <c r="D568" s="229"/>
      <c r="E568" s="229"/>
      <c r="F568" s="231" t="s">
        <v>3039</v>
      </c>
      <c r="G568" s="229"/>
      <c r="H568" s="229"/>
      <c r="I568" s="231"/>
      <c r="J568" s="229"/>
      <c r="K568" s="229"/>
      <c r="L568" s="229"/>
      <c r="M568" s="229"/>
      <c r="N568" s="229"/>
      <c r="O568" s="229"/>
      <c r="P568" s="232" t="s">
        <v>2943</v>
      </c>
      <c r="Q568" s="189" t="s">
        <v>1879</v>
      </c>
      <c r="R568" s="189" t="s">
        <v>1879</v>
      </c>
      <c r="S568" s="166" t="s">
        <v>1874</v>
      </c>
      <c r="T568" s="166" t="s">
        <v>1874</v>
      </c>
    </row>
    <row r="569" spans="3:20">
      <c r="C569" s="229" t="s">
        <v>3026</v>
      </c>
      <c r="D569" s="229"/>
      <c r="E569" s="229"/>
      <c r="F569" s="231" t="s">
        <v>3039</v>
      </c>
      <c r="G569" s="229"/>
      <c r="H569" s="229"/>
      <c r="I569" s="231"/>
      <c r="J569" s="229"/>
      <c r="K569" s="229"/>
      <c r="L569" s="229"/>
      <c r="M569" s="229"/>
      <c r="N569" s="229"/>
      <c r="O569" s="229"/>
      <c r="P569" s="232" t="s">
        <v>2943</v>
      </c>
      <c r="Q569" s="189" t="s">
        <v>1879</v>
      </c>
      <c r="R569" s="189" t="s">
        <v>1879</v>
      </c>
      <c r="S569" s="166" t="s">
        <v>1874</v>
      </c>
      <c r="T569" s="166" t="s">
        <v>1874</v>
      </c>
    </row>
    <row r="570" spans="3:20">
      <c r="C570" s="231" t="s">
        <v>3027</v>
      </c>
      <c r="D570" s="229"/>
      <c r="E570" s="229"/>
      <c r="F570" s="231" t="s">
        <v>3039</v>
      </c>
      <c r="G570" s="229"/>
      <c r="H570" s="229"/>
      <c r="I570" s="231"/>
      <c r="J570" s="229"/>
      <c r="K570" s="229"/>
      <c r="L570" s="229"/>
      <c r="M570" s="229"/>
      <c r="N570" s="229"/>
      <c r="O570" s="229"/>
      <c r="P570" s="232" t="s">
        <v>2943</v>
      </c>
      <c r="Q570" s="189" t="s">
        <v>1879</v>
      </c>
      <c r="R570" s="189" t="s">
        <v>1879</v>
      </c>
      <c r="S570" s="166" t="s">
        <v>1874</v>
      </c>
      <c r="T570" s="166" t="s">
        <v>1874</v>
      </c>
    </row>
    <row r="571" spans="3:20">
      <c r="C571" s="231" t="s">
        <v>3028</v>
      </c>
      <c r="D571" s="229"/>
      <c r="E571" s="229"/>
      <c r="F571" s="231" t="s">
        <v>3039</v>
      </c>
      <c r="G571" s="229"/>
      <c r="H571" s="229"/>
      <c r="I571" s="231"/>
      <c r="J571" s="229"/>
      <c r="K571" s="229"/>
      <c r="L571" s="229"/>
      <c r="M571" s="229"/>
      <c r="N571" s="229"/>
      <c r="O571" s="229"/>
      <c r="P571" s="232" t="s">
        <v>2943</v>
      </c>
      <c r="Q571" s="189" t="s">
        <v>1879</v>
      </c>
      <c r="R571" s="189" t="s">
        <v>1879</v>
      </c>
      <c r="S571" s="166" t="s">
        <v>1874</v>
      </c>
      <c r="T571" s="166" t="s">
        <v>1874</v>
      </c>
    </row>
    <row r="572" spans="3:20">
      <c r="C572" s="231" t="s">
        <v>3029</v>
      </c>
      <c r="D572" s="229"/>
      <c r="E572" s="229"/>
      <c r="F572" s="231" t="s">
        <v>3039</v>
      </c>
      <c r="G572" s="229"/>
      <c r="H572" s="229"/>
      <c r="I572" s="231"/>
      <c r="J572" s="229"/>
      <c r="K572" s="229"/>
      <c r="L572" s="229"/>
      <c r="M572" s="229"/>
      <c r="N572" s="229"/>
      <c r="O572" s="229"/>
      <c r="P572" s="232" t="s">
        <v>2943</v>
      </c>
      <c r="Q572" s="189" t="s">
        <v>1879</v>
      </c>
      <c r="R572" s="189" t="s">
        <v>1879</v>
      </c>
      <c r="S572" s="166" t="s">
        <v>1874</v>
      </c>
      <c r="T572" s="166" t="s">
        <v>1874</v>
      </c>
    </row>
    <row r="573" spans="3:20">
      <c r="C573" s="233" t="s">
        <v>3030</v>
      </c>
      <c r="D573" s="229"/>
      <c r="E573" s="229"/>
      <c r="F573" s="231" t="s">
        <v>3039</v>
      </c>
      <c r="G573" s="229"/>
      <c r="H573" s="229"/>
      <c r="I573" s="231"/>
      <c r="J573" s="229"/>
      <c r="K573" s="229"/>
      <c r="L573" s="229"/>
      <c r="M573" s="229"/>
      <c r="N573" s="229"/>
      <c r="O573" s="229"/>
      <c r="P573" s="232" t="s">
        <v>2943</v>
      </c>
      <c r="Q573" s="189" t="s">
        <v>1879</v>
      </c>
      <c r="R573" s="189" t="s">
        <v>1879</v>
      </c>
      <c r="S573" s="166" t="s">
        <v>1874</v>
      </c>
      <c r="T573" s="166" t="s">
        <v>1874</v>
      </c>
    </row>
    <row r="574" spans="3:20">
      <c r="C574" s="229" t="s">
        <v>3031</v>
      </c>
      <c r="D574" s="229"/>
      <c r="E574" s="229"/>
      <c r="F574" s="231" t="s">
        <v>3039</v>
      </c>
      <c r="G574" s="229"/>
      <c r="H574" s="229"/>
      <c r="I574" s="231"/>
      <c r="J574" s="229"/>
      <c r="K574" s="229"/>
      <c r="L574" s="229"/>
      <c r="M574" s="229"/>
      <c r="N574" s="229"/>
      <c r="O574" s="229"/>
      <c r="P574" s="232" t="s">
        <v>2943</v>
      </c>
      <c r="Q574" s="189" t="s">
        <v>1879</v>
      </c>
      <c r="R574" s="189" t="s">
        <v>1879</v>
      </c>
      <c r="S574" s="166" t="s">
        <v>1874</v>
      </c>
      <c r="T574" s="166" t="s">
        <v>1874</v>
      </c>
    </row>
    <row r="575" spans="3:20">
      <c r="C575" s="229" t="s">
        <v>3032</v>
      </c>
      <c r="D575" s="229"/>
      <c r="E575" s="229"/>
      <c r="F575" s="231" t="s">
        <v>3039</v>
      </c>
      <c r="G575" s="229"/>
      <c r="H575" s="229"/>
      <c r="I575" s="231"/>
      <c r="J575" s="229"/>
      <c r="K575" s="229"/>
      <c r="L575" s="229"/>
      <c r="M575" s="229"/>
      <c r="N575" s="229"/>
      <c r="O575" s="229"/>
      <c r="P575" s="232" t="s">
        <v>2943</v>
      </c>
      <c r="Q575" s="189" t="s">
        <v>1879</v>
      </c>
      <c r="R575" s="189" t="s">
        <v>1879</v>
      </c>
      <c r="S575" s="166" t="s">
        <v>1874</v>
      </c>
      <c r="T575" s="166" t="s">
        <v>1874</v>
      </c>
    </row>
    <row r="576" spans="3:20">
      <c r="C576" s="229" t="s">
        <v>3033</v>
      </c>
      <c r="D576" s="229"/>
      <c r="E576" s="229"/>
      <c r="F576" s="231" t="s">
        <v>3039</v>
      </c>
      <c r="G576" s="229"/>
      <c r="H576" s="229"/>
      <c r="I576" s="231"/>
      <c r="J576" s="229"/>
      <c r="K576" s="229"/>
      <c r="L576" s="229"/>
      <c r="M576" s="229"/>
      <c r="N576" s="229"/>
      <c r="O576" s="229"/>
      <c r="P576" s="232" t="s">
        <v>2943</v>
      </c>
      <c r="Q576" s="189" t="s">
        <v>1879</v>
      </c>
      <c r="R576" s="189" t="s">
        <v>1879</v>
      </c>
      <c r="S576" s="166" t="s">
        <v>1874</v>
      </c>
      <c r="T576" s="166" t="s">
        <v>1874</v>
      </c>
    </row>
    <row r="577" spans="3:20">
      <c r="C577" s="229" t="s">
        <v>3034</v>
      </c>
      <c r="D577" s="229"/>
      <c r="E577" s="229"/>
      <c r="F577" s="231" t="s">
        <v>3039</v>
      </c>
      <c r="G577" s="229"/>
      <c r="H577" s="229"/>
      <c r="I577" s="231"/>
      <c r="J577" s="229"/>
      <c r="K577" s="229"/>
      <c r="L577" s="229"/>
      <c r="M577" s="229"/>
      <c r="N577" s="229"/>
      <c r="O577" s="229"/>
      <c r="P577" s="232" t="s">
        <v>2943</v>
      </c>
      <c r="Q577" s="189" t="s">
        <v>1879</v>
      </c>
      <c r="R577" s="189" t="s">
        <v>1879</v>
      </c>
      <c r="S577" s="166" t="s">
        <v>1874</v>
      </c>
      <c r="T577" s="166" t="s">
        <v>1874</v>
      </c>
    </row>
    <row r="578" spans="3:20">
      <c r="C578" s="229" t="s">
        <v>3035</v>
      </c>
      <c r="D578" s="229"/>
      <c r="E578" s="229"/>
      <c r="F578" s="231" t="s">
        <v>3039</v>
      </c>
      <c r="G578" s="229"/>
      <c r="H578" s="229"/>
      <c r="I578" s="231"/>
      <c r="J578" s="229"/>
      <c r="K578" s="229"/>
      <c r="L578" s="229"/>
      <c r="M578" s="229"/>
      <c r="N578" s="229"/>
      <c r="O578" s="229"/>
      <c r="P578" s="232" t="s">
        <v>2943</v>
      </c>
      <c r="Q578" s="189" t="s">
        <v>1879</v>
      </c>
      <c r="R578" s="189" t="s">
        <v>1879</v>
      </c>
      <c r="S578" s="166" t="s">
        <v>1874</v>
      </c>
      <c r="T578" s="166" t="s">
        <v>1874</v>
      </c>
    </row>
    <row r="579" spans="3:20">
      <c r="C579" s="229" t="s">
        <v>3036</v>
      </c>
      <c r="D579" s="229"/>
      <c r="E579" s="229"/>
      <c r="F579" s="231" t="s">
        <v>3039</v>
      </c>
      <c r="G579" s="229"/>
      <c r="H579" s="229"/>
      <c r="I579" s="231"/>
      <c r="J579" s="229"/>
      <c r="K579" s="229"/>
      <c r="L579" s="229"/>
      <c r="M579" s="229"/>
      <c r="N579" s="229"/>
      <c r="O579" s="229"/>
      <c r="P579" s="232" t="s">
        <v>2943</v>
      </c>
      <c r="Q579" s="189" t="s">
        <v>1879</v>
      </c>
      <c r="R579" s="189" t="s">
        <v>1879</v>
      </c>
      <c r="S579" s="166" t="s">
        <v>1874</v>
      </c>
      <c r="T579" s="166" t="s">
        <v>1874</v>
      </c>
    </row>
    <row r="580" spans="3:20">
      <c r="C580" s="235" t="s">
        <v>3037</v>
      </c>
      <c r="D580" s="229"/>
      <c r="E580" s="229"/>
      <c r="F580" s="231" t="s">
        <v>3039</v>
      </c>
      <c r="G580" s="229"/>
      <c r="H580" s="229"/>
      <c r="I580" s="231"/>
      <c r="J580" s="229"/>
      <c r="K580" s="229"/>
      <c r="L580" s="229"/>
      <c r="M580" s="229"/>
      <c r="N580" s="229"/>
      <c r="O580" s="229"/>
      <c r="P580" s="232" t="s">
        <v>2943</v>
      </c>
      <c r="Q580" s="189" t="s">
        <v>1879</v>
      </c>
      <c r="R580" s="189" t="s">
        <v>1879</v>
      </c>
      <c r="S580" s="166" t="s">
        <v>1874</v>
      </c>
      <c r="T580" s="166" t="s">
        <v>1874</v>
      </c>
    </row>
    <row r="581" spans="3:20">
      <c r="C581" s="235" t="s">
        <v>3038</v>
      </c>
      <c r="D581" s="229"/>
      <c r="E581" s="229"/>
      <c r="F581" s="231" t="s">
        <v>3039</v>
      </c>
      <c r="G581" s="229"/>
      <c r="H581" s="229"/>
      <c r="I581" s="231"/>
      <c r="J581" s="229"/>
      <c r="K581" s="229"/>
      <c r="L581" s="229"/>
      <c r="M581" s="229"/>
      <c r="N581" s="229"/>
      <c r="O581" s="229"/>
      <c r="P581" s="232" t="s">
        <v>2943</v>
      </c>
      <c r="Q581" s="189" t="s">
        <v>1879</v>
      </c>
      <c r="R581" s="189" t="s">
        <v>1879</v>
      </c>
      <c r="S581" s="166" t="s">
        <v>1874</v>
      </c>
      <c r="T581" s="166" t="s">
        <v>1874</v>
      </c>
    </row>
    <row r="1048562" spans="6:6">
      <c r="F1048562" s="168" t="s">
        <v>1128</v>
      </c>
    </row>
  </sheetData>
  <autoFilter ref="A3:U581" xr:uid="{00000000-0009-0000-0000-000003000000}">
    <sortState xmlns:xlrd2="http://schemas.microsoft.com/office/spreadsheetml/2017/richdata2" ref="A4:U581">
      <sortCondition ref="A3:A581"/>
    </sortState>
  </autoFilter>
  <mergeCells count="5">
    <mergeCell ref="Q1:U2"/>
    <mergeCell ref="A1:E2"/>
    <mergeCell ref="F1:O1"/>
    <mergeCell ref="P1:P2"/>
    <mergeCell ref="F2:O2"/>
  </mergeCell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408"/>
  <sheetViews>
    <sheetView zoomScale="115" zoomScaleNormal="115" workbookViewId="0">
      <pane ySplit="1" topLeftCell="A2" activePane="bottomLeft" state="frozen"/>
      <selection pane="bottomLeft" activeCell="C178" sqref="C178"/>
    </sheetView>
  </sheetViews>
  <sheetFormatPr defaultRowHeight="14.4"/>
  <cols>
    <col min="1" max="1" width="27.21875" customWidth="1"/>
    <col min="2" max="2" width="17.6640625" customWidth="1"/>
    <col min="3" max="3" width="17.44140625" customWidth="1"/>
    <col min="4" max="4" width="18.88671875" customWidth="1"/>
    <col min="5" max="6" width="19.6640625" customWidth="1"/>
  </cols>
  <sheetData>
    <row r="1" spans="1:7">
      <c r="A1" t="s">
        <v>3660</v>
      </c>
      <c r="B1" t="s">
        <v>3661</v>
      </c>
      <c r="C1" t="s">
        <v>3662</v>
      </c>
      <c r="D1" t="s">
        <v>3663</v>
      </c>
      <c r="E1" t="s">
        <v>3681</v>
      </c>
      <c r="F1" t="s">
        <v>3682</v>
      </c>
      <c r="G1" t="s">
        <v>3668</v>
      </c>
    </row>
    <row r="2" spans="1:7">
      <c r="A2" s="292" t="s">
        <v>1952</v>
      </c>
      <c r="B2" s="304" t="str">
        <f>IF(ISNA(VLOOKUP(A2, WEB_Database!A:A, 1, FALSE)), "Not Found", "Found")</f>
        <v>Found</v>
      </c>
      <c r="C2" s="304" t="str">
        <f>IF(ISNA(VLOOKUP(A2, A3:A600, 1, FALSE)), "No", "Yes")</f>
        <v>No</v>
      </c>
      <c r="D2" s="290" t="s">
        <v>1954</v>
      </c>
      <c r="E2" t="e">
        <f>IF(VLOOKUP(A2,WEB_Database!A:F,16,FALSE)=D2,"yes","no")</f>
        <v>#REF!</v>
      </c>
      <c r="F2" t="e">
        <f>IF(E2 = "no",VLOOKUP(A2,WEB_Database!A:F,16,FALSE),"")</f>
        <v>#REF!</v>
      </c>
    </row>
    <row r="3" spans="1:7">
      <c r="A3" s="292" t="s">
        <v>1956</v>
      </c>
      <c r="B3" s="304" t="str">
        <f>IF(ISNA(VLOOKUP(A3, WEB_Database!A:A, 1, FALSE)), "Not Found", "Found")</f>
        <v>Found</v>
      </c>
      <c r="C3" s="304" t="str">
        <f t="shared" ref="C3:C66" si="0">IF(ISNA(VLOOKUP(A3, A4:A601, 1, FALSE)), "No", "Yes")</f>
        <v>No</v>
      </c>
      <c r="D3" s="290" t="s">
        <v>1954</v>
      </c>
      <c r="E3" t="e">
        <f>IF(VLOOKUP(A3,WEB_Database!A:F,16,FALSE)=D3,"yes","no")</f>
        <v>#REF!</v>
      </c>
      <c r="F3" t="e">
        <f>IF(E3 = "no",VLOOKUP(A3,WEB_Database!A:F,16,FALSE),"")</f>
        <v>#REF!</v>
      </c>
    </row>
    <row r="4" spans="1:7">
      <c r="A4" s="292" t="s">
        <v>1958</v>
      </c>
      <c r="B4" s="304" t="str">
        <f>IF(ISNA(VLOOKUP(A4, WEB_Database!A:A, 1, FALSE)), "Not Found", "Found")</f>
        <v>Found</v>
      </c>
      <c r="C4" s="304" t="str">
        <f t="shared" si="0"/>
        <v>No</v>
      </c>
      <c r="D4" s="290" t="s">
        <v>1954</v>
      </c>
      <c r="E4" t="e">
        <f>IF(VLOOKUP(A4,WEB_Database!A:F,16,FALSE)=D4,"yes","no")</f>
        <v>#REF!</v>
      </c>
      <c r="F4" t="e">
        <f>IF(E4 = "no",VLOOKUP(A4,WEB_Database!A:F,16,FALSE),"")</f>
        <v>#REF!</v>
      </c>
    </row>
    <row r="5" spans="1:7">
      <c r="A5" s="292" t="s">
        <v>909</v>
      </c>
      <c r="B5" s="304" t="str">
        <f>IF(ISNA(VLOOKUP(A5, WEB_Database!A:A, 1, FALSE)), "Not Found", "Found")</f>
        <v>Found</v>
      </c>
      <c r="C5" s="304" t="str">
        <f t="shared" si="0"/>
        <v>No</v>
      </c>
      <c r="D5" s="290" t="s">
        <v>1905</v>
      </c>
      <c r="E5" t="e">
        <f>IF(VLOOKUP(A5,WEB_Database!A:F,16,FALSE)=D5,"yes","no")</f>
        <v>#REF!</v>
      </c>
      <c r="F5" t="e">
        <f>IF(E5 = "no",VLOOKUP(A5,WEB_Database!A:F,16,FALSE),"")</f>
        <v>#REF!</v>
      </c>
    </row>
    <row r="6" spans="1:7">
      <c r="A6" s="292" t="s">
        <v>2050</v>
      </c>
      <c r="B6" s="304" t="str">
        <f>IF(ISNA(VLOOKUP(A6, WEB_Database!A:A, 1, FALSE)), "Not Found", "Found")</f>
        <v>Found</v>
      </c>
      <c r="C6" s="304" t="str">
        <f t="shared" si="0"/>
        <v>No</v>
      </c>
      <c r="D6" s="290" t="s">
        <v>1876</v>
      </c>
      <c r="E6" t="e">
        <f>IF(VLOOKUP(A6,WEB_Database!A:F,16,FALSE)=D6,"yes","no")</f>
        <v>#REF!</v>
      </c>
      <c r="F6" t="e">
        <f>IF(E6 = "no",VLOOKUP(A6,WEB_Database!A:F,16,FALSE),"")</f>
        <v>#REF!</v>
      </c>
    </row>
    <row r="7" spans="1:7">
      <c r="A7" s="292" t="s">
        <v>1908</v>
      </c>
      <c r="B7" s="304" t="str">
        <f>IF(ISNA(VLOOKUP(A7, WEB_Database!A:A, 1, FALSE)), "Not Found", "Found")</f>
        <v>Found</v>
      </c>
      <c r="C7" s="304" t="str">
        <f t="shared" si="0"/>
        <v>No</v>
      </c>
      <c r="D7" s="290" t="s">
        <v>1905</v>
      </c>
      <c r="E7" t="e">
        <f>IF(VLOOKUP(A7,WEB_Database!A:F,16,FALSE)=D7,"yes","no")</f>
        <v>#REF!</v>
      </c>
      <c r="F7" t="e">
        <f>IF(E7 = "no",VLOOKUP(A7,WEB_Database!A:F,16,FALSE),"")</f>
        <v>#REF!</v>
      </c>
    </row>
    <row r="8" spans="1:7">
      <c r="A8" s="292" t="s">
        <v>1921</v>
      </c>
      <c r="B8" s="304" t="str">
        <f>IF(ISNA(VLOOKUP(A8, WEB_Database!A:A, 1, FALSE)), "Not Found", "Found")</f>
        <v>Found</v>
      </c>
      <c r="C8" s="304" t="str">
        <f t="shared" si="0"/>
        <v>No</v>
      </c>
      <c r="D8" s="290" t="s">
        <v>1922</v>
      </c>
      <c r="E8" t="e">
        <f>IF(VLOOKUP(A8,WEB_Database!A:F,16,FALSE)=D8,"yes","no")</f>
        <v>#REF!</v>
      </c>
      <c r="F8" t="e">
        <f>IF(E8 = "no",VLOOKUP(A8,WEB_Database!A:F,16,FALSE),"")</f>
        <v>#REF!</v>
      </c>
    </row>
    <row r="9" spans="1:7">
      <c r="A9" s="292" t="s">
        <v>1931</v>
      </c>
      <c r="B9" s="304" t="str">
        <f>IF(ISNA(VLOOKUP(A9, WEB_Database!A:A, 1, FALSE)), "Not Found", "Found")</f>
        <v>Found</v>
      </c>
      <c r="C9" s="304" t="str">
        <f t="shared" si="0"/>
        <v>No</v>
      </c>
      <c r="D9" s="290" t="s">
        <v>1922</v>
      </c>
      <c r="E9" t="e">
        <f>IF(VLOOKUP(A9,WEB_Database!A:F,16,FALSE)=D9,"yes","no")</f>
        <v>#REF!</v>
      </c>
      <c r="F9" t="e">
        <f>IF(E9 = "no",VLOOKUP(A9,WEB_Database!A:F,16,FALSE),"")</f>
        <v>#REF!</v>
      </c>
    </row>
    <row r="10" spans="1:7">
      <c r="A10" s="292" t="s">
        <v>3120</v>
      </c>
      <c r="B10" s="304" t="str">
        <f>IF(ISNA(VLOOKUP(A10, WEB_Database!A:A, 1, FALSE)), "Not Found", "Found")</f>
        <v>Found</v>
      </c>
      <c r="C10" s="304" t="str">
        <f t="shared" si="0"/>
        <v>No</v>
      </c>
      <c r="D10" s="290" t="s">
        <v>1945</v>
      </c>
      <c r="E10" t="e">
        <f>IF(VLOOKUP(A10,WEB_Database!A:F,16,FALSE)=D10,"yes","no")</f>
        <v>#REF!</v>
      </c>
      <c r="F10" t="e">
        <f>IF(E10 = "no",VLOOKUP(A10,WEB_Database!A:F,16,FALSE),"")</f>
        <v>#REF!</v>
      </c>
    </row>
    <row r="11" spans="1:7">
      <c r="A11" s="292" t="s">
        <v>2917</v>
      </c>
      <c r="B11" s="304" t="str">
        <f>IF(ISNA(VLOOKUP(A11, WEB_Database!A:A, 1, FALSE)), "Not Found", "Found")</f>
        <v>Found</v>
      </c>
      <c r="C11" s="304" t="str">
        <f t="shared" si="0"/>
        <v>No</v>
      </c>
      <c r="D11" s="290" t="s">
        <v>1945</v>
      </c>
      <c r="E11" t="e">
        <f>IF(VLOOKUP(A11,WEB_Database!A:F,16,FALSE)=D11,"yes","no")</f>
        <v>#REF!</v>
      </c>
      <c r="F11" t="e">
        <f>IF(E11 = "no",VLOOKUP(A11,WEB_Database!A:F,16,FALSE),"")</f>
        <v>#REF!</v>
      </c>
    </row>
    <row r="12" spans="1:7">
      <c r="A12" s="292" t="s">
        <v>3122</v>
      </c>
      <c r="B12" s="304" t="str">
        <f>IF(ISNA(VLOOKUP(A12, WEB_Database!A:A, 1, FALSE)), "Not Found", "Found")</f>
        <v>Found</v>
      </c>
      <c r="C12" s="304" t="str">
        <f t="shared" si="0"/>
        <v>No</v>
      </c>
      <c r="D12" s="298" t="s">
        <v>2014</v>
      </c>
      <c r="E12" t="e">
        <f>IF(VLOOKUP(A12,WEB_Database!A:F,16,FALSE)=D12,"yes","no")</f>
        <v>#REF!</v>
      </c>
      <c r="F12" t="e">
        <f>IF(E12 = "no",VLOOKUP(A12,WEB_Database!A:F,16,FALSE),"")</f>
        <v>#REF!</v>
      </c>
    </row>
    <row r="13" spans="1:7">
      <c r="A13" s="292" t="s">
        <v>3118</v>
      </c>
      <c r="B13" s="304" t="str">
        <f>IF(ISNA(VLOOKUP(A13, WEB_Database!A:A, 1, FALSE)), "Not Found", "Found")</f>
        <v>Found</v>
      </c>
      <c r="C13" s="304" t="str">
        <f t="shared" si="0"/>
        <v>No</v>
      </c>
      <c r="D13" s="298" t="s">
        <v>2014</v>
      </c>
      <c r="E13" t="e">
        <f>IF(VLOOKUP(A13,WEB_Database!A:F,16,FALSE)=D13,"yes","no")</f>
        <v>#REF!</v>
      </c>
      <c r="F13" t="e">
        <f>IF(E13 = "no",VLOOKUP(A13,WEB_Database!A:F,16,FALSE),"")</f>
        <v>#REF!</v>
      </c>
    </row>
    <row r="14" spans="1:7">
      <c r="A14" s="292" t="s">
        <v>1959</v>
      </c>
      <c r="B14" s="304" t="str">
        <f>IF(ISNA(VLOOKUP(A14, WEB_Database!A:A, 1, FALSE)), "Not Found", "Found")</f>
        <v>Found</v>
      </c>
      <c r="C14" s="304" t="str">
        <f t="shared" si="0"/>
        <v>No</v>
      </c>
      <c r="D14" s="290" t="s">
        <v>1954</v>
      </c>
      <c r="E14" t="e">
        <f>IF(VLOOKUP(A14,WEB_Database!A:F,16,FALSE)=D14,"yes","no")</f>
        <v>#REF!</v>
      </c>
      <c r="F14" t="e">
        <f>IF(E14 = "no",VLOOKUP(A14,WEB_Database!A:F,16,FALSE),"")</f>
        <v>#REF!</v>
      </c>
    </row>
    <row r="15" spans="1:7">
      <c r="A15" s="292" t="s">
        <v>1962</v>
      </c>
      <c r="B15" s="304" t="str">
        <f>IF(ISNA(VLOOKUP(A15, WEB_Database!A:A, 1, FALSE)), "Not Found", "Found")</f>
        <v>Found</v>
      </c>
      <c r="C15" s="304" t="str">
        <f t="shared" si="0"/>
        <v>No</v>
      </c>
      <c r="D15" s="290" t="s">
        <v>1954</v>
      </c>
      <c r="E15" t="e">
        <f>IF(VLOOKUP(A15,WEB_Database!A:F,16,FALSE)=D15,"yes","no")</f>
        <v>#REF!</v>
      </c>
      <c r="F15" t="e">
        <f>IF(E15 = "no",VLOOKUP(A15,WEB_Database!A:F,16,FALSE),"")</f>
        <v>#REF!</v>
      </c>
    </row>
    <row r="16" spans="1:7">
      <c r="A16" s="292" t="s">
        <v>1964</v>
      </c>
      <c r="B16" s="304" t="str">
        <f>IF(ISNA(VLOOKUP(A16, WEB_Database!A:A, 1, FALSE)), "Not Found", "Found")</f>
        <v>Found</v>
      </c>
      <c r="C16" s="304" t="str">
        <f t="shared" si="0"/>
        <v>No</v>
      </c>
      <c r="D16" s="290" t="s">
        <v>1954</v>
      </c>
      <c r="E16" t="e">
        <f>IF(VLOOKUP(A16,WEB_Database!A:F,16,FALSE)=D16,"yes","no")</f>
        <v>#REF!</v>
      </c>
      <c r="F16" t="e">
        <f>IF(E16 = "no",VLOOKUP(A16,WEB_Database!A:F,16,FALSE),"")</f>
        <v>#REF!</v>
      </c>
    </row>
    <row r="17" spans="1:6">
      <c r="A17" s="292" t="s">
        <v>1911</v>
      </c>
      <c r="B17" s="304" t="str">
        <f>IF(ISNA(VLOOKUP(A17, WEB_Database!A:A, 1, FALSE)), "Not Found", "Found")</f>
        <v>Found</v>
      </c>
      <c r="C17" s="304" t="str">
        <f t="shared" si="0"/>
        <v>No</v>
      </c>
      <c r="D17" s="290" t="s">
        <v>1905</v>
      </c>
      <c r="E17" t="e">
        <f>IF(VLOOKUP(A17,WEB_Database!A:F,16,FALSE)=D17,"yes","no")</f>
        <v>#REF!</v>
      </c>
      <c r="F17" t="e">
        <f>IF(E17 = "no",VLOOKUP(A17,WEB_Database!A:F,16,FALSE),"")</f>
        <v>#REF!</v>
      </c>
    </row>
    <row r="18" spans="1:6">
      <c r="A18" s="292" t="s">
        <v>2051</v>
      </c>
      <c r="B18" s="304" t="str">
        <f>IF(ISNA(VLOOKUP(A18, WEB_Database!A:A, 1, FALSE)), "Not Found", "Found")</f>
        <v>Found</v>
      </c>
      <c r="C18" s="304" t="str">
        <f t="shared" si="0"/>
        <v>No</v>
      </c>
      <c r="D18" s="290" t="s">
        <v>1876</v>
      </c>
      <c r="E18" t="e">
        <f>IF(VLOOKUP(A18,WEB_Database!A:F,16,FALSE)=D18,"yes","no")</f>
        <v>#REF!</v>
      </c>
      <c r="F18" t="e">
        <f>IF(E18 = "no",VLOOKUP(A18,WEB_Database!A:F,16,FALSE),"")</f>
        <v>#REF!</v>
      </c>
    </row>
    <row r="19" spans="1:6">
      <c r="A19" s="292" t="s">
        <v>1915</v>
      </c>
      <c r="B19" s="304" t="str">
        <f>IF(ISNA(VLOOKUP(A19, WEB_Database!A:A, 1, FALSE)), "Not Found", "Found")</f>
        <v>Found</v>
      </c>
      <c r="C19" s="304" t="str">
        <f t="shared" si="0"/>
        <v>No</v>
      </c>
      <c r="D19" s="290" t="s">
        <v>1905</v>
      </c>
      <c r="E19" t="e">
        <f>IF(VLOOKUP(A19,WEB_Database!A:F,16,FALSE)=D19,"yes","no")</f>
        <v>#REF!</v>
      </c>
      <c r="F19" t="e">
        <f>IF(E19 = "no",VLOOKUP(A19,WEB_Database!A:F,16,FALSE),"")</f>
        <v>#REF!</v>
      </c>
    </row>
    <row r="20" spans="1:6">
      <c r="A20" s="292" t="s">
        <v>1925</v>
      </c>
      <c r="B20" s="304" t="str">
        <f>IF(ISNA(VLOOKUP(A20, WEB_Database!A:A, 1, FALSE)), "Not Found", "Found")</f>
        <v>Found</v>
      </c>
      <c r="C20" s="304" t="str">
        <f t="shared" si="0"/>
        <v>No</v>
      </c>
      <c r="D20" s="290" t="s">
        <v>1922</v>
      </c>
      <c r="E20" t="e">
        <f>IF(VLOOKUP(A20,WEB_Database!A:F,16,FALSE)=D20,"yes","no")</f>
        <v>#REF!</v>
      </c>
      <c r="F20" t="e">
        <f>IF(E20 = "no",VLOOKUP(A20,WEB_Database!A:F,16,FALSE),"")</f>
        <v>#REF!</v>
      </c>
    </row>
    <row r="21" spans="1:6">
      <c r="A21" s="292" t="s">
        <v>1933</v>
      </c>
      <c r="B21" s="304" t="str">
        <f>IF(ISNA(VLOOKUP(A21, WEB_Database!A:A, 1, FALSE)), "Not Found", "Found")</f>
        <v>Found</v>
      </c>
      <c r="C21" s="304" t="str">
        <f t="shared" si="0"/>
        <v>No</v>
      </c>
      <c r="D21" s="290" t="s">
        <v>1922</v>
      </c>
      <c r="E21" t="e">
        <f>IF(VLOOKUP(A21,WEB_Database!A:F,16,FALSE)=D21,"yes","no")</f>
        <v>#REF!</v>
      </c>
      <c r="F21" t="e">
        <f>IF(E21 = "no",VLOOKUP(A21,WEB_Database!A:F,16,FALSE),"")</f>
        <v>#REF!</v>
      </c>
    </row>
    <row r="22" spans="1:6">
      <c r="A22" s="292" t="s">
        <v>3129</v>
      </c>
      <c r="B22" s="304" t="str">
        <f>IF(ISNA(VLOOKUP(A22, WEB_Database!A:A, 1, FALSE)), "Not Found", "Found")</f>
        <v>Found</v>
      </c>
      <c r="C22" s="304" t="str">
        <f t="shared" si="0"/>
        <v>No</v>
      </c>
      <c r="D22" s="298" t="s">
        <v>1945</v>
      </c>
      <c r="E22" t="e">
        <f>IF(VLOOKUP(A22,WEB_Database!A:F,16,FALSE)=D22,"yes","no")</f>
        <v>#REF!</v>
      </c>
      <c r="F22" t="e">
        <f>IF(E22 = "no",VLOOKUP(A22,WEB_Database!A:F,16,FALSE),"")</f>
        <v>#REF!</v>
      </c>
    </row>
    <row r="23" spans="1:6">
      <c r="A23" s="292" t="s">
        <v>3125</v>
      </c>
      <c r="B23" s="304" t="str">
        <f>IF(ISNA(VLOOKUP(A23, WEB_Database!A:A, 1, FALSE)), "Not Found", "Found")</f>
        <v>Found</v>
      </c>
      <c r="C23" s="304" t="str">
        <f t="shared" si="0"/>
        <v>No</v>
      </c>
      <c r="D23" s="298" t="s">
        <v>1945</v>
      </c>
      <c r="E23" t="e">
        <f>IF(VLOOKUP(A23,WEB_Database!A:F,16,FALSE)=D23,"yes","no")</f>
        <v>#REF!</v>
      </c>
      <c r="F23" t="e">
        <f>IF(E23 = "no",VLOOKUP(A23,WEB_Database!A:F,16,FALSE),"")</f>
        <v>#REF!</v>
      </c>
    </row>
    <row r="24" spans="1:6">
      <c r="A24" s="292" t="s">
        <v>3131</v>
      </c>
      <c r="B24" s="304" t="str">
        <f>IF(ISNA(VLOOKUP(A24, WEB_Database!A:A, 1, FALSE)), "Not Found", "Found")</f>
        <v>Found</v>
      </c>
      <c r="C24" s="304" t="str">
        <f t="shared" si="0"/>
        <v>No</v>
      </c>
      <c r="D24" s="290" t="s">
        <v>2014</v>
      </c>
      <c r="E24" t="e">
        <f>IF(VLOOKUP(A24,WEB_Database!A:F,16,FALSE)=D24,"yes","no")</f>
        <v>#REF!</v>
      </c>
      <c r="F24" t="e">
        <f>IF(E24 = "no",VLOOKUP(A24,WEB_Database!A:F,16,FALSE),"")</f>
        <v>#REF!</v>
      </c>
    </row>
    <row r="25" spans="1:6">
      <c r="A25" s="292" t="s">
        <v>3127</v>
      </c>
      <c r="B25" s="304" t="str">
        <f>IF(ISNA(VLOOKUP(A25, WEB_Database!A:A, 1, FALSE)), "Not Found", "Found")</f>
        <v>Found</v>
      </c>
      <c r="C25" s="304" t="str">
        <f t="shared" si="0"/>
        <v>No</v>
      </c>
      <c r="D25" s="290" t="s">
        <v>2014</v>
      </c>
      <c r="E25" t="e">
        <f>IF(VLOOKUP(A25,WEB_Database!A:F,16,FALSE)=D25,"yes","no")</f>
        <v>#REF!</v>
      </c>
      <c r="F25" t="e">
        <f>IF(E25 = "no",VLOOKUP(A25,WEB_Database!A:F,16,FALSE),"")</f>
        <v>#REF!</v>
      </c>
    </row>
    <row r="26" spans="1:6">
      <c r="A26" s="292" t="s">
        <v>1965</v>
      </c>
      <c r="B26" s="304" t="str">
        <f>IF(ISNA(VLOOKUP(A26, WEB_Database!A:A, 1, FALSE)), "Not Found", "Found")</f>
        <v>Found</v>
      </c>
      <c r="C26" s="304" t="str">
        <f t="shared" si="0"/>
        <v>No</v>
      </c>
      <c r="D26" s="290" t="s">
        <v>1954</v>
      </c>
      <c r="E26" t="e">
        <f>IF(VLOOKUP(A26,WEB_Database!A:F,16,FALSE)=D26,"yes","no")</f>
        <v>#REF!</v>
      </c>
      <c r="F26" t="e">
        <f>IF(E26 = "no",VLOOKUP(A26,WEB_Database!A:F,16,FALSE),"")</f>
        <v>#REF!</v>
      </c>
    </row>
    <row r="27" spans="1:6">
      <c r="A27" s="292" t="s">
        <v>1968</v>
      </c>
      <c r="B27" s="304" t="str">
        <f>IF(ISNA(VLOOKUP(A27, WEB_Database!A:A, 1, FALSE)), "Not Found", "Found")</f>
        <v>Found</v>
      </c>
      <c r="C27" s="304" t="str">
        <f t="shared" si="0"/>
        <v>No</v>
      </c>
      <c r="D27" s="290" t="s">
        <v>1954</v>
      </c>
      <c r="E27" t="e">
        <f>IF(VLOOKUP(A27,WEB_Database!A:F,16,FALSE)=D27,"yes","no")</f>
        <v>#REF!</v>
      </c>
      <c r="F27" t="e">
        <f>IF(E27 = "no",VLOOKUP(A27,WEB_Database!A:F,16,FALSE),"")</f>
        <v>#REF!</v>
      </c>
    </row>
    <row r="28" spans="1:6">
      <c r="A28" s="292" t="s">
        <v>1970</v>
      </c>
      <c r="B28" s="304" t="str">
        <f>IF(ISNA(VLOOKUP(A28, WEB_Database!A:A, 1, FALSE)), "Not Found", "Found")</f>
        <v>Found</v>
      </c>
      <c r="C28" s="304" t="str">
        <f t="shared" si="0"/>
        <v>No</v>
      </c>
      <c r="D28" s="290" t="s">
        <v>1954</v>
      </c>
      <c r="E28" t="e">
        <f>IF(VLOOKUP(A28,WEB_Database!A:F,16,FALSE)=D28,"yes","no")</f>
        <v>#REF!</v>
      </c>
      <c r="F28" t="e">
        <f>IF(E28 = "no",VLOOKUP(A28,WEB_Database!A:F,16,FALSE),"")</f>
        <v>#REF!</v>
      </c>
    </row>
    <row r="29" spans="1:6">
      <c r="A29" s="292" t="s">
        <v>1916</v>
      </c>
      <c r="B29" s="304" t="str">
        <f>IF(ISNA(VLOOKUP(A29, WEB_Database!A:A, 1, FALSE)), "Not Found", "Found")</f>
        <v>Found</v>
      </c>
      <c r="C29" s="304" t="str">
        <f t="shared" si="0"/>
        <v>No</v>
      </c>
      <c r="D29" s="290" t="s">
        <v>1905</v>
      </c>
      <c r="E29" t="e">
        <f>IF(VLOOKUP(A29,WEB_Database!A:F,16,FALSE)=D29,"yes","no")</f>
        <v>#REF!</v>
      </c>
      <c r="F29" t="e">
        <f>IF(E29 = "no",VLOOKUP(A29,WEB_Database!A:F,16,FALSE),"")</f>
        <v>#REF!</v>
      </c>
    </row>
    <row r="30" spans="1:6">
      <c r="A30" s="292" t="s">
        <v>2052</v>
      </c>
      <c r="B30" s="304" t="str">
        <f>IF(ISNA(VLOOKUP(A30, WEB_Database!A:A, 1, FALSE)), "Not Found", "Found")</f>
        <v>Found</v>
      </c>
      <c r="C30" s="304" t="str">
        <f t="shared" si="0"/>
        <v>No</v>
      </c>
      <c r="D30" s="290" t="s">
        <v>1876</v>
      </c>
      <c r="E30" t="e">
        <f>IF(VLOOKUP(A30,WEB_Database!A:F,16,FALSE)=D30,"yes","no")</f>
        <v>#REF!</v>
      </c>
      <c r="F30" t="e">
        <f>IF(E30 = "no",VLOOKUP(A30,WEB_Database!A:F,16,FALSE),"")</f>
        <v>#REF!</v>
      </c>
    </row>
    <row r="31" spans="1:6">
      <c r="A31" s="292" t="s">
        <v>1919</v>
      </c>
      <c r="B31" s="304" t="str">
        <f>IF(ISNA(VLOOKUP(A31, WEB_Database!A:A, 1, FALSE)), "Not Found", "Found")</f>
        <v>Found</v>
      </c>
      <c r="C31" s="304" t="str">
        <f t="shared" si="0"/>
        <v>No</v>
      </c>
      <c r="D31" s="290" t="s">
        <v>1905</v>
      </c>
      <c r="E31" t="e">
        <f>IF(VLOOKUP(A31,WEB_Database!A:F,16,FALSE)=D31,"yes","no")</f>
        <v>#REF!</v>
      </c>
      <c r="F31" t="e">
        <f>IF(E31 = "no",VLOOKUP(A31,WEB_Database!A:F,16,FALSE),"")</f>
        <v>#REF!</v>
      </c>
    </row>
    <row r="32" spans="1:6">
      <c r="A32" s="292" t="s">
        <v>1927</v>
      </c>
      <c r="B32" s="304" t="str">
        <f>IF(ISNA(VLOOKUP(A32, WEB_Database!A:A, 1, FALSE)), "Not Found", "Found")</f>
        <v>Found</v>
      </c>
      <c r="C32" s="304" t="str">
        <f t="shared" si="0"/>
        <v>No</v>
      </c>
      <c r="D32" s="290" t="s">
        <v>1922</v>
      </c>
      <c r="E32" t="e">
        <f>IF(VLOOKUP(A32,WEB_Database!A:F,16,FALSE)=D32,"yes","no")</f>
        <v>#REF!</v>
      </c>
      <c r="F32" t="e">
        <f>IF(E32 = "no",VLOOKUP(A32,WEB_Database!A:F,16,FALSE),"")</f>
        <v>#REF!</v>
      </c>
    </row>
    <row r="33" spans="1:6">
      <c r="A33" s="292" t="s">
        <v>1935</v>
      </c>
      <c r="B33" s="304" t="str">
        <f>IF(ISNA(VLOOKUP(A33, WEB_Database!A:A, 1, FALSE)), "Not Found", "Found")</f>
        <v>Found</v>
      </c>
      <c r="C33" s="304" t="str">
        <f t="shared" si="0"/>
        <v>No</v>
      </c>
      <c r="D33" s="290" t="s">
        <v>1922</v>
      </c>
      <c r="E33" t="e">
        <f>IF(VLOOKUP(A33,WEB_Database!A:F,16,FALSE)=D33,"yes","no")</f>
        <v>#REF!</v>
      </c>
      <c r="F33" t="e">
        <f>IF(E33 = "no",VLOOKUP(A33,WEB_Database!A:F,16,FALSE),"")</f>
        <v>#REF!</v>
      </c>
    </row>
    <row r="34" spans="1:6">
      <c r="A34" s="292" t="s">
        <v>3128</v>
      </c>
      <c r="B34" s="304" t="str">
        <f>IF(ISNA(VLOOKUP(A34, WEB_Database!A:A, 1, FALSE)), "Not Found", "Found")</f>
        <v>Found</v>
      </c>
      <c r="C34" s="304" t="str">
        <f t="shared" si="0"/>
        <v>No</v>
      </c>
      <c r="D34" s="290" t="s">
        <v>2014</v>
      </c>
      <c r="E34" t="e">
        <f>IF(VLOOKUP(A34,WEB_Database!A:F,16,FALSE)=D34,"yes","no")</f>
        <v>#REF!</v>
      </c>
      <c r="F34" t="e">
        <f>IF(E34 = "no",VLOOKUP(A34,WEB_Database!A:F,16,FALSE),"")</f>
        <v>#REF!</v>
      </c>
    </row>
    <row r="35" spans="1:6">
      <c r="A35" s="292" t="s">
        <v>3124</v>
      </c>
      <c r="B35" s="304" t="str">
        <f>IF(ISNA(VLOOKUP(A35, WEB_Database!A:A, 1, FALSE)), "Not Found", "Found")</f>
        <v>Found</v>
      </c>
      <c r="C35" s="304" t="str">
        <f t="shared" si="0"/>
        <v>No</v>
      </c>
      <c r="D35" s="290" t="s">
        <v>2014</v>
      </c>
      <c r="E35" t="e">
        <f>IF(VLOOKUP(A35,WEB_Database!A:F,16,FALSE)=D35,"yes","no")</f>
        <v>#REF!</v>
      </c>
      <c r="F35" t="e">
        <f>IF(E35 = "no",VLOOKUP(A35,WEB_Database!A:F,16,FALSE),"")</f>
        <v>#REF!</v>
      </c>
    </row>
    <row r="36" spans="1:6">
      <c r="A36" s="292" t="s">
        <v>3130</v>
      </c>
      <c r="B36" s="304" t="str">
        <f>IF(ISNA(VLOOKUP(A36, WEB_Database!A:A, 1, FALSE)), "Not Found", "Found")</f>
        <v>Found</v>
      </c>
      <c r="C36" s="304" t="str">
        <f t="shared" si="0"/>
        <v>No</v>
      </c>
      <c r="D36" s="290" t="s">
        <v>2014</v>
      </c>
      <c r="E36" t="e">
        <f>IF(VLOOKUP(A36,WEB_Database!A:F,16,FALSE)=D36,"yes","no")</f>
        <v>#REF!</v>
      </c>
      <c r="F36" t="e">
        <f>IF(E36 = "no",VLOOKUP(A36,WEB_Database!A:F,16,FALSE),"")</f>
        <v>#REF!</v>
      </c>
    </row>
    <row r="37" spans="1:6">
      <c r="A37" s="292" t="s">
        <v>3126</v>
      </c>
      <c r="B37" s="304" t="str">
        <f>IF(ISNA(VLOOKUP(A37, WEB_Database!A:A, 1, FALSE)), "Not Found", "Found")</f>
        <v>Found</v>
      </c>
      <c r="C37" s="304" t="str">
        <f t="shared" si="0"/>
        <v>No</v>
      </c>
      <c r="D37" s="290" t="s">
        <v>2014</v>
      </c>
      <c r="E37" t="e">
        <f>IF(VLOOKUP(A37,WEB_Database!A:F,16,FALSE)=D37,"yes","no")</f>
        <v>#REF!</v>
      </c>
      <c r="F37" t="e">
        <f>IF(E37 = "no",VLOOKUP(A37,WEB_Database!A:F,16,FALSE),"")</f>
        <v>#REF!</v>
      </c>
    </row>
    <row r="38" spans="1:6">
      <c r="A38" s="292" t="s">
        <v>1972</v>
      </c>
      <c r="B38" s="304" t="str">
        <f>IF(ISNA(VLOOKUP(A38, WEB_Database!A:A, 1, FALSE)), "Not Found", "Found")</f>
        <v>Found</v>
      </c>
      <c r="C38" s="304" t="str">
        <f t="shared" si="0"/>
        <v>No</v>
      </c>
      <c r="D38" s="290" t="s">
        <v>1973</v>
      </c>
      <c r="E38" t="e">
        <f>IF(VLOOKUP(A38,WEB_Database!A:F,16,FALSE)=D38,"yes","no")</f>
        <v>#REF!</v>
      </c>
      <c r="F38" t="e">
        <f>IF(E38 = "no",VLOOKUP(A38,WEB_Database!A:F,16,FALSE),"")</f>
        <v>#REF!</v>
      </c>
    </row>
    <row r="39" spans="1:6">
      <c r="A39" s="292" t="s">
        <v>1975</v>
      </c>
      <c r="B39" s="304" t="str">
        <f>IF(ISNA(VLOOKUP(A39, WEB_Database!A:A, 1, FALSE)), "Not Found", "Found")</f>
        <v>Found</v>
      </c>
      <c r="C39" s="304" t="str">
        <f t="shared" si="0"/>
        <v>No</v>
      </c>
      <c r="D39" s="290" t="s">
        <v>1973</v>
      </c>
      <c r="E39" t="e">
        <f>IF(VLOOKUP(A39,WEB_Database!A:F,16,FALSE)=D39,"yes","no")</f>
        <v>#REF!</v>
      </c>
      <c r="F39" t="e">
        <f>IF(E39 = "no",VLOOKUP(A39,WEB_Database!A:F,16,FALSE),"")</f>
        <v>#REF!</v>
      </c>
    </row>
    <row r="40" spans="1:6">
      <c r="A40" s="292" t="s">
        <v>1976</v>
      </c>
      <c r="B40" s="304" t="str">
        <f>IF(ISNA(VLOOKUP(A40, WEB_Database!A:A, 1, FALSE)), "Not Found", "Found")</f>
        <v>Found</v>
      </c>
      <c r="C40" s="304" t="str">
        <f t="shared" si="0"/>
        <v>No</v>
      </c>
      <c r="D40" s="290" t="s">
        <v>1973</v>
      </c>
      <c r="E40" t="e">
        <f>IF(VLOOKUP(A40,WEB_Database!A:F,16,FALSE)=D40,"yes","no")</f>
        <v>#REF!</v>
      </c>
      <c r="F40" t="e">
        <f>IF(E40 = "no",VLOOKUP(A40,WEB_Database!A:F,16,FALSE),"")</f>
        <v>#REF!</v>
      </c>
    </row>
    <row r="41" spans="1:6">
      <c r="A41" s="292" t="s">
        <v>1907</v>
      </c>
      <c r="B41" s="304" t="str">
        <f>IF(ISNA(VLOOKUP(A41, WEB_Database!A:A, 1, FALSE)), "Not Found", "Found")</f>
        <v>Found</v>
      </c>
      <c r="C41" s="304" t="str">
        <f t="shared" si="0"/>
        <v>No</v>
      </c>
      <c r="D41" s="290" t="s">
        <v>1905</v>
      </c>
      <c r="E41" t="e">
        <f>IF(VLOOKUP(A41,WEB_Database!A:F,16,FALSE)=D41,"yes","no")</f>
        <v>#REF!</v>
      </c>
      <c r="F41" t="e">
        <f>IF(E41 = "no",VLOOKUP(A41,WEB_Database!A:F,16,FALSE),"")</f>
        <v>#REF!</v>
      </c>
    </row>
    <row r="42" spans="1:6">
      <c r="A42" s="292" t="s">
        <v>2053</v>
      </c>
      <c r="B42" s="304" t="str">
        <f>IF(ISNA(VLOOKUP(A42, WEB_Database!A:A, 1, FALSE)), "Not Found", "Found")</f>
        <v>Found</v>
      </c>
      <c r="C42" s="304" t="str">
        <f t="shared" si="0"/>
        <v>No</v>
      </c>
      <c r="D42" s="290" t="s">
        <v>1876</v>
      </c>
      <c r="E42" t="e">
        <f>IF(VLOOKUP(A42,WEB_Database!A:F,16,FALSE)=D42,"yes","no")</f>
        <v>#REF!</v>
      </c>
      <c r="F42" t="e">
        <f>IF(E42 = "no",VLOOKUP(A42,WEB_Database!A:F,16,FALSE),"")</f>
        <v>#REF!</v>
      </c>
    </row>
    <row r="43" spans="1:6">
      <c r="A43" s="292" t="s">
        <v>1913</v>
      </c>
      <c r="B43" s="304" t="str">
        <f>IF(ISNA(VLOOKUP(A43, WEB_Database!A:A, 1, FALSE)), "Not Found", "Found")</f>
        <v>Found</v>
      </c>
      <c r="C43" s="304" t="str">
        <f t="shared" si="0"/>
        <v>No</v>
      </c>
      <c r="D43" s="290" t="s">
        <v>1905</v>
      </c>
      <c r="E43" t="e">
        <f>IF(VLOOKUP(A43,WEB_Database!A:F,16,FALSE)=D43,"yes","no")</f>
        <v>#REF!</v>
      </c>
      <c r="F43" t="e">
        <f>IF(E43 = "no",VLOOKUP(A43,WEB_Database!A:F,16,FALSE),"")</f>
        <v>#REF!</v>
      </c>
    </row>
    <row r="44" spans="1:6">
      <c r="A44" s="292" t="s">
        <v>1929</v>
      </c>
      <c r="B44" s="304" t="str">
        <f>IF(ISNA(VLOOKUP(A44, WEB_Database!A:A, 1, FALSE)), "Not Found", "Found")</f>
        <v>Found</v>
      </c>
      <c r="C44" s="304" t="str">
        <f t="shared" si="0"/>
        <v>No</v>
      </c>
      <c r="D44" s="290" t="s">
        <v>1922</v>
      </c>
      <c r="E44" t="e">
        <f>IF(VLOOKUP(A44,WEB_Database!A:F,16,FALSE)=D44,"yes","no")</f>
        <v>#REF!</v>
      </c>
      <c r="F44" t="e">
        <f>IF(E44 = "no",VLOOKUP(A44,WEB_Database!A:F,16,FALSE),"")</f>
        <v>#REF!</v>
      </c>
    </row>
    <row r="45" spans="1:6">
      <c r="A45" s="293" t="s">
        <v>1937</v>
      </c>
      <c r="B45" s="304" t="str">
        <f>IF(ISNA(VLOOKUP(A45, WEB_Database!A:A, 1, FALSE)), "Not Found", "Found")</f>
        <v>Found</v>
      </c>
      <c r="C45" s="304" t="str">
        <f t="shared" si="0"/>
        <v>No</v>
      </c>
      <c r="D45" s="291" t="s">
        <v>1922</v>
      </c>
      <c r="E45" t="e">
        <f>IF(VLOOKUP(A45,WEB_Database!A:F,16,FALSE)=D45,"yes","no")</f>
        <v>#REF!</v>
      </c>
      <c r="F45" t="e">
        <f>IF(E45 = "no",VLOOKUP(A45,WEB_Database!A:F,16,FALSE),"")</f>
        <v>#REF!</v>
      </c>
    </row>
    <row r="46" spans="1:6">
      <c r="A46" s="292" t="s">
        <v>3121</v>
      </c>
      <c r="B46" s="304" t="str">
        <f>IF(ISNA(VLOOKUP(A46, WEB_Database!A:A, 1, FALSE)), "Not Found", "Found")</f>
        <v>Found</v>
      </c>
      <c r="C46" s="304" t="str">
        <f t="shared" si="0"/>
        <v>No</v>
      </c>
      <c r="D46" s="290" t="s">
        <v>1945</v>
      </c>
      <c r="E46" t="e">
        <f>IF(VLOOKUP(A46,WEB_Database!A:F,16,FALSE)=D46,"yes","no")</f>
        <v>#REF!</v>
      </c>
      <c r="F46" t="e">
        <f>IF(E46 = "no",VLOOKUP(A46,WEB_Database!A:F,16,FALSE),"")</f>
        <v>#REF!</v>
      </c>
    </row>
    <row r="47" spans="1:6">
      <c r="A47" s="292" t="s">
        <v>3117</v>
      </c>
      <c r="B47" s="304" t="str">
        <f>IF(ISNA(VLOOKUP(A47, WEB_Database!A:A, 1, FALSE)), "Not Found", "Found")</f>
        <v>Found</v>
      </c>
      <c r="C47" s="304" t="str">
        <f t="shared" si="0"/>
        <v>No</v>
      </c>
      <c r="D47" s="290" t="s">
        <v>1945</v>
      </c>
      <c r="E47" t="e">
        <f>IF(VLOOKUP(A47,WEB_Database!A:F,16,FALSE)=D47,"yes","no")</f>
        <v>#REF!</v>
      </c>
      <c r="F47" t="e">
        <f>IF(E47 = "no",VLOOKUP(A47,WEB_Database!A:F,16,FALSE),"")</f>
        <v>#REF!</v>
      </c>
    </row>
    <row r="48" spans="1:6">
      <c r="A48" s="292" t="s">
        <v>3123</v>
      </c>
      <c r="B48" s="304" t="str">
        <f>IF(ISNA(VLOOKUP(A48, WEB_Database!A:A, 1, FALSE)), "Not Found", "Found")</f>
        <v>Found</v>
      </c>
      <c r="C48" s="304" t="str">
        <f t="shared" si="0"/>
        <v>No</v>
      </c>
      <c r="D48" s="290" t="s">
        <v>1945</v>
      </c>
      <c r="E48" t="e">
        <f>IF(VLOOKUP(A48,WEB_Database!A:F,16,FALSE)=D48,"yes","no")</f>
        <v>#REF!</v>
      </c>
      <c r="F48" t="e">
        <f>IF(E48 = "no",VLOOKUP(A48,WEB_Database!A:F,16,FALSE),"")</f>
        <v>#REF!</v>
      </c>
    </row>
    <row r="49" spans="1:6">
      <c r="A49" s="292" t="s">
        <v>3119</v>
      </c>
      <c r="B49" s="304" t="str">
        <f>IF(ISNA(VLOOKUP(A49, WEB_Database!A:A, 1, FALSE)), "Not Found", "Found")</f>
        <v>Found</v>
      </c>
      <c r="C49" s="304" t="str">
        <f t="shared" si="0"/>
        <v>No</v>
      </c>
      <c r="D49" s="290" t="s">
        <v>1945</v>
      </c>
      <c r="E49" t="e">
        <f>IF(VLOOKUP(A49,WEB_Database!A:F,16,FALSE)=D49,"yes","no")</f>
        <v>#REF!</v>
      </c>
      <c r="F49" t="e">
        <f>IF(E49 = "no",VLOOKUP(A49,WEB_Database!A:F,16,FALSE),"")</f>
        <v>#REF!</v>
      </c>
    </row>
    <row r="50" spans="1:6">
      <c r="A50" s="292" t="s">
        <v>3398</v>
      </c>
      <c r="B50" s="304" t="str">
        <f>IF(ISNA(VLOOKUP(A50, WEB_Database!A:A, 1, FALSE)), "Not Found", "Found")</f>
        <v>Found</v>
      </c>
      <c r="C50" s="304" t="str">
        <f t="shared" si="0"/>
        <v>No</v>
      </c>
      <c r="D50" s="290" t="s">
        <v>1444</v>
      </c>
      <c r="E50" t="e">
        <f>IF(VLOOKUP(A50,WEB_Database!A:F,16,FALSE)=D50,"yes","no")</f>
        <v>#REF!</v>
      </c>
      <c r="F50" t="e">
        <f>IF(E50 = "no",VLOOKUP(A50,WEB_Database!A:F,16,FALSE),"")</f>
        <v>#REF!</v>
      </c>
    </row>
    <row r="51" spans="1:6">
      <c r="A51" s="292" t="s">
        <v>3399</v>
      </c>
      <c r="B51" s="304" t="str">
        <f>IF(ISNA(VLOOKUP(A51, WEB_Database!A:A, 1, FALSE)), "Not Found", "Found")</f>
        <v>Found</v>
      </c>
      <c r="C51" s="304" t="str">
        <f t="shared" si="0"/>
        <v>No</v>
      </c>
      <c r="D51" s="290" t="s">
        <v>1444</v>
      </c>
      <c r="E51" t="e">
        <f>IF(VLOOKUP(A51,WEB_Database!A:F,16,FALSE)=D51,"yes","no")</f>
        <v>#REF!</v>
      </c>
      <c r="F51" t="e">
        <f>IF(E51 = "no",VLOOKUP(A51,WEB_Database!A:F,16,FALSE),"")</f>
        <v>#REF!</v>
      </c>
    </row>
    <row r="52" spans="1:6">
      <c r="A52" s="292" t="s">
        <v>3400</v>
      </c>
      <c r="B52" s="304" t="str">
        <f>IF(ISNA(VLOOKUP(A52, WEB_Database!A:A, 1, FALSE)), "Not Found", "Found")</f>
        <v>Found</v>
      </c>
      <c r="C52" s="304" t="str">
        <f t="shared" si="0"/>
        <v>No</v>
      </c>
      <c r="D52" s="290" t="s">
        <v>1444</v>
      </c>
      <c r="E52" t="e">
        <f>IF(VLOOKUP(A52,WEB_Database!A:F,16,FALSE)=D52,"yes","no")</f>
        <v>#REF!</v>
      </c>
      <c r="F52" t="e">
        <f>IF(E52 = "no",VLOOKUP(A52,WEB_Database!A:F,16,FALSE),"")</f>
        <v>#REF!</v>
      </c>
    </row>
    <row r="53" spans="1:6">
      <c r="A53" s="292" t="s">
        <v>3401</v>
      </c>
      <c r="B53" s="304" t="str">
        <f>IF(ISNA(VLOOKUP(A53, WEB_Database!A:A, 1, FALSE)), "Not Found", "Found")</f>
        <v>Found</v>
      </c>
      <c r="C53" s="304" t="str">
        <f t="shared" si="0"/>
        <v>No</v>
      </c>
      <c r="D53" s="290" t="s">
        <v>1444</v>
      </c>
      <c r="E53" t="e">
        <f>IF(VLOOKUP(A53,WEB_Database!A:F,16,FALSE)=D53,"yes","no")</f>
        <v>#REF!</v>
      </c>
      <c r="F53" t="e">
        <f>IF(E53 = "no",VLOOKUP(A53,WEB_Database!A:F,16,FALSE),"")</f>
        <v>#REF!</v>
      </c>
    </row>
    <row r="54" spans="1:6">
      <c r="A54" s="292" t="s">
        <v>3402</v>
      </c>
      <c r="B54" s="304" t="str">
        <f>IF(ISNA(VLOOKUP(A54, WEB_Database!A:A, 1, FALSE)), "Not Found", "Found")</f>
        <v>Found</v>
      </c>
      <c r="C54" s="304" t="str">
        <f t="shared" si="0"/>
        <v>No</v>
      </c>
      <c r="D54" s="290" t="s">
        <v>1444</v>
      </c>
      <c r="E54" t="e">
        <f>IF(VLOOKUP(A54,WEB_Database!A:F,16,FALSE)=D54,"yes","no")</f>
        <v>#REF!</v>
      </c>
      <c r="F54" t="e">
        <f>IF(E54 = "no",VLOOKUP(A54,WEB_Database!A:F,16,FALSE),"")</f>
        <v>#REF!</v>
      </c>
    </row>
    <row r="55" spans="1:6">
      <c r="A55" s="292" t="s">
        <v>3403</v>
      </c>
      <c r="B55" s="304" t="str">
        <f>IF(ISNA(VLOOKUP(A55, WEB_Database!A:A, 1, FALSE)), "Not Found", "Found")</f>
        <v>Found</v>
      </c>
      <c r="C55" s="304" t="str">
        <f t="shared" si="0"/>
        <v>No</v>
      </c>
      <c r="D55" s="290" t="s">
        <v>1444</v>
      </c>
      <c r="E55" t="e">
        <f>IF(VLOOKUP(A55,WEB_Database!A:F,16,FALSE)=D55,"yes","no")</f>
        <v>#REF!</v>
      </c>
      <c r="F55" t="e">
        <f>IF(E55 = "no",VLOOKUP(A55,WEB_Database!A:F,16,FALSE),"")</f>
        <v>#REF!</v>
      </c>
    </row>
    <row r="56" spans="1:6">
      <c r="A56" s="292" t="s">
        <v>3404</v>
      </c>
      <c r="B56" s="304" t="str">
        <f>IF(ISNA(VLOOKUP(A56, WEB_Database!A:A, 1, FALSE)), "Not Found", "Found")</f>
        <v>Found</v>
      </c>
      <c r="C56" s="304" t="str">
        <f t="shared" si="0"/>
        <v>No</v>
      </c>
      <c r="D56" s="290" t="s">
        <v>1444</v>
      </c>
      <c r="E56" t="e">
        <f>IF(VLOOKUP(A56,WEB_Database!A:F,16,FALSE)=D56,"yes","no")</f>
        <v>#REF!</v>
      </c>
      <c r="F56" t="e">
        <f>IF(E56 = "no",VLOOKUP(A56,WEB_Database!A:F,16,FALSE),"")</f>
        <v>#REF!</v>
      </c>
    </row>
    <row r="57" spans="1:6">
      <c r="A57" s="303" t="s">
        <v>3405</v>
      </c>
      <c r="B57" s="304" t="str">
        <f>IF(ISNA(VLOOKUP(A57, WEB_Database!A:A, 1, FALSE)), "Not Found", "Found")</f>
        <v>Found</v>
      </c>
      <c r="C57" s="304" t="str">
        <f t="shared" si="0"/>
        <v>No</v>
      </c>
      <c r="D57" s="306" t="s">
        <v>1450</v>
      </c>
      <c r="E57" t="e">
        <f>IF(VLOOKUP(A57,WEB_Database!A:F,16,FALSE)=D57,"yes","no")</f>
        <v>#REF!</v>
      </c>
      <c r="F57" t="e">
        <f>IF(E57 = "no",VLOOKUP(A57,WEB_Database!A:F,16,FALSE),"")</f>
        <v>#REF!</v>
      </c>
    </row>
    <row r="58" spans="1:6">
      <c r="A58" s="303" t="s">
        <v>3406</v>
      </c>
      <c r="B58" s="304" t="str">
        <f>IF(ISNA(VLOOKUP(A58, WEB_Database!A:A, 1, FALSE)), "Not Found", "Found")</f>
        <v>Found</v>
      </c>
      <c r="C58" s="304" t="str">
        <f t="shared" si="0"/>
        <v>No</v>
      </c>
      <c r="D58" s="306" t="s">
        <v>1450</v>
      </c>
      <c r="E58" t="e">
        <f>IF(VLOOKUP(A58,WEB_Database!A:F,16,FALSE)=D58,"yes","no")</f>
        <v>#REF!</v>
      </c>
      <c r="F58" t="e">
        <f>IF(E58 = "no",VLOOKUP(A58,WEB_Database!A:F,16,FALSE),"")</f>
        <v>#REF!</v>
      </c>
    </row>
    <row r="59" spans="1:6">
      <c r="A59" s="303" t="s">
        <v>3407</v>
      </c>
      <c r="B59" s="304" t="str">
        <f>IF(ISNA(VLOOKUP(A59, WEB_Database!A:A, 1, FALSE)), "Not Found", "Found")</f>
        <v>Found</v>
      </c>
      <c r="C59" s="304" t="str">
        <f t="shared" si="0"/>
        <v>No</v>
      </c>
      <c r="D59" s="306" t="s">
        <v>1450</v>
      </c>
      <c r="E59" t="e">
        <f>IF(VLOOKUP(A59,WEB_Database!A:F,16,FALSE)=D59,"yes","no")</f>
        <v>#REF!</v>
      </c>
      <c r="F59" t="e">
        <f>IF(E59 = "no",VLOOKUP(A59,WEB_Database!A:F,16,FALSE),"")</f>
        <v>#REF!</v>
      </c>
    </row>
    <row r="60" spans="1:6">
      <c r="A60" s="303" t="s">
        <v>3408</v>
      </c>
      <c r="B60" s="304" t="str">
        <f>IF(ISNA(VLOOKUP(A60, WEB_Database!A:A, 1, FALSE)), "Not Found", "Found")</f>
        <v>Found</v>
      </c>
      <c r="C60" s="304" t="str">
        <f t="shared" si="0"/>
        <v>No</v>
      </c>
      <c r="D60" s="306" t="s">
        <v>1450</v>
      </c>
      <c r="E60" t="e">
        <f>IF(VLOOKUP(A60,WEB_Database!A:F,16,FALSE)=D60,"yes","no")</f>
        <v>#REF!</v>
      </c>
      <c r="F60" t="e">
        <f>IF(E60 = "no",VLOOKUP(A60,WEB_Database!A:F,16,FALSE),"")</f>
        <v>#REF!</v>
      </c>
    </row>
    <row r="61" spans="1:6">
      <c r="A61" s="303" t="s">
        <v>3409</v>
      </c>
      <c r="B61" s="304" t="str">
        <f>IF(ISNA(VLOOKUP(A61, WEB_Database!A:A, 1, FALSE)), "Not Found", "Found")</f>
        <v>Found</v>
      </c>
      <c r="C61" s="304" t="str">
        <f t="shared" si="0"/>
        <v>No</v>
      </c>
      <c r="D61" s="306" t="s">
        <v>1450</v>
      </c>
      <c r="E61" t="e">
        <f>IF(VLOOKUP(A61,WEB_Database!A:F,16,FALSE)=D61,"yes","no")</f>
        <v>#REF!</v>
      </c>
      <c r="F61" t="e">
        <f>IF(E61 = "no",VLOOKUP(A61,WEB_Database!A:F,16,FALSE),"")</f>
        <v>#REF!</v>
      </c>
    </row>
    <row r="62" spans="1:6">
      <c r="A62" s="303" t="s">
        <v>3410</v>
      </c>
      <c r="B62" s="304" t="str">
        <f>IF(ISNA(VLOOKUP(A62, WEB_Database!A:A, 1, FALSE)), "Not Found", "Found")</f>
        <v>Found</v>
      </c>
      <c r="C62" s="304" t="str">
        <f t="shared" si="0"/>
        <v>No</v>
      </c>
      <c r="D62" s="306" t="s">
        <v>1450</v>
      </c>
      <c r="E62" t="e">
        <f>IF(VLOOKUP(A62,WEB_Database!A:F,16,FALSE)=D62,"yes","no")</f>
        <v>#REF!</v>
      </c>
      <c r="F62" t="e">
        <f>IF(E62 = "no",VLOOKUP(A62,WEB_Database!A:F,16,FALSE),"")</f>
        <v>#REF!</v>
      </c>
    </row>
    <row r="63" spans="1:6">
      <c r="A63" s="303" t="s">
        <v>3411</v>
      </c>
      <c r="B63" s="304" t="str">
        <f>IF(ISNA(VLOOKUP(A63, WEB_Database!A:A, 1, FALSE)), "Not Found", "Found")</f>
        <v>Found</v>
      </c>
      <c r="C63" s="304" t="str">
        <f t="shared" si="0"/>
        <v>No</v>
      </c>
      <c r="D63" s="306" t="s">
        <v>1450</v>
      </c>
      <c r="E63" t="e">
        <f>IF(VLOOKUP(A63,WEB_Database!A:F,16,FALSE)=D63,"yes","no")</f>
        <v>#REF!</v>
      </c>
      <c r="F63" t="e">
        <f>IF(E63 = "no",VLOOKUP(A63,WEB_Database!A:F,16,FALSE),"")</f>
        <v>#REF!</v>
      </c>
    </row>
    <row r="64" spans="1:6">
      <c r="A64" s="303" t="s">
        <v>3412</v>
      </c>
      <c r="B64" s="304" t="str">
        <f>IF(ISNA(VLOOKUP(A64, WEB_Database!A:A, 1, FALSE)), "Not Found", "Found")</f>
        <v>Found</v>
      </c>
      <c r="C64" s="304" t="str">
        <f t="shared" si="0"/>
        <v>No</v>
      </c>
      <c r="D64" s="306" t="s">
        <v>1450</v>
      </c>
      <c r="E64" t="e">
        <f>IF(VLOOKUP(A64,WEB_Database!A:F,16,FALSE)=D64,"yes","no")</f>
        <v>#REF!</v>
      </c>
      <c r="F64" t="e">
        <f>IF(E64 = "no",VLOOKUP(A64,WEB_Database!A:F,16,FALSE),"")</f>
        <v>#REF!</v>
      </c>
    </row>
    <row r="65" spans="1:6">
      <c r="A65" s="292" t="s">
        <v>3413</v>
      </c>
      <c r="B65" s="304" t="str">
        <f>IF(ISNA(VLOOKUP(A65, WEB_Database!A:A, 1, FALSE)), "Not Found", "Found")</f>
        <v>Found</v>
      </c>
      <c r="C65" s="304" t="str">
        <f t="shared" si="0"/>
        <v>No</v>
      </c>
      <c r="D65" s="290" t="s">
        <v>1444</v>
      </c>
      <c r="E65" t="e">
        <f>IF(VLOOKUP(A65,WEB_Database!A:F,16,FALSE)=D65,"yes","no")</f>
        <v>#REF!</v>
      </c>
      <c r="F65" t="e">
        <f>IF(E65 = "no",VLOOKUP(A65,WEB_Database!A:F,16,FALSE),"")</f>
        <v>#REF!</v>
      </c>
    </row>
    <row r="66" spans="1:6">
      <c r="A66" s="303" t="s">
        <v>3414</v>
      </c>
      <c r="B66" s="304" t="str">
        <f>IF(ISNA(VLOOKUP(A66, WEB_Database!A:A, 1, FALSE)), "Not Found", "Found")</f>
        <v>Found</v>
      </c>
      <c r="C66" s="304" t="str">
        <f t="shared" si="0"/>
        <v>No</v>
      </c>
      <c r="D66" s="306" t="s">
        <v>1450</v>
      </c>
      <c r="E66" t="e">
        <f>IF(VLOOKUP(A66,WEB_Database!A:F,16,FALSE)=D66,"yes","no")</f>
        <v>#REF!</v>
      </c>
      <c r="F66" t="e">
        <f>IF(E66 = "no",VLOOKUP(A66,WEB_Database!A:F,16,FALSE),"")</f>
        <v>#REF!</v>
      </c>
    </row>
    <row r="67" spans="1:6">
      <c r="A67" s="303" t="s">
        <v>3105</v>
      </c>
      <c r="B67" s="304" t="str">
        <f>IF(ISNA(VLOOKUP(A67, WEB_Database!A:A, 1, FALSE)), "Not Found", "Found")</f>
        <v>Found</v>
      </c>
      <c r="C67" s="304" t="str">
        <f t="shared" ref="C67:C130" si="1">IF(ISNA(VLOOKUP(A67, A68:A665, 1, FALSE)), "No", "Yes")</f>
        <v>No</v>
      </c>
      <c r="D67" s="306" t="s">
        <v>1450</v>
      </c>
      <c r="E67" t="e">
        <f>IF(VLOOKUP(A67,WEB_Database!A:F,16,FALSE)=D67,"yes","no")</f>
        <v>#REF!</v>
      </c>
      <c r="F67" t="e">
        <f>IF(E67 = "no",VLOOKUP(A67,WEB_Database!A:F,16,FALSE),"")</f>
        <v>#REF!</v>
      </c>
    </row>
    <row r="68" spans="1:6">
      <c r="A68" s="303" t="s">
        <v>3415</v>
      </c>
      <c r="B68" s="304" t="str">
        <f>IF(ISNA(VLOOKUP(A68, WEB_Database!A:A, 1, FALSE)), "Not Found", "Found")</f>
        <v>Found</v>
      </c>
      <c r="C68" s="304" t="str">
        <f t="shared" si="1"/>
        <v>No</v>
      </c>
      <c r="D68" s="306" t="s">
        <v>1450</v>
      </c>
      <c r="E68" t="e">
        <f>IF(VLOOKUP(A68,WEB_Database!A:F,16,FALSE)=D68,"yes","no")</f>
        <v>#REF!</v>
      </c>
      <c r="F68" t="e">
        <f>IF(E68 = "no",VLOOKUP(A68,WEB_Database!A:F,16,FALSE),"")</f>
        <v>#REF!</v>
      </c>
    </row>
    <row r="69" spans="1:6">
      <c r="A69" s="303" t="s">
        <v>3416</v>
      </c>
      <c r="B69" s="304" t="str">
        <f>IF(ISNA(VLOOKUP(A69, WEB_Database!A:A, 1, FALSE)), "Not Found", "Found")</f>
        <v>Found</v>
      </c>
      <c r="C69" s="304" t="str">
        <f t="shared" si="1"/>
        <v>No</v>
      </c>
      <c r="D69" s="306" t="s">
        <v>1450</v>
      </c>
      <c r="E69" t="e">
        <f>IF(VLOOKUP(A69,WEB_Database!A:F,16,FALSE)=D69,"yes","no")</f>
        <v>#REF!</v>
      </c>
      <c r="F69" t="e">
        <f>IF(E69 = "no",VLOOKUP(A69,WEB_Database!A:F,16,FALSE),"")</f>
        <v>#REF!</v>
      </c>
    </row>
    <row r="70" spans="1:6">
      <c r="A70" s="303" t="s">
        <v>3417</v>
      </c>
      <c r="B70" s="304" t="str">
        <f>IF(ISNA(VLOOKUP(A70, WEB_Database!A:A, 1, FALSE)), "Not Found", "Found")</f>
        <v>Found</v>
      </c>
      <c r="C70" s="304" t="str">
        <f t="shared" si="1"/>
        <v>No</v>
      </c>
      <c r="D70" s="306" t="s">
        <v>1450</v>
      </c>
      <c r="E70" t="e">
        <f>IF(VLOOKUP(A70,WEB_Database!A:F,16,FALSE)=D70,"yes","no")</f>
        <v>#REF!</v>
      </c>
      <c r="F70" t="e">
        <f>IF(E70 = "no",VLOOKUP(A70,WEB_Database!A:F,16,FALSE),"")</f>
        <v>#REF!</v>
      </c>
    </row>
    <row r="71" spans="1:6">
      <c r="A71" s="303" t="s">
        <v>3418</v>
      </c>
      <c r="B71" s="304" t="str">
        <f>IF(ISNA(VLOOKUP(A71, WEB_Database!A:A, 1, FALSE)), "Not Found", "Found")</f>
        <v>Found</v>
      </c>
      <c r="C71" s="304" t="str">
        <f t="shared" si="1"/>
        <v>No</v>
      </c>
      <c r="D71" s="306" t="s">
        <v>1450</v>
      </c>
      <c r="E71" t="e">
        <f>IF(VLOOKUP(A71,WEB_Database!A:F,16,FALSE)=D71,"yes","no")</f>
        <v>#REF!</v>
      </c>
      <c r="F71" t="e">
        <f>IF(E71 = "no",VLOOKUP(A71,WEB_Database!A:F,16,FALSE),"")</f>
        <v>#REF!</v>
      </c>
    </row>
    <row r="72" spans="1:6">
      <c r="A72" s="303" t="s">
        <v>3419</v>
      </c>
      <c r="B72" s="304" t="str">
        <f>IF(ISNA(VLOOKUP(A72, WEB_Database!A:A, 1, FALSE)), "Not Found", "Found")</f>
        <v>Found</v>
      </c>
      <c r="C72" s="304" t="str">
        <f t="shared" si="1"/>
        <v>No</v>
      </c>
      <c r="D72" s="306" t="s">
        <v>1450</v>
      </c>
      <c r="E72" t="e">
        <f>IF(VLOOKUP(A72,WEB_Database!A:F,16,FALSE)=D72,"yes","no")</f>
        <v>#REF!</v>
      </c>
      <c r="F72" t="e">
        <f>IF(E72 = "no",VLOOKUP(A72,WEB_Database!A:F,16,FALSE),"")</f>
        <v>#REF!</v>
      </c>
    </row>
    <row r="73" spans="1:6">
      <c r="A73" s="303" t="s">
        <v>3420</v>
      </c>
      <c r="B73" s="304" t="str">
        <f>IF(ISNA(VLOOKUP(A73, WEB_Database!A:A, 1, FALSE)), "Not Found", "Found")</f>
        <v>Found</v>
      </c>
      <c r="C73" s="304" t="str">
        <f t="shared" si="1"/>
        <v>No</v>
      </c>
      <c r="D73" s="306" t="s">
        <v>1450</v>
      </c>
      <c r="E73" t="e">
        <f>IF(VLOOKUP(A73,WEB_Database!A:F,16,FALSE)=D73,"yes","no")</f>
        <v>#REF!</v>
      </c>
      <c r="F73" t="e">
        <f>IF(E73 = "no",VLOOKUP(A73,WEB_Database!A:F,16,FALSE),"")</f>
        <v>#REF!</v>
      </c>
    </row>
    <row r="74" spans="1:6">
      <c r="A74" s="292" t="s">
        <v>1979</v>
      </c>
      <c r="B74" s="304" t="str">
        <f>IF(ISNA(VLOOKUP(A74, WEB_Database!A:A, 1, FALSE)), "Not Found", "Found")</f>
        <v>Found</v>
      </c>
      <c r="C74" s="304" t="str">
        <f t="shared" si="1"/>
        <v>No</v>
      </c>
      <c r="D74" s="290" t="s">
        <v>1980</v>
      </c>
      <c r="E74" t="e">
        <f>IF(VLOOKUP(A74,WEB_Database!A:F,16,FALSE)=D74,"yes","no")</f>
        <v>#REF!</v>
      </c>
      <c r="F74" t="e">
        <f>IF(E74 = "no",VLOOKUP(A74,WEB_Database!A:F,16,FALSE),"")</f>
        <v>#REF!</v>
      </c>
    </row>
    <row r="75" spans="1:6">
      <c r="A75" s="292" t="s">
        <v>1985</v>
      </c>
      <c r="B75" s="304" t="str">
        <f>IF(ISNA(VLOOKUP(A75, WEB_Database!A:A, 1, FALSE)), "Not Found", "Found")</f>
        <v>Found</v>
      </c>
      <c r="C75" s="304" t="str">
        <f t="shared" si="1"/>
        <v>No</v>
      </c>
      <c r="D75" s="290" t="s">
        <v>1980</v>
      </c>
      <c r="E75" t="e">
        <f>IF(VLOOKUP(A75,WEB_Database!A:F,16,FALSE)=D75,"yes","no")</f>
        <v>#REF!</v>
      </c>
      <c r="F75" t="e">
        <f>IF(E75 = "no",VLOOKUP(A75,WEB_Database!A:F,16,FALSE),"")</f>
        <v>#REF!</v>
      </c>
    </row>
    <row r="76" spans="1:6">
      <c r="A76" s="292" t="s">
        <v>1983</v>
      </c>
      <c r="B76" s="304" t="str">
        <f>IF(ISNA(VLOOKUP(A76, WEB_Database!A:A, 1, FALSE)), "Not Found", "Found")</f>
        <v>Found</v>
      </c>
      <c r="C76" s="304" t="str">
        <f t="shared" si="1"/>
        <v>No</v>
      </c>
      <c r="D76" s="290" t="s">
        <v>1980</v>
      </c>
      <c r="E76" t="e">
        <f>IF(VLOOKUP(A76,WEB_Database!A:F,16,FALSE)=D76,"yes","no")</f>
        <v>#REF!</v>
      </c>
      <c r="F76" t="e">
        <f>IF(E76 = "no",VLOOKUP(A76,WEB_Database!A:F,16,FALSE),"")</f>
        <v>#REF!</v>
      </c>
    </row>
    <row r="77" spans="1:6">
      <c r="A77" s="292" t="s">
        <v>1987</v>
      </c>
      <c r="B77" s="304" t="str">
        <f>IF(ISNA(VLOOKUP(A77, WEB_Database!A:A, 1, FALSE)), "Not Found", "Found")</f>
        <v>Found</v>
      </c>
      <c r="C77" s="304" t="str">
        <f t="shared" si="1"/>
        <v>No</v>
      </c>
      <c r="D77" s="290" t="s">
        <v>1980</v>
      </c>
      <c r="E77" t="e">
        <f>IF(VLOOKUP(A77,WEB_Database!A:F,16,FALSE)=D77,"yes","no")</f>
        <v>#REF!</v>
      </c>
      <c r="F77" t="e">
        <f>IF(E77 = "no",VLOOKUP(A77,WEB_Database!A:F,16,FALSE),"")</f>
        <v>#REF!</v>
      </c>
    </row>
    <row r="78" spans="1:6">
      <c r="A78" s="292" t="s">
        <v>1988</v>
      </c>
      <c r="B78" s="304" t="str">
        <f>IF(ISNA(VLOOKUP(A78, WEB_Database!A:A, 1, FALSE)), "Not Found", "Found")</f>
        <v>Found</v>
      </c>
      <c r="C78" s="304" t="str">
        <f t="shared" si="1"/>
        <v>No</v>
      </c>
      <c r="D78" s="290" t="s">
        <v>1980</v>
      </c>
      <c r="E78" t="e">
        <f>IF(VLOOKUP(A78,WEB_Database!A:F,16,FALSE)=D78,"yes","no")</f>
        <v>#REF!</v>
      </c>
      <c r="F78" t="e">
        <f>IF(E78 = "no",VLOOKUP(A78,WEB_Database!A:F,16,FALSE),"")</f>
        <v>#REF!</v>
      </c>
    </row>
    <row r="79" spans="1:6">
      <c r="A79" s="292" t="s">
        <v>1991</v>
      </c>
      <c r="B79" s="304" t="str">
        <f>IF(ISNA(VLOOKUP(A79, WEB_Database!A:A, 1, FALSE)), "Not Found", "Found")</f>
        <v>Found</v>
      </c>
      <c r="C79" s="304" t="str">
        <f t="shared" si="1"/>
        <v>No</v>
      </c>
      <c r="D79" s="290" t="s">
        <v>1980</v>
      </c>
      <c r="E79" t="e">
        <f>IF(VLOOKUP(A79,WEB_Database!A:F,16,FALSE)=D79,"yes","no")</f>
        <v>#REF!</v>
      </c>
      <c r="F79" t="e">
        <f>IF(E79 = "no",VLOOKUP(A79,WEB_Database!A:F,16,FALSE),"")</f>
        <v>#REF!</v>
      </c>
    </row>
    <row r="80" spans="1:6">
      <c r="A80" s="292" t="s">
        <v>1993</v>
      </c>
      <c r="B80" s="304" t="str">
        <f>IF(ISNA(VLOOKUP(A80, WEB_Database!A:A, 1, FALSE)), "Not Found", "Found")</f>
        <v>Found</v>
      </c>
      <c r="C80" s="304" t="str">
        <f t="shared" si="1"/>
        <v>No</v>
      </c>
      <c r="D80" s="290" t="s">
        <v>1980</v>
      </c>
      <c r="E80" t="e">
        <f>IF(VLOOKUP(A80,WEB_Database!A:F,16,FALSE)=D80,"yes","no")</f>
        <v>#REF!</v>
      </c>
      <c r="F80" t="e">
        <f>IF(E80 = "no",VLOOKUP(A80,WEB_Database!A:F,16,FALSE),"")</f>
        <v>#REF!</v>
      </c>
    </row>
    <row r="81" spans="1:6">
      <c r="A81" s="292" t="s">
        <v>1995</v>
      </c>
      <c r="B81" s="304" t="str">
        <f>IF(ISNA(VLOOKUP(A81, WEB_Database!A:A, 1, FALSE)), "Not Found", "Found")</f>
        <v>Found</v>
      </c>
      <c r="C81" s="304" t="str">
        <f t="shared" si="1"/>
        <v>No</v>
      </c>
      <c r="D81" s="290" t="s">
        <v>1980</v>
      </c>
      <c r="E81" t="e">
        <f>IF(VLOOKUP(A81,WEB_Database!A:F,16,FALSE)=D81,"yes","no")</f>
        <v>#REF!</v>
      </c>
      <c r="F81" t="e">
        <f>IF(E81 = "no",VLOOKUP(A81,WEB_Database!A:F,16,FALSE),"")</f>
        <v>#REF!</v>
      </c>
    </row>
    <row r="82" spans="1:6">
      <c r="A82" s="292" t="s">
        <v>1997</v>
      </c>
      <c r="B82" s="304" t="str">
        <f>IF(ISNA(VLOOKUP(A82, WEB_Database!A:A, 1, FALSE)), "Not Found", "Found")</f>
        <v>Found</v>
      </c>
      <c r="C82" s="304" t="str">
        <f t="shared" si="1"/>
        <v>No</v>
      </c>
      <c r="D82" s="290" t="s">
        <v>1998</v>
      </c>
      <c r="E82" t="e">
        <f>IF(VLOOKUP(A82,WEB_Database!A:F,16,FALSE)=D82,"yes","no")</f>
        <v>#REF!</v>
      </c>
      <c r="F82" t="e">
        <f>IF(E82 = "no",VLOOKUP(A82,WEB_Database!A:F,16,FALSE),"")</f>
        <v>#REF!</v>
      </c>
    </row>
    <row r="83" spans="1:6">
      <c r="A83" s="292" t="s">
        <v>2002</v>
      </c>
      <c r="B83" s="304" t="str">
        <f>IF(ISNA(VLOOKUP(A83, WEB_Database!A:A, 1, FALSE)), "Not Found", "Found")</f>
        <v>Found</v>
      </c>
      <c r="C83" s="304" t="str">
        <f t="shared" si="1"/>
        <v>No</v>
      </c>
      <c r="D83" s="290" t="s">
        <v>1998</v>
      </c>
      <c r="E83" t="e">
        <f>IF(VLOOKUP(A83,WEB_Database!A:F,16,FALSE)=D83,"yes","no")</f>
        <v>#REF!</v>
      </c>
      <c r="F83" t="e">
        <f>IF(E83 = "no",VLOOKUP(A83,WEB_Database!A:F,16,FALSE),"")</f>
        <v>#REF!</v>
      </c>
    </row>
    <row r="84" spans="1:6">
      <c r="A84" s="292" t="s">
        <v>2000</v>
      </c>
      <c r="B84" s="304" t="str">
        <f>IF(ISNA(VLOOKUP(A84, WEB_Database!A:A, 1, FALSE)), "Not Found", "Found")</f>
        <v>Found</v>
      </c>
      <c r="C84" s="304" t="str">
        <f t="shared" si="1"/>
        <v>No</v>
      </c>
      <c r="D84" s="290" t="s">
        <v>1998</v>
      </c>
      <c r="E84" t="e">
        <f>IF(VLOOKUP(A84,WEB_Database!A:F,16,FALSE)=D84,"yes","no")</f>
        <v>#REF!</v>
      </c>
      <c r="F84" t="e">
        <f>IF(E84 = "no",VLOOKUP(A84,WEB_Database!A:F,16,FALSE),"")</f>
        <v>#REF!</v>
      </c>
    </row>
    <row r="85" spans="1:6">
      <c r="A85" s="292" t="s">
        <v>2004</v>
      </c>
      <c r="B85" s="304" t="str">
        <f>IF(ISNA(VLOOKUP(A85, WEB_Database!A:A, 1, FALSE)), "Not Found", "Found")</f>
        <v>Found</v>
      </c>
      <c r="C85" s="304" t="str">
        <f t="shared" si="1"/>
        <v>No</v>
      </c>
      <c r="D85" s="290" t="s">
        <v>1998</v>
      </c>
      <c r="E85" t="e">
        <f>IF(VLOOKUP(A85,WEB_Database!A:F,16,FALSE)=D85,"yes","no")</f>
        <v>#REF!</v>
      </c>
      <c r="F85" t="e">
        <f>IF(E85 = "no",VLOOKUP(A85,WEB_Database!A:F,16,FALSE),"")</f>
        <v>#REF!</v>
      </c>
    </row>
    <row r="86" spans="1:6">
      <c r="A86" s="292" t="s">
        <v>2006</v>
      </c>
      <c r="B86" s="304" t="str">
        <f>IF(ISNA(VLOOKUP(A86, WEB_Database!A:A, 1, FALSE)), "Not Found", "Found")</f>
        <v>Found</v>
      </c>
      <c r="C86" s="304" t="str">
        <f t="shared" si="1"/>
        <v>No</v>
      </c>
      <c r="D86" s="290" t="s">
        <v>1998</v>
      </c>
      <c r="E86" t="e">
        <f>IF(VLOOKUP(A86,WEB_Database!A:F,16,FALSE)=D86,"yes","no")</f>
        <v>#REF!</v>
      </c>
      <c r="F86" t="e">
        <f>IF(E86 = "no",VLOOKUP(A86,WEB_Database!A:F,16,FALSE),"")</f>
        <v>#REF!</v>
      </c>
    </row>
    <row r="87" spans="1:6">
      <c r="A87" s="292" t="s">
        <v>2010</v>
      </c>
      <c r="B87" s="304" t="str">
        <f>IF(ISNA(VLOOKUP(A87, WEB_Database!A:A, 1, FALSE)), "Not Found", "Found")</f>
        <v>Found</v>
      </c>
      <c r="C87" s="304" t="str">
        <f t="shared" si="1"/>
        <v>No</v>
      </c>
      <c r="D87" s="290" t="s">
        <v>1998</v>
      </c>
      <c r="E87" t="e">
        <f>IF(VLOOKUP(A87,WEB_Database!A:F,16,FALSE)=D87,"yes","no")</f>
        <v>#REF!</v>
      </c>
      <c r="F87" t="e">
        <f>IF(E87 = "no",VLOOKUP(A87,WEB_Database!A:F,16,FALSE),"")</f>
        <v>#REF!</v>
      </c>
    </row>
    <row r="88" spans="1:6">
      <c r="A88" s="292" t="s">
        <v>2007</v>
      </c>
      <c r="B88" s="304" t="str">
        <f>IF(ISNA(VLOOKUP(A88, WEB_Database!A:A, 1, FALSE)), "Not Found", "Found")</f>
        <v>Found</v>
      </c>
      <c r="C88" s="304" t="str">
        <f t="shared" si="1"/>
        <v>No</v>
      </c>
      <c r="D88" s="290" t="s">
        <v>1998</v>
      </c>
      <c r="E88" t="e">
        <f>IF(VLOOKUP(A88,WEB_Database!A:F,16,FALSE)=D88,"yes","no")</f>
        <v>#REF!</v>
      </c>
      <c r="F88" t="e">
        <f>IF(E88 = "no",VLOOKUP(A88,WEB_Database!A:F,16,FALSE),"")</f>
        <v>#REF!</v>
      </c>
    </row>
    <row r="89" spans="1:6">
      <c r="A89" s="292" t="s">
        <v>2012</v>
      </c>
      <c r="B89" s="304" t="str">
        <f>IF(ISNA(VLOOKUP(A89, WEB_Database!A:A, 1, FALSE)), "Not Found", "Found")</f>
        <v>Found</v>
      </c>
      <c r="C89" s="304" t="str">
        <f t="shared" si="1"/>
        <v>No</v>
      </c>
      <c r="D89" s="290" t="s">
        <v>1998</v>
      </c>
      <c r="E89" t="e">
        <f>IF(VLOOKUP(A89,WEB_Database!A:F,16,FALSE)=D89,"yes","no")</f>
        <v>#REF!</v>
      </c>
      <c r="F89" t="e">
        <f>IF(E89 = "no",VLOOKUP(A89,WEB_Database!A:F,16,FALSE),"")</f>
        <v>#REF!</v>
      </c>
    </row>
    <row r="90" spans="1:6">
      <c r="A90" s="292" t="s">
        <v>2023</v>
      </c>
      <c r="B90" s="304" t="str">
        <f>IF(ISNA(VLOOKUP(A90, WEB_Database!A:A, 1, FALSE)), "Not Found", "Found")</f>
        <v>Found</v>
      </c>
      <c r="C90" s="304" t="str">
        <f t="shared" si="1"/>
        <v>No</v>
      </c>
      <c r="D90" s="290" t="s">
        <v>2020</v>
      </c>
      <c r="E90" t="e">
        <f>IF(VLOOKUP(A90,WEB_Database!A:F,16,FALSE)=D90,"yes","no")</f>
        <v>#REF!</v>
      </c>
      <c r="F90" t="e">
        <f>IF(E90 = "no",VLOOKUP(A90,WEB_Database!A:F,16,FALSE),"")</f>
        <v>#REF!</v>
      </c>
    </row>
    <row r="91" spans="1:6">
      <c r="A91" s="292" t="s">
        <v>2019</v>
      </c>
      <c r="B91" s="304" t="str">
        <f>IF(ISNA(VLOOKUP(A91, WEB_Database!A:A, 1, FALSE)), "Not Found", "Found")</f>
        <v>Found</v>
      </c>
      <c r="C91" s="304" t="str">
        <f t="shared" si="1"/>
        <v>No</v>
      </c>
      <c r="D91" s="290" t="s">
        <v>2020</v>
      </c>
      <c r="E91" t="e">
        <f>IF(VLOOKUP(A91,WEB_Database!A:F,16,FALSE)=D91,"yes","no")</f>
        <v>#REF!</v>
      </c>
      <c r="F91" t="e">
        <f>IF(E91 = "no",VLOOKUP(A91,WEB_Database!A:F,16,FALSE),"")</f>
        <v>#REF!</v>
      </c>
    </row>
    <row r="92" spans="1:6">
      <c r="A92" s="292" t="s">
        <v>2030</v>
      </c>
      <c r="B92" s="304" t="str">
        <f>IF(ISNA(VLOOKUP(A92, WEB_Database!A:A, 1, FALSE)), "Not Found", "Found")</f>
        <v>Found</v>
      </c>
      <c r="C92" s="304" t="str">
        <f t="shared" si="1"/>
        <v>No</v>
      </c>
      <c r="D92" s="306" t="s">
        <v>2020</v>
      </c>
      <c r="E92" t="e">
        <f>IF(VLOOKUP(A92,WEB_Database!A:F,16,FALSE)=D92,"yes","no")</f>
        <v>#REF!</v>
      </c>
      <c r="F92" t="e">
        <f>IF(E92 = "no",VLOOKUP(A92,WEB_Database!A:F,16,FALSE),"")</f>
        <v>#REF!</v>
      </c>
    </row>
    <row r="93" spans="1:6">
      <c r="A93" s="292" t="s">
        <v>2047</v>
      </c>
      <c r="B93" s="304" t="str">
        <f>IF(ISNA(VLOOKUP(A93, WEB_Database!A:A, 1, FALSE)), "Not Found", "Found")</f>
        <v>Found</v>
      </c>
      <c r="C93" s="304" t="str">
        <f t="shared" si="1"/>
        <v>No</v>
      </c>
      <c r="D93" s="277" t="s">
        <v>2251</v>
      </c>
      <c r="E93" t="e">
        <f>IF(VLOOKUP(A93,WEB_Database!A:F,16,FALSE)=D93,"yes","no")</f>
        <v>#REF!</v>
      </c>
      <c r="F93" t="e">
        <f>IF(E93 = "no",VLOOKUP(A93,WEB_Database!A:F,16,FALSE),"")</f>
        <v>#REF!</v>
      </c>
    </row>
    <row r="94" spans="1:6">
      <c r="A94" s="292" t="s">
        <v>3421</v>
      </c>
      <c r="B94" s="304" t="str">
        <f>IF(ISNA(VLOOKUP(A94, WEB_Database!A:A, 1, FALSE)), "Not Found", "Found")</f>
        <v>Found</v>
      </c>
      <c r="C94" s="304" t="str">
        <f t="shared" si="1"/>
        <v>No</v>
      </c>
      <c r="D94" s="290" t="s">
        <v>3664</v>
      </c>
      <c r="E94" t="e">
        <f>IF(VLOOKUP(A94,WEB_Database!A:F,16,FALSE)=D94,"yes","no")</f>
        <v>#REF!</v>
      </c>
      <c r="F94" t="e">
        <f>IF(E94 = "no",VLOOKUP(A94,WEB_Database!A:F,16,FALSE),"")</f>
        <v>#REF!</v>
      </c>
    </row>
    <row r="95" spans="1:6">
      <c r="A95" s="292" t="s">
        <v>3422</v>
      </c>
      <c r="B95" s="304" t="str">
        <f>IF(ISNA(VLOOKUP(A95, WEB_Database!A:A, 1, FALSE)), "Not Found", "Found")</f>
        <v>Found</v>
      </c>
      <c r="C95" s="304" t="str">
        <f t="shared" si="1"/>
        <v>No</v>
      </c>
      <c r="D95" s="290" t="s">
        <v>3664</v>
      </c>
      <c r="E95" t="e">
        <f>IF(VLOOKUP(A95,WEB_Database!A:F,16,FALSE)=D95,"yes","no")</f>
        <v>#REF!</v>
      </c>
      <c r="F95" t="e">
        <f>IF(E95 = "no",VLOOKUP(A95,WEB_Database!A:F,16,FALSE),"")</f>
        <v>#REF!</v>
      </c>
    </row>
    <row r="96" spans="1:6">
      <c r="A96" s="292" t="s">
        <v>2055</v>
      </c>
      <c r="B96" s="304" t="str">
        <f>IF(ISNA(VLOOKUP(A96, WEB_Database!A:A, 1, FALSE)), "Not Found", "Found")</f>
        <v>Found</v>
      </c>
      <c r="C96" s="304" t="str">
        <f t="shared" si="1"/>
        <v>No</v>
      </c>
      <c r="D96" s="290" t="s">
        <v>1458</v>
      </c>
      <c r="E96" t="e">
        <f>IF(VLOOKUP(A96,WEB_Database!A:F,16,FALSE)=D96,"yes","no")</f>
        <v>#REF!</v>
      </c>
      <c r="F96" t="e">
        <f>IF(E96 = "no",VLOOKUP(A96,WEB_Database!A:F,16,FALSE),"")</f>
        <v>#REF!</v>
      </c>
    </row>
    <row r="97" spans="1:6">
      <c r="A97" s="292" t="s">
        <v>3423</v>
      </c>
      <c r="B97" s="304" t="str">
        <f>IF(ISNA(VLOOKUP(A97, WEB_Database!A:A, 1, FALSE)), "Not Found", "Found")</f>
        <v>Found</v>
      </c>
      <c r="C97" s="304" t="str">
        <f t="shared" si="1"/>
        <v>No</v>
      </c>
      <c r="D97" s="306" t="s">
        <v>1458</v>
      </c>
      <c r="E97" t="e">
        <f>IF(VLOOKUP(A97,WEB_Database!A:F,16,FALSE)=D97,"yes","no")</f>
        <v>#REF!</v>
      </c>
      <c r="F97" t="e">
        <f>IF(E97 = "no",VLOOKUP(A97,WEB_Database!A:F,16,FALSE),"")</f>
        <v>#REF!</v>
      </c>
    </row>
    <row r="98" spans="1:6">
      <c r="A98" s="292" t="s">
        <v>3424</v>
      </c>
      <c r="B98" s="304" t="str">
        <f>IF(ISNA(VLOOKUP(A98, WEB_Database!A:A, 1, FALSE)), "Not Found", "Found")</f>
        <v>Found</v>
      </c>
      <c r="C98" s="304" t="str">
        <f t="shared" si="1"/>
        <v>No</v>
      </c>
      <c r="D98" s="306" t="s">
        <v>1458</v>
      </c>
      <c r="E98" t="e">
        <f>IF(VLOOKUP(A98,WEB_Database!A:F,16,FALSE)=D98,"yes","no")</f>
        <v>#REF!</v>
      </c>
      <c r="F98" t="e">
        <f>IF(E98 = "no",VLOOKUP(A98,WEB_Database!A:F,16,FALSE),"")</f>
        <v>#REF!</v>
      </c>
    </row>
    <row r="99" spans="1:6">
      <c r="A99" s="292" t="s">
        <v>3425</v>
      </c>
      <c r="B99" s="304" t="str">
        <f>IF(ISNA(VLOOKUP(A99, WEB_Database!A:A, 1, FALSE)), "Not Found", "Found")</f>
        <v>Found</v>
      </c>
      <c r="C99" s="304" t="str">
        <f t="shared" si="1"/>
        <v>No</v>
      </c>
      <c r="D99" s="306" t="s">
        <v>1458</v>
      </c>
      <c r="E99" t="e">
        <f>IF(VLOOKUP(A99,WEB_Database!A:F,16,FALSE)=D99,"yes","no")</f>
        <v>#REF!</v>
      </c>
      <c r="F99" t="e">
        <f>IF(E99 = "no",VLOOKUP(A99,WEB_Database!A:F,16,FALSE),"")</f>
        <v>#REF!</v>
      </c>
    </row>
    <row r="100" spans="1:6">
      <c r="A100" s="292" t="s">
        <v>3426</v>
      </c>
      <c r="B100" s="304" t="str">
        <f>IF(ISNA(VLOOKUP(A100, WEB_Database!A:A, 1, FALSE)), "Not Found", "Found")</f>
        <v>Found</v>
      </c>
      <c r="C100" s="304" t="str">
        <f t="shared" si="1"/>
        <v>No</v>
      </c>
      <c r="D100" s="306" t="s">
        <v>3664</v>
      </c>
      <c r="E100" t="e">
        <f>IF(VLOOKUP(A100,WEB_Database!A:F,16,FALSE)=D100,"yes","no")</f>
        <v>#REF!</v>
      </c>
      <c r="F100" t="e">
        <f>IF(E100 = "no",VLOOKUP(A100,WEB_Database!A:F,16,FALSE),"")</f>
        <v>#REF!</v>
      </c>
    </row>
    <row r="101" spans="1:6">
      <c r="A101" s="292" t="s">
        <v>3427</v>
      </c>
      <c r="B101" s="304" t="str">
        <f>IF(ISNA(VLOOKUP(A101, WEB_Database!A:A, 1, FALSE)), "Not Found", "Found")</f>
        <v>Found</v>
      </c>
      <c r="C101" s="304" t="str">
        <f t="shared" si="1"/>
        <v>No</v>
      </c>
      <c r="D101" s="306" t="s">
        <v>3664</v>
      </c>
      <c r="E101" t="e">
        <f>IF(VLOOKUP(A101,WEB_Database!A:F,16,FALSE)=D101,"yes","no")</f>
        <v>#REF!</v>
      </c>
      <c r="F101" t="e">
        <f>IF(E101 = "no",VLOOKUP(A101,WEB_Database!A:F,16,FALSE),"")</f>
        <v>#REF!</v>
      </c>
    </row>
    <row r="102" spans="1:6">
      <c r="A102" s="292" t="s">
        <v>3428</v>
      </c>
      <c r="B102" s="304" t="str">
        <f>IF(ISNA(VLOOKUP(A102, WEB_Database!A:A, 1, FALSE)), "Not Found", "Found")</f>
        <v>Found</v>
      </c>
      <c r="C102" s="304" t="str">
        <f t="shared" si="1"/>
        <v>No</v>
      </c>
      <c r="D102" s="306" t="s">
        <v>3086</v>
      </c>
      <c r="E102" t="e">
        <f>IF(VLOOKUP(A102,WEB_Database!A:F,16,FALSE)=D102,"yes","no")</f>
        <v>#REF!</v>
      </c>
      <c r="F102" t="e">
        <f>IF(E102 = "no",VLOOKUP(A102,WEB_Database!A:F,16,FALSE),"")</f>
        <v>#REF!</v>
      </c>
    </row>
    <row r="103" spans="1:6">
      <c r="A103" s="292" t="s">
        <v>1903</v>
      </c>
      <c r="B103" s="304" t="str">
        <f>IF(ISNA(VLOOKUP(A103, WEB_Database!A:A, 1, FALSE)), "Not Found", "Found")</f>
        <v>Found</v>
      </c>
      <c r="C103" s="304" t="str">
        <f t="shared" si="1"/>
        <v>No</v>
      </c>
      <c r="D103" s="306" t="s">
        <v>3086</v>
      </c>
      <c r="E103" t="e">
        <f>IF(VLOOKUP(A103,WEB_Database!A:F,16,FALSE)=D103,"yes","no")</f>
        <v>#REF!</v>
      </c>
      <c r="F103" t="e">
        <f>IF(E103 = "no",VLOOKUP(A103,WEB_Database!A:F,16,FALSE),"")</f>
        <v>#REF!</v>
      </c>
    </row>
    <row r="104" spans="1:6">
      <c r="A104" s="292" t="s">
        <v>3429</v>
      </c>
      <c r="B104" s="304" t="str">
        <f>IF(ISNA(VLOOKUP(A104, WEB_Database!A:A, 1, FALSE)), "Not Found", "Found")</f>
        <v>Found</v>
      </c>
      <c r="C104" s="304" t="str">
        <f t="shared" si="1"/>
        <v>No</v>
      </c>
      <c r="D104" s="306" t="s">
        <v>3086</v>
      </c>
      <c r="E104" t="e">
        <f>IF(VLOOKUP(A104,WEB_Database!A:F,16,FALSE)=D104,"yes","no")</f>
        <v>#REF!</v>
      </c>
      <c r="F104" t="e">
        <f>IF(E104 = "no",VLOOKUP(A104,WEB_Database!A:F,16,FALSE),"")</f>
        <v>#REF!</v>
      </c>
    </row>
    <row r="105" spans="1:6">
      <c r="A105" s="292" t="s">
        <v>3430</v>
      </c>
      <c r="B105" s="304" t="str">
        <f>IF(ISNA(VLOOKUP(A105, WEB_Database!A:A, 1, FALSE)), "Not Found", "Found")</f>
        <v>Found</v>
      </c>
      <c r="C105" s="304" t="str">
        <f t="shared" si="1"/>
        <v>No</v>
      </c>
      <c r="D105" s="306" t="s">
        <v>3086</v>
      </c>
      <c r="E105" t="e">
        <f>IF(VLOOKUP(A105,WEB_Database!A:F,16,FALSE)=D105,"yes","no")</f>
        <v>#REF!</v>
      </c>
      <c r="F105" t="e">
        <f>IF(E105 = "no",VLOOKUP(A105,WEB_Database!A:F,16,FALSE),"")</f>
        <v>#REF!</v>
      </c>
    </row>
    <row r="106" spans="1:6">
      <c r="A106" s="292" t="s">
        <v>3431</v>
      </c>
      <c r="B106" s="304" t="str">
        <f>IF(ISNA(VLOOKUP(A106, WEB_Database!A:A, 1, FALSE)), "Not Found", "Found")</f>
        <v>Found</v>
      </c>
      <c r="C106" s="304" t="str">
        <f t="shared" si="1"/>
        <v>No</v>
      </c>
      <c r="D106" s="306" t="s">
        <v>3666</v>
      </c>
      <c r="E106" t="e">
        <f>IF(VLOOKUP(A106,WEB_Database!A:F,16,FALSE)=D106,"yes","no")</f>
        <v>#REF!</v>
      </c>
      <c r="F106" t="e">
        <f>IF(E106 = "no",VLOOKUP(A106,WEB_Database!A:F,16,FALSE),"")</f>
        <v>#REF!</v>
      </c>
    </row>
    <row r="107" spans="1:6">
      <c r="A107" s="292" t="s">
        <v>3432</v>
      </c>
      <c r="B107" s="304" t="str">
        <f>IF(ISNA(VLOOKUP(A107, WEB_Database!A:A, 1, FALSE)), "Not Found", "Found")</f>
        <v>Found</v>
      </c>
      <c r="C107" s="304" t="str">
        <f t="shared" si="1"/>
        <v>No</v>
      </c>
      <c r="D107" s="306" t="s">
        <v>3666</v>
      </c>
      <c r="E107" t="e">
        <f>IF(VLOOKUP(A107,WEB_Database!A:F,16,FALSE)=D107,"yes","no")</f>
        <v>#REF!</v>
      </c>
      <c r="F107" t="e">
        <f>IF(E107 = "no",VLOOKUP(A107,WEB_Database!A:F,16,FALSE),"")</f>
        <v>#REF!</v>
      </c>
    </row>
    <row r="108" spans="1:6">
      <c r="A108" s="292" t="s">
        <v>3433</v>
      </c>
      <c r="B108" s="304" t="str">
        <f>IF(ISNA(VLOOKUP(A108, WEB_Database!A:A, 1, FALSE)), "Not Found", "Found")</f>
        <v>Found</v>
      </c>
      <c r="C108" s="304" t="str">
        <f t="shared" si="1"/>
        <v>No</v>
      </c>
      <c r="D108" s="306" t="s">
        <v>3666</v>
      </c>
      <c r="E108" t="e">
        <f>IF(VLOOKUP(A108,WEB_Database!A:F,16,FALSE)=D108,"yes","no")</f>
        <v>#REF!</v>
      </c>
      <c r="F108" t="e">
        <f>IF(E108 = "no",VLOOKUP(A108,WEB_Database!A:F,16,FALSE),"")</f>
        <v>#REF!</v>
      </c>
    </row>
    <row r="109" spans="1:6">
      <c r="A109" s="292" t="s">
        <v>3434</v>
      </c>
      <c r="B109" s="304" t="str">
        <f>IF(ISNA(VLOOKUP(A109, WEB_Database!A:A, 1, FALSE)), "Not Found", "Found")</f>
        <v>Found</v>
      </c>
      <c r="C109" s="304" t="str">
        <f t="shared" si="1"/>
        <v>No</v>
      </c>
      <c r="D109" s="306" t="s">
        <v>3666</v>
      </c>
      <c r="E109" t="e">
        <f>IF(VLOOKUP(A109,WEB_Database!A:F,16,FALSE)=D109,"yes","no")</f>
        <v>#REF!</v>
      </c>
      <c r="F109" t="e">
        <f>IF(E109 = "no",VLOOKUP(A109,WEB_Database!A:F,16,FALSE),"")</f>
        <v>#REF!</v>
      </c>
    </row>
    <row r="110" spans="1:6">
      <c r="A110" s="292" t="s">
        <v>2057</v>
      </c>
      <c r="B110" s="304" t="str">
        <f>IF(ISNA(VLOOKUP(A110, WEB_Database!A:A, 1, FALSE)), "Not Found", "Found")</f>
        <v>Found</v>
      </c>
      <c r="C110" s="304" t="str">
        <f t="shared" si="1"/>
        <v>No</v>
      </c>
      <c r="D110" s="306" t="s">
        <v>3094</v>
      </c>
      <c r="E110" t="e">
        <f>IF(VLOOKUP(A110,WEB_Database!A:F,16,FALSE)=D110,"yes","no")</f>
        <v>#REF!</v>
      </c>
      <c r="F110" t="e">
        <f>IF(E110 = "no",VLOOKUP(A110,WEB_Database!A:F,16,FALSE),"")</f>
        <v>#REF!</v>
      </c>
    </row>
    <row r="111" spans="1:6">
      <c r="A111" s="292" t="s">
        <v>2036</v>
      </c>
      <c r="B111" s="304" t="str">
        <f>IF(ISNA(VLOOKUP(A111, WEB_Database!A:A, 1, FALSE)), "Not Found", "Found")</f>
        <v>Found</v>
      </c>
      <c r="C111" s="304" t="str">
        <f t="shared" si="1"/>
        <v>No</v>
      </c>
      <c r="D111" s="306" t="s">
        <v>2034</v>
      </c>
      <c r="E111" t="e">
        <f>IF(VLOOKUP(A111,WEB_Database!A:F,16,FALSE)=D111,"yes","no")</f>
        <v>#REF!</v>
      </c>
      <c r="F111" t="e">
        <f>IF(E111 = "no",VLOOKUP(A111,WEB_Database!A:F,16,FALSE),"")</f>
        <v>#REF!</v>
      </c>
    </row>
    <row r="112" spans="1:6">
      <c r="A112" s="292" t="s">
        <v>2046</v>
      </c>
      <c r="B112" s="304" t="str">
        <f>IF(ISNA(VLOOKUP(A112, WEB_Database!A:A, 1, FALSE)), "Not Found", "Found")</f>
        <v>Found</v>
      </c>
      <c r="C112" s="304" t="str">
        <f t="shared" si="1"/>
        <v>No</v>
      </c>
      <c r="D112" s="306" t="s">
        <v>3094</v>
      </c>
      <c r="E112" t="e">
        <f>IF(VLOOKUP(A112,WEB_Database!A:F,16,FALSE)=D112,"yes","no")</f>
        <v>#REF!</v>
      </c>
      <c r="F112" t="e">
        <f>IF(E112 = "no",VLOOKUP(A112,WEB_Database!A:F,16,FALSE),"")</f>
        <v>#REF!</v>
      </c>
    </row>
    <row r="113" spans="1:6">
      <c r="A113" s="292" t="s">
        <v>2040</v>
      </c>
      <c r="B113" s="304" t="str">
        <f>IF(ISNA(VLOOKUP(A113, WEB_Database!A:A, 1, FALSE)), "Not Found", "Found")</f>
        <v>Found</v>
      </c>
      <c r="C113" s="304" t="str">
        <f t="shared" si="1"/>
        <v>No</v>
      </c>
      <c r="D113" s="306" t="s">
        <v>2034</v>
      </c>
      <c r="E113" t="e">
        <f>IF(VLOOKUP(A113,WEB_Database!A:F,16,FALSE)=D113,"yes","no")</f>
        <v>#REF!</v>
      </c>
      <c r="F113" t="e">
        <f>IF(E113 = "no",VLOOKUP(A113,WEB_Database!A:F,16,FALSE),"")</f>
        <v>#REF!</v>
      </c>
    </row>
    <row r="114" spans="1:6">
      <c r="A114" s="292" t="s">
        <v>2044</v>
      </c>
      <c r="B114" s="304" t="str">
        <f>IF(ISNA(VLOOKUP(A114, WEB_Database!A:A, 1, FALSE)), "Not Found", "Found")</f>
        <v>Found</v>
      </c>
      <c r="C114" s="304" t="str">
        <f t="shared" si="1"/>
        <v>No</v>
      </c>
      <c r="D114" s="306" t="s">
        <v>2034</v>
      </c>
      <c r="E114" t="e">
        <f>IF(VLOOKUP(A114,WEB_Database!A:F,16,FALSE)=D114,"yes","no")</f>
        <v>#REF!</v>
      </c>
      <c r="F114" t="e">
        <f>IF(E114 = "no",VLOOKUP(A114,WEB_Database!A:F,16,FALSE),"")</f>
        <v>#REF!</v>
      </c>
    </row>
    <row r="115" spans="1:6">
      <c r="A115" s="292" t="s">
        <v>2042</v>
      </c>
      <c r="B115" s="304" t="str">
        <f>IF(ISNA(VLOOKUP(A115, WEB_Database!A:A, 1, FALSE)), "Not Found", "Found")</f>
        <v>Found</v>
      </c>
      <c r="C115" s="304" t="str">
        <f t="shared" si="1"/>
        <v>No</v>
      </c>
      <c r="D115" s="308" t="s">
        <v>1876</v>
      </c>
      <c r="E115" t="e">
        <f>IF(VLOOKUP(A115,WEB_Database!A:F,16,FALSE)=D115,"yes","no")</f>
        <v>#REF!</v>
      </c>
      <c r="F115" t="e">
        <f>IF(E115 = "no",VLOOKUP(A115,WEB_Database!A:F,16,FALSE),"")</f>
        <v>#REF!</v>
      </c>
    </row>
    <row r="116" spans="1:6">
      <c r="A116" s="292" t="s">
        <v>2033</v>
      </c>
      <c r="B116" s="304" t="str">
        <f>IF(ISNA(VLOOKUP(A116, WEB_Database!A:A, 1, FALSE)), "Not Found", "Found")</f>
        <v>Found</v>
      </c>
      <c r="C116" s="304" t="str">
        <f t="shared" si="1"/>
        <v>No</v>
      </c>
      <c r="D116" s="306" t="s">
        <v>2034</v>
      </c>
      <c r="E116" t="e">
        <f>IF(VLOOKUP(A116,WEB_Database!A:F,16,FALSE)=D116,"yes","no")</f>
        <v>#REF!</v>
      </c>
      <c r="F116" t="e">
        <f>IF(E116 = "no",VLOOKUP(A116,WEB_Database!A:F,16,FALSE),"")</f>
        <v>#REF!</v>
      </c>
    </row>
    <row r="117" spans="1:6">
      <c r="A117" s="292" t="s">
        <v>3435</v>
      </c>
      <c r="B117" s="304" t="str">
        <f>IF(ISNA(VLOOKUP(A117, WEB_Database!A:A, 1, FALSE)), "Not Found", "Found")</f>
        <v>Found</v>
      </c>
      <c r="C117" s="304" t="str">
        <f t="shared" si="1"/>
        <v>No</v>
      </c>
      <c r="D117" s="306" t="s">
        <v>3133</v>
      </c>
      <c r="E117" t="e">
        <f>IF(VLOOKUP(A117,WEB_Database!A:F,16,FALSE)=D117,"yes","no")</f>
        <v>#REF!</v>
      </c>
      <c r="F117" t="e">
        <f>IF(E117 = "no",VLOOKUP(A117,WEB_Database!A:F,16,FALSE),"")</f>
        <v>#REF!</v>
      </c>
    </row>
    <row r="118" spans="1:6">
      <c r="A118" s="292" t="s">
        <v>3436</v>
      </c>
      <c r="B118" s="304" t="str">
        <f>IF(ISNA(VLOOKUP(A118, WEB_Database!A:A, 1, FALSE)), "Not Found", "Found")</f>
        <v>Found</v>
      </c>
      <c r="C118" s="304" t="str">
        <f t="shared" si="1"/>
        <v>No</v>
      </c>
      <c r="D118" s="306" t="s">
        <v>3133</v>
      </c>
      <c r="E118" t="e">
        <f>IF(VLOOKUP(A118,WEB_Database!A:F,16,FALSE)=D118,"yes","no")</f>
        <v>#REF!</v>
      </c>
      <c r="F118" t="e">
        <f>IF(E118 = "no",VLOOKUP(A118,WEB_Database!A:F,16,FALSE),"")</f>
        <v>#REF!</v>
      </c>
    </row>
    <row r="119" spans="1:6">
      <c r="A119" s="292" t="s">
        <v>3437</v>
      </c>
      <c r="B119" s="304" t="str">
        <f>IF(ISNA(VLOOKUP(A119, WEB_Database!A:A, 1, FALSE)), "Not Found", "Found")</f>
        <v>Found</v>
      </c>
      <c r="C119" s="304" t="str">
        <f t="shared" si="1"/>
        <v>No</v>
      </c>
      <c r="D119" s="306" t="s">
        <v>3133</v>
      </c>
      <c r="E119" t="e">
        <f>IF(VLOOKUP(A119,WEB_Database!A:F,16,FALSE)=D119,"yes","no")</f>
        <v>#REF!</v>
      </c>
      <c r="F119" t="e">
        <f>IF(E119 = "no",VLOOKUP(A119,WEB_Database!A:F,16,FALSE),"")</f>
        <v>#REF!</v>
      </c>
    </row>
    <row r="120" spans="1:6">
      <c r="A120" s="292" t="s">
        <v>3438</v>
      </c>
      <c r="B120" s="304" t="str">
        <f>IF(ISNA(VLOOKUP(A120, WEB_Database!A:A, 1, FALSE)), "Not Found", "Found")</f>
        <v>Found</v>
      </c>
      <c r="C120" s="304" t="str">
        <f t="shared" si="1"/>
        <v>No</v>
      </c>
      <c r="D120" s="290" t="s">
        <v>1458</v>
      </c>
      <c r="E120" t="e">
        <f>IF(VLOOKUP(A120,WEB_Database!A:F,16,FALSE)=D120,"yes","no")</f>
        <v>#REF!</v>
      </c>
      <c r="F120" t="e">
        <f>IF(E120 = "no",VLOOKUP(A120,WEB_Database!A:F,16,FALSE),"")</f>
        <v>#REF!</v>
      </c>
    </row>
    <row r="121" spans="1:6">
      <c r="A121" s="292" t="s">
        <v>3439</v>
      </c>
      <c r="B121" s="304" t="str">
        <f>IF(ISNA(VLOOKUP(A121, WEB_Database!A:A, 1, FALSE)), "Not Found", "Found")</f>
        <v>Found</v>
      </c>
      <c r="C121" s="304" t="str">
        <f t="shared" si="1"/>
        <v>No</v>
      </c>
      <c r="D121" s="290" t="s">
        <v>1458</v>
      </c>
      <c r="E121" t="e">
        <f>IF(VLOOKUP(A121,WEB_Database!A:F,16,FALSE)=D121,"yes","no")</f>
        <v>#REF!</v>
      </c>
      <c r="F121" t="e">
        <f>IF(E121 = "no",VLOOKUP(A121,WEB_Database!A:F,16,FALSE),"")</f>
        <v>#REF!</v>
      </c>
    </row>
    <row r="122" spans="1:6">
      <c r="A122" s="292" t="s">
        <v>3440</v>
      </c>
      <c r="B122" s="304" t="str">
        <f>IF(ISNA(VLOOKUP(A122, WEB_Database!A:A, 1, FALSE)), "Not Found", "Found")</f>
        <v>Found</v>
      </c>
      <c r="C122" s="304" t="str">
        <f t="shared" si="1"/>
        <v>No</v>
      </c>
      <c r="D122" s="290" t="s">
        <v>1458</v>
      </c>
      <c r="E122" t="e">
        <f>IF(VLOOKUP(A122,WEB_Database!A:F,16,FALSE)=D122,"yes","no")</f>
        <v>#REF!</v>
      </c>
      <c r="F122" t="e">
        <f>IF(E122 = "no",VLOOKUP(A122,WEB_Database!A:F,16,FALSE),"")</f>
        <v>#REF!</v>
      </c>
    </row>
    <row r="123" spans="1:6">
      <c r="A123" s="292" t="s">
        <v>3441</v>
      </c>
      <c r="B123" s="304" t="str">
        <f>IF(ISNA(VLOOKUP(A123, WEB_Database!A:A, 1, FALSE)), "Not Found", "Found")</f>
        <v>Found</v>
      </c>
      <c r="C123" s="304" t="str">
        <f t="shared" si="1"/>
        <v>No</v>
      </c>
      <c r="D123" s="290" t="s">
        <v>1458</v>
      </c>
      <c r="E123" t="e">
        <f>IF(VLOOKUP(A123,WEB_Database!A:F,16,FALSE)=D123,"yes","no")</f>
        <v>#REF!</v>
      </c>
      <c r="F123" t="e">
        <f>IF(E123 = "no",VLOOKUP(A123,WEB_Database!A:F,16,FALSE),"")</f>
        <v>#REF!</v>
      </c>
    </row>
    <row r="124" spans="1:6">
      <c r="A124" s="292" t="s">
        <v>3442</v>
      </c>
      <c r="B124" s="304" t="str">
        <f>IF(ISNA(VLOOKUP(A124, WEB_Database!A:A, 1, FALSE)), "Not Found", "Found")</f>
        <v>Found</v>
      </c>
      <c r="C124" s="304" t="str">
        <f t="shared" si="1"/>
        <v>No</v>
      </c>
      <c r="D124" s="290" t="s">
        <v>1458</v>
      </c>
      <c r="E124" t="e">
        <f>IF(VLOOKUP(A124,WEB_Database!A:F,16,FALSE)=D124,"yes","no")</f>
        <v>#REF!</v>
      </c>
      <c r="F124" t="e">
        <f>IF(E124 = "no",VLOOKUP(A124,WEB_Database!A:F,16,FALSE),"")</f>
        <v>#REF!</v>
      </c>
    </row>
    <row r="125" spans="1:6">
      <c r="A125" s="292" t="s">
        <v>3443</v>
      </c>
      <c r="B125" s="304" t="str">
        <f>IF(ISNA(VLOOKUP(A125, WEB_Database!A:A, 1, FALSE)), "Not Found", "Found")</f>
        <v>Found</v>
      </c>
      <c r="C125" s="304" t="str">
        <f t="shared" si="1"/>
        <v>No</v>
      </c>
      <c r="D125" s="290" t="s">
        <v>1458</v>
      </c>
      <c r="E125" t="e">
        <f>IF(VLOOKUP(A125,WEB_Database!A:F,16,FALSE)=D125,"yes","no")</f>
        <v>#REF!</v>
      </c>
      <c r="F125" t="e">
        <f>IF(E125 = "no",VLOOKUP(A125,WEB_Database!A:F,16,FALSE),"")</f>
        <v>#REF!</v>
      </c>
    </row>
    <row r="126" spans="1:6">
      <c r="A126" s="292" t="s">
        <v>3444</v>
      </c>
      <c r="B126" s="304" t="str">
        <f>IF(ISNA(VLOOKUP(A126, WEB_Database!A:A, 1, FALSE)), "Not Found", "Found")</f>
        <v>Found</v>
      </c>
      <c r="C126" s="304" t="str">
        <f t="shared" si="1"/>
        <v>No</v>
      </c>
      <c r="D126" s="290" t="s">
        <v>3667</v>
      </c>
      <c r="E126" t="e">
        <f>IF(VLOOKUP(A126,WEB_Database!A:F,16,FALSE)=D126,"yes","no")</f>
        <v>#REF!</v>
      </c>
      <c r="F126" t="e">
        <f>IF(E126 = "no",VLOOKUP(A126,WEB_Database!A:F,16,FALSE),"")</f>
        <v>#REF!</v>
      </c>
    </row>
    <row r="127" spans="1:6">
      <c r="A127" s="292" t="s">
        <v>3106</v>
      </c>
      <c r="B127" s="304" t="str">
        <f>IF(ISNA(VLOOKUP(A127, WEB_Database!A:A, 1, FALSE)), "Not Found", "Found")</f>
        <v>Found</v>
      </c>
      <c r="C127" s="304" t="str">
        <f t="shared" si="1"/>
        <v>No</v>
      </c>
      <c r="D127" s="290" t="s">
        <v>1458</v>
      </c>
      <c r="E127" t="e">
        <f>IF(VLOOKUP(A127,WEB_Database!A:F,16,FALSE)=D127,"yes","no")</f>
        <v>#REF!</v>
      </c>
      <c r="F127" t="e">
        <f>IF(E127 = "no",VLOOKUP(A127,WEB_Database!A:F,16,FALSE),"")</f>
        <v>#REF!</v>
      </c>
    </row>
    <row r="128" spans="1:6">
      <c r="A128" s="292" t="s">
        <v>3108</v>
      </c>
      <c r="B128" s="304" t="str">
        <f>IF(ISNA(VLOOKUP(A128, WEB_Database!A:A, 1, FALSE)), "Not Found", "Found")</f>
        <v>Found</v>
      </c>
      <c r="C128" s="304" t="str">
        <f t="shared" si="1"/>
        <v>No</v>
      </c>
      <c r="D128" s="290" t="s">
        <v>1458</v>
      </c>
      <c r="E128" t="e">
        <f>IF(VLOOKUP(A128,WEB_Database!A:F,16,FALSE)=D128,"yes","no")</f>
        <v>#REF!</v>
      </c>
      <c r="F128" t="e">
        <f>IF(E128 = "no",VLOOKUP(A128,WEB_Database!A:F,16,FALSE),"")</f>
        <v>#REF!</v>
      </c>
    </row>
    <row r="129" spans="1:6">
      <c r="A129" s="292" t="s">
        <v>3445</v>
      </c>
      <c r="B129" s="304" t="str">
        <f>IF(ISNA(VLOOKUP(A129, WEB_Database!A:A, 1, FALSE)), "Not Found", "Found")</f>
        <v>Found</v>
      </c>
      <c r="C129" s="304" t="str">
        <f t="shared" si="1"/>
        <v>No</v>
      </c>
      <c r="D129" s="290" t="s">
        <v>3667</v>
      </c>
      <c r="E129" t="e">
        <f>IF(VLOOKUP(A129,WEB_Database!A:F,16,FALSE)=D129,"yes","no")</f>
        <v>#REF!</v>
      </c>
      <c r="F129" t="e">
        <f>IF(E129 = "no",VLOOKUP(A129,WEB_Database!A:F,16,FALSE),"")</f>
        <v>#REF!</v>
      </c>
    </row>
    <row r="130" spans="1:6">
      <c r="A130" s="292" t="s">
        <v>3446</v>
      </c>
      <c r="B130" s="304" t="str">
        <f>IF(ISNA(VLOOKUP(A130, WEB_Database!A:A, 1, FALSE)), "Not Found", "Found")</f>
        <v>Found</v>
      </c>
      <c r="C130" s="304" t="str">
        <f t="shared" si="1"/>
        <v>No</v>
      </c>
      <c r="D130" s="290" t="s">
        <v>3667</v>
      </c>
      <c r="E130" t="e">
        <f>IF(VLOOKUP(A130,WEB_Database!A:F,16,FALSE)=D130,"yes","no")</f>
        <v>#REF!</v>
      </c>
      <c r="F130" t="e">
        <f>IF(E130 = "no",VLOOKUP(A130,WEB_Database!A:F,16,FALSE),"")</f>
        <v>#REF!</v>
      </c>
    </row>
    <row r="131" spans="1:6">
      <c r="A131" s="292" t="s">
        <v>3447</v>
      </c>
      <c r="B131" s="304" t="str">
        <f>IF(ISNA(VLOOKUP(A131, WEB_Database!A:A, 1, FALSE)), "Not Found", "Found")</f>
        <v>Found</v>
      </c>
      <c r="C131" s="304" t="str">
        <f t="shared" ref="C131:C194" si="2">IF(ISNA(VLOOKUP(A131, A132:A729, 1, FALSE)), "No", "Yes")</f>
        <v>No</v>
      </c>
      <c r="D131" s="290" t="s">
        <v>1458</v>
      </c>
      <c r="E131" t="e">
        <f>IF(VLOOKUP(A131,WEB_Database!A:F,16,FALSE)=D131,"yes","no")</f>
        <v>#REF!</v>
      </c>
      <c r="F131" t="e">
        <f>IF(E131 = "no",VLOOKUP(A131,WEB_Database!A:F,16,FALSE),"")</f>
        <v>#REF!</v>
      </c>
    </row>
    <row r="132" spans="1:6" ht="15">
      <c r="A132" s="296" t="s">
        <v>3448</v>
      </c>
      <c r="B132" s="304" t="str">
        <f>IF(ISNA(VLOOKUP(A132, WEB_Database!A:A, 1, FALSE)), "Not Found", "Found")</f>
        <v>Found</v>
      </c>
      <c r="C132" s="304" t="str">
        <f t="shared" si="2"/>
        <v>No</v>
      </c>
      <c r="D132" s="290" t="s">
        <v>1458</v>
      </c>
      <c r="E132" t="e">
        <f>IF(VLOOKUP(A132,WEB_Database!A:F,16,FALSE)=D132,"yes","no")</f>
        <v>#REF!</v>
      </c>
      <c r="F132" t="e">
        <f>IF(E132 = "no",VLOOKUP(A132,WEB_Database!A:F,16,FALSE),"")</f>
        <v>#REF!</v>
      </c>
    </row>
    <row r="133" spans="1:6" ht="15">
      <c r="A133" s="296" t="s">
        <v>3449</v>
      </c>
      <c r="B133" s="304" t="str">
        <f>IF(ISNA(VLOOKUP(A133, WEB_Database!A:A, 1, FALSE)), "Not Found", "Found")</f>
        <v>Found</v>
      </c>
      <c r="C133" s="304" t="str">
        <f t="shared" si="2"/>
        <v>No</v>
      </c>
      <c r="D133" s="290" t="s">
        <v>1458</v>
      </c>
      <c r="E133" t="e">
        <f>IF(VLOOKUP(A133,WEB_Database!A:F,16,FALSE)=D133,"yes","no")</f>
        <v>#REF!</v>
      </c>
      <c r="F133" t="e">
        <f>IF(E133 = "no",VLOOKUP(A133,WEB_Database!A:F,16,FALSE),"")</f>
        <v>#REF!</v>
      </c>
    </row>
    <row r="134" spans="1:6" ht="15">
      <c r="A134" s="296" t="s">
        <v>3450</v>
      </c>
      <c r="B134" s="304" t="str">
        <f>IF(ISNA(VLOOKUP(A134, WEB_Database!A:A, 1, FALSE)), "Not Found", "Found")</f>
        <v>Found</v>
      </c>
      <c r="C134" s="304" t="str">
        <f t="shared" si="2"/>
        <v>No</v>
      </c>
      <c r="D134" s="290" t="s">
        <v>1458</v>
      </c>
      <c r="E134" t="e">
        <f>IF(VLOOKUP(A134,WEB_Database!A:F,16,FALSE)=D134,"yes","no")</f>
        <v>#REF!</v>
      </c>
      <c r="F134" t="e">
        <f>IF(E134 = "no",VLOOKUP(A134,WEB_Database!A:F,16,FALSE),"")</f>
        <v>#REF!</v>
      </c>
    </row>
    <row r="135" spans="1:6" ht="15">
      <c r="A135" s="296" t="s">
        <v>3451</v>
      </c>
      <c r="B135" s="304" t="str">
        <f>IF(ISNA(VLOOKUP(A135, WEB_Database!A:A, 1, FALSE)), "Not Found", "Found")</f>
        <v>Found</v>
      </c>
      <c r="C135" s="304" t="str">
        <f t="shared" si="2"/>
        <v>No</v>
      </c>
      <c r="D135" s="290" t="s">
        <v>3669</v>
      </c>
      <c r="E135" t="e">
        <f>IF(VLOOKUP(A135,WEB_Database!A:F,16,FALSE)=D135,"yes","no")</f>
        <v>#REF!</v>
      </c>
      <c r="F135" t="e">
        <f>IF(E135 = "no",VLOOKUP(A135,WEB_Database!A:F,16,FALSE),"")</f>
        <v>#REF!</v>
      </c>
    </row>
    <row r="136" spans="1:6" ht="15">
      <c r="A136" s="296" t="s">
        <v>3452</v>
      </c>
      <c r="B136" s="304" t="str">
        <f>IF(ISNA(VLOOKUP(A136, WEB_Database!A:A, 1, FALSE)), "Not Found", "Found")</f>
        <v>Found</v>
      </c>
      <c r="C136" s="304" t="str">
        <f t="shared" si="2"/>
        <v>No</v>
      </c>
      <c r="D136" s="290" t="s">
        <v>3669</v>
      </c>
      <c r="E136" t="e">
        <f>IF(VLOOKUP(A136,WEB_Database!A:F,16,FALSE)=D136,"yes","no")</f>
        <v>#REF!</v>
      </c>
      <c r="F136" t="e">
        <f>IF(E136 = "no",VLOOKUP(A136,WEB_Database!A:F,16,FALSE),"")</f>
        <v>#REF!</v>
      </c>
    </row>
    <row r="137" spans="1:6" ht="15">
      <c r="A137" s="296" t="s">
        <v>2813</v>
      </c>
      <c r="B137" s="304" t="str">
        <f>IF(ISNA(VLOOKUP(A137, WEB_Database!A:A, 1, FALSE)), "Not Found", "Found")</f>
        <v>Found</v>
      </c>
      <c r="C137" s="304" t="str">
        <f t="shared" si="2"/>
        <v>No</v>
      </c>
      <c r="D137" s="290" t="s">
        <v>3669</v>
      </c>
      <c r="E137" t="e">
        <f>IF(VLOOKUP(A137,WEB_Database!A:F,16,FALSE)=D137,"yes","no")</f>
        <v>#REF!</v>
      </c>
      <c r="F137" t="e">
        <f>IF(E137 = "no",VLOOKUP(A137,WEB_Database!A:F,16,FALSE),"")</f>
        <v>#REF!</v>
      </c>
    </row>
    <row r="138" spans="1:6" ht="15">
      <c r="A138" s="296" t="s">
        <v>3453</v>
      </c>
      <c r="B138" s="304" t="str">
        <f>IF(ISNA(VLOOKUP(A138, WEB_Database!A:A, 1, FALSE)), "Not Found", "Found")</f>
        <v>Found</v>
      </c>
      <c r="C138" s="304" t="str">
        <f t="shared" si="2"/>
        <v>No</v>
      </c>
      <c r="D138" s="306" t="s">
        <v>3669</v>
      </c>
      <c r="E138" t="e">
        <f>IF(VLOOKUP(A138,WEB_Database!A:F,16,FALSE)=D138,"yes","no")</f>
        <v>#REF!</v>
      </c>
      <c r="F138" t="e">
        <f>IF(E138 = "no",VLOOKUP(A138,WEB_Database!A:F,16,FALSE),"")</f>
        <v>#REF!</v>
      </c>
    </row>
    <row r="139" spans="1:6" ht="15">
      <c r="A139" s="296" t="s">
        <v>3454</v>
      </c>
      <c r="B139" s="304" t="str">
        <f>IF(ISNA(VLOOKUP(A139, WEB_Database!A:A, 1, FALSE)), "Not Found", "Found")</f>
        <v>Found</v>
      </c>
      <c r="C139" s="304" t="str">
        <f t="shared" si="2"/>
        <v>No</v>
      </c>
      <c r="D139" s="306" t="s">
        <v>1458</v>
      </c>
      <c r="E139" t="e">
        <f>IF(VLOOKUP(A139,WEB_Database!A:F,16,FALSE)=D139,"yes","no")</f>
        <v>#REF!</v>
      </c>
      <c r="F139" t="e">
        <f>IF(E139 = "no",VLOOKUP(A139,WEB_Database!A:F,16,FALSE),"")</f>
        <v>#REF!</v>
      </c>
    </row>
    <row r="140" spans="1:6" ht="15">
      <c r="A140" s="297" t="s">
        <v>3455</v>
      </c>
      <c r="B140" s="304" t="str">
        <f>IF(ISNA(VLOOKUP(A140, WEB_Database!A:A, 1, FALSE)), "Not Found", "Found")</f>
        <v>Not Found</v>
      </c>
      <c r="C140" s="304" t="str">
        <f t="shared" si="2"/>
        <v>No</v>
      </c>
      <c r="D140" s="294" t="s">
        <v>3665</v>
      </c>
      <c r="E140" t="e">
        <f>IF(VLOOKUP(A140,WEB_Database!A:F,16,FALSE)=D140,"yes","no")</f>
        <v>#N/A</v>
      </c>
      <c r="F140" t="e">
        <f>IF(E140 = "no",VLOOKUP(A140,WEB_Database!A:F,16,FALSE),"")</f>
        <v>#N/A</v>
      </c>
    </row>
    <row r="141" spans="1:6" ht="15">
      <c r="A141" s="296" t="s">
        <v>3456</v>
      </c>
      <c r="B141" s="304" t="str">
        <f>IF(ISNA(VLOOKUP(A141, WEB_Database!A:A, 1, FALSE)), "Not Found", "Found")</f>
        <v>Found</v>
      </c>
      <c r="C141" s="304" t="str">
        <f t="shared" si="2"/>
        <v>No</v>
      </c>
      <c r="D141" s="290" t="s">
        <v>1458</v>
      </c>
      <c r="E141" t="e">
        <f>IF(VLOOKUP(A141,WEB_Database!A:F,16,FALSE)=D141,"yes","no")</f>
        <v>#REF!</v>
      </c>
      <c r="F141" t="e">
        <f>IF(E141 = "no",VLOOKUP(A141,WEB_Database!A:F,16,FALSE),"")</f>
        <v>#REF!</v>
      </c>
    </row>
    <row r="142" spans="1:6" ht="15">
      <c r="A142" s="297" t="s">
        <v>3457</v>
      </c>
      <c r="B142" s="304" t="str">
        <f>IF(ISNA(VLOOKUP(A142, WEB_Database!A:A, 1, FALSE)), "Not Found", "Found")</f>
        <v>Not Found</v>
      </c>
      <c r="C142" s="304" t="str">
        <f t="shared" si="2"/>
        <v>No</v>
      </c>
      <c r="D142" s="294" t="s">
        <v>3665</v>
      </c>
      <c r="E142" t="e">
        <f>IF(VLOOKUP(A142,WEB_Database!A:F,16,FALSE)=D142,"yes","no")</f>
        <v>#N/A</v>
      </c>
      <c r="F142" t="e">
        <f>IF(E142 = "no",VLOOKUP(A142,WEB_Database!A:F,16,FALSE),"")</f>
        <v>#N/A</v>
      </c>
    </row>
    <row r="143" spans="1:6" ht="15">
      <c r="A143" s="296" t="s">
        <v>1893</v>
      </c>
      <c r="B143" s="304" t="str">
        <f>IF(ISNA(VLOOKUP(A143, WEB_Database!A:A, 1, FALSE)), "Not Found", "Found")</f>
        <v>Found</v>
      </c>
      <c r="C143" s="304" t="str">
        <f t="shared" si="2"/>
        <v>No</v>
      </c>
      <c r="D143" s="290" t="s">
        <v>1876</v>
      </c>
      <c r="E143" t="e">
        <f>IF(VLOOKUP(A143,WEB_Database!A:F,16,FALSE)=D143,"yes","no")</f>
        <v>#REF!</v>
      </c>
      <c r="F143" t="e">
        <f>IF(E143 = "no",VLOOKUP(A143,WEB_Database!A:F,16,FALSE),"")</f>
        <v>#REF!</v>
      </c>
    </row>
    <row r="144" spans="1:6" ht="15">
      <c r="A144" s="296" t="s">
        <v>3458</v>
      </c>
      <c r="B144" s="304" t="str">
        <f>IF(ISNA(VLOOKUP(A144, WEB_Database!A:A, 1, FALSE)), "Not Found", "Found")</f>
        <v>Found</v>
      </c>
      <c r="C144" s="304" t="str">
        <f t="shared" si="2"/>
        <v>No</v>
      </c>
      <c r="D144" s="290" t="s">
        <v>3670</v>
      </c>
      <c r="E144" t="e">
        <f>IF(VLOOKUP(A144,WEB_Database!A:F,16,FALSE)=D144,"yes","no")</f>
        <v>#REF!</v>
      </c>
      <c r="F144" t="e">
        <f>IF(E144 = "no",VLOOKUP(A144,WEB_Database!A:F,16,FALSE),"")</f>
        <v>#REF!</v>
      </c>
    </row>
    <row r="145" spans="1:7" ht="15">
      <c r="A145" s="296" t="s">
        <v>3109</v>
      </c>
      <c r="B145" s="304" t="str">
        <f>IF(ISNA(VLOOKUP(A145, WEB_Database!A:A, 1, FALSE)), "Not Found", "Found")</f>
        <v>Found</v>
      </c>
      <c r="C145" s="304" t="str">
        <f t="shared" si="2"/>
        <v>No</v>
      </c>
      <c r="D145" s="290" t="s">
        <v>3665</v>
      </c>
      <c r="E145" t="e">
        <f>IF(VLOOKUP(A145,WEB_Database!A:F,16,FALSE)=D145,"yes","no")</f>
        <v>#REF!</v>
      </c>
      <c r="F145" t="s">
        <v>3683</v>
      </c>
    </row>
    <row r="146" spans="1:7" ht="15">
      <c r="A146" s="296" t="s">
        <v>3110</v>
      </c>
      <c r="B146" s="304" t="str">
        <f>IF(ISNA(VLOOKUP(A146, WEB_Database!A:A, 1, FALSE)), "Not Found", "Found")</f>
        <v>Found</v>
      </c>
      <c r="C146" s="304" t="str">
        <f t="shared" si="2"/>
        <v>No</v>
      </c>
      <c r="D146" s="290" t="s">
        <v>3665</v>
      </c>
      <c r="E146" t="e">
        <f>IF(VLOOKUP(A146,WEB_Database!A:F,16,FALSE)=D146,"yes","no")</f>
        <v>#REF!</v>
      </c>
      <c r="F146" t="s">
        <v>3683</v>
      </c>
    </row>
    <row r="147" spans="1:7" ht="15">
      <c r="A147" s="296" t="s">
        <v>3459</v>
      </c>
      <c r="B147" s="304" t="str">
        <f>IF(ISNA(VLOOKUP(A147, WEB_Database!A:A, 1, FALSE)), "Not Found", "Found")</f>
        <v>Found</v>
      </c>
      <c r="C147" s="304" t="str">
        <f t="shared" si="2"/>
        <v>No</v>
      </c>
      <c r="D147" s="290" t="s">
        <v>3670</v>
      </c>
      <c r="E147" t="e">
        <f>IF(VLOOKUP(A147,WEB_Database!A:F,16,FALSE)=D147,"yes","no")</f>
        <v>#REF!</v>
      </c>
      <c r="F147" t="e">
        <f>IF(E147 = "no",VLOOKUP(A147,WEB_Database!A:F,16,FALSE),"")</f>
        <v>#REF!</v>
      </c>
    </row>
    <row r="148" spans="1:7" ht="15">
      <c r="A148" s="296" t="s">
        <v>3460</v>
      </c>
      <c r="B148" s="304" t="str">
        <f>IF(ISNA(VLOOKUP(A148, WEB_Database!A:A, 1, FALSE)), "Not Found", "Found")</f>
        <v>Found</v>
      </c>
      <c r="C148" s="304" t="str">
        <f t="shared" si="2"/>
        <v>No</v>
      </c>
      <c r="D148" s="290" t="s">
        <v>3670</v>
      </c>
      <c r="E148" t="e">
        <f>IF(VLOOKUP(A148,WEB_Database!A:F,16,FALSE)=D148,"yes","no")</f>
        <v>#REF!</v>
      </c>
      <c r="F148" t="e">
        <f>IF(E148 = "no",VLOOKUP(A148,WEB_Database!A:F,16,FALSE),"")</f>
        <v>#REF!</v>
      </c>
    </row>
    <row r="149" spans="1:7" ht="15">
      <c r="A149" s="296" t="s">
        <v>3461</v>
      </c>
      <c r="B149" s="304" t="str">
        <f>IF(ISNA(VLOOKUP(A149, WEB_Database!A:A, 1, FALSE)), "Not Found", "Found")</f>
        <v>Found</v>
      </c>
      <c r="C149" s="304" t="str">
        <f t="shared" si="2"/>
        <v>No</v>
      </c>
      <c r="D149" s="306" t="s">
        <v>1458</v>
      </c>
      <c r="E149" t="e">
        <f>IF(VLOOKUP(A149,WEB_Database!A:F,16,FALSE)=D149,"yes","no")</f>
        <v>#REF!</v>
      </c>
      <c r="F149" t="e">
        <f>IF(E149 = "no",VLOOKUP(A149,WEB_Database!A:F,16,FALSE),"")</f>
        <v>#REF!</v>
      </c>
    </row>
    <row r="150" spans="1:7" ht="15">
      <c r="A150" s="296" t="s">
        <v>3462</v>
      </c>
      <c r="B150" s="304" t="str">
        <f>IF(ISNA(VLOOKUP(A150, WEB_Database!A:A, 1, FALSE)), "Not Found", "Found")</f>
        <v>Found</v>
      </c>
      <c r="C150" s="304" t="str">
        <f t="shared" si="2"/>
        <v>No</v>
      </c>
      <c r="D150" s="306" t="s">
        <v>1458</v>
      </c>
      <c r="E150" t="e">
        <f>IF(VLOOKUP(A150,WEB_Database!A:F,16,FALSE)=D150,"yes","no")</f>
        <v>#REF!</v>
      </c>
      <c r="F150" t="e">
        <f>IF(E150 = "no",VLOOKUP(A150,WEB_Database!A:F,16,FALSE),"")</f>
        <v>#REF!</v>
      </c>
    </row>
    <row r="151" spans="1:7" ht="15">
      <c r="A151" s="296" t="s">
        <v>3463</v>
      </c>
      <c r="B151" s="304" t="str">
        <f>IF(ISNA(VLOOKUP(A151, WEB_Database!A:A, 1, FALSE)), "Not Found", "Found")</f>
        <v>Found</v>
      </c>
      <c r="C151" s="304" t="str">
        <f t="shared" si="2"/>
        <v>No</v>
      </c>
      <c r="D151" s="306" t="s">
        <v>1458</v>
      </c>
      <c r="E151" t="e">
        <f>IF(VLOOKUP(A151,WEB_Database!A:F,16,FALSE)=D151,"yes","no")</f>
        <v>#REF!</v>
      </c>
      <c r="F151" t="e">
        <f>IF(E151 = "no",VLOOKUP(A151,WEB_Database!A:F,16,FALSE),"")</f>
        <v>#REF!</v>
      </c>
    </row>
    <row r="152" spans="1:7" ht="15">
      <c r="A152" s="296" t="s">
        <v>3464</v>
      </c>
      <c r="B152" s="304" t="str">
        <f>IF(ISNA(VLOOKUP(A152, WEB_Database!A:A, 1, FALSE)), "Not Found", "Found")</f>
        <v>Found</v>
      </c>
      <c r="C152" s="304" t="str">
        <f t="shared" si="2"/>
        <v>No</v>
      </c>
      <c r="D152" s="306" t="s">
        <v>1458</v>
      </c>
      <c r="E152" t="e">
        <f>IF(VLOOKUP(A152,WEB_Database!A:F,16,FALSE)=D152,"yes","no")</f>
        <v>#REF!</v>
      </c>
      <c r="F152" t="e">
        <f>IF(E152 = "no",VLOOKUP(A152,WEB_Database!A:F,16,FALSE),"")</f>
        <v>#REF!</v>
      </c>
    </row>
    <row r="153" spans="1:7" ht="15">
      <c r="A153" s="296" t="s">
        <v>1890</v>
      </c>
      <c r="B153" s="304" t="str">
        <f>IF(ISNA(VLOOKUP(A153, WEB_Database!A:A, 1, FALSE)), "Not Found", "Found")</f>
        <v>Found</v>
      </c>
      <c r="C153" s="304" t="str">
        <f t="shared" si="2"/>
        <v>No</v>
      </c>
      <c r="D153" s="306" t="s">
        <v>1876</v>
      </c>
      <c r="E153" t="e">
        <f>IF(VLOOKUP(A153,WEB_Database!A:F,16,FALSE)=D153,"yes","no")</f>
        <v>#REF!</v>
      </c>
      <c r="F153" t="e">
        <f>IF(E153 = "no",VLOOKUP(A153,WEB_Database!A:F,16,FALSE),"")</f>
        <v>#REF!</v>
      </c>
      <c r="G153" s="298" t="s">
        <v>3671</v>
      </c>
    </row>
    <row r="154" spans="1:7" ht="15">
      <c r="A154" s="296" t="s">
        <v>3465</v>
      </c>
      <c r="B154" s="304" t="str">
        <f>IF(ISNA(VLOOKUP(A154, WEB_Database!A:A, 1, FALSE)), "Not Found", "Found")</f>
        <v>Found</v>
      </c>
      <c r="C154" s="304" t="str">
        <f t="shared" si="2"/>
        <v>No</v>
      </c>
      <c r="D154" s="307" t="s">
        <v>3465</v>
      </c>
      <c r="E154" t="e">
        <f>IF(VLOOKUP(A154,WEB_Database!A:F,16,FALSE)=D154,"yes","no")</f>
        <v>#REF!</v>
      </c>
      <c r="F154" t="e">
        <f>IF(E154 = "no",VLOOKUP(A154,WEB_Database!A:F,16,FALSE),"")</f>
        <v>#REF!</v>
      </c>
      <c r="G154" s="305" t="s">
        <v>3672</v>
      </c>
    </row>
    <row r="155" spans="1:7" ht="15">
      <c r="A155" s="296" t="s">
        <v>3466</v>
      </c>
      <c r="B155" s="304" t="str">
        <f>IF(ISNA(VLOOKUP(A155, WEB_Database!A:A, 1, FALSE)), "Not Found", "Found")</f>
        <v>Found</v>
      </c>
      <c r="C155" s="304" t="str">
        <f t="shared" si="2"/>
        <v>No</v>
      </c>
      <c r="D155" s="306" t="s">
        <v>1458</v>
      </c>
      <c r="E155" t="e">
        <f>IF(VLOOKUP(A155,WEB_Database!A:F,16,FALSE)=D155,"yes","no")</f>
        <v>#REF!</v>
      </c>
      <c r="F155" t="e">
        <f>IF(E155 = "no",VLOOKUP(A155,WEB_Database!A:F,16,FALSE),"")</f>
        <v>#REF!</v>
      </c>
      <c r="G155" s="298" t="s">
        <v>3671</v>
      </c>
    </row>
    <row r="156" spans="1:7" ht="15">
      <c r="A156" s="296" t="s">
        <v>3467</v>
      </c>
      <c r="B156" s="304" t="str">
        <f>IF(ISNA(VLOOKUP(A156, WEB_Database!A:A, 1, FALSE)), "Not Found", "Found")</f>
        <v>Found</v>
      </c>
      <c r="C156" s="304" t="str">
        <f t="shared" si="2"/>
        <v>No</v>
      </c>
      <c r="D156" s="306" t="s">
        <v>1458</v>
      </c>
      <c r="E156" t="e">
        <f>IF(VLOOKUP(A156,WEB_Database!A:F,16,FALSE)=D156,"yes","no")</f>
        <v>#REF!</v>
      </c>
      <c r="F156" t="e">
        <f>IF(E156 = "no",VLOOKUP(A156,WEB_Database!A:F,16,FALSE),"")</f>
        <v>#REF!</v>
      </c>
      <c r="G156" s="305" t="s">
        <v>3672</v>
      </c>
    </row>
    <row r="157" spans="1:7" ht="15">
      <c r="A157" s="296" t="s">
        <v>3468</v>
      </c>
      <c r="B157" s="304" t="str">
        <f>IF(ISNA(VLOOKUP(A157, WEB_Database!A:A, 1, FALSE)), "Not Found", "Found")</f>
        <v>Found</v>
      </c>
      <c r="C157" s="304" t="str">
        <f t="shared" si="2"/>
        <v>No</v>
      </c>
      <c r="D157" s="306" t="s">
        <v>1458</v>
      </c>
      <c r="E157" t="e">
        <f>IF(VLOOKUP(A157,WEB_Database!A:F,16,FALSE)=D157,"yes","no")</f>
        <v>#REF!</v>
      </c>
      <c r="F157" t="e">
        <f>IF(E157 = "no",VLOOKUP(A157,WEB_Database!A:F,16,FALSE),"")</f>
        <v>#REF!</v>
      </c>
    </row>
    <row r="158" spans="1:7" ht="15">
      <c r="A158" s="296" t="s">
        <v>3469</v>
      </c>
      <c r="B158" s="304" t="str">
        <f>IF(ISNA(VLOOKUP(A158, WEB_Database!A:A, 1, FALSE)), "Not Found", "Found")</f>
        <v>Found</v>
      </c>
      <c r="C158" s="304" t="str">
        <f t="shared" si="2"/>
        <v>No</v>
      </c>
      <c r="D158" s="306" t="s">
        <v>1458</v>
      </c>
      <c r="E158" t="e">
        <f>IF(VLOOKUP(A158,WEB_Database!A:F,16,FALSE)=D158,"yes","no")</f>
        <v>#REF!</v>
      </c>
      <c r="F158" t="e">
        <f>IF(E158 = "no",VLOOKUP(A158,WEB_Database!A:F,16,FALSE),"")</f>
        <v>#REF!</v>
      </c>
    </row>
    <row r="159" spans="1:7" ht="15">
      <c r="A159" s="296" t="s">
        <v>1503</v>
      </c>
      <c r="B159" s="304" t="str">
        <f>IF(ISNA(VLOOKUP(A159, WEB_Database!A:A, 1, FALSE)), "Not Found", "Found")</f>
        <v>Found</v>
      </c>
      <c r="C159" s="304" t="str">
        <f t="shared" si="2"/>
        <v>No</v>
      </c>
      <c r="D159" s="306" t="s">
        <v>1876</v>
      </c>
      <c r="E159" t="e">
        <f>IF(VLOOKUP(A159,WEB_Database!A:F,16,FALSE)=D159,"yes","no")</f>
        <v>#REF!</v>
      </c>
      <c r="F159" t="e">
        <f>IF(E159 = "no",VLOOKUP(A159,WEB_Database!A:F,16,FALSE),"")</f>
        <v>#REF!</v>
      </c>
    </row>
    <row r="160" spans="1:7" ht="15">
      <c r="A160" s="296" t="s">
        <v>1887</v>
      </c>
      <c r="B160" s="304" t="str">
        <f>IF(ISNA(VLOOKUP(A160, WEB_Database!A:A, 1, FALSE)), "Not Found", "Found")</f>
        <v>Found</v>
      </c>
      <c r="C160" s="304" t="str">
        <f t="shared" si="2"/>
        <v>No</v>
      </c>
      <c r="D160" s="306" t="s">
        <v>1876</v>
      </c>
      <c r="E160" t="e">
        <f>IF(VLOOKUP(A160,WEB_Database!A:F,16,FALSE)=D160,"yes","no")</f>
        <v>#REF!</v>
      </c>
      <c r="F160" t="e">
        <f>IF(E160 = "no",VLOOKUP(A160,WEB_Database!A:F,16,FALSE),"")</f>
        <v>#REF!</v>
      </c>
    </row>
    <row r="161" spans="1:6" ht="15">
      <c r="A161" s="296" t="s">
        <v>1889</v>
      </c>
      <c r="B161" s="304" t="str">
        <f>IF(ISNA(VLOOKUP(A161, WEB_Database!A:A, 1, FALSE)), "Not Found", "Found")</f>
        <v>Found</v>
      </c>
      <c r="C161" s="304" t="str">
        <f t="shared" si="2"/>
        <v>No</v>
      </c>
      <c r="D161" s="306" t="s">
        <v>1876</v>
      </c>
      <c r="E161" t="e">
        <f>IF(VLOOKUP(A161,WEB_Database!A:F,16,FALSE)=D161,"yes","no")</f>
        <v>#REF!</v>
      </c>
      <c r="F161" t="e">
        <f>IF(E161 = "no",VLOOKUP(A161,WEB_Database!A:F,16,FALSE),"")</f>
        <v>#REF!</v>
      </c>
    </row>
    <row r="162" spans="1:6" ht="15">
      <c r="A162" s="296" t="s">
        <v>2025</v>
      </c>
      <c r="B162" s="304" t="str">
        <f>IF(ISNA(VLOOKUP(A162, WEB_Database!A:A, 1, FALSE)), "Not Found", "Found")</f>
        <v>Found</v>
      </c>
      <c r="C162" s="304" t="str">
        <f t="shared" si="2"/>
        <v>No</v>
      </c>
      <c r="D162" s="306" t="s">
        <v>2020</v>
      </c>
      <c r="E162" t="e">
        <f>IF(VLOOKUP(A162,WEB_Database!A:F,16,FALSE)=D162,"yes","no")</f>
        <v>#REF!</v>
      </c>
      <c r="F162" t="e">
        <f>IF(E162 = "no",VLOOKUP(A162,WEB_Database!A:F,16,FALSE),"")</f>
        <v>#REF!</v>
      </c>
    </row>
    <row r="163" spans="1:6" ht="15">
      <c r="A163" s="296" t="s">
        <v>2028</v>
      </c>
      <c r="B163" s="304" t="str">
        <f>IF(ISNA(VLOOKUP(A163, WEB_Database!A:A, 1, FALSE)), "Not Found", "Found")</f>
        <v>Found</v>
      </c>
      <c r="C163" s="304" t="str">
        <f t="shared" si="2"/>
        <v>No</v>
      </c>
      <c r="D163" s="306" t="s">
        <v>2020</v>
      </c>
      <c r="E163" t="e">
        <f>IF(VLOOKUP(A163,WEB_Database!A:F,16,FALSE)=D163,"yes","no")</f>
        <v>#REF!</v>
      </c>
      <c r="F163" t="e">
        <f>IF(E163 = "no",VLOOKUP(A163,WEB_Database!A:F,16,FALSE),"")</f>
        <v>#REF!</v>
      </c>
    </row>
    <row r="164" spans="1:6" ht="15">
      <c r="A164" s="296" t="s">
        <v>3470</v>
      </c>
      <c r="B164" s="304" t="str">
        <f>IF(ISNA(VLOOKUP(A164, WEB_Database!A:A, 1, FALSE)), "Not Found", "Found")</f>
        <v>Found</v>
      </c>
      <c r="C164" s="304" t="str">
        <f t="shared" si="2"/>
        <v>No</v>
      </c>
      <c r="D164" s="306" t="s">
        <v>3077</v>
      </c>
      <c r="E164" t="e">
        <f>IF(VLOOKUP(A164,WEB_Database!A:F,16,FALSE)=D164,"yes","no")</f>
        <v>#REF!</v>
      </c>
      <c r="F164" t="e">
        <f>IF(E164 = "no",VLOOKUP(A164,WEB_Database!A:F,16,FALSE),"")</f>
        <v>#REF!</v>
      </c>
    </row>
    <row r="165" spans="1:6" ht="15">
      <c r="A165" s="296" t="s">
        <v>3471</v>
      </c>
      <c r="B165" s="304" t="str">
        <f>IF(ISNA(VLOOKUP(A165, WEB_Database!A:A, 1, FALSE)), "Not Found", "Found")</f>
        <v>Found</v>
      </c>
      <c r="C165" s="304" t="str">
        <f t="shared" si="2"/>
        <v>No</v>
      </c>
      <c r="D165" s="290" t="s">
        <v>3077</v>
      </c>
      <c r="E165" t="e">
        <f>IF(VLOOKUP(A165,WEB_Database!A:F,16,FALSE)=D165,"yes","no")</f>
        <v>#REF!</v>
      </c>
      <c r="F165" t="e">
        <f>IF(E165 = "no",VLOOKUP(A165,WEB_Database!A:F,16,FALSE),"")</f>
        <v>#REF!</v>
      </c>
    </row>
    <row r="166" spans="1:6" ht="15">
      <c r="A166" s="296" t="s">
        <v>3472</v>
      </c>
      <c r="B166" s="304" t="str">
        <f>IF(ISNA(VLOOKUP(A166, WEB_Database!A:A, 1, FALSE)), "Not Found", "Found")</f>
        <v>Found</v>
      </c>
      <c r="C166" s="304" t="str">
        <f t="shared" si="2"/>
        <v>No</v>
      </c>
      <c r="D166" s="306" t="s">
        <v>3077</v>
      </c>
      <c r="E166" t="e">
        <f>IF(VLOOKUP(A166,WEB_Database!A:F,16,FALSE)=D166,"yes","no")</f>
        <v>#REF!</v>
      </c>
      <c r="F166" t="e">
        <f>IF(E166 = "no",VLOOKUP(A166,WEB_Database!A:F,16,FALSE),"")</f>
        <v>#REF!</v>
      </c>
    </row>
    <row r="167" spans="1:6" ht="15">
      <c r="A167" s="296" t="s">
        <v>3473</v>
      </c>
      <c r="B167" s="304" t="str">
        <f>IF(ISNA(VLOOKUP(A167, WEB_Database!A:A, 1, FALSE)), "Not Found", "Found")</f>
        <v>Found</v>
      </c>
      <c r="C167" s="304" t="str">
        <f t="shared" si="2"/>
        <v>No</v>
      </c>
      <c r="D167" s="306" t="s">
        <v>3077</v>
      </c>
      <c r="E167" t="e">
        <f>IF(VLOOKUP(A167,WEB_Database!A:F,16,FALSE)=D167,"yes","no")</f>
        <v>#REF!</v>
      </c>
      <c r="F167" t="e">
        <f>IF(E167 = "no",VLOOKUP(A167,WEB_Database!A:F,16,FALSE),"")</f>
        <v>#REF!</v>
      </c>
    </row>
    <row r="168" spans="1:6" ht="15">
      <c r="A168" s="296" t="s">
        <v>3156</v>
      </c>
      <c r="B168" s="304" t="str">
        <f>IF(ISNA(VLOOKUP(A168, WEB_Database!A:A, 1, FALSE)), "Not Found", "Found")</f>
        <v>Found</v>
      </c>
      <c r="C168" s="304" t="str">
        <f t="shared" si="2"/>
        <v>No</v>
      </c>
      <c r="D168" s="290" t="s">
        <v>3094</v>
      </c>
      <c r="E168" t="e">
        <f>IF(VLOOKUP(A168,WEB_Database!A:F,16,FALSE)=D168,"yes","no")</f>
        <v>#REF!</v>
      </c>
      <c r="F168" t="e">
        <f>IF(E168 = "no",VLOOKUP(A168,WEB_Database!A:F,16,FALSE),"")</f>
        <v>#REF!</v>
      </c>
    </row>
    <row r="169" spans="1:6" ht="15">
      <c r="A169" s="296" t="s">
        <v>3474</v>
      </c>
      <c r="B169" s="304" t="str">
        <f>IF(ISNA(VLOOKUP(A169, WEB_Database!A:A, 1, FALSE)), "Not Found", "Found")</f>
        <v>Found</v>
      </c>
      <c r="C169" s="304" t="str">
        <f t="shared" si="2"/>
        <v>No</v>
      </c>
      <c r="D169" s="290" t="s">
        <v>3077</v>
      </c>
      <c r="E169" t="e">
        <f>IF(VLOOKUP(A169,WEB_Database!A:F,16,FALSE)=D169,"yes","no")</f>
        <v>#REF!</v>
      </c>
      <c r="F169" t="e">
        <f>IF(E169 = "no",VLOOKUP(A169,WEB_Database!A:F,16,FALSE),"")</f>
        <v>#REF!</v>
      </c>
    </row>
    <row r="170" spans="1:6" ht="15">
      <c r="A170" s="296" t="s">
        <v>3475</v>
      </c>
      <c r="B170" s="304" t="str">
        <f>IF(ISNA(VLOOKUP(A170, WEB_Database!A:A, 1, FALSE)), "Not Found", "Found")</f>
        <v>Found</v>
      </c>
      <c r="C170" s="304" t="str">
        <f t="shared" si="2"/>
        <v>No</v>
      </c>
      <c r="D170" s="290" t="s">
        <v>3077</v>
      </c>
      <c r="E170" t="e">
        <f>IF(VLOOKUP(A170,WEB_Database!A:F,16,FALSE)=D170,"yes","no")</f>
        <v>#REF!</v>
      </c>
      <c r="F170" t="e">
        <f>IF(E170 = "no",VLOOKUP(A170,WEB_Database!A:F,16,FALSE),"")</f>
        <v>#REF!</v>
      </c>
    </row>
    <row r="171" spans="1:6" ht="15">
      <c r="A171" s="296" t="s">
        <v>3476</v>
      </c>
      <c r="B171" s="304" t="str">
        <f>IF(ISNA(VLOOKUP(A171, WEB_Database!A:A, 1, FALSE)), "Not Found", "Found")</f>
        <v>Found</v>
      </c>
      <c r="C171" s="304" t="str">
        <f t="shared" si="2"/>
        <v>No</v>
      </c>
      <c r="D171" s="290" t="s">
        <v>1463</v>
      </c>
      <c r="E171" t="e">
        <f>IF(VLOOKUP(A171,WEB_Database!A:F,16,FALSE)=D171,"yes","no")</f>
        <v>#REF!</v>
      </c>
      <c r="F171" t="e">
        <f>IF(E171 = "no",VLOOKUP(A171,WEB_Database!A:F,16,FALSE),"")</f>
        <v>#REF!</v>
      </c>
    </row>
    <row r="172" spans="1:6" ht="15">
      <c r="A172" s="296" t="s">
        <v>3477</v>
      </c>
      <c r="B172" s="304" t="str">
        <f>IF(ISNA(VLOOKUP(A172, WEB_Database!A:A, 1, FALSE)), "Not Found", "Found")</f>
        <v>Found</v>
      </c>
      <c r="C172" s="304" t="str">
        <f t="shared" si="2"/>
        <v>No</v>
      </c>
      <c r="D172" s="306" t="s">
        <v>3356</v>
      </c>
      <c r="E172" t="e">
        <f>IF(VLOOKUP(A172,WEB_Database!A:F,16,FALSE)=D172,"yes","no")</f>
        <v>#REF!</v>
      </c>
      <c r="F172" t="e">
        <f>IF(E172 = "no",VLOOKUP(A172,WEB_Database!A:F,16,FALSE),"")</f>
        <v>#REF!</v>
      </c>
    </row>
    <row r="173" spans="1:6" ht="15">
      <c r="A173" s="296" t="s">
        <v>3478</v>
      </c>
      <c r="B173" s="304" t="str">
        <f>IF(ISNA(VLOOKUP(A173, WEB_Database!A:A, 1, FALSE)), "Not Found", "Found")</f>
        <v>Found</v>
      </c>
      <c r="C173" s="304" t="str">
        <f t="shared" si="2"/>
        <v>No</v>
      </c>
      <c r="D173" s="306" t="s">
        <v>3356</v>
      </c>
      <c r="E173" t="e">
        <f>IF(VLOOKUP(A173,WEB_Database!A:F,16,FALSE)=D173,"yes","no")</f>
        <v>#REF!</v>
      </c>
      <c r="F173" t="e">
        <f>IF(E173 = "no",VLOOKUP(A173,WEB_Database!A:F,16,FALSE),"")</f>
        <v>#REF!</v>
      </c>
    </row>
    <row r="174" spans="1:6" ht="15">
      <c r="A174" s="296" t="s">
        <v>3479</v>
      </c>
      <c r="B174" s="304" t="str">
        <f>IF(ISNA(VLOOKUP(A174, WEB_Database!A:A, 1, FALSE)), "Not Found", "Found")</f>
        <v>Found</v>
      </c>
      <c r="C174" s="304" t="str">
        <f t="shared" si="2"/>
        <v>No</v>
      </c>
      <c r="D174" s="290" t="s">
        <v>1472</v>
      </c>
      <c r="E174" t="e">
        <f>IF(VLOOKUP(A174,WEB_Database!A:F,16,FALSE)=D174,"yes","no")</f>
        <v>#REF!</v>
      </c>
      <c r="F174" t="e">
        <f>IF(E174 = "no",VLOOKUP(A174,WEB_Database!A:F,16,FALSE),"")</f>
        <v>#REF!</v>
      </c>
    </row>
    <row r="175" spans="1:6" ht="15">
      <c r="A175" s="296" t="s">
        <v>3164</v>
      </c>
      <c r="B175" s="304" t="str">
        <f>IF(ISNA(VLOOKUP(A175, WEB_Database!A:A, 1, FALSE)), "Not Found", "Found")</f>
        <v>Found</v>
      </c>
      <c r="C175" s="304" t="str">
        <f t="shared" si="2"/>
        <v>No</v>
      </c>
      <c r="D175" s="290" t="s">
        <v>3094</v>
      </c>
      <c r="E175" t="e">
        <f>IF(VLOOKUP(A175,WEB_Database!A:F,16,FALSE)=D175,"yes","no")</f>
        <v>#REF!</v>
      </c>
      <c r="F175" t="e">
        <f>IF(E175 = "no",VLOOKUP(A175,WEB_Database!A:F,16,FALSE),"")</f>
        <v>#REF!</v>
      </c>
    </row>
    <row r="176" spans="1:6" ht="15">
      <c r="A176" s="296" t="s">
        <v>3167</v>
      </c>
      <c r="B176" s="304" t="str">
        <f>IF(ISNA(VLOOKUP(A176, WEB_Database!A:A, 1, FALSE)), "Not Found", "Found")</f>
        <v>Found</v>
      </c>
      <c r="C176" s="304" t="str">
        <f t="shared" si="2"/>
        <v>No</v>
      </c>
      <c r="D176" s="290" t="s">
        <v>3094</v>
      </c>
      <c r="E176" t="e">
        <f>IF(VLOOKUP(A176,WEB_Database!A:F,16,FALSE)=D176,"yes","no")</f>
        <v>#REF!</v>
      </c>
      <c r="F176" t="e">
        <f>IF(E176 = "no",VLOOKUP(A176,WEB_Database!A:F,16,FALSE),"")</f>
        <v>#REF!</v>
      </c>
    </row>
    <row r="177" spans="1:8" ht="15">
      <c r="A177" s="296" t="s">
        <v>3480</v>
      </c>
      <c r="B177" s="304" t="str">
        <f>IF(ISNA(VLOOKUP(A177, WEB_Database!A:A, 1, FALSE)), "Not Found", "Found")</f>
        <v>Found</v>
      </c>
      <c r="C177" s="304" t="str">
        <f t="shared" si="2"/>
        <v>No</v>
      </c>
      <c r="D177" s="290" t="s">
        <v>3076</v>
      </c>
      <c r="E177" t="e">
        <f>IF(VLOOKUP(A177,WEB_Database!A:F,16,FALSE)=D177,"yes","no")</f>
        <v>#REF!</v>
      </c>
      <c r="F177" t="e">
        <f>IF(E177 = "no",VLOOKUP(A177,WEB_Database!A:F,16,FALSE),"")</f>
        <v>#REF!</v>
      </c>
    </row>
    <row r="178" spans="1:8" ht="15">
      <c r="A178" s="296" t="s">
        <v>3481</v>
      </c>
      <c r="B178" s="304" t="str">
        <f>IF(ISNA(VLOOKUP(A178, WEB_Database!A:A, 1, FALSE)), "Not Found", "Found")</f>
        <v>Found</v>
      </c>
      <c r="C178" s="304" t="str">
        <f t="shared" si="2"/>
        <v>No</v>
      </c>
      <c r="D178" s="290" t="s">
        <v>3076</v>
      </c>
      <c r="E178" t="e">
        <f>IF(VLOOKUP(A178,WEB_Database!A:F,16,FALSE)=D178,"yes","no")</f>
        <v>#REF!</v>
      </c>
      <c r="F178" t="e">
        <f>IF(E178 = "no",VLOOKUP(A178,WEB_Database!A:F,16,FALSE),"")</f>
        <v>#REF!</v>
      </c>
    </row>
    <row r="179" spans="1:8" ht="15">
      <c r="A179" s="296" t="s">
        <v>3482</v>
      </c>
      <c r="B179" s="304" t="str">
        <f>IF(ISNA(VLOOKUP(A179, WEB_Database!A:A, 1, FALSE)), "Not Found", "Found")</f>
        <v>Found</v>
      </c>
      <c r="C179" s="304" t="str">
        <f t="shared" si="2"/>
        <v>No</v>
      </c>
      <c r="D179" s="290" t="s">
        <v>3076</v>
      </c>
      <c r="E179" t="e">
        <f>IF(VLOOKUP(A179,WEB_Database!A:F,16,FALSE)=D179,"yes","no")</f>
        <v>#REF!</v>
      </c>
      <c r="F179" t="e">
        <f>IF(E179 = "no",VLOOKUP(A179,WEB_Database!A:F,16,FALSE),"")</f>
        <v>#REF!</v>
      </c>
    </row>
    <row r="180" spans="1:8" ht="15">
      <c r="A180" s="296" t="s">
        <v>3483</v>
      </c>
      <c r="B180" s="304" t="str">
        <f>IF(ISNA(VLOOKUP(A180, WEB_Database!A:A, 1, FALSE)), "Not Found", "Found")</f>
        <v>Found</v>
      </c>
      <c r="C180" s="304" t="str">
        <f t="shared" si="2"/>
        <v>No</v>
      </c>
      <c r="D180" s="290" t="s">
        <v>3076</v>
      </c>
      <c r="E180" t="e">
        <f>IF(VLOOKUP(A180,WEB_Database!A:F,16,FALSE)=D180,"yes","no")</f>
        <v>#REF!</v>
      </c>
      <c r="F180" t="e">
        <f>IF(E180 = "no",VLOOKUP(A180,WEB_Database!A:F,16,FALSE),"")</f>
        <v>#REF!</v>
      </c>
    </row>
    <row r="181" spans="1:8" ht="15">
      <c r="A181" s="296" t="s">
        <v>3484</v>
      </c>
      <c r="B181" s="304" t="str">
        <f>IF(ISNA(VLOOKUP(A181, WEB_Database!A:A, 1, FALSE)), "Not Found", "Found")</f>
        <v>Found</v>
      </c>
      <c r="C181" s="304" t="str">
        <f t="shared" si="2"/>
        <v>No</v>
      </c>
      <c r="D181" s="290" t="s">
        <v>3076</v>
      </c>
      <c r="E181" t="e">
        <f>IF(VLOOKUP(A181,WEB_Database!A:F,16,FALSE)=D181,"yes","no")</f>
        <v>#REF!</v>
      </c>
      <c r="F181" t="e">
        <f>IF(E181 = "no",VLOOKUP(A181,WEB_Database!A:F,16,FALSE),"")</f>
        <v>#REF!</v>
      </c>
    </row>
    <row r="182" spans="1:8" ht="15">
      <c r="A182" s="300" t="s">
        <v>3485</v>
      </c>
      <c r="B182" s="304" t="str">
        <f>IF(ISNA(VLOOKUP(A182, WEB_Database!A:A, 1, FALSE)), "Not Found", "Found")</f>
        <v>Found</v>
      </c>
      <c r="C182" s="304" t="str">
        <f t="shared" si="2"/>
        <v>No</v>
      </c>
      <c r="D182" s="290" t="s">
        <v>3076</v>
      </c>
      <c r="F182" t="str">
        <f>IF(E182 = "no",VLOOKUP(A182,WEB_Database!A:F,16,FALSE),"")</f>
        <v/>
      </c>
    </row>
    <row r="183" spans="1:8" ht="15">
      <c r="A183" s="300" t="s">
        <v>3486</v>
      </c>
      <c r="B183" s="304" t="str">
        <f>IF(ISNA(VLOOKUP(A183, WEB_Database!A:A, 1, FALSE)), "Not Found", "Found")</f>
        <v>Found</v>
      </c>
      <c r="C183" s="304" t="str">
        <f t="shared" si="2"/>
        <v>No</v>
      </c>
      <c r="D183" s="298" t="s">
        <v>3094</v>
      </c>
      <c r="F183" t="str">
        <f>IF(E183 = "no",VLOOKUP(A183,WEB_Database!A:F,16,FALSE),"")</f>
        <v/>
      </c>
    </row>
    <row r="184" spans="1:8" ht="15">
      <c r="A184" s="300" t="s">
        <v>3487</v>
      </c>
      <c r="B184" s="304" t="str">
        <f>IF(ISNA(VLOOKUP(A184, WEB_Database!A:A, 1, FALSE)), "Not Found", "Found")</f>
        <v>Found</v>
      </c>
      <c r="C184" s="304" t="str">
        <f t="shared" si="2"/>
        <v>No</v>
      </c>
      <c r="D184" s="308" t="s">
        <v>3094</v>
      </c>
      <c r="F184" t="str">
        <f>IF(E184 = "no",VLOOKUP(A184,WEB_Database!A:F,16,FALSE),"")</f>
        <v/>
      </c>
      <c r="H184" s="300" t="s">
        <v>3485</v>
      </c>
    </row>
    <row r="185" spans="1:8" ht="15">
      <c r="A185" s="300" t="s">
        <v>3488</v>
      </c>
      <c r="B185" s="304" t="str">
        <f>IF(ISNA(VLOOKUP(A185, WEB_Database!A:A, 1, FALSE)), "Not Found", "Found")</f>
        <v>Found</v>
      </c>
      <c r="C185" s="304" t="str">
        <f t="shared" si="2"/>
        <v>No</v>
      </c>
      <c r="D185" s="308" t="s">
        <v>3094</v>
      </c>
      <c r="F185" t="str">
        <f>IF(E185 = "no",VLOOKUP(A185,WEB_Database!A:F,16,FALSE),"")</f>
        <v/>
      </c>
      <c r="H185" s="300" t="s">
        <v>3486</v>
      </c>
    </row>
    <row r="186" spans="1:8" ht="15">
      <c r="A186" s="300" t="s">
        <v>3489</v>
      </c>
      <c r="B186" s="304" t="str">
        <f>IF(ISNA(VLOOKUP(A186, WEB_Database!A:A, 1, FALSE)), "Not Found", "Found")</f>
        <v>Found</v>
      </c>
      <c r="C186" s="304" t="str">
        <f t="shared" si="2"/>
        <v>No</v>
      </c>
      <c r="D186" s="308" t="s">
        <v>3094</v>
      </c>
      <c r="F186" t="str">
        <f>IF(E186 = "no",VLOOKUP(A186,WEB_Database!A:F,16,FALSE),"")</f>
        <v/>
      </c>
      <c r="H186" s="300" t="s">
        <v>3487</v>
      </c>
    </row>
    <row r="187" spans="1:8" ht="15">
      <c r="A187" s="300" t="s">
        <v>3490</v>
      </c>
      <c r="B187" s="304" t="str">
        <f>IF(ISNA(VLOOKUP(A187, WEB_Database!A:A, 1, FALSE)), "Not Found", "Found")</f>
        <v>Found</v>
      </c>
      <c r="C187" s="304" t="str">
        <f t="shared" si="2"/>
        <v>No</v>
      </c>
      <c r="D187" s="308" t="s">
        <v>3094</v>
      </c>
      <c r="F187" t="str">
        <f>IF(E187 = "no",VLOOKUP(A187,WEB_Database!A:F,16,FALSE),"")</f>
        <v/>
      </c>
      <c r="H187" s="300" t="s">
        <v>3488</v>
      </c>
    </row>
    <row r="188" spans="1:8" ht="15">
      <c r="A188" s="300" t="s">
        <v>3491</v>
      </c>
      <c r="B188" s="304" t="str">
        <f>IF(ISNA(VLOOKUP(A188, WEB_Database!A:A, 1, FALSE)), "Not Found", "Found")</f>
        <v>Found</v>
      </c>
      <c r="C188" s="304" t="str">
        <f t="shared" si="2"/>
        <v>No</v>
      </c>
      <c r="D188" s="298" t="s">
        <v>3094</v>
      </c>
      <c r="F188" t="str">
        <f>IF(E188 = "no",VLOOKUP(A188,WEB_Database!A:F,16,FALSE),"")</f>
        <v/>
      </c>
      <c r="H188" s="300" t="s">
        <v>3489</v>
      </c>
    </row>
    <row r="189" spans="1:8" ht="15">
      <c r="A189" s="300" t="s">
        <v>3492</v>
      </c>
      <c r="B189" s="304" t="str">
        <f>IF(ISNA(VLOOKUP(A189, WEB_Database!A:A, 1, FALSE)), "Not Found", "Found")</f>
        <v>Found</v>
      </c>
      <c r="C189" s="304" t="str">
        <f t="shared" si="2"/>
        <v>No</v>
      </c>
      <c r="D189" s="298" t="s">
        <v>3094</v>
      </c>
      <c r="F189" t="str">
        <f>IF(E189 = "no",VLOOKUP(A189,WEB_Database!A:F,16,FALSE),"")</f>
        <v/>
      </c>
      <c r="H189" s="300" t="s">
        <v>3490</v>
      </c>
    </row>
    <row r="190" spans="1:8" ht="15">
      <c r="A190" s="300" t="s">
        <v>3493</v>
      </c>
      <c r="B190" s="304" t="str">
        <f>IF(ISNA(VLOOKUP(A190, WEB_Database!A:A, 1, FALSE)), "Not Found", "Found")</f>
        <v>Found</v>
      </c>
      <c r="C190" s="304" t="str">
        <f t="shared" si="2"/>
        <v>No</v>
      </c>
      <c r="D190" s="298" t="s">
        <v>3094</v>
      </c>
      <c r="F190" t="str">
        <f>IF(E190 = "no",VLOOKUP(A190,WEB_Database!A:F,16,FALSE),"")</f>
        <v/>
      </c>
      <c r="H190" s="300" t="s">
        <v>3491</v>
      </c>
    </row>
    <row r="191" spans="1:8" ht="15">
      <c r="A191" s="300" t="s">
        <v>3494</v>
      </c>
      <c r="B191" s="304" t="str">
        <f>IF(ISNA(VLOOKUP(A191, WEB_Database!A:A, 1, FALSE)), "Not Found", "Found")</f>
        <v>Found</v>
      </c>
      <c r="C191" s="304" t="str">
        <f t="shared" si="2"/>
        <v>No</v>
      </c>
      <c r="D191" s="298" t="s">
        <v>3094</v>
      </c>
      <c r="F191" t="str">
        <f>IF(E191 = "no",VLOOKUP(A191,WEB_Database!A:F,16,FALSE),"")</f>
        <v/>
      </c>
      <c r="H191" s="300" t="s">
        <v>3492</v>
      </c>
    </row>
    <row r="192" spans="1:8" ht="15">
      <c r="A192" s="300" t="s">
        <v>3495</v>
      </c>
      <c r="B192" s="304" t="str">
        <f>IF(ISNA(VLOOKUP(A192, WEB_Database!A:A, 1, FALSE)), "Not Found", "Found")</f>
        <v>Found</v>
      </c>
      <c r="C192" s="304" t="str">
        <f t="shared" si="2"/>
        <v>No</v>
      </c>
      <c r="D192" s="298" t="s">
        <v>3094</v>
      </c>
      <c r="F192" t="str">
        <f>IF(E192 = "no",VLOOKUP(A192,WEB_Database!A:F,16,FALSE),"")</f>
        <v/>
      </c>
      <c r="H192" s="300" t="s">
        <v>3493</v>
      </c>
    </row>
    <row r="193" spans="1:8" ht="15">
      <c r="A193" s="300" t="s">
        <v>3496</v>
      </c>
      <c r="B193" s="304" t="str">
        <f>IF(ISNA(VLOOKUP(A193, WEB_Database!A:A, 1, FALSE)), "Not Found", "Found")</f>
        <v>Found</v>
      </c>
      <c r="C193" s="304" t="str">
        <f t="shared" si="2"/>
        <v>No</v>
      </c>
      <c r="D193" s="298" t="s">
        <v>3094</v>
      </c>
      <c r="F193" t="str">
        <f>IF(E193 = "no",VLOOKUP(A193,WEB_Database!A:F,16,FALSE),"")</f>
        <v/>
      </c>
      <c r="H193" s="300" t="s">
        <v>3494</v>
      </c>
    </row>
    <row r="194" spans="1:8" ht="15">
      <c r="A194" s="292" t="s">
        <v>3497</v>
      </c>
      <c r="B194" s="304" t="str">
        <f>IF(ISNA(VLOOKUP(A194, WEB_Database!A:A, 1, FALSE)), "Not Found", "Found")</f>
        <v>Found</v>
      </c>
      <c r="C194" s="304" t="str">
        <f t="shared" si="2"/>
        <v>No</v>
      </c>
      <c r="D194" s="298" t="s">
        <v>1425</v>
      </c>
      <c r="E194" t="e">
        <f>IF(VLOOKUP(A194,WEB_Database!A:F,16,FALSE)=D194,"yes","no")</f>
        <v>#REF!</v>
      </c>
      <c r="F194" t="e">
        <f>IF(E194 = "no",VLOOKUP(A194,WEB_Database!A:F,16,FALSE),"")</f>
        <v>#REF!</v>
      </c>
      <c r="H194" s="300" t="s">
        <v>3495</v>
      </c>
    </row>
    <row r="195" spans="1:8" ht="15">
      <c r="A195" s="292" t="s">
        <v>3498</v>
      </c>
      <c r="B195" s="304" t="str">
        <f>IF(ISNA(VLOOKUP(A195, WEB_Database!A:A, 1, FALSE)), "Not Found", "Found")</f>
        <v>Found</v>
      </c>
      <c r="C195" s="304" t="str">
        <f t="shared" ref="C195:C258" si="3">IF(ISNA(VLOOKUP(A195, A196:A793, 1, FALSE)), "No", "Yes")</f>
        <v>No</v>
      </c>
      <c r="D195" s="290" t="s">
        <v>1425</v>
      </c>
      <c r="E195" t="e">
        <f>IF(VLOOKUP(A195,WEB_Database!A:F,16,FALSE)=D195,"yes","no")</f>
        <v>#REF!</v>
      </c>
      <c r="F195" t="e">
        <f>IF(E195 = "no",VLOOKUP(A195,WEB_Database!A:F,16,FALSE),"")</f>
        <v>#REF!</v>
      </c>
      <c r="H195" s="300" t="s">
        <v>3496</v>
      </c>
    </row>
    <row r="196" spans="1:8">
      <c r="A196" s="292" t="s">
        <v>3499</v>
      </c>
      <c r="B196" s="304" t="str">
        <f>IF(ISNA(VLOOKUP(A196, WEB_Database!A:A, 1, FALSE)), "Not Found", "Found")</f>
        <v>Found</v>
      </c>
      <c r="C196" s="304" t="str">
        <f t="shared" si="3"/>
        <v>No</v>
      </c>
      <c r="D196" s="290" t="s">
        <v>1425</v>
      </c>
      <c r="E196" t="e">
        <f>IF(VLOOKUP(A196,WEB_Database!A:F,16,FALSE)=D196,"yes","no")</f>
        <v>#REF!</v>
      </c>
      <c r="F196" t="e">
        <f>IF(E196 = "no",VLOOKUP(A196,WEB_Database!A:F,16,FALSE),"")</f>
        <v>#REF!</v>
      </c>
      <c r="H196" s="299" t="s">
        <v>3598</v>
      </c>
    </row>
    <row r="197" spans="1:8">
      <c r="A197" s="292" t="s">
        <v>3095</v>
      </c>
      <c r="B197" s="304" t="str">
        <f>IF(ISNA(VLOOKUP(A197, WEB_Database!A:A, 1, FALSE)), "Not Found", "Found")</f>
        <v>Found</v>
      </c>
      <c r="C197" s="304" t="str">
        <f t="shared" si="3"/>
        <v>No</v>
      </c>
      <c r="D197" s="290" t="s">
        <v>1434</v>
      </c>
      <c r="E197" t="e">
        <f>IF(VLOOKUP(A197,WEB_Database!A:F,16,FALSE)=D197,"yes","no")</f>
        <v>#REF!</v>
      </c>
      <c r="F197" t="e">
        <f>IF(E197 = "no",VLOOKUP(A197,WEB_Database!A:F,16,FALSE),"")</f>
        <v>#REF!</v>
      </c>
      <c r="H197" s="299" t="s">
        <v>3599</v>
      </c>
    </row>
    <row r="198" spans="1:8">
      <c r="A198" s="292" t="s">
        <v>3500</v>
      </c>
      <c r="B198" s="304" t="str">
        <f>IF(ISNA(VLOOKUP(A198, WEB_Database!A:A, 1, FALSE)), "Not Found", "Found")</f>
        <v>Found</v>
      </c>
      <c r="C198" s="304" t="str">
        <f t="shared" si="3"/>
        <v>No</v>
      </c>
      <c r="D198" s="290" t="s">
        <v>1434</v>
      </c>
      <c r="E198" t="e">
        <f>IF(VLOOKUP(A198,WEB_Database!A:F,16,FALSE)=D198,"yes","no")</f>
        <v>#REF!</v>
      </c>
      <c r="F198" t="e">
        <f>IF(E198 = "no",VLOOKUP(A198,WEB_Database!A:F,16,FALSE),"")</f>
        <v>#REF!</v>
      </c>
    </row>
    <row r="199" spans="1:8">
      <c r="A199" s="292" t="s">
        <v>2848</v>
      </c>
      <c r="B199" s="304" t="str">
        <f>IF(ISNA(VLOOKUP(A199, WEB_Database!A:A, 1, FALSE)), "Not Found", "Found")</f>
        <v>Found</v>
      </c>
      <c r="C199" s="304" t="str">
        <f t="shared" si="3"/>
        <v>No</v>
      </c>
      <c r="D199" s="290" t="s">
        <v>2849</v>
      </c>
      <c r="E199" t="e">
        <f>IF(VLOOKUP(A199,WEB_Database!A:F,16,FALSE)=D199,"yes","no")</f>
        <v>#REF!</v>
      </c>
      <c r="F199" t="e">
        <f>IF(E199 = "no",VLOOKUP(A199,WEB_Database!A:F,16,FALSE),"")</f>
        <v>#REF!</v>
      </c>
    </row>
    <row r="200" spans="1:8">
      <c r="A200" s="292" t="s">
        <v>2858</v>
      </c>
      <c r="B200" s="304" t="str">
        <f>IF(ISNA(VLOOKUP(A200, WEB_Database!A:A, 1, FALSE)), "Not Found", "Found")</f>
        <v>Found</v>
      </c>
      <c r="C200" s="304" t="str">
        <f t="shared" si="3"/>
        <v>No</v>
      </c>
      <c r="D200" s="290" t="s">
        <v>2849</v>
      </c>
      <c r="E200" t="e">
        <f>IF(VLOOKUP(A200,WEB_Database!A:F,16,FALSE)=D200,"yes","no")</f>
        <v>#REF!</v>
      </c>
      <c r="F200" t="e">
        <f>IF(E200 = "no",VLOOKUP(A200,WEB_Database!A:F,16,FALSE),"")</f>
        <v>#REF!</v>
      </c>
    </row>
    <row r="201" spans="1:8">
      <c r="A201" s="292" t="s">
        <v>3501</v>
      </c>
      <c r="B201" s="304" t="str">
        <f>IF(ISNA(VLOOKUP(A201, WEB_Database!A:A, 1, FALSE)), "Not Found", "Found")</f>
        <v>Found</v>
      </c>
      <c r="C201" s="304" t="str">
        <f t="shared" si="3"/>
        <v>No</v>
      </c>
      <c r="D201" s="290" t="s">
        <v>1434</v>
      </c>
      <c r="E201" t="e">
        <f>IF(VLOOKUP(A201,WEB_Database!A:F,16,FALSE)=D201,"yes","no")</f>
        <v>#REF!</v>
      </c>
      <c r="F201" t="e">
        <f>IF(E201 = "no",VLOOKUP(A201,WEB_Database!A:F,16,FALSE),"")</f>
        <v>#REF!</v>
      </c>
    </row>
    <row r="202" spans="1:8">
      <c r="A202" s="292" t="s">
        <v>3502</v>
      </c>
      <c r="B202" s="304" t="str">
        <f>IF(ISNA(VLOOKUP(A202, WEB_Database!A:A, 1, FALSE)), "Not Found", "Found")</f>
        <v>Found</v>
      </c>
      <c r="C202" s="304" t="str">
        <f t="shared" si="3"/>
        <v>No</v>
      </c>
      <c r="D202" s="290" t="s">
        <v>1434</v>
      </c>
      <c r="E202" t="e">
        <f>IF(VLOOKUP(A202,WEB_Database!A:F,16,FALSE)=D202,"yes","no")</f>
        <v>#REF!</v>
      </c>
      <c r="F202" t="e">
        <f>IF(E202 = "no",VLOOKUP(A202,WEB_Database!A:F,16,FALSE),"")</f>
        <v>#REF!</v>
      </c>
    </row>
    <row r="203" spans="1:8">
      <c r="A203" s="292" t="s">
        <v>3503</v>
      </c>
      <c r="B203" s="304" t="str">
        <f>IF(ISNA(VLOOKUP(A203, WEB_Database!A:A, 1, FALSE)), "Not Found", "Found")</f>
        <v>Found</v>
      </c>
      <c r="C203" s="304" t="str">
        <f t="shared" si="3"/>
        <v>No</v>
      </c>
      <c r="D203" s="290" t="s">
        <v>1425</v>
      </c>
      <c r="E203" t="e">
        <f>IF(VLOOKUP(A203,WEB_Database!A:F,16,FALSE)=D203,"yes","no")</f>
        <v>#REF!</v>
      </c>
      <c r="F203" t="e">
        <f>IF(E203 = "no",VLOOKUP(A203,WEB_Database!A:F,16,FALSE),"")</f>
        <v>#REF!</v>
      </c>
    </row>
    <row r="204" spans="1:8">
      <c r="A204" s="292" t="s">
        <v>3504</v>
      </c>
      <c r="B204" s="304" t="str">
        <f>IF(ISNA(VLOOKUP(A204, WEB_Database!A:A, 1, FALSE)), "Not Found", "Found")</f>
        <v>Found</v>
      </c>
      <c r="C204" s="304" t="str">
        <f t="shared" si="3"/>
        <v>No</v>
      </c>
      <c r="D204" s="290" t="s">
        <v>1425</v>
      </c>
      <c r="E204" t="e">
        <f>IF(VLOOKUP(A204,WEB_Database!A:F,16,FALSE)=D204,"yes","no")</f>
        <v>#REF!</v>
      </c>
      <c r="F204" t="e">
        <f>IF(E204 = "no",VLOOKUP(A204,WEB_Database!A:F,16,FALSE),"")</f>
        <v>#REF!</v>
      </c>
    </row>
    <row r="205" spans="1:8">
      <c r="A205" s="292" t="s">
        <v>3505</v>
      </c>
      <c r="B205" s="304" t="str">
        <f>IF(ISNA(VLOOKUP(A205, WEB_Database!A:A, 1, FALSE)), "Not Found", "Found")</f>
        <v>Found</v>
      </c>
      <c r="C205" s="304" t="str">
        <f t="shared" si="3"/>
        <v>No</v>
      </c>
      <c r="D205" s="290" t="s">
        <v>1425</v>
      </c>
      <c r="E205" t="e">
        <f>IF(VLOOKUP(A205,WEB_Database!A:F,16,FALSE)=D205,"yes","no")</f>
        <v>#REF!</v>
      </c>
      <c r="F205" t="e">
        <f>IF(E205 = "no",VLOOKUP(A205,WEB_Database!A:F,16,FALSE),"")</f>
        <v>#REF!</v>
      </c>
    </row>
    <row r="206" spans="1:8">
      <c r="A206" s="292" t="s">
        <v>2851</v>
      </c>
      <c r="B206" s="304" t="str">
        <f>IF(ISNA(VLOOKUP(A206, WEB_Database!A:A, 1, FALSE)), "Not Found", "Found")</f>
        <v>Found</v>
      </c>
      <c r="C206" s="304" t="str">
        <f t="shared" si="3"/>
        <v>No</v>
      </c>
      <c r="D206" s="306" t="s">
        <v>2849</v>
      </c>
      <c r="E206" t="e">
        <f>IF(VLOOKUP(A206,WEB_Database!A:F,16,FALSE)=D206,"yes","no")</f>
        <v>#REF!</v>
      </c>
      <c r="F206" t="e">
        <f>IF(E206 = "no",VLOOKUP(A206,WEB_Database!A:F,16,FALSE),"")</f>
        <v>#REF!</v>
      </c>
    </row>
    <row r="207" spans="1:8">
      <c r="A207" s="292" t="s">
        <v>2859</v>
      </c>
      <c r="B207" s="304" t="str">
        <f>IF(ISNA(VLOOKUP(A207, WEB_Database!A:A, 1, FALSE)), "Not Found", "Found")</f>
        <v>Found</v>
      </c>
      <c r="C207" s="304" t="str">
        <f t="shared" si="3"/>
        <v>No</v>
      </c>
      <c r="D207" s="306" t="s">
        <v>2849</v>
      </c>
      <c r="E207" t="e">
        <f>IF(VLOOKUP(A207,WEB_Database!A:F,16,FALSE)=D207,"yes","no")</f>
        <v>#REF!</v>
      </c>
      <c r="F207" t="e">
        <f>IF(E207 = "no",VLOOKUP(A207,WEB_Database!A:F,16,FALSE),"")</f>
        <v>#REF!</v>
      </c>
    </row>
    <row r="208" spans="1:8">
      <c r="A208" s="292" t="s">
        <v>3506</v>
      </c>
      <c r="B208" s="304" t="str">
        <f>IF(ISNA(VLOOKUP(A208, WEB_Database!A:A, 1, FALSE)), "Not Found", "Found")</f>
        <v>Found</v>
      </c>
      <c r="C208" s="304" t="str">
        <f t="shared" si="3"/>
        <v>No</v>
      </c>
      <c r="D208" s="290" t="s">
        <v>1434</v>
      </c>
      <c r="E208" t="e">
        <f>IF(VLOOKUP(A208,WEB_Database!A:F,16,FALSE)=D208,"yes","no")</f>
        <v>#REF!</v>
      </c>
      <c r="F208" t="e">
        <f>IF(E208 = "no",VLOOKUP(A208,WEB_Database!A:F,16,FALSE),"")</f>
        <v>#REF!</v>
      </c>
    </row>
    <row r="209" spans="1:6">
      <c r="A209" s="292" t="s">
        <v>3507</v>
      </c>
      <c r="B209" s="304" t="str">
        <f>IF(ISNA(VLOOKUP(A209, WEB_Database!A:A, 1, FALSE)), "Not Found", "Found")</f>
        <v>Found</v>
      </c>
      <c r="C209" s="304" t="str">
        <f t="shared" si="3"/>
        <v>No</v>
      </c>
      <c r="D209" s="290" t="s">
        <v>1434</v>
      </c>
      <c r="E209" t="e">
        <f>IF(VLOOKUP(A209,WEB_Database!A:F,16,FALSE)=D209,"yes","no")</f>
        <v>#REF!</v>
      </c>
      <c r="F209" t="e">
        <f>IF(E209 = "no",VLOOKUP(A209,WEB_Database!A:F,16,FALSE),"")</f>
        <v>#REF!</v>
      </c>
    </row>
    <row r="210" spans="1:6">
      <c r="A210" s="292" t="s">
        <v>3508</v>
      </c>
      <c r="B210" s="304" t="str">
        <f>IF(ISNA(VLOOKUP(A210, WEB_Database!A:A, 1, FALSE)), "Not Found", "Found")</f>
        <v>Found</v>
      </c>
      <c r="C210" s="304" t="str">
        <f t="shared" si="3"/>
        <v>No</v>
      </c>
      <c r="D210" s="290" t="s">
        <v>1425</v>
      </c>
      <c r="E210" t="e">
        <f>IF(VLOOKUP(A210,WEB_Database!A:F,16,FALSE)=D210,"yes","no")</f>
        <v>#REF!</v>
      </c>
      <c r="F210" t="e">
        <f>IF(E210 = "no",VLOOKUP(A210,WEB_Database!A:F,16,FALSE),"")</f>
        <v>#REF!</v>
      </c>
    </row>
    <row r="211" spans="1:6">
      <c r="A211" s="292" t="s">
        <v>3509</v>
      </c>
      <c r="B211" s="304" t="str">
        <f>IF(ISNA(VLOOKUP(A211, WEB_Database!A:A, 1, FALSE)), "Not Found", "Found")</f>
        <v>Found</v>
      </c>
      <c r="C211" s="304" t="str">
        <f t="shared" si="3"/>
        <v>No</v>
      </c>
      <c r="D211" s="290" t="s">
        <v>1425</v>
      </c>
      <c r="E211" t="e">
        <f>IF(VLOOKUP(A211,WEB_Database!A:F,16,FALSE)=D211,"yes","no")</f>
        <v>#REF!</v>
      </c>
      <c r="F211" t="e">
        <f>IF(E211 = "no",VLOOKUP(A211,WEB_Database!A:F,16,FALSE),"")</f>
        <v>#REF!</v>
      </c>
    </row>
    <row r="212" spans="1:6">
      <c r="A212" s="292" t="s">
        <v>3510</v>
      </c>
      <c r="B212" s="304" t="str">
        <f>IF(ISNA(VLOOKUP(A212, WEB_Database!A:A, 1, FALSE)), "Not Found", "Found")</f>
        <v>Found</v>
      </c>
      <c r="C212" s="304" t="str">
        <f t="shared" si="3"/>
        <v>No</v>
      </c>
      <c r="D212" s="290" t="s">
        <v>1425</v>
      </c>
      <c r="E212" t="e">
        <f>IF(VLOOKUP(A212,WEB_Database!A:F,16,FALSE)=D212,"yes","no")</f>
        <v>#REF!</v>
      </c>
      <c r="F212" t="e">
        <f>IF(E212 = "no",VLOOKUP(A212,WEB_Database!A:F,16,FALSE),"")</f>
        <v>#REF!</v>
      </c>
    </row>
    <row r="213" spans="1:6">
      <c r="A213" s="292" t="s">
        <v>2853</v>
      </c>
      <c r="B213" s="304" t="str">
        <f>IF(ISNA(VLOOKUP(A213, WEB_Database!A:A, 1, FALSE)), "Not Found", "Found")</f>
        <v>Found</v>
      </c>
      <c r="C213" s="304" t="str">
        <f t="shared" si="3"/>
        <v>No</v>
      </c>
      <c r="D213" s="290" t="s">
        <v>2849</v>
      </c>
      <c r="E213" t="e">
        <f>IF(VLOOKUP(A213,WEB_Database!A:F,16,FALSE)=D213,"yes","no")</f>
        <v>#REF!</v>
      </c>
      <c r="F213" t="e">
        <f>IF(E213 = "no",VLOOKUP(A213,WEB_Database!A:F,16,FALSE),"")</f>
        <v>#REF!</v>
      </c>
    </row>
    <row r="214" spans="1:6">
      <c r="A214" s="292" t="s">
        <v>2862</v>
      </c>
      <c r="B214" s="304" t="str">
        <f>IF(ISNA(VLOOKUP(A214, WEB_Database!A:A, 1, FALSE)), "Not Found", "Found")</f>
        <v>Found</v>
      </c>
      <c r="C214" s="304" t="str">
        <f t="shared" si="3"/>
        <v>No</v>
      </c>
      <c r="D214" s="290" t="s">
        <v>2849</v>
      </c>
      <c r="E214" t="e">
        <f>IF(VLOOKUP(A214,WEB_Database!A:F,16,FALSE)=D214,"yes","no")</f>
        <v>#REF!</v>
      </c>
      <c r="F214" t="e">
        <f>IF(E214 = "no",VLOOKUP(A214,WEB_Database!A:F,16,FALSE),"")</f>
        <v>#REF!</v>
      </c>
    </row>
    <row r="215" spans="1:6">
      <c r="A215" s="292" t="s">
        <v>3511</v>
      </c>
      <c r="B215" s="304" t="str">
        <f>IF(ISNA(VLOOKUP(A215, WEB_Database!A:A, 1, FALSE)), "Not Found", "Found")</f>
        <v>Found</v>
      </c>
      <c r="C215" s="304" t="str">
        <f t="shared" si="3"/>
        <v>No</v>
      </c>
      <c r="D215" s="290" t="s">
        <v>1434</v>
      </c>
      <c r="E215" t="e">
        <f>IF(VLOOKUP(A215,WEB_Database!A:F,16,FALSE)=D215,"yes","no")</f>
        <v>#REF!</v>
      </c>
      <c r="F215" t="e">
        <f>IF(E215 = "no",VLOOKUP(A215,WEB_Database!A:F,16,FALSE),"")</f>
        <v>#REF!</v>
      </c>
    </row>
    <row r="216" spans="1:6">
      <c r="A216" s="292" t="s">
        <v>3512</v>
      </c>
      <c r="B216" s="304" t="str">
        <f>IF(ISNA(VLOOKUP(A216, WEB_Database!A:A, 1, FALSE)), "Not Found", "Found")</f>
        <v>Found</v>
      </c>
      <c r="C216" s="304" t="str">
        <f t="shared" si="3"/>
        <v>No</v>
      </c>
      <c r="D216" s="290" t="s">
        <v>1434</v>
      </c>
      <c r="E216" t="e">
        <f>IF(VLOOKUP(A216,WEB_Database!A:F,16,FALSE)=D216,"yes","no")</f>
        <v>#REF!</v>
      </c>
      <c r="F216" t="e">
        <f>IF(E216 = "no",VLOOKUP(A216,WEB_Database!A:F,16,FALSE),"")</f>
        <v>#REF!</v>
      </c>
    </row>
    <row r="217" spans="1:6">
      <c r="A217" s="292" t="s">
        <v>3513</v>
      </c>
      <c r="B217" s="304" t="str">
        <f>IF(ISNA(VLOOKUP(A217, WEB_Database!A:A, 1, FALSE)), "Not Found", "Found")</f>
        <v>Found</v>
      </c>
      <c r="C217" s="304" t="str">
        <f t="shared" si="3"/>
        <v>No</v>
      </c>
      <c r="D217" s="290" t="s">
        <v>1425</v>
      </c>
      <c r="E217" t="e">
        <f>IF(VLOOKUP(A217,WEB_Database!A:F,16,FALSE)=D217,"yes","no")</f>
        <v>#REF!</v>
      </c>
      <c r="F217" t="e">
        <f>IF(E217 = "no",VLOOKUP(A217,WEB_Database!A:F,16,FALSE),"")</f>
        <v>#REF!</v>
      </c>
    </row>
    <row r="218" spans="1:6">
      <c r="A218" s="292" t="s">
        <v>3514</v>
      </c>
      <c r="B218" s="304" t="str">
        <f>IF(ISNA(VLOOKUP(A218, WEB_Database!A:A, 1, FALSE)), "Not Found", "Found")</f>
        <v>Found</v>
      </c>
      <c r="C218" s="304" t="str">
        <f t="shared" si="3"/>
        <v>No</v>
      </c>
      <c r="D218" s="290" t="s">
        <v>1432</v>
      </c>
      <c r="E218" t="e">
        <f>IF(VLOOKUP(A218,WEB_Database!A:F,16,FALSE)=D218,"yes","no")</f>
        <v>#REF!</v>
      </c>
      <c r="F218" t="e">
        <f>IF(E218 = "no",VLOOKUP(A218,WEB_Database!A:F,16,FALSE),"")</f>
        <v>#REF!</v>
      </c>
    </row>
    <row r="219" spans="1:6">
      <c r="A219" s="292" t="s">
        <v>3515</v>
      </c>
      <c r="B219" s="304" t="str">
        <f>IF(ISNA(VLOOKUP(A219, WEB_Database!A:A, 1, FALSE)), "Not Found", "Found")</f>
        <v>Found</v>
      </c>
      <c r="C219" s="304" t="str">
        <f t="shared" si="3"/>
        <v>No</v>
      </c>
      <c r="D219" s="290" t="s">
        <v>1432</v>
      </c>
      <c r="E219" t="e">
        <f>IF(VLOOKUP(A219,WEB_Database!A:F,16,FALSE)=D219,"yes","no")</f>
        <v>#REF!</v>
      </c>
      <c r="F219" t="e">
        <f>IF(E219 = "no",VLOOKUP(A219,WEB_Database!A:F,16,FALSE),"")</f>
        <v>#REF!</v>
      </c>
    </row>
    <row r="220" spans="1:6">
      <c r="A220" s="292" t="s">
        <v>2856</v>
      </c>
      <c r="B220" s="304" t="str">
        <f>IF(ISNA(VLOOKUP(A220, WEB_Database!A:A, 1, FALSE)), "Not Found", "Found")</f>
        <v>Found</v>
      </c>
      <c r="C220" s="304" t="str">
        <f t="shared" si="3"/>
        <v>No</v>
      </c>
      <c r="D220" s="290" t="s">
        <v>2849</v>
      </c>
      <c r="E220" t="e">
        <f>IF(VLOOKUP(A220,WEB_Database!A:F,16,FALSE)=D220,"yes","no")</f>
        <v>#REF!</v>
      </c>
      <c r="F220" t="e">
        <f>IF(E220 = "no",VLOOKUP(A220,WEB_Database!A:F,16,FALSE),"")</f>
        <v>#REF!</v>
      </c>
    </row>
    <row r="221" spans="1:6">
      <c r="A221" s="292" t="s">
        <v>2864</v>
      </c>
      <c r="B221" s="304" t="str">
        <f>IF(ISNA(VLOOKUP(A221, WEB_Database!A:A, 1, FALSE)), "Not Found", "Found")</f>
        <v>Found</v>
      </c>
      <c r="C221" s="304" t="str">
        <f t="shared" si="3"/>
        <v>No</v>
      </c>
      <c r="D221" s="290" t="s">
        <v>2849</v>
      </c>
      <c r="E221" t="e">
        <f>IF(VLOOKUP(A221,WEB_Database!A:F,16,FALSE)=D221,"yes","no")</f>
        <v>#REF!</v>
      </c>
      <c r="F221" t="e">
        <f>IF(E221 = "no",VLOOKUP(A221,WEB_Database!A:F,16,FALSE),"")</f>
        <v>#REF!</v>
      </c>
    </row>
    <row r="222" spans="1:6">
      <c r="A222" s="292" t="s">
        <v>3516</v>
      </c>
      <c r="B222" s="304" t="str">
        <f>IF(ISNA(VLOOKUP(A222, WEB_Database!A:A, 1, FALSE)), "Not Found", "Found")</f>
        <v>Found</v>
      </c>
      <c r="C222" s="304" t="str">
        <f t="shared" si="3"/>
        <v>No</v>
      </c>
      <c r="D222" s="290" t="s">
        <v>1432</v>
      </c>
      <c r="E222" t="e">
        <f>IF(VLOOKUP(A222,WEB_Database!A:F,16,FALSE)=D222,"yes","no")</f>
        <v>#REF!</v>
      </c>
      <c r="F222" t="e">
        <f>IF(E222 = "no",VLOOKUP(A222,WEB_Database!A:F,16,FALSE),"")</f>
        <v>#REF!</v>
      </c>
    </row>
    <row r="223" spans="1:6">
      <c r="A223" s="292" t="s">
        <v>3517</v>
      </c>
      <c r="B223" s="304" t="str">
        <f>IF(ISNA(VLOOKUP(A223, WEB_Database!A:A, 1, FALSE)), "Not Found", "Found")</f>
        <v>Found</v>
      </c>
      <c r="C223" s="304" t="str">
        <f t="shared" si="3"/>
        <v>No</v>
      </c>
      <c r="D223" s="290" t="s">
        <v>1432</v>
      </c>
      <c r="E223" t="e">
        <f>IF(VLOOKUP(A223,WEB_Database!A:F,16,FALSE)=D223,"yes","no")</f>
        <v>#REF!</v>
      </c>
      <c r="F223" t="e">
        <f>IF(E223 = "no",VLOOKUP(A223,WEB_Database!A:F,16,FALSE),"")</f>
        <v>#REF!</v>
      </c>
    </row>
    <row r="224" spans="1:6">
      <c r="A224" s="292" t="s">
        <v>3518</v>
      </c>
      <c r="B224" s="304" t="str">
        <f>IF(ISNA(VLOOKUP(A224, WEB_Database!A:A, 1, FALSE)), "Not Found", "Found")</f>
        <v>Found</v>
      </c>
      <c r="C224" s="304" t="str">
        <f t="shared" si="3"/>
        <v>No</v>
      </c>
      <c r="D224" s="290" t="s">
        <v>1432</v>
      </c>
      <c r="E224" t="e">
        <f>IF(VLOOKUP(A224,WEB_Database!A:F,16,FALSE)=D224,"yes","no")</f>
        <v>#REF!</v>
      </c>
      <c r="F224" t="e">
        <f>IF(E224 = "no",VLOOKUP(A224,WEB_Database!A:F,16,FALSE),"")</f>
        <v>#REF!</v>
      </c>
    </row>
    <row r="225" spans="1:6">
      <c r="A225" s="292" t="s">
        <v>3519</v>
      </c>
      <c r="B225" s="304" t="str">
        <f>IF(ISNA(VLOOKUP(A225, WEB_Database!A:A, 1, FALSE)), "Not Found", "Found")</f>
        <v>Found</v>
      </c>
      <c r="C225" s="304" t="str">
        <f t="shared" si="3"/>
        <v>No</v>
      </c>
      <c r="D225" s="290" t="s">
        <v>1432</v>
      </c>
      <c r="E225" t="e">
        <f>IF(VLOOKUP(A225,WEB_Database!A:F,16,FALSE)=D225,"yes","no")</f>
        <v>#REF!</v>
      </c>
      <c r="F225" t="e">
        <f>IF(E225 = "no",VLOOKUP(A225,WEB_Database!A:F,16,FALSE),"")</f>
        <v>#REF!</v>
      </c>
    </row>
    <row r="226" spans="1:6">
      <c r="A226" s="292" t="s">
        <v>3520</v>
      </c>
      <c r="B226" s="304" t="str">
        <f>IF(ISNA(VLOOKUP(A226, WEB_Database!A:A, 1, FALSE)), "Not Found", "Found")</f>
        <v>Found</v>
      </c>
      <c r="C226" s="304" t="str">
        <f t="shared" si="3"/>
        <v>No</v>
      </c>
      <c r="D226" s="290" t="s">
        <v>1432</v>
      </c>
      <c r="E226" t="e">
        <f>IF(VLOOKUP(A226,WEB_Database!A:F,16,FALSE)=D226,"yes","no")</f>
        <v>#REF!</v>
      </c>
      <c r="F226" t="e">
        <f>IF(E226 = "no",VLOOKUP(A226,WEB_Database!A:F,16,FALSE),"")</f>
        <v>#REF!</v>
      </c>
    </row>
    <row r="227" spans="1:6">
      <c r="A227" s="292" t="s">
        <v>3521</v>
      </c>
      <c r="B227" s="304" t="str">
        <f>IF(ISNA(VLOOKUP(A227, WEB_Database!A:A, 1, FALSE)), "Not Found", "Found")</f>
        <v>Found</v>
      </c>
      <c r="C227" s="304" t="str">
        <f t="shared" si="3"/>
        <v>No</v>
      </c>
      <c r="D227" s="290" t="s">
        <v>1432</v>
      </c>
      <c r="E227" t="e">
        <f>IF(VLOOKUP(A227,WEB_Database!A:F,16,FALSE)=D227,"yes","no")</f>
        <v>#REF!</v>
      </c>
      <c r="F227" t="e">
        <f>IF(E227 = "no",VLOOKUP(A227,WEB_Database!A:F,16,FALSE),"")</f>
        <v>#REF!</v>
      </c>
    </row>
    <row r="228" spans="1:6">
      <c r="A228" s="292" t="s">
        <v>3522</v>
      </c>
      <c r="B228" s="304" t="str">
        <f>IF(ISNA(VLOOKUP(A228, WEB_Database!A:A, 1, FALSE)), "Not Found", "Found")</f>
        <v>Found</v>
      </c>
      <c r="C228" s="304" t="str">
        <f t="shared" si="3"/>
        <v>No</v>
      </c>
      <c r="D228" s="290" t="s">
        <v>1450</v>
      </c>
      <c r="E228" t="e">
        <f>IF(VLOOKUP(A228,WEB_Database!A:F,16,FALSE)=D228,"yes","no")</f>
        <v>#REF!</v>
      </c>
      <c r="F228" t="e">
        <f>IF(E228 = "no",VLOOKUP(A228,WEB_Database!A:F,16,FALSE),"")</f>
        <v>#REF!</v>
      </c>
    </row>
    <row r="229" spans="1:6">
      <c r="A229" s="292" t="s">
        <v>3523</v>
      </c>
      <c r="B229" s="304" t="str">
        <f>IF(ISNA(VLOOKUP(A229, WEB_Database!A:A, 1, FALSE)), "Not Found", "Found")</f>
        <v>Found</v>
      </c>
      <c r="C229" s="304" t="str">
        <f t="shared" si="3"/>
        <v>No</v>
      </c>
      <c r="D229" s="306" t="s">
        <v>1450</v>
      </c>
      <c r="E229" t="e">
        <f>IF(VLOOKUP(A229,WEB_Database!A:F,16,FALSE)=D229,"yes","no")</f>
        <v>#REF!</v>
      </c>
      <c r="F229" t="e">
        <f>IF(E229 = "no",VLOOKUP(A229,WEB_Database!A:F,16,FALSE),"")</f>
        <v>#REF!</v>
      </c>
    </row>
    <row r="230" spans="1:6">
      <c r="A230" s="292" t="s">
        <v>3524</v>
      </c>
      <c r="B230" s="304" t="str">
        <f>IF(ISNA(VLOOKUP(A230, WEB_Database!A:A, 1, FALSE)), "Not Found", "Found")</f>
        <v>Found</v>
      </c>
      <c r="C230" s="304" t="str">
        <f t="shared" si="3"/>
        <v>No</v>
      </c>
      <c r="D230" s="306" t="s">
        <v>1450</v>
      </c>
      <c r="E230" t="e">
        <f>IF(VLOOKUP(A230,WEB_Database!A:F,16,FALSE)=D230,"yes","no")</f>
        <v>#REF!</v>
      </c>
      <c r="F230" t="e">
        <f>IF(E230 = "no",VLOOKUP(A230,WEB_Database!A:F,16,FALSE),"")</f>
        <v>#REF!</v>
      </c>
    </row>
    <row r="231" spans="1:6">
      <c r="A231" s="292" t="s">
        <v>3525</v>
      </c>
      <c r="B231" s="304" t="str">
        <f>IF(ISNA(VLOOKUP(A231, WEB_Database!A:A, 1, FALSE)), "Not Found", "Found")</f>
        <v>Found</v>
      </c>
      <c r="C231" s="304" t="str">
        <f t="shared" si="3"/>
        <v>No</v>
      </c>
      <c r="D231" s="306" t="s">
        <v>1450</v>
      </c>
      <c r="E231" t="e">
        <f>IF(VLOOKUP(A231,WEB_Database!A:F,16,FALSE)=D231,"yes","no")</f>
        <v>#REF!</v>
      </c>
      <c r="F231" t="e">
        <f>IF(E231 = "no",VLOOKUP(A231,WEB_Database!A:F,16,FALSE),"")</f>
        <v>#REF!</v>
      </c>
    </row>
    <row r="232" spans="1:6">
      <c r="A232" s="292" t="s">
        <v>3526</v>
      </c>
      <c r="B232" s="304" t="str">
        <f>IF(ISNA(VLOOKUP(A232, WEB_Database!A:A, 1, FALSE)), "Not Found", "Found")</f>
        <v>Found</v>
      </c>
      <c r="C232" s="304" t="str">
        <f t="shared" si="3"/>
        <v>No</v>
      </c>
      <c r="D232" s="306" t="s">
        <v>1440</v>
      </c>
      <c r="E232" t="e">
        <f>IF(VLOOKUP(A232,WEB_Database!A:F,16,FALSE)=D232,"yes","no")</f>
        <v>#REF!</v>
      </c>
      <c r="F232" t="e">
        <f>IF(E232 = "no",VLOOKUP(A232,WEB_Database!A:F,16,FALSE),"")</f>
        <v>#REF!</v>
      </c>
    </row>
    <row r="233" spans="1:6">
      <c r="A233" s="292" t="s">
        <v>3527</v>
      </c>
      <c r="B233" s="304" t="str">
        <f>IF(ISNA(VLOOKUP(A233, WEB_Database!A:A, 1, FALSE)), "Not Found", "Found")</f>
        <v>Found</v>
      </c>
      <c r="C233" s="304" t="str">
        <f t="shared" si="3"/>
        <v>No</v>
      </c>
      <c r="D233" s="306" t="s">
        <v>1440</v>
      </c>
      <c r="E233" t="e">
        <f>IF(VLOOKUP(A233,WEB_Database!A:F,16,FALSE)=D233,"yes","no")</f>
        <v>#REF!</v>
      </c>
      <c r="F233" t="e">
        <f>IF(E233 = "no",VLOOKUP(A233,WEB_Database!A:F,16,FALSE),"")</f>
        <v>#REF!</v>
      </c>
    </row>
    <row r="234" spans="1:6">
      <c r="A234" s="292" t="s">
        <v>3361</v>
      </c>
      <c r="B234" s="304" t="str">
        <f>IF(ISNA(VLOOKUP(A234, WEB_Database!A:A, 1, FALSE)), "Not Found", "Found")</f>
        <v>Found</v>
      </c>
      <c r="C234" s="304" t="str">
        <f t="shared" si="3"/>
        <v>No</v>
      </c>
      <c r="D234" s="306" t="s">
        <v>1440</v>
      </c>
      <c r="E234" t="e">
        <f>IF(VLOOKUP(A234,WEB_Database!A:F,16,FALSE)=D234,"yes","no")</f>
        <v>#REF!</v>
      </c>
      <c r="F234" t="e">
        <f>IF(E234 = "no",VLOOKUP(A234,WEB_Database!A:F,16,FALSE),"")</f>
        <v>#REF!</v>
      </c>
    </row>
    <row r="235" spans="1:6">
      <c r="A235" s="292" t="s">
        <v>3528</v>
      </c>
      <c r="B235" s="304" t="str">
        <f>IF(ISNA(VLOOKUP(A235, WEB_Database!A:A, 1, FALSE)), "Not Found", "Found")</f>
        <v>Found</v>
      </c>
      <c r="C235" s="304" t="str">
        <f t="shared" si="3"/>
        <v>No</v>
      </c>
      <c r="D235" s="306" t="s">
        <v>1440</v>
      </c>
      <c r="E235" t="e">
        <f>IF(VLOOKUP(A235,WEB_Database!A:F,16,FALSE)=D235,"yes","no")</f>
        <v>#REF!</v>
      </c>
      <c r="F235" t="e">
        <f>IF(E235 = "no",VLOOKUP(A235,WEB_Database!A:F,16,FALSE),"")</f>
        <v>#REF!</v>
      </c>
    </row>
    <row r="236" spans="1:6">
      <c r="A236" s="292" t="s">
        <v>3529</v>
      </c>
      <c r="B236" s="304" t="str">
        <f>IF(ISNA(VLOOKUP(A236, WEB_Database!A:A, 1, FALSE)), "Not Found", "Found")</f>
        <v>Found</v>
      </c>
      <c r="C236" s="304" t="str">
        <f t="shared" si="3"/>
        <v>No</v>
      </c>
      <c r="D236" s="306" t="s">
        <v>1432</v>
      </c>
      <c r="E236" t="e">
        <f>IF(VLOOKUP(A236,WEB_Database!A:F,16,FALSE)=D236,"yes","no")</f>
        <v>#REF!</v>
      </c>
      <c r="F236" t="e">
        <f>IF(E236 = "no",VLOOKUP(A236,WEB_Database!A:F,16,FALSE),"")</f>
        <v>#REF!</v>
      </c>
    </row>
    <row r="237" spans="1:6">
      <c r="A237" s="292" t="s">
        <v>3530</v>
      </c>
      <c r="B237" s="304" t="str">
        <f>IF(ISNA(VLOOKUP(A237, WEB_Database!A:A, 1, FALSE)), "Not Found", "Found")</f>
        <v>Found</v>
      </c>
      <c r="C237" s="304" t="str">
        <f t="shared" si="3"/>
        <v>No</v>
      </c>
      <c r="D237" s="306" t="s">
        <v>1432</v>
      </c>
      <c r="E237" t="e">
        <f>IF(VLOOKUP(A237,WEB_Database!A:F,16,FALSE)=D237,"yes","no")</f>
        <v>#REF!</v>
      </c>
      <c r="F237" t="e">
        <f>IF(E237 = "no",VLOOKUP(A237,WEB_Database!A:F,16,FALSE),"")</f>
        <v>#REF!</v>
      </c>
    </row>
    <row r="238" spans="1:6">
      <c r="A238" s="292" t="s">
        <v>2901</v>
      </c>
      <c r="B238" s="304" t="str">
        <f>IF(ISNA(VLOOKUP(A238, WEB_Database!A:A, 1, FALSE)), "Not Found", "Found")</f>
        <v>Found</v>
      </c>
      <c r="C238" s="304" t="str">
        <f t="shared" si="3"/>
        <v>No</v>
      </c>
      <c r="D238" s="306" t="s">
        <v>2846</v>
      </c>
      <c r="E238" t="e">
        <f>IF(VLOOKUP(A238,WEB_Database!A:F,16,FALSE)=D238,"yes","no")</f>
        <v>#REF!</v>
      </c>
      <c r="F238" t="e">
        <f>IF(E238 = "no",VLOOKUP(A238,WEB_Database!A:F,16,FALSE),"")</f>
        <v>#REF!</v>
      </c>
    </row>
    <row r="239" spans="1:6">
      <c r="A239" s="292" t="s">
        <v>2866</v>
      </c>
      <c r="B239" s="304" t="str">
        <f>IF(ISNA(VLOOKUP(A239, WEB_Database!A:A, 1, FALSE)), "Not Found", "Found")</f>
        <v>Found</v>
      </c>
      <c r="C239" s="304" t="str">
        <f t="shared" si="3"/>
        <v>No</v>
      </c>
      <c r="D239" s="306" t="s">
        <v>2867</v>
      </c>
      <c r="E239" t="e">
        <f>IF(VLOOKUP(A239,WEB_Database!A:F,16,FALSE)=D239,"yes","no")</f>
        <v>#REF!</v>
      </c>
      <c r="F239" t="e">
        <f>IF(E239 = "no",VLOOKUP(A239,WEB_Database!A:F,16,FALSE),"")</f>
        <v>#REF!</v>
      </c>
    </row>
    <row r="240" spans="1:6">
      <c r="A240" s="292" t="s">
        <v>2882</v>
      </c>
      <c r="B240" s="304" t="str">
        <f>IF(ISNA(VLOOKUP(A240, WEB_Database!A:A, 1, FALSE)), "Not Found", "Found")</f>
        <v>Found</v>
      </c>
      <c r="C240" s="304" t="str">
        <f t="shared" si="3"/>
        <v>No</v>
      </c>
      <c r="D240" s="306" t="s">
        <v>2846</v>
      </c>
      <c r="E240" t="e">
        <f>IF(VLOOKUP(A240,WEB_Database!A:F,16,FALSE)=D240,"yes","no")</f>
        <v>#REF!</v>
      </c>
      <c r="F240" t="e">
        <f>IF(E240 = "no",VLOOKUP(A240,WEB_Database!A:F,16,FALSE),"")</f>
        <v>#REF!</v>
      </c>
    </row>
    <row r="241" spans="1:6">
      <c r="A241" s="292" t="s">
        <v>2870</v>
      </c>
      <c r="B241" s="304" t="str">
        <f>IF(ISNA(VLOOKUP(A241, WEB_Database!A:A, 1, FALSE)), "Not Found", "Found")</f>
        <v>Found</v>
      </c>
      <c r="C241" s="304" t="str">
        <f t="shared" si="3"/>
        <v>No</v>
      </c>
      <c r="D241" s="290" t="s">
        <v>2867</v>
      </c>
      <c r="E241" t="e">
        <f>IF(VLOOKUP(A241,WEB_Database!A:F,16,FALSE)=D241,"yes","no")</f>
        <v>#REF!</v>
      </c>
      <c r="F241" t="e">
        <f>IF(E241 = "no",VLOOKUP(A241,WEB_Database!A:F,16,FALSE),"")</f>
        <v>#REF!</v>
      </c>
    </row>
    <row r="242" spans="1:6">
      <c r="A242" s="292" t="s">
        <v>2872</v>
      </c>
      <c r="B242" s="304" t="str">
        <f>IF(ISNA(VLOOKUP(A242, WEB_Database!A:A, 1, FALSE)), "Not Found", "Found")</f>
        <v>Found</v>
      </c>
      <c r="C242" s="304" t="str">
        <f t="shared" si="3"/>
        <v>No</v>
      </c>
      <c r="D242" s="290" t="s">
        <v>2867</v>
      </c>
      <c r="E242" t="e">
        <f>IF(VLOOKUP(A242,WEB_Database!A:F,16,FALSE)=D242,"yes","no")</f>
        <v>#REF!</v>
      </c>
      <c r="F242" t="e">
        <f>IF(E242 = "no",VLOOKUP(A242,WEB_Database!A:F,16,FALSE),"")</f>
        <v>#REF!</v>
      </c>
    </row>
    <row r="243" spans="1:6">
      <c r="A243" s="292" t="s">
        <v>2884</v>
      </c>
      <c r="B243" s="304" t="str">
        <f>IF(ISNA(VLOOKUP(A243, WEB_Database!A:A, 1, FALSE)), "Not Found", "Found")</f>
        <v>Found</v>
      </c>
      <c r="C243" s="304" t="str">
        <f t="shared" si="3"/>
        <v>No</v>
      </c>
      <c r="D243" s="290" t="s">
        <v>2846</v>
      </c>
      <c r="E243" t="e">
        <f>IF(VLOOKUP(A243,WEB_Database!A:F,16,FALSE)=D243,"yes","no")</f>
        <v>#REF!</v>
      </c>
      <c r="F243" t="e">
        <f>IF(E243 = "no",VLOOKUP(A243,WEB_Database!A:F,16,FALSE),"")</f>
        <v>#REF!</v>
      </c>
    </row>
    <row r="244" spans="1:6">
      <c r="A244" s="292" t="s">
        <v>2886</v>
      </c>
      <c r="B244" s="304" t="str">
        <f>IF(ISNA(VLOOKUP(A244, WEB_Database!A:A, 1, FALSE)), "Not Found", "Found")</f>
        <v>Found</v>
      </c>
      <c r="C244" s="304" t="str">
        <f t="shared" si="3"/>
        <v>No</v>
      </c>
      <c r="D244" s="290" t="s">
        <v>2846</v>
      </c>
      <c r="E244" t="e">
        <f>IF(VLOOKUP(A244,WEB_Database!A:F,16,FALSE)=D244,"yes","no")</f>
        <v>#REF!</v>
      </c>
      <c r="F244" t="e">
        <f>IF(E244 = "no",VLOOKUP(A244,WEB_Database!A:F,16,FALSE),"")</f>
        <v>#REF!</v>
      </c>
    </row>
    <row r="245" spans="1:6">
      <c r="A245" s="292" t="s">
        <v>2896</v>
      </c>
      <c r="B245" s="304" t="str">
        <f>IF(ISNA(VLOOKUP(A245, WEB_Database!A:A, 1, FALSE)), "Not Found", "Found")</f>
        <v>Found</v>
      </c>
      <c r="C245" s="304" t="str">
        <f t="shared" si="3"/>
        <v>No</v>
      </c>
      <c r="D245" s="290" t="s">
        <v>2846</v>
      </c>
      <c r="E245" t="e">
        <f>IF(VLOOKUP(A245,WEB_Database!A:F,16,FALSE)=D245,"yes","no")</f>
        <v>#REF!</v>
      </c>
      <c r="F245" t="e">
        <f>IF(E245 = "no",VLOOKUP(A245,WEB_Database!A:F,16,FALSE),"")</f>
        <v>#REF!</v>
      </c>
    </row>
    <row r="246" spans="1:6">
      <c r="A246" s="292" t="s">
        <v>2912</v>
      </c>
      <c r="B246" s="304" t="str">
        <f>IF(ISNA(VLOOKUP(A246, WEB_Database!A:A, 1, FALSE)), "Not Found", "Found")</f>
        <v>Found</v>
      </c>
      <c r="C246" s="304" t="str">
        <f t="shared" si="3"/>
        <v>No</v>
      </c>
      <c r="D246" s="306" t="s">
        <v>1458</v>
      </c>
      <c r="E246" t="e">
        <f>IF(VLOOKUP(A246,WEB_Database!A:F,16,FALSE)=D246,"yes","no")</f>
        <v>#REF!</v>
      </c>
      <c r="F246" t="e">
        <f>IF(E246 = "no",VLOOKUP(A246,WEB_Database!A:F,16,FALSE),"")</f>
        <v>#REF!</v>
      </c>
    </row>
    <row r="247" spans="1:6">
      <c r="A247" s="292" t="s">
        <v>3531</v>
      </c>
      <c r="B247" s="304" t="str">
        <f>IF(ISNA(VLOOKUP(A247, WEB_Database!A:A, 1, FALSE)), "Not Found", "Found")</f>
        <v>Found</v>
      </c>
      <c r="C247" s="304" t="str">
        <f t="shared" si="3"/>
        <v>No</v>
      </c>
      <c r="D247" s="290" t="s">
        <v>1458</v>
      </c>
      <c r="E247" t="e">
        <f>IF(VLOOKUP(A247,WEB_Database!A:F,16,FALSE)=D247,"yes","no")</f>
        <v>#REF!</v>
      </c>
      <c r="F247" t="e">
        <f>IF(E247 = "no",VLOOKUP(A247,WEB_Database!A:F,16,FALSE),"")</f>
        <v>#REF!</v>
      </c>
    </row>
    <row r="248" spans="1:6">
      <c r="A248" s="292" t="s">
        <v>2898</v>
      </c>
      <c r="B248" s="304" t="str">
        <f>IF(ISNA(VLOOKUP(A248, WEB_Database!A:A, 1, FALSE)), "Not Found", "Found")</f>
        <v>Found</v>
      </c>
      <c r="C248" s="304" t="str">
        <f t="shared" si="3"/>
        <v>No</v>
      </c>
      <c r="D248" s="290" t="s">
        <v>2846</v>
      </c>
      <c r="E248" t="e">
        <f>IF(VLOOKUP(A248,WEB_Database!A:F,16,FALSE)=D248,"yes","no")</f>
        <v>#REF!</v>
      </c>
      <c r="F248" t="e">
        <f>IF(E248 = "no",VLOOKUP(A248,WEB_Database!A:F,16,FALSE),"")</f>
        <v>#REF!</v>
      </c>
    </row>
    <row r="249" spans="1:6">
      <c r="A249" s="292" t="s">
        <v>3096</v>
      </c>
      <c r="B249" s="304" t="str">
        <f>IF(ISNA(VLOOKUP(A249, WEB_Database!A:A, 1, FALSE)), "Not Found", "Found")</f>
        <v>Found</v>
      </c>
      <c r="C249" s="304" t="str">
        <f t="shared" si="3"/>
        <v>No</v>
      </c>
      <c r="D249" s="290" t="s">
        <v>1488</v>
      </c>
      <c r="E249" t="e">
        <f>IF(VLOOKUP(A249,WEB_Database!A:F,16,FALSE)=D249,"yes","no")</f>
        <v>#REF!</v>
      </c>
      <c r="F249" t="e">
        <f>IF(E249 = "no",VLOOKUP(A249,WEB_Database!A:F,16,FALSE),"")</f>
        <v>#REF!</v>
      </c>
    </row>
    <row r="250" spans="1:6">
      <c r="A250" s="292" t="s">
        <v>3097</v>
      </c>
      <c r="B250" s="304" t="str">
        <f>IF(ISNA(VLOOKUP(A250, WEB_Database!A:A, 1, FALSE)), "Not Found", "Found")</f>
        <v>Found</v>
      </c>
      <c r="C250" s="304" t="str">
        <f t="shared" si="3"/>
        <v>No</v>
      </c>
      <c r="D250" s="306" t="s">
        <v>1490</v>
      </c>
      <c r="E250" t="e">
        <f>IF(VLOOKUP(A250,WEB_Database!A:F,16,FALSE)=D250,"yes","no")</f>
        <v>#REF!</v>
      </c>
      <c r="F250" t="e">
        <f>IF(E250 = "no",VLOOKUP(A250,WEB_Database!A:F,16,FALSE),"")</f>
        <v>#REF!</v>
      </c>
    </row>
    <row r="251" spans="1:6">
      <c r="A251" s="292" t="s">
        <v>2903</v>
      </c>
      <c r="B251" s="304" t="str">
        <f>IF(ISNA(VLOOKUP(A251, WEB_Database!A:A, 1, FALSE)), "Not Found", "Found")</f>
        <v>Found</v>
      </c>
      <c r="C251" s="304" t="str">
        <f t="shared" si="3"/>
        <v>No</v>
      </c>
      <c r="D251" s="306" t="s">
        <v>2904</v>
      </c>
      <c r="E251" t="e">
        <f>IF(VLOOKUP(A251,WEB_Database!A:F,16,FALSE)=D251,"yes","no")</f>
        <v>#REF!</v>
      </c>
      <c r="F251" t="e">
        <f>IF(E251 = "no",VLOOKUP(A251,WEB_Database!A:F,16,FALSE),"")</f>
        <v>#REF!</v>
      </c>
    </row>
    <row r="252" spans="1:6">
      <c r="A252" s="292" t="s">
        <v>2906</v>
      </c>
      <c r="B252" s="304" t="str">
        <f>IF(ISNA(VLOOKUP(A252, WEB_Database!A:A, 1, FALSE)), "Not Found", "Found")</f>
        <v>Found</v>
      </c>
      <c r="C252" s="304" t="str">
        <f t="shared" si="3"/>
        <v>No</v>
      </c>
      <c r="D252" s="290" t="s">
        <v>2904</v>
      </c>
      <c r="E252" t="e">
        <f>IF(VLOOKUP(A252,WEB_Database!A:F,16,FALSE)=D252,"yes","no")</f>
        <v>#REF!</v>
      </c>
      <c r="F252" t="e">
        <f>IF(E252 = "no",VLOOKUP(A252,WEB_Database!A:F,16,FALSE),"")</f>
        <v>#REF!</v>
      </c>
    </row>
    <row r="253" spans="1:6">
      <c r="A253" s="292" t="s">
        <v>2908</v>
      </c>
      <c r="B253" s="304" t="str">
        <f>IF(ISNA(VLOOKUP(A253, WEB_Database!A:A, 1, FALSE)), "Not Found", "Found")</f>
        <v>Found</v>
      </c>
      <c r="C253" s="304" t="str">
        <f t="shared" si="3"/>
        <v>No</v>
      </c>
      <c r="D253" s="290" t="s">
        <v>2904</v>
      </c>
      <c r="E253" t="e">
        <f>IF(VLOOKUP(A253,WEB_Database!A:F,16,FALSE)=D253,"yes","no")</f>
        <v>#REF!</v>
      </c>
      <c r="F253" t="e">
        <f>IF(E253 = "no",VLOOKUP(A253,WEB_Database!A:F,16,FALSE),"")</f>
        <v>#REF!</v>
      </c>
    </row>
    <row r="254" spans="1:6">
      <c r="A254" s="292" t="s">
        <v>3532</v>
      </c>
      <c r="B254" s="304" t="str">
        <f>IF(ISNA(VLOOKUP(A254, WEB_Database!A:A, 1, FALSE)), "Not Found", "Found")</f>
        <v>Found</v>
      </c>
      <c r="C254" s="304" t="str">
        <f t="shared" si="3"/>
        <v>No</v>
      </c>
      <c r="D254" s="290" t="s">
        <v>1458</v>
      </c>
      <c r="E254" t="e">
        <f>IF(VLOOKUP(A254,WEB_Database!A:F,16,FALSE)=D254,"yes","no")</f>
        <v>#REF!</v>
      </c>
      <c r="F254" t="e">
        <f>IF(E254 = "no",VLOOKUP(A254,WEB_Database!A:F,16,FALSE),"")</f>
        <v>#REF!</v>
      </c>
    </row>
    <row r="255" spans="1:6">
      <c r="A255" s="292" t="s">
        <v>3533</v>
      </c>
      <c r="B255" s="304" t="str">
        <f>IF(ISNA(VLOOKUP(A255, WEB_Database!A:A, 1, FALSE)), "Not Found", "Found")</f>
        <v>Found</v>
      </c>
      <c r="C255" s="304" t="str">
        <f t="shared" si="3"/>
        <v>No</v>
      </c>
      <c r="D255" s="290" t="s">
        <v>3673</v>
      </c>
      <c r="E255" t="e">
        <f>IF(VLOOKUP(A255,WEB_Database!A:F,16,FALSE)=D255,"yes","no")</f>
        <v>#REF!</v>
      </c>
      <c r="F255" t="e">
        <f>IF(E255 = "no",VLOOKUP(A255,WEB_Database!A:F,16,FALSE),"")</f>
        <v>#REF!</v>
      </c>
    </row>
    <row r="256" spans="1:6">
      <c r="A256" s="292" t="s">
        <v>3534</v>
      </c>
      <c r="B256" s="304" t="str">
        <f>IF(ISNA(VLOOKUP(A256, WEB_Database!A:A, 1, FALSE)), "Not Found", "Found")</f>
        <v>Found</v>
      </c>
      <c r="C256" s="304" t="str">
        <f t="shared" si="3"/>
        <v>No</v>
      </c>
      <c r="D256" s="290" t="s">
        <v>3673</v>
      </c>
      <c r="E256" t="e">
        <f>IF(VLOOKUP(A256,WEB_Database!A:F,16,FALSE)=D256,"yes","no")</f>
        <v>#REF!</v>
      </c>
      <c r="F256" t="e">
        <f>IF(E256 = "no",VLOOKUP(A256,WEB_Database!A:F,16,FALSE),"")</f>
        <v>#REF!</v>
      </c>
    </row>
    <row r="257" spans="1:6">
      <c r="A257" s="292" t="s">
        <v>3535</v>
      </c>
      <c r="B257" s="304" t="str">
        <f>IF(ISNA(VLOOKUP(A257, WEB_Database!A:A, 1, FALSE)), "Not Found", "Found")</f>
        <v>Found</v>
      </c>
      <c r="C257" s="304" t="str">
        <f t="shared" si="3"/>
        <v>No</v>
      </c>
      <c r="D257" s="290" t="s">
        <v>3673</v>
      </c>
      <c r="E257" t="e">
        <f>IF(VLOOKUP(A257,WEB_Database!A:F,16,FALSE)=D257,"yes","no")</f>
        <v>#REF!</v>
      </c>
      <c r="F257" t="e">
        <f>IF(E257 = "no",VLOOKUP(A257,WEB_Database!A:F,16,FALSE),"")</f>
        <v>#REF!</v>
      </c>
    </row>
    <row r="258" spans="1:6">
      <c r="A258" s="292" t="s">
        <v>3536</v>
      </c>
      <c r="B258" s="304" t="str">
        <f>IF(ISNA(VLOOKUP(A258, WEB_Database!A:A, 1, FALSE)), "Not Found", "Found")</f>
        <v>Found</v>
      </c>
      <c r="C258" s="304" t="str">
        <f t="shared" si="3"/>
        <v>No</v>
      </c>
      <c r="D258" s="290" t="s">
        <v>1458</v>
      </c>
      <c r="E258" t="e">
        <f>IF(VLOOKUP(A258,WEB_Database!A:F,16,FALSE)=D258,"yes","no")</f>
        <v>#REF!</v>
      </c>
      <c r="F258" t="e">
        <f>IF(E258 = "no",VLOOKUP(A258,WEB_Database!A:F,16,FALSE),"")</f>
        <v>#REF!</v>
      </c>
    </row>
    <row r="259" spans="1:6">
      <c r="A259" s="292" t="s">
        <v>3537</v>
      </c>
      <c r="B259" s="304" t="str">
        <f>IF(ISNA(VLOOKUP(A259, WEB_Database!A:A, 1, FALSE)), "Not Found", "Found")</f>
        <v>Found</v>
      </c>
      <c r="C259" s="304" t="str">
        <f t="shared" ref="C259:C322" si="4">IF(ISNA(VLOOKUP(A259, A260:A857, 1, FALSE)), "No", "Yes")</f>
        <v>No</v>
      </c>
      <c r="D259" s="290" t="s">
        <v>1458</v>
      </c>
      <c r="E259" t="e">
        <f>IF(VLOOKUP(A259,WEB_Database!A:F,16,FALSE)=D259,"yes","no")</f>
        <v>#REF!</v>
      </c>
      <c r="F259" t="e">
        <f>IF(E259 = "no",VLOOKUP(A259,WEB_Database!A:F,16,FALSE),"")</f>
        <v>#REF!</v>
      </c>
    </row>
    <row r="260" spans="1:6">
      <c r="A260" s="292" t="s">
        <v>3538</v>
      </c>
      <c r="B260" s="304" t="str">
        <f>IF(ISNA(VLOOKUP(A260, WEB_Database!A:A, 1, FALSE)), "Not Found", "Found")</f>
        <v>Found</v>
      </c>
      <c r="C260" s="304" t="str">
        <f t="shared" si="4"/>
        <v>No</v>
      </c>
      <c r="D260" s="290" t="s">
        <v>3674</v>
      </c>
      <c r="E260" t="e">
        <f>IF(VLOOKUP(A260,WEB_Database!A:F,16,FALSE)=D260,"yes","no")</f>
        <v>#REF!</v>
      </c>
      <c r="F260" t="e">
        <f>IF(E260 = "no",VLOOKUP(A260,WEB_Database!A:F,16,FALSE),"")</f>
        <v>#REF!</v>
      </c>
    </row>
    <row r="261" spans="1:6">
      <c r="A261" s="292" t="s">
        <v>3539</v>
      </c>
      <c r="B261" s="304" t="str">
        <f>IF(ISNA(VLOOKUP(A261, WEB_Database!A:A, 1, FALSE)), "Not Found", "Found")</f>
        <v>Found</v>
      </c>
      <c r="C261" s="304" t="str">
        <f t="shared" si="4"/>
        <v>No</v>
      </c>
      <c r="D261" s="290" t="s">
        <v>3674</v>
      </c>
      <c r="E261" t="e">
        <f>IF(VLOOKUP(A261,WEB_Database!A:F,16,FALSE)=D261,"yes","no")</f>
        <v>#REF!</v>
      </c>
      <c r="F261" t="e">
        <f>IF(E261 = "no",VLOOKUP(A261,WEB_Database!A:F,16,FALSE),"")</f>
        <v>#REF!</v>
      </c>
    </row>
    <row r="262" spans="1:6">
      <c r="A262" s="292" t="s">
        <v>3540</v>
      </c>
      <c r="B262" s="304" t="str">
        <f>IF(ISNA(VLOOKUP(A262, WEB_Database!A:A, 1, FALSE)), "Not Found", "Found")</f>
        <v>Found</v>
      </c>
      <c r="C262" s="304" t="str">
        <f t="shared" si="4"/>
        <v>No</v>
      </c>
      <c r="D262" s="290" t="s">
        <v>3674</v>
      </c>
      <c r="E262" t="e">
        <f>IF(VLOOKUP(A262,WEB_Database!A:F,16,FALSE)=D262,"yes","no")</f>
        <v>#REF!</v>
      </c>
      <c r="F262" t="e">
        <f>IF(E262 = "no",VLOOKUP(A262,WEB_Database!A:F,16,FALSE),"")</f>
        <v>#REF!</v>
      </c>
    </row>
    <row r="263" spans="1:6">
      <c r="A263" s="292" t="s">
        <v>3541</v>
      </c>
      <c r="B263" s="304" t="str">
        <f>IF(ISNA(VLOOKUP(A263, WEB_Database!A:A, 1, FALSE)), "Not Found", "Found")</f>
        <v>Found</v>
      </c>
      <c r="C263" s="304" t="str">
        <f t="shared" si="4"/>
        <v>No</v>
      </c>
      <c r="D263" s="290" t="s">
        <v>3674</v>
      </c>
      <c r="E263" t="e">
        <f>IF(VLOOKUP(A263,WEB_Database!A:F,16,FALSE)=D263,"yes","no")</f>
        <v>#REF!</v>
      </c>
      <c r="F263" t="e">
        <f>IF(E263 = "no",VLOOKUP(A263,WEB_Database!A:F,16,FALSE),"")</f>
        <v>#REF!</v>
      </c>
    </row>
    <row r="264" spans="1:6">
      <c r="A264" s="292" t="s">
        <v>3542</v>
      </c>
      <c r="B264" s="304" t="str">
        <f>IF(ISNA(VLOOKUP(A264, WEB_Database!A:A, 1, FALSE)), "Not Found", "Found")</f>
        <v>Found</v>
      </c>
      <c r="C264" s="304" t="str">
        <f t="shared" si="4"/>
        <v>No</v>
      </c>
      <c r="D264" s="290" t="s">
        <v>1458</v>
      </c>
      <c r="E264" t="e">
        <f>IF(VLOOKUP(A264,WEB_Database!A:F,16,FALSE)=D264,"yes","no")</f>
        <v>#REF!</v>
      </c>
      <c r="F264" t="e">
        <f>IF(E264 = "no",VLOOKUP(A264,WEB_Database!A:F,16,FALSE),"")</f>
        <v>#REF!</v>
      </c>
    </row>
    <row r="265" spans="1:6">
      <c r="A265" s="292" t="s">
        <v>3543</v>
      </c>
      <c r="B265" s="304" t="str">
        <f>IF(ISNA(VLOOKUP(A265, WEB_Database!A:A, 1, FALSE)), "Not Found", "Found")</f>
        <v>Found</v>
      </c>
      <c r="C265" s="304" t="str">
        <f t="shared" si="4"/>
        <v>No</v>
      </c>
      <c r="D265" s="290" t="s">
        <v>3675</v>
      </c>
      <c r="E265" t="e">
        <f>IF(VLOOKUP(A265,WEB_Database!A:F,16,FALSE)=D265,"yes","no")</f>
        <v>#REF!</v>
      </c>
      <c r="F265" t="e">
        <f>IF(E265 = "no",VLOOKUP(A265,WEB_Database!A:F,16,FALSE),"")</f>
        <v>#REF!</v>
      </c>
    </row>
    <row r="266" spans="1:6">
      <c r="A266" s="292" t="s">
        <v>3544</v>
      </c>
      <c r="B266" s="304" t="str">
        <f>IF(ISNA(VLOOKUP(A266, WEB_Database!A:A, 1, FALSE)), "Not Found", "Found")</f>
        <v>Found</v>
      </c>
      <c r="C266" s="304" t="str">
        <f t="shared" si="4"/>
        <v>No</v>
      </c>
      <c r="D266" s="290" t="s">
        <v>3675</v>
      </c>
      <c r="E266" t="e">
        <f>IF(VLOOKUP(A266,WEB_Database!A:F,16,FALSE)=D266,"yes","no")</f>
        <v>#REF!</v>
      </c>
      <c r="F266" t="e">
        <f>IF(E266 = "no",VLOOKUP(A266,WEB_Database!A:F,16,FALSE),"")</f>
        <v>#REF!</v>
      </c>
    </row>
    <row r="267" spans="1:6">
      <c r="A267" s="292" t="s">
        <v>3545</v>
      </c>
      <c r="B267" s="304" t="str">
        <f>IF(ISNA(VLOOKUP(A267, WEB_Database!A:A, 1, FALSE)), "Not Found", "Found")</f>
        <v>Found</v>
      </c>
      <c r="C267" s="304" t="str">
        <f t="shared" si="4"/>
        <v>No</v>
      </c>
      <c r="D267" s="290" t="s">
        <v>3675</v>
      </c>
      <c r="E267" t="e">
        <f>IF(VLOOKUP(A267,WEB_Database!A:F,16,FALSE)=D267,"yes","no")</f>
        <v>#REF!</v>
      </c>
      <c r="F267" t="e">
        <f>IF(E267 = "no",VLOOKUP(A267,WEB_Database!A:F,16,FALSE),"")</f>
        <v>#REF!</v>
      </c>
    </row>
    <row r="268" spans="1:6">
      <c r="A268" s="292" t="s">
        <v>3546</v>
      </c>
      <c r="B268" s="304" t="str">
        <f>IF(ISNA(VLOOKUP(A268, WEB_Database!A:A, 1, FALSE)), "Not Found", "Found")</f>
        <v>Found</v>
      </c>
      <c r="C268" s="304" t="str">
        <f t="shared" si="4"/>
        <v>No</v>
      </c>
      <c r="D268" s="290" t="s">
        <v>1458</v>
      </c>
      <c r="E268" t="e">
        <f>IF(VLOOKUP(A268,WEB_Database!A:F,16,FALSE)=D268,"yes","no")</f>
        <v>#REF!</v>
      </c>
      <c r="F268" t="e">
        <f>IF(E268 = "no",VLOOKUP(A268,WEB_Database!A:F,16,FALSE),"")</f>
        <v>#REF!</v>
      </c>
    </row>
    <row r="269" spans="1:6">
      <c r="A269" s="292" t="s">
        <v>3547</v>
      </c>
      <c r="B269" s="304" t="str">
        <f>IF(ISNA(VLOOKUP(A269, WEB_Database!A:A, 1, FALSE)), "Not Found", "Found")</f>
        <v>Found</v>
      </c>
      <c r="C269" s="304" t="str">
        <f t="shared" si="4"/>
        <v>No</v>
      </c>
      <c r="D269" s="290" t="s">
        <v>1458</v>
      </c>
      <c r="E269" t="e">
        <f>IF(VLOOKUP(A269,WEB_Database!A:F,16,FALSE)=D269,"yes","no")</f>
        <v>#REF!</v>
      </c>
      <c r="F269" t="e">
        <f>IF(E269 = "no",VLOOKUP(A269,WEB_Database!A:F,16,FALSE),"")</f>
        <v>#REF!</v>
      </c>
    </row>
    <row r="270" spans="1:6">
      <c r="A270" s="292" t="s">
        <v>2915</v>
      </c>
      <c r="B270" s="304" t="str">
        <f>IF(ISNA(VLOOKUP(A270, WEB_Database!A:A, 1, FALSE)), "Not Found", "Found")</f>
        <v>Found</v>
      </c>
      <c r="C270" s="304" t="str">
        <f t="shared" si="4"/>
        <v>No</v>
      </c>
      <c r="D270" s="290" t="s">
        <v>3676</v>
      </c>
      <c r="E270" t="e">
        <f>IF(VLOOKUP(A270,WEB_Database!A:F,16,FALSE)=D270,"yes","no")</f>
        <v>#REF!</v>
      </c>
      <c r="F270" t="e">
        <f>IF(E270 = "no",VLOOKUP(A270,WEB_Database!A:F,16,FALSE),"")</f>
        <v>#REF!</v>
      </c>
    </row>
    <row r="271" spans="1:6">
      <c r="A271" s="292" t="s">
        <v>3548</v>
      </c>
      <c r="B271" s="304" t="str">
        <f>IF(ISNA(VLOOKUP(A271, WEB_Database!A:A, 1, FALSE)), "Not Found", "Found")</f>
        <v>Found</v>
      </c>
      <c r="C271" s="304" t="str">
        <f t="shared" si="4"/>
        <v>No</v>
      </c>
      <c r="D271" s="290" t="s">
        <v>3676</v>
      </c>
      <c r="E271" t="e">
        <f>IF(VLOOKUP(A271,WEB_Database!A:F,16,FALSE)=D271,"yes","no")</f>
        <v>#REF!</v>
      </c>
      <c r="F271" t="e">
        <f>IF(E271 = "no",VLOOKUP(A271,WEB_Database!A:F,16,FALSE),"")</f>
        <v>#REF!</v>
      </c>
    </row>
    <row r="272" spans="1:6">
      <c r="A272" s="292" t="s">
        <v>3549</v>
      </c>
      <c r="B272" s="304" t="str">
        <f>IF(ISNA(VLOOKUP(A272, WEB_Database!A:A, 1, FALSE)), "Not Found", "Found")</f>
        <v>Found</v>
      </c>
      <c r="C272" s="304" t="str">
        <f t="shared" si="4"/>
        <v>No</v>
      </c>
      <c r="D272" s="290" t="s">
        <v>3676</v>
      </c>
      <c r="E272" t="e">
        <f>IF(VLOOKUP(A272,WEB_Database!A:F,16,FALSE)=D272,"yes","no")</f>
        <v>#REF!</v>
      </c>
      <c r="F272" t="e">
        <f>IF(E272 = "no",VLOOKUP(A272,WEB_Database!A:F,16,FALSE),"")</f>
        <v>#REF!</v>
      </c>
    </row>
    <row r="273" spans="1:6">
      <c r="A273" s="292" t="s">
        <v>3550</v>
      </c>
      <c r="B273" s="304" t="str">
        <f>IF(ISNA(VLOOKUP(A273, WEB_Database!A:A, 1, FALSE)), "Not Found", "Found")</f>
        <v>Found</v>
      </c>
      <c r="C273" s="304" t="str">
        <f t="shared" si="4"/>
        <v>No</v>
      </c>
      <c r="D273" s="290" t="s">
        <v>3676</v>
      </c>
      <c r="E273" t="e">
        <f>IF(VLOOKUP(A273,WEB_Database!A:F,16,FALSE)=D273,"yes","no")</f>
        <v>#REF!</v>
      </c>
      <c r="F273" t="e">
        <f>IF(E273 = "no",VLOOKUP(A273,WEB_Database!A:F,16,FALSE),"")</f>
        <v>#REF!</v>
      </c>
    </row>
    <row r="274" spans="1:6">
      <c r="A274" s="292" t="s">
        <v>3551</v>
      </c>
      <c r="B274" s="304" t="str">
        <f>IF(ISNA(VLOOKUP(A274, WEB_Database!A:A, 1, FALSE)), "Not Found", "Found")</f>
        <v>Found</v>
      </c>
      <c r="C274" s="304" t="str">
        <f t="shared" si="4"/>
        <v>No</v>
      </c>
      <c r="D274" s="290" t="s">
        <v>3677</v>
      </c>
      <c r="E274" t="e">
        <f>IF(VLOOKUP(A274,WEB_Database!A:F,16,FALSE)=D274,"yes","no")</f>
        <v>#REF!</v>
      </c>
      <c r="F274" t="e">
        <f>IF(E274 = "no",VLOOKUP(A274,WEB_Database!A:F,16,FALSE),"")</f>
        <v>#REF!</v>
      </c>
    </row>
    <row r="275" spans="1:6">
      <c r="A275" s="292" t="s">
        <v>3552</v>
      </c>
      <c r="B275" s="304" t="str">
        <f>IF(ISNA(VLOOKUP(A275, WEB_Database!A:A, 1, FALSE)), "Not Found", "Found")</f>
        <v>Found</v>
      </c>
      <c r="C275" s="304" t="str">
        <f t="shared" si="4"/>
        <v>No</v>
      </c>
      <c r="D275" s="290" t="s">
        <v>3677</v>
      </c>
      <c r="E275" t="e">
        <f>IF(VLOOKUP(A275,WEB_Database!A:F,16,FALSE)=D275,"yes","no")</f>
        <v>#REF!</v>
      </c>
      <c r="F275" t="e">
        <f>IF(E275 = "no",VLOOKUP(A275,WEB_Database!A:F,16,FALSE),"")</f>
        <v>#REF!</v>
      </c>
    </row>
    <row r="276" spans="1:6">
      <c r="A276" s="292" t="s">
        <v>3553</v>
      </c>
      <c r="B276" s="304" t="str">
        <f>IF(ISNA(VLOOKUP(A276, WEB_Database!A:A, 1, FALSE)), "Not Found", "Found")</f>
        <v>Found</v>
      </c>
      <c r="C276" s="304" t="str">
        <f t="shared" si="4"/>
        <v>No</v>
      </c>
      <c r="D276" s="290" t="s">
        <v>3677</v>
      </c>
      <c r="E276" t="e">
        <f>IF(VLOOKUP(A276,WEB_Database!A:F,16,FALSE)=D276,"yes","no")</f>
        <v>#REF!</v>
      </c>
      <c r="F276" t="e">
        <f>IF(E276 = "no",VLOOKUP(A276,WEB_Database!A:F,16,FALSE),"")</f>
        <v>#REF!</v>
      </c>
    </row>
    <row r="277" spans="1:6">
      <c r="A277" s="292" t="s">
        <v>3113</v>
      </c>
      <c r="B277" s="304" t="str">
        <f>IF(ISNA(VLOOKUP(A277, WEB_Database!A:A, 1, FALSE)), "Not Found", "Found")</f>
        <v>Found</v>
      </c>
      <c r="C277" s="304" t="str">
        <f t="shared" si="4"/>
        <v>No</v>
      </c>
      <c r="D277" s="290" t="s">
        <v>1458</v>
      </c>
      <c r="E277" t="e">
        <f>IF(VLOOKUP(A277,WEB_Database!A:F,16,FALSE)=D277,"yes","no")</f>
        <v>#REF!</v>
      </c>
      <c r="F277" t="e">
        <f>IF(E277 = "no",VLOOKUP(A277,WEB_Database!A:F,16,FALSE),"")</f>
        <v>#REF!</v>
      </c>
    </row>
    <row r="278" spans="1:6">
      <c r="A278" s="292" t="s">
        <v>3114</v>
      </c>
      <c r="B278" s="304" t="str">
        <f>IF(ISNA(VLOOKUP(A278, WEB_Database!A:A, 1, FALSE)), "Not Found", "Found")</f>
        <v>Found</v>
      </c>
      <c r="C278" s="304" t="str">
        <f t="shared" si="4"/>
        <v>No</v>
      </c>
      <c r="D278" s="290" t="s">
        <v>1458</v>
      </c>
      <c r="E278" t="e">
        <f>IF(VLOOKUP(A278,WEB_Database!A:F,16,FALSE)=D278,"yes","no")</f>
        <v>#REF!</v>
      </c>
      <c r="F278" t="e">
        <f>IF(E278 = "no",VLOOKUP(A278,WEB_Database!A:F,16,FALSE),"")</f>
        <v>#REF!</v>
      </c>
    </row>
    <row r="279" spans="1:6">
      <c r="A279" s="292" t="s">
        <v>3554</v>
      </c>
      <c r="B279" s="304" t="str">
        <f>IF(ISNA(VLOOKUP(A279, WEB_Database!A:A, 1, FALSE)), "Not Found", "Found")</f>
        <v>Found</v>
      </c>
      <c r="C279" s="304" t="str">
        <f t="shared" si="4"/>
        <v>No</v>
      </c>
      <c r="D279" s="306" t="s">
        <v>3678</v>
      </c>
      <c r="E279" t="e">
        <f>IF(VLOOKUP(A279,WEB_Database!A:F,16,FALSE)=D279,"yes","no")</f>
        <v>#REF!</v>
      </c>
      <c r="F279" t="e">
        <f>IF(E279 = "no",VLOOKUP(A279,WEB_Database!A:F,16,FALSE),"")</f>
        <v>#REF!</v>
      </c>
    </row>
    <row r="280" spans="1:6">
      <c r="A280" s="292" t="s">
        <v>3555</v>
      </c>
      <c r="B280" s="304" t="str">
        <f>IF(ISNA(VLOOKUP(A280, WEB_Database!A:A, 1, FALSE)), "Not Found", "Found")</f>
        <v>Found</v>
      </c>
      <c r="C280" s="304" t="str">
        <f t="shared" si="4"/>
        <v>No</v>
      </c>
      <c r="D280" s="306" t="s">
        <v>3678</v>
      </c>
      <c r="E280" t="e">
        <f>IF(VLOOKUP(A280,WEB_Database!A:F,16,FALSE)=D280,"yes","no")</f>
        <v>#REF!</v>
      </c>
      <c r="F280" t="e">
        <f>IF(E280 = "no",VLOOKUP(A280,WEB_Database!A:F,16,FALSE),"")</f>
        <v>#REF!</v>
      </c>
    </row>
    <row r="281" spans="1:6">
      <c r="A281" s="292" t="s">
        <v>3556</v>
      </c>
      <c r="B281" s="304" t="str">
        <f>IF(ISNA(VLOOKUP(A281, WEB_Database!A:A, 1, FALSE)), "Not Found", "Found")</f>
        <v>Found</v>
      </c>
      <c r="C281" s="304" t="str">
        <f t="shared" si="4"/>
        <v>No</v>
      </c>
      <c r="D281" s="306" t="s">
        <v>3678</v>
      </c>
      <c r="E281" t="e">
        <f>IF(VLOOKUP(A281,WEB_Database!A:F,16,FALSE)=D281,"yes","no")</f>
        <v>#REF!</v>
      </c>
      <c r="F281" t="e">
        <f>IF(E281 = "no",VLOOKUP(A281,WEB_Database!A:F,16,FALSE),"")</f>
        <v>#REF!</v>
      </c>
    </row>
    <row r="282" spans="1:6">
      <c r="A282" s="292" t="s">
        <v>3557</v>
      </c>
      <c r="B282" s="304" t="str">
        <f>IF(ISNA(VLOOKUP(A282, WEB_Database!A:A, 1, FALSE)), "Not Found", "Found")</f>
        <v>Found</v>
      </c>
      <c r="C282" s="304" t="str">
        <f t="shared" si="4"/>
        <v>No</v>
      </c>
      <c r="D282" s="306" t="s">
        <v>3678</v>
      </c>
      <c r="E282" t="e">
        <f>IF(VLOOKUP(A282,WEB_Database!A:F,16,FALSE)=D282,"yes","no")</f>
        <v>#REF!</v>
      </c>
      <c r="F282" t="e">
        <f>IF(E282 = "no",VLOOKUP(A282,WEB_Database!A:F,16,FALSE),"")</f>
        <v>#REF!</v>
      </c>
    </row>
    <row r="283" spans="1:6">
      <c r="A283" s="292" t="s">
        <v>2913</v>
      </c>
      <c r="B283" s="304" t="str">
        <f>IF(ISNA(VLOOKUP(A283, WEB_Database!A:A, 1, FALSE)), "Not Found", "Found")</f>
        <v>Found</v>
      </c>
      <c r="C283" s="304" t="str">
        <f t="shared" si="4"/>
        <v>No</v>
      </c>
      <c r="D283" s="306" t="s">
        <v>1458</v>
      </c>
      <c r="E283" t="e">
        <f>IF(VLOOKUP(A283,WEB_Database!A:F,16,FALSE)=D283,"yes","no")</f>
        <v>#REF!</v>
      </c>
      <c r="F283" t="e">
        <f>IF(E283 = "no",VLOOKUP(A283,WEB_Database!A:F,16,FALSE),"")</f>
        <v>#REF!</v>
      </c>
    </row>
    <row r="284" spans="1:6">
      <c r="A284" s="292" t="s">
        <v>3558</v>
      </c>
      <c r="B284" s="304" t="str">
        <f>IF(ISNA(VLOOKUP(A284, WEB_Database!A:A, 1, FALSE)), "Not Found", "Found")</f>
        <v>Found</v>
      </c>
      <c r="C284" s="304" t="str">
        <f t="shared" si="4"/>
        <v>No</v>
      </c>
      <c r="D284" s="306" t="s">
        <v>3679</v>
      </c>
      <c r="E284" t="e">
        <f>IF(VLOOKUP(A284,WEB_Database!A:F,16,FALSE)=D284,"yes","no")</f>
        <v>#REF!</v>
      </c>
      <c r="F284" t="e">
        <f>IF(E284 = "no",VLOOKUP(A284,WEB_Database!A:F,16,FALSE),"")</f>
        <v>#REF!</v>
      </c>
    </row>
    <row r="285" spans="1:6">
      <c r="A285" s="292" t="s">
        <v>3559</v>
      </c>
      <c r="B285" s="304" t="str">
        <f>IF(ISNA(VLOOKUP(A285, WEB_Database!A:A, 1, FALSE)), "Not Found", "Found")</f>
        <v>Found</v>
      </c>
      <c r="C285" s="304" t="str">
        <f t="shared" si="4"/>
        <v>No</v>
      </c>
      <c r="D285" s="306" t="s">
        <v>3679</v>
      </c>
      <c r="E285" t="e">
        <f>IF(VLOOKUP(A285,WEB_Database!A:F,16,FALSE)=D285,"yes","no")</f>
        <v>#REF!</v>
      </c>
      <c r="F285" t="e">
        <f>IF(E285 = "no",VLOOKUP(A285,WEB_Database!A:F,16,FALSE),"")</f>
        <v>#REF!</v>
      </c>
    </row>
    <row r="286" spans="1:6">
      <c r="A286" s="292" t="s">
        <v>3560</v>
      </c>
      <c r="B286" s="304" t="str">
        <f>IF(ISNA(VLOOKUP(A286, WEB_Database!A:A, 1, FALSE)), "Not Found", "Found")</f>
        <v>Found</v>
      </c>
      <c r="C286" s="304" t="str">
        <f t="shared" si="4"/>
        <v>No</v>
      </c>
      <c r="D286" s="306" t="s">
        <v>3679</v>
      </c>
      <c r="E286" t="e">
        <f>IF(VLOOKUP(A286,WEB_Database!A:F,16,FALSE)=D286,"yes","no")</f>
        <v>#REF!</v>
      </c>
      <c r="F286" t="e">
        <f>IF(E286 = "no",VLOOKUP(A286,WEB_Database!A:F,16,FALSE),"")</f>
        <v>#REF!</v>
      </c>
    </row>
    <row r="287" spans="1:6">
      <c r="A287" s="292" t="s">
        <v>3561</v>
      </c>
      <c r="B287" s="304" t="str">
        <f>IF(ISNA(VLOOKUP(A287, WEB_Database!A:A, 1, FALSE)), "Not Found", "Found")</f>
        <v>Found</v>
      </c>
      <c r="C287" s="304" t="str">
        <f t="shared" si="4"/>
        <v>No</v>
      </c>
      <c r="D287" s="290" t="s">
        <v>1458</v>
      </c>
      <c r="E287" t="e">
        <f>IF(VLOOKUP(A287,WEB_Database!A:F,16,FALSE)=D287,"yes","no")</f>
        <v>#REF!</v>
      </c>
      <c r="F287" t="e">
        <f>IF(E287 = "no",VLOOKUP(A287,WEB_Database!A:F,16,FALSE),"")</f>
        <v>#REF!</v>
      </c>
    </row>
    <row r="288" spans="1:6">
      <c r="A288" s="292" t="s">
        <v>3562</v>
      </c>
      <c r="B288" s="304" t="str">
        <f>IF(ISNA(VLOOKUP(A288, WEB_Database!A:A, 1, FALSE)), "Not Found", "Found")</f>
        <v>Found</v>
      </c>
      <c r="C288" s="304" t="str">
        <f t="shared" si="4"/>
        <v>No</v>
      </c>
      <c r="D288" s="290" t="s">
        <v>1458</v>
      </c>
      <c r="E288" t="e">
        <f>IF(VLOOKUP(A288,WEB_Database!A:F,16,FALSE)=D288,"yes","no")</f>
        <v>#REF!</v>
      </c>
      <c r="F288" t="e">
        <f>IF(E288 = "no",VLOOKUP(A288,WEB_Database!A:F,16,FALSE),"")</f>
        <v>#REF!</v>
      </c>
    </row>
    <row r="289" spans="1:6">
      <c r="A289" s="292" t="s">
        <v>3563</v>
      </c>
      <c r="B289" s="304" t="str">
        <f>IF(ISNA(VLOOKUP(A289, WEB_Database!A:A, 1, FALSE)), "Not Found", "Found")</f>
        <v>Found</v>
      </c>
      <c r="C289" s="304" t="str">
        <f t="shared" si="4"/>
        <v>No</v>
      </c>
      <c r="D289" s="290" t="s">
        <v>3094</v>
      </c>
      <c r="E289" t="e">
        <f>IF(VLOOKUP(A289,WEB_Database!A:F,16,FALSE)=D289,"yes","no")</f>
        <v>#REF!</v>
      </c>
      <c r="F289" t="e">
        <f>IF(E289 = "no",VLOOKUP(A289,WEB_Database!A:F,16,FALSE),"")</f>
        <v>#REF!</v>
      </c>
    </row>
    <row r="290" spans="1:6">
      <c r="A290" s="292" t="s">
        <v>2814</v>
      </c>
      <c r="B290" s="304" t="str">
        <f>IF(ISNA(VLOOKUP(A290, WEB_Database!A:A, 1, FALSE)), "Not Found", "Found")</f>
        <v>Found</v>
      </c>
      <c r="C290" s="304" t="str">
        <f t="shared" si="4"/>
        <v>No</v>
      </c>
      <c r="D290" s="290" t="s">
        <v>2817</v>
      </c>
      <c r="E290" t="e">
        <f>IF(VLOOKUP(A290,WEB_Database!A:F,16,FALSE)=D290,"yes","no")</f>
        <v>#REF!</v>
      </c>
      <c r="F290" t="e">
        <f>IF(E290 = "no",VLOOKUP(A290,WEB_Database!A:F,16,FALSE),"")</f>
        <v>#REF!</v>
      </c>
    </row>
    <row r="291" spans="1:6">
      <c r="A291" s="292" t="s">
        <v>3564</v>
      </c>
      <c r="B291" s="304" t="str">
        <f>IF(ISNA(VLOOKUP(A291, WEB_Database!A:A, 1, FALSE)), "Not Found", "Found")</f>
        <v>Found</v>
      </c>
      <c r="C291" s="304" t="str">
        <f t="shared" si="4"/>
        <v>No</v>
      </c>
      <c r="D291" s="306" t="s">
        <v>1458</v>
      </c>
      <c r="E291" t="e">
        <f>IF(VLOOKUP(A291,WEB_Database!A:F,16,FALSE)=D291,"yes","no")</f>
        <v>#REF!</v>
      </c>
      <c r="F291" t="e">
        <f>IF(E291 = "no",VLOOKUP(A291,WEB_Database!A:F,16,FALSE),"")</f>
        <v>#REF!</v>
      </c>
    </row>
    <row r="292" spans="1:6">
      <c r="A292" s="292" t="s">
        <v>3565</v>
      </c>
      <c r="B292" s="304" t="str">
        <f>IF(ISNA(VLOOKUP(A292, WEB_Database!A:A, 1, FALSE)), "Not Found", "Found")</f>
        <v>Found</v>
      </c>
      <c r="C292" s="304" t="str">
        <f t="shared" si="4"/>
        <v>No</v>
      </c>
      <c r="D292" s="290" t="s">
        <v>1458</v>
      </c>
      <c r="E292" t="e">
        <f>IF(VLOOKUP(A292,WEB_Database!A:F,16,FALSE)=D292,"yes","no")</f>
        <v>#REF!</v>
      </c>
      <c r="F292" t="e">
        <f>IF(E292 = "no",VLOOKUP(A292,WEB_Database!A:F,16,FALSE),"")</f>
        <v>#REF!</v>
      </c>
    </row>
    <row r="293" spans="1:6">
      <c r="A293" s="292" t="s">
        <v>2820</v>
      </c>
      <c r="B293" s="304" t="str">
        <f>IF(ISNA(VLOOKUP(A293, WEB_Database!A:A, 1, FALSE)), "Not Found", "Found")</f>
        <v>Found</v>
      </c>
      <c r="C293" s="304" t="str">
        <f t="shared" si="4"/>
        <v>No</v>
      </c>
      <c r="D293" s="290" t="s">
        <v>2817</v>
      </c>
      <c r="E293" t="e">
        <f>IF(VLOOKUP(A293,WEB_Database!A:F,16,FALSE)=D293,"yes","no")</f>
        <v>#REF!</v>
      </c>
      <c r="F293" t="e">
        <f>IF(E293 = "no",VLOOKUP(A293,WEB_Database!A:F,16,FALSE),"")</f>
        <v>#REF!</v>
      </c>
    </row>
    <row r="294" spans="1:6">
      <c r="A294" s="292" t="s">
        <v>2890</v>
      </c>
      <c r="B294" s="304" t="str">
        <f>IF(ISNA(VLOOKUP(A294, WEB_Database!A:A, 1, FALSE)), "Not Found", "Found")</f>
        <v>Found</v>
      </c>
      <c r="C294" s="304" t="str">
        <f t="shared" si="4"/>
        <v>No</v>
      </c>
      <c r="D294" s="306" t="s">
        <v>2846</v>
      </c>
      <c r="E294" t="e">
        <f>IF(VLOOKUP(A294,WEB_Database!A:F,16,FALSE)=D294,"yes","no")</f>
        <v>#REF!</v>
      </c>
      <c r="F294" t="e">
        <f>IF(E294 = "no",VLOOKUP(A294,WEB_Database!A:F,16,FALSE),"")</f>
        <v>#REF!</v>
      </c>
    </row>
    <row r="295" spans="1:6">
      <c r="A295" s="292" t="s">
        <v>2892</v>
      </c>
      <c r="B295" s="304" t="str">
        <f>IF(ISNA(VLOOKUP(A295, WEB_Database!A:A, 1, FALSE)), "Not Found", "Found")</f>
        <v>Found</v>
      </c>
      <c r="C295" s="304" t="str">
        <f t="shared" si="4"/>
        <v>No</v>
      </c>
      <c r="D295" s="290" t="s">
        <v>2846</v>
      </c>
      <c r="E295" t="e">
        <f>IF(VLOOKUP(A295,WEB_Database!A:F,16,FALSE)=D295,"yes","no")</f>
        <v>#REF!</v>
      </c>
      <c r="F295" t="e">
        <f>IF(E295 = "no",VLOOKUP(A295,WEB_Database!A:F,16,FALSE),"")</f>
        <v>#REF!</v>
      </c>
    </row>
    <row r="296" spans="1:6">
      <c r="A296" s="292" t="s">
        <v>2894</v>
      </c>
      <c r="B296" s="304" t="str">
        <f>IF(ISNA(VLOOKUP(A296, WEB_Database!A:A, 1, FALSE)), "Not Found", "Found")</f>
        <v>Found</v>
      </c>
      <c r="C296" s="304" t="str">
        <f t="shared" si="4"/>
        <v>No</v>
      </c>
      <c r="D296" s="290" t="s">
        <v>2846</v>
      </c>
      <c r="E296" t="e">
        <f>IF(VLOOKUP(A296,WEB_Database!A:F,16,FALSE)=D296,"yes","no")</f>
        <v>#REF!</v>
      </c>
      <c r="F296" t="e">
        <f>IF(E296 = "no",VLOOKUP(A296,WEB_Database!A:F,16,FALSE),"")</f>
        <v>#REF!</v>
      </c>
    </row>
    <row r="297" spans="1:6">
      <c r="A297" s="292" t="s">
        <v>2874</v>
      </c>
      <c r="B297" s="304" t="str">
        <f>IF(ISNA(VLOOKUP(A297, WEB_Database!A:A, 1, FALSE)), "Not Found", "Found")</f>
        <v>Found</v>
      </c>
      <c r="C297" s="304" t="str">
        <f t="shared" si="4"/>
        <v>No</v>
      </c>
      <c r="D297" s="290" t="s">
        <v>2867</v>
      </c>
      <c r="E297" t="e">
        <f>IF(VLOOKUP(A297,WEB_Database!A:F,16,FALSE)=D297,"yes","no")</f>
        <v>#REF!</v>
      </c>
      <c r="F297" t="e">
        <f>IF(E297 = "no",VLOOKUP(A297,WEB_Database!A:F,16,FALSE),"")</f>
        <v>#REF!</v>
      </c>
    </row>
    <row r="298" spans="1:6">
      <c r="A298" s="292" t="s">
        <v>2876</v>
      </c>
      <c r="B298" s="304" t="str">
        <f>IF(ISNA(VLOOKUP(A298, WEB_Database!A:A, 1, FALSE)), "Not Found", "Found")</f>
        <v>Found</v>
      </c>
      <c r="C298" s="304" t="str">
        <f t="shared" si="4"/>
        <v>No</v>
      </c>
      <c r="D298" s="290" t="s">
        <v>2867</v>
      </c>
      <c r="E298" t="e">
        <f>IF(VLOOKUP(A298,WEB_Database!A:F,16,FALSE)=D298,"yes","no")</f>
        <v>#REF!</v>
      </c>
      <c r="F298" t="e">
        <f>IF(E298 = "no",VLOOKUP(A298,WEB_Database!A:F,16,FALSE),"")</f>
        <v>#REF!</v>
      </c>
    </row>
    <row r="299" spans="1:6">
      <c r="A299" s="292" t="s">
        <v>3566</v>
      </c>
      <c r="B299" s="304" t="str">
        <f>IF(ISNA(VLOOKUP(A299, WEB_Database!A:A, 1, FALSE)), "Not Found", "Found")</f>
        <v>Found</v>
      </c>
      <c r="C299" s="304" t="str">
        <f t="shared" si="4"/>
        <v>No</v>
      </c>
      <c r="D299" s="290" t="s">
        <v>3132</v>
      </c>
      <c r="E299" t="e">
        <f>IF(VLOOKUP(A299,WEB_Database!A:F,16,FALSE)=D299,"yes","no")</f>
        <v>#REF!</v>
      </c>
      <c r="F299" t="e">
        <f>IF(E299 = "no",VLOOKUP(A299,WEB_Database!A:F,16,FALSE),"")</f>
        <v>#REF!</v>
      </c>
    </row>
    <row r="300" spans="1:6">
      <c r="A300" s="292" t="s">
        <v>3567</v>
      </c>
      <c r="B300" s="304" t="str">
        <f>IF(ISNA(VLOOKUP(A300, WEB_Database!A:A, 1, FALSE)), "Not Found", "Found")</f>
        <v>Found</v>
      </c>
      <c r="C300" s="304" t="str">
        <f t="shared" si="4"/>
        <v>No</v>
      </c>
      <c r="D300" s="309" t="s">
        <v>3132</v>
      </c>
      <c r="E300" t="e">
        <f>IF(VLOOKUP(A300,WEB_Database!A:F,16,FALSE)=D300,"yes","no")</f>
        <v>#REF!</v>
      </c>
      <c r="F300" t="e">
        <f>IF(E300 = "no",VLOOKUP(A300,WEB_Database!A:F,16,FALSE),"")</f>
        <v>#REF!</v>
      </c>
    </row>
    <row r="301" spans="1:6">
      <c r="A301" s="292" t="s">
        <v>3568</v>
      </c>
      <c r="B301" s="304" t="str">
        <f>IF(ISNA(VLOOKUP(A301, WEB_Database!A:A, 1, FALSE)), "Not Found", "Found")</f>
        <v>Found</v>
      </c>
      <c r="C301" s="304" t="str">
        <f t="shared" si="4"/>
        <v>No</v>
      </c>
      <c r="D301" s="309" t="s">
        <v>3132</v>
      </c>
      <c r="E301" t="e">
        <f>IF(VLOOKUP(A301,WEB_Database!A:F,16,FALSE)=D301,"yes","no")</f>
        <v>#REF!</v>
      </c>
      <c r="F301" t="e">
        <f>IF(E301 = "no",VLOOKUP(A301,WEB_Database!A:F,16,FALSE),"")</f>
        <v>#REF!</v>
      </c>
    </row>
    <row r="302" spans="1:6">
      <c r="A302" s="292" t="s">
        <v>3569</v>
      </c>
      <c r="B302" s="304" t="str">
        <f>IF(ISNA(VLOOKUP(A302, WEB_Database!A:A, 1, FALSE)), "Not Found", "Found")</f>
        <v>Found</v>
      </c>
      <c r="C302" s="304" t="str">
        <f t="shared" si="4"/>
        <v>No</v>
      </c>
      <c r="D302" s="309" t="s">
        <v>3132</v>
      </c>
      <c r="E302" t="e">
        <f>IF(VLOOKUP(A302,WEB_Database!A:F,16,FALSE)=D302,"yes","no")</f>
        <v>#REF!</v>
      </c>
      <c r="F302" t="e">
        <f>IF(E302 = "no",VLOOKUP(A302,WEB_Database!A:F,16,FALSE),"")</f>
        <v>#REF!</v>
      </c>
    </row>
    <row r="303" spans="1:6">
      <c r="A303" s="292" t="s">
        <v>3570</v>
      </c>
      <c r="B303" s="304" t="str">
        <f>IF(ISNA(VLOOKUP(A303, WEB_Database!A:A, 1, FALSE)), "Not Found", "Found")</f>
        <v>Found</v>
      </c>
      <c r="C303" s="304" t="str">
        <f t="shared" si="4"/>
        <v>No</v>
      </c>
      <c r="D303" s="309" t="s">
        <v>3132</v>
      </c>
      <c r="E303" t="e">
        <f>IF(VLOOKUP(A303,WEB_Database!A:F,16,FALSE)=D303,"yes","no")</f>
        <v>#REF!</v>
      </c>
      <c r="F303" t="e">
        <f>IF(E303 = "no",VLOOKUP(A303,WEB_Database!A:F,16,FALSE),"")</f>
        <v>#REF!</v>
      </c>
    </row>
    <row r="304" spans="1:6">
      <c r="A304" s="292" t="s">
        <v>3571</v>
      </c>
      <c r="B304" s="304" t="str">
        <f>IF(ISNA(VLOOKUP(A304, WEB_Database!A:A, 1, FALSE)), "Not Found", "Found")</f>
        <v>Found</v>
      </c>
      <c r="C304" s="304" t="str">
        <f t="shared" si="4"/>
        <v>No</v>
      </c>
      <c r="D304" s="309" t="s">
        <v>3132</v>
      </c>
      <c r="E304" t="e">
        <f>IF(VLOOKUP(A304,WEB_Database!A:F,16,FALSE)=D304,"yes","no")</f>
        <v>#REF!</v>
      </c>
      <c r="F304" t="e">
        <f>IF(E304 = "no",VLOOKUP(A304,WEB_Database!A:F,16,FALSE),"")</f>
        <v>#REF!</v>
      </c>
    </row>
    <row r="305" spans="1:6">
      <c r="A305" s="292" t="s">
        <v>3572</v>
      </c>
      <c r="B305" s="304" t="str">
        <f>IF(ISNA(VLOOKUP(A305, WEB_Database!A:A, 1, FALSE)), "Not Found", "Found")</f>
        <v>Found</v>
      </c>
      <c r="C305" s="304" t="str">
        <f t="shared" si="4"/>
        <v>No</v>
      </c>
      <c r="D305" s="309" t="s">
        <v>3132</v>
      </c>
      <c r="E305" t="e">
        <f>IF(VLOOKUP(A305,WEB_Database!A:F,16,FALSE)=D305,"yes","no")</f>
        <v>#REF!</v>
      </c>
      <c r="F305" t="e">
        <f>IF(E305 = "no",VLOOKUP(A305,WEB_Database!A:F,16,FALSE),"")</f>
        <v>#REF!</v>
      </c>
    </row>
    <row r="306" spans="1:6">
      <c r="A306" s="292" t="s">
        <v>3573</v>
      </c>
      <c r="B306" s="304" t="str">
        <f>IF(ISNA(VLOOKUP(A306, WEB_Database!A:A, 1, FALSE)), "Not Found", "Found")</f>
        <v>Found</v>
      </c>
      <c r="C306" s="304" t="str">
        <f t="shared" si="4"/>
        <v>No</v>
      </c>
      <c r="D306" s="309" t="s">
        <v>3132</v>
      </c>
      <c r="E306" t="e">
        <f>IF(VLOOKUP(A306,WEB_Database!A:F,16,FALSE)=D306,"yes","no")</f>
        <v>#REF!</v>
      </c>
      <c r="F306" t="e">
        <f>IF(E306 = "no",VLOOKUP(A306,WEB_Database!A:F,16,FALSE),"")</f>
        <v>#REF!</v>
      </c>
    </row>
    <row r="307" spans="1:6">
      <c r="A307" s="292" t="s">
        <v>3574</v>
      </c>
      <c r="B307" s="304" t="str">
        <f>IF(ISNA(VLOOKUP(A307, WEB_Database!A:A, 1, FALSE)), "Not Found", "Found")</f>
        <v>Found</v>
      </c>
      <c r="C307" s="304" t="str">
        <f t="shared" si="4"/>
        <v>No</v>
      </c>
      <c r="D307" s="309" t="s">
        <v>3132</v>
      </c>
      <c r="E307" t="e">
        <f>IF(VLOOKUP(A307,WEB_Database!A:F,16,FALSE)=D307,"yes","no")</f>
        <v>#REF!</v>
      </c>
      <c r="F307" t="e">
        <f>IF(E307 = "no",VLOOKUP(A307,WEB_Database!A:F,16,FALSE),"")</f>
        <v>#REF!</v>
      </c>
    </row>
    <row r="308" spans="1:6">
      <c r="A308" s="292" t="s">
        <v>3575</v>
      </c>
      <c r="B308" s="304" t="str">
        <f>IF(ISNA(VLOOKUP(A308, WEB_Database!A:A, 1, FALSE)), "Not Found", "Found")</f>
        <v>Found</v>
      </c>
      <c r="C308" s="304" t="str">
        <f t="shared" si="4"/>
        <v>No</v>
      </c>
      <c r="D308" s="309" t="s">
        <v>3132</v>
      </c>
      <c r="E308" t="e">
        <f>IF(VLOOKUP(A308,WEB_Database!A:F,16,FALSE)=D308,"yes","no")</f>
        <v>#REF!</v>
      </c>
      <c r="F308" t="e">
        <f>IF(E308 = "no",VLOOKUP(A308,WEB_Database!A:F,16,FALSE),"")</f>
        <v>#REF!</v>
      </c>
    </row>
    <row r="309" spans="1:6">
      <c r="A309" s="292" t="s">
        <v>3576</v>
      </c>
      <c r="B309" s="304" t="str">
        <f>IF(ISNA(VLOOKUP(A309, WEB_Database!A:A, 1, FALSE)), "Not Found", "Found")</f>
        <v>Found</v>
      </c>
      <c r="C309" s="304" t="str">
        <f t="shared" si="4"/>
        <v>No</v>
      </c>
      <c r="D309" s="309" t="s">
        <v>3132</v>
      </c>
      <c r="E309" t="e">
        <f>IF(VLOOKUP(A309,WEB_Database!A:F,16,FALSE)=D309,"yes","no")</f>
        <v>#REF!</v>
      </c>
      <c r="F309" t="e">
        <f>IF(E309 = "no",VLOOKUP(A309,WEB_Database!A:F,16,FALSE),"")</f>
        <v>#REF!</v>
      </c>
    </row>
    <row r="310" spans="1:6">
      <c r="A310" s="292" t="s">
        <v>3577</v>
      </c>
      <c r="B310" s="304" t="str">
        <f>IF(ISNA(VLOOKUP(A310, WEB_Database!A:A, 1, FALSE)), "Not Found", "Found")</f>
        <v>Found</v>
      </c>
      <c r="C310" s="304" t="str">
        <f t="shared" si="4"/>
        <v>No</v>
      </c>
      <c r="D310" s="309" t="s">
        <v>3132</v>
      </c>
      <c r="E310" t="e">
        <f>IF(VLOOKUP(A310,WEB_Database!A:F,16,FALSE)=D310,"yes","no")</f>
        <v>#REF!</v>
      </c>
      <c r="F310" t="e">
        <f>IF(E310 = "no",VLOOKUP(A310,WEB_Database!A:F,16,FALSE),"")</f>
        <v>#REF!</v>
      </c>
    </row>
    <row r="311" spans="1:6">
      <c r="A311" s="292" t="s">
        <v>3578</v>
      </c>
      <c r="B311" s="304" t="str">
        <f>IF(ISNA(VLOOKUP(A311, WEB_Database!A:A, 1, FALSE)), "Not Found", "Found")</f>
        <v>Found</v>
      </c>
      <c r="C311" s="304" t="str">
        <f t="shared" si="4"/>
        <v>No</v>
      </c>
      <c r="D311" s="309" t="s">
        <v>3132</v>
      </c>
      <c r="E311" t="e">
        <f>IF(VLOOKUP(A311,WEB_Database!A:F,16,FALSE)=D311,"yes","no")</f>
        <v>#REF!</v>
      </c>
      <c r="F311" t="e">
        <f>IF(E311 = "no",VLOOKUP(A311,WEB_Database!A:F,16,FALSE),"")</f>
        <v>#REF!</v>
      </c>
    </row>
    <row r="312" spans="1:6">
      <c r="A312" s="292" t="s">
        <v>3579</v>
      </c>
      <c r="B312" s="304" t="str">
        <f>IF(ISNA(VLOOKUP(A312, WEB_Database!A:A, 1, FALSE)), "Not Found", "Found")</f>
        <v>Found</v>
      </c>
      <c r="C312" s="304" t="str">
        <f t="shared" si="4"/>
        <v>No</v>
      </c>
      <c r="D312" s="309" t="s">
        <v>3132</v>
      </c>
      <c r="E312" t="e">
        <f>IF(VLOOKUP(A312,WEB_Database!A:F,16,FALSE)=D312,"yes","no")</f>
        <v>#REF!</v>
      </c>
      <c r="F312" t="e">
        <f>IF(E312 = "no",VLOOKUP(A312,WEB_Database!A:F,16,FALSE),"")</f>
        <v>#REF!</v>
      </c>
    </row>
    <row r="313" spans="1:6">
      <c r="A313" s="292" t="s">
        <v>3580</v>
      </c>
      <c r="B313" s="304" t="str">
        <f>IF(ISNA(VLOOKUP(A313, WEB_Database!A:A, 1, FALSE)), "Not Found", "Found")</f>
        <v>Found</v>
      </c>
      <c r="C313" s="304" t="str">
        <f t="shared" si="4"/>
        <v>No</v>
      </c>
      <c r="D313" s="309" t="s">
        <v>3132</v>
      </c>
      <c r="E313" t="e">
        <f>IF(VLOOKUP(A313,WEB_Database!A:F,16,FALSE)=D313,"yes","no")</f>
        <v>#REF!</v>
      </c>
      <c r="F313" t="e">
        <f>IF(E313 = "no",VLOOKUP(A313,WEB_Database!A:F,16,FALSE),"")</f>
        <v>#REF!</v>
      </c>
    </row>
    <row r="314" spans="1:6">
      <c r="A314" s="292" t="s">
        <v>3581</v>
      </c>
      <c r="B314" s="304" t="str">
        <f>IF(ISNA(VLOOKUP(A314, WEB_Database!A:A, 1, FALSE)), "Not Found", "Found")</f>
        <v>Found</v>
      </c>
      <c r="C314" s="304" t="str">
        <f t="shared" si="4"/>
        <v>No</v>
      </c>
      <c r="D314" s="309" t="s">
        <v>3132</v>
      </c>
      <c r="E314" t="e">
        <f>IF(VLOOKUP(A314,WEB_Database!A:F,16,FALSE)=D314,"yes","no")</f>
        <v>#REF!</v>
      </c>
      <c r="F314" t="e">
        <f>IF(E314 = "no",VLOOKUP(A314,WEB_Database!A:F,16,FALSE),"")</f>
        <v>#REF!</v>
      </c>
    </row>
    <row r="315" spans="1:6">
      <c r="A315" s="292" t="s">
        <v>3582</v>
      </c>
      <c r="B315" s="304" t="str">
        <f>IF(ISNA(VLOOKUP(A315, WEB_Database!A:A, 1, FALSE)), "Not Found", "Found")</f>
        <v>Found</v>
      </c>
      <c r="C315" s="304" t="str">
        <f t="shared" si="4"/>
        <v>No</v>
      </c>
      <c r="D315" s="309" t="s">
        <v>3132</v>
      </c>
      <c r="E315" t="e">
        <f>IF(VLOOKUP(A315,WEB_Database!A:F,16,FALSE)=D315,"yes","no")</f>
        <v>#REF!</v>
      </c>
      <c r="F315" t="e">
        <f>IF(E315 = "no",VLOOKUP(A315,WEB_Database!A:F,16,FALSE),"")</f>
        <v>#REF!</v>
      </c>
    </row>
    <row r="316" spans="1:6">
      <c r="A316" s="292" t="s">
        <v>3583</v>
      </c>
      <c r="B316" s="304" t="str">
        <f>IF(ISNA(VLOOKUP(A316, WEB_Database!A:A, 1, FALSE)), "Not Found", "Found")</f>
        <v>Found</v>
      </c>
      <c r="C316" s="304" t="str">
        <f t="shared" si="4"/>
        <v>No</v>
      </c>
      <c r="D316" s="309" t="s">
        <v>3132</v>
      </c>
      <c r="E316" t="e">
        <f>IF(VLOOKUP(A316,WEB_Database!A:F,16,FALSE)=D316,"yes","no")</f>
        <v>#REF!</v>
      </c>
      <c r="F316" t="e">
        <f>IF(E316 = "no",VLOOKUP(A316,WEB_Database!A:F,16,FALSE),"")</f>
        <v>#REF!</v>
      </c>
    </row>
    <row r="317" spans="1:6">
      <c r="A317" s="292" t="s">
        <v>3584</v>
      </c>
      <c r="B317" s="304" t="str">
        <f>IF(ISNA(VLOOKUP(A317, WEB_Database!A:A, 1, FALSE)), "Not Found", "Found")</f>
        <v>Found</v>
      </c>
      <c r="C317" s="304" t="str">
        <f t="shared" si="4"/>
        <v>No</v>
      </c>
      <c r="D317" s="309" t="s">
        <v>3132</v>
      </c>
      <c r="E317" t="e">
        <f>IF(VLOOKUP(A317,WEB_Database!A:F,16,FALSE)=D317,"yes","no")</f>
        <v>#REF!</v>
      </c>
      <c r="F317" t="e">
        <f>IF(E317 = "no",VLOOKUP(A317,WEB_Database!A:F,16,FALSE),"")</f>
        <v>#REF!</v>
      </c>
    </row>
    <row r="318" spans="1:6">
      <c r="A318" s="292" t="s">
        <v>3585</v>
      </c>
      <c r="B318" s="304" t="str">
        <f>IF(ISNA(VLOOKUP(A318, WEB_Database!A:A, 1, FALSE)), "Not Found", "Found")</f>
        <v>Found</v>
      </c>
      <c r="C318" s="304" t="str">
        <f t="shared" si="4"/>
        <v>No</v>
      </c>
      <c r="D318" s="309" t="s">
        <v>3132</v>
      </c>
      <c r="E318" t="e">
        <f>IF(VLOOKUP(A318,WEB_Database!A:F,16,FALSE)=D318,"yes","no")</f>
        <v>#REF!</v>
      </c>
      <c r="F318" t="e">
        <f>IF(E318 = "no",VLOOKUP(A318,WEB_Database!A:F,16,FALSE),"")</f>
        <v>#REF!</v>
      </c>
    </row>
    <row r="319" spans="1:6">
      <c r="A319" s="292" t="s">
        <v>3586</v>
      </c>
      <c r="B319" s="304" t="str">
        <f>IF(ISNA(VLOOKUP(A319, WEB_Database!A:A, 1, FALSE)), "Not Found", "Found")</f>
        <v>Found</v>
      </c>
      <c r="C319" s="304" t="str">
        <f t="shared" si="4"/>
        <v>No</v>
      </c>
      <c r="D319" s="309" t="s">
        <v>3132</v>
      </c>
      <c r="E319" t="e">
        <f>IF(VLOOKUP(A319,WEB_Database!A:F,16,FALSE)=D319,"yes","no")</f>
        <v>#REF!</v>
      </c>
      <c r="F319" t="e">
        <f>IF(E319 = "no",VLOOKUP(A319,WEB_Database!A:F,16,FALSE),"")</f>
        <v>#REF!</v>
      </c>
    </row>
    <row r="320" spans="1:6">
      <c r="A320" s="292" t="s">
        <v>3587</v>
      </c>
      <c r="B320" s="304" t="str">
        <f>IF(ISNA(VLOOKUP(A320, WEB_Database!A:A, 1, FALSE)), "Not Found", "Found")</f>
        <v>Found</v>
      </c>
      <c r="C320" s="304" t="str">
        <f t="shared" si="4"/>
        <v>No</v>
      </c>
      <c r="D320" s="309" t="s">
        <v>3132</v>
      </c>
      <c r="E320" t="e">
        <f>IF(VLOOKUP(A320,WEB_Database!A:F,16,FALSE)=D320,"yes","no")</f>
        <v>#REF!</v>
      </c>
      <c r="F320" t="e">
        <f>IF(E320 = "no",VLOOKUP(A320,WEB_Database!A:F,16,FALSE),"")</f>
        <v>#REF!</v>
      </c>
    </row>
    <row r="321" spans="1:6">
      <c r="A321" s="295" t="s">
        <v>3588</v>
      </c>
      <c r="B321" s="304" t="str">
        <f>IF(ISNA(VLOOKUP(A321, WEB_Database!A:A, 1, FALSE)), "Not Found", "Found")</f>
        <v>Not Found</v>
      </c>
      <c r="C321" s="304" t="str">
        <f t="shared" si="4"/>
        <v>No</v>
      </c>
      <c r="D321" s="309" t="s">
        <v>3132</v>
      </c>
      <c r="E321" t="e">
        <f>IF(VLOOKUP(A321,WEB_Database!A:F,16,FALSE)=D321,"yes","no")</f>
        <v>#N/A</v>
      </c>
      <c r="F321" t="e">
        <f>IF(E321 = "no",VLOOKUP(A321,WEB_Database!A:F,16,FALSE),"")</f>
        <v>#N/A</v>
      </c>
    </row>
    <row r="322" spans="1:6">
      <c r="A322" s="292" t="s">
        <v>3589</v>
      </c>
      <c r="B322" s="304" t="str">
        <f>IF(ISNA(VLOOKUP(A322, WEB_Database!A:A, 1, FALSE)), "Not Found", "Found")</f>
        <v>Found</v>
      </c>
      <c r="C322" s="304" t="str">
        <f t="shared" si="4"/>
        <v>No</v>
      </c>
      <c r="D322" s="310" t="s">
        <v>3132</v>
      </c>
      <c r="E322" t="e">
        <f>IF(VLOOKUP(A322,WEB_Database!A:F,16,FALSE)=D322,"yes","no")</f>
        <v>#REF!</v>
      </c>
      <c r="F322" t="e">
        <f>IF(E322 = "no",VLOOKUP(A322,WEB_Database!A:F,16,FALSE),"")</f>
        <v>#REF!</v>
      </c>
    </row>
    <row r="323" spans="1:6">
      <c r="A323" s="292" t="s">
        <v>3590</v>
      </c>
      <c r="B323" s="304" t="str">
        <f>IF(ISNA(VLOOKUP(A323, WEB_Database!A:A, 1, FALSE)), "Not Found", "Found")</f>
        <v>Found</v>
      </c>
      <c r="C323" s="304" t="str">
        <f t="shared" ref="C323:C386" si="5">IF(ISNA(VLOOKUP(A323, A324:A921, 1, FALSE)), "No", "Yes")</f>
        <v>No</v>
      </c>
      <c r="D323" s="309" t="s">
        <v>3132</v>
      </c>
      <c r="E323" t="e">
        <f>IF(VLOOKUP(A323,WEB_Database!A:F,16,FALSE)=D323,"yes","no")</f>
        <v>#REF!</v>
      </c>
      <c r="F323" t="e">
        <f>IF(E323 = "no",VLOOKUP(A323,WEB_Database!A:F,16,FALSE),"")</f>
        <v>#REF!</v>
      </c>
    </row>
    <row r="324" spans="1:6">
      <c r="A324" s="292" t="s">
        <v>3591</v>
      </c>
      <c r="B324" s="304" t="str">
        <f>IF(ISNA(VLOOKUP(A324, WEB_Database!A:A, 1, FALSE)), "Not Found", "Found")</f>
        <v>Found</v>
      </c>
      <c r="C324" s="304" t="str">
        <f t="shared" si="5"/>
        <v>No</v>
      </c>
      <c r="D324" s="309" t="s">
        <v>3132</v>
      </c>
      <c r="E324" t="e">
        <f>IF(VLOOKUP(A324,WEB_Database!A:F,16,FALSE)=D324,"yes","no")</f>
        <v>#REF!</v>
      </c>
      <c r="F324" t="e">
        <f>IF(E324 = "no",VLOOKUP(A324,WEB_Database!A:F,16,FALSE),"")</f>
        <v>#REF!</v>
      </c>
    </row>
    <row r="325" spans="1:6">
      <c r="A325" s="292" t="s">
        <v>3592</v>
      </c>
      <c r="B325" s="304" t="str">
        <f>IF(ISNA(VLOOKUP(A325, WEB_Database!A:A, 1, FALSE)), "Not Found", "Found")</f>
        <v>Found</v>
      </c>
      <c r="C325" s="304" t="str">
        <f t="shared" si="5"/>
        <v>No</v>
      </c>
      <c r="D325" s="309" t="s">
        <v>3132</v>
      </c>
      <c r="E325" t="e">
        <f>IF(VLOOKUP(A325,WEB_Database!A:F,16,FALSE)=D325,"yes","no")</f>
        <v>#REF!</v>
      </c>
      <c r="F325" t="e">
        <f>IF(E325 = "no",VLOOKUP(A325,WEB_Database!A:F,16,FALSE),"")</f>
        <v>#REF!</v>
      </c>
    </row>
    <row r="326" spans="1:6">
      <c r="A326" s="292" t="s">
        <v>3593</v>
      </c>
      <c r="B326" s="304" t="str">
        <f>IF(ISNA(VLOOKUP(A326, WEB_Database!A:A, 1, FALSE)), "Not Found", "Found")</f>
        <v>Found</v>
      </c>
      <c r="C326" s="304" t="str">
        <f t="shared" si="5"/>
        <v>No</v>
      </c>
      <c r="D326" s="309" t="s">
        <v>3132</v>
      </c>
      <c r="E326" t="e">
        <f>IF(VLOOKUP(A326,WEB_Database!A:F,16,FALSE)=D326,"yes","no")</f>
        <v>#REF!</v>
      </c>
      <c r="F326" t="e">
        <f>IF(E326 = "no",VLOOKUP(A326,WEB_Database!A:F,16,FALSE),"")</f>
        <v>#REF!</v>
      </c>
    </row>
    <row r="327" spans="1:6">
      <c r="A327" s="292" t="s">
        <v>3594</v>
      </c>
      <c r="B327" s="304" t="str">
        <f>IF(ISNA(VLOOKUP(A327, WEB_Database!A:A, 1, FALSE)), "Not Found", "Found")</f>
        <v>Found</v>
      </c>
      <c r="C327" s="304" t="str">
        <f t="shared" si="5"/>
        <v>No</v>
      </c>
      <c r="D327" s="309" t="s">
        <v>3132</v>
      </c>
      <c r="E327" t="e">
        <f>IF(VLOOKUP(A327,WEB_Database!A:F,16,FALSE)=D327,"yes","no")</f>
        <v>#REF!</v>
      </c>
      <c r="F327" t="e">
        <f>IF(E327 = "no",VLOOKUP(A327,WEB_Database!A:F,16,FALSE),"")</f>
        <v>#REF!</v>
      </c>
    </row>
    <row r="328" spans="1:6">
      <c r="A328" s="292" t="s">
        <v>2824</v>
      </c>
      <c r="B328" s="304" t="str">
        <f>IF(ISNA(VLOOKUP(A328, WEB_Database!A:A, 1, FALSE)), "Not Found", "Found")</f>
        <v>Found</v>
      </c>
      <c r="C328" s="304" t="str">
        <f t="shared" si="5"/>
        <v>No</v>
      </c>
      <c r="D328" s="309" t="s">
        <v>2825</v>
      </c>
      <c r="E328" t="e">
        <f>IF(VLOOKUP(A328,WEB_Database!A:F,16,FALSE)=D328,"yes","no")</f>
        <v>#REF!</v>
      </c>
      <c r="F328" t="e">
        <f>IF(E328 = "no",VLOOKUP(A328,WEB_Database!A:F,16,FALSE),"")</f>
        <v>#REF!</v>
      </c>
    </row>
    <row r="329" spans="1:6">
      <c r="A329" s="292" t="s">
        <v>2829</v>
      </c>
      <c r="B329" s="304" t="str">
        <f>IF(ISNA(VLOOKUP(A329, WEB_Database!A:A, 1, FALSE)), "Not Found", "Found")</f>
        <v>Found</v>
      </c>
      <c r="C329" s="304" t="str">
        <f t="shared" si="5"/>
        <v>No</v>
      </c>
      <c r="D329" s="290" t="s">
        <v>2825</v>
      </c>
      <c r="E329" t="e">
        <f>IF(VLOOKUP(A329,WEB_Database!A:F,16,FALSE)=D329,"yes","no")</f>
        <v>#REF!</v>
      </c>
      <c r="F329" t="e">
        <f>IF(E329 = "no",VLOOKUP(A329,WEB_Database!A:F,16,FALSE),"")</f>
        <v>#REF!</v>
      </c>
    </row>
    <row r="330" spans="1:6">
      <c r="A330" s="292" t="s">
        <v>2831</v>
      </c>
      <c r="B330" s="304" t="str">
        <f>IF(ISNA(VLOOKUP(A330, WEB_Database!A:A, 1, FALSE)), "Not Found", "Found")</f>
        <v>Found</v>
      </c>
      <c r="C330" s="304" t="str">
        <f t="shared" si="5"/>
        <v>No</v>
      </c>
      <c r="D330" s="290" t="s">
        <v>2825</v>
      </c>
      <c r="E330" t="e">
        <f>IF(VLOOKUP(A330,WEB_Database!A:F,16,FALSE)=D330,"yes","no")</f>
        <v>#REF!</v>
      </c>
      <c r="F330" t="e">
        <f>IF(E330 = "no",VLOOKUP(A330,WEB_Database!A:F,16,FALSE),"")</f>
        <v>#REF!</v>
      </c>
    </row>
    <row r="331" spans="1:6">
      <c r="A331" s="292" t="s">
        <v>2834</v>
      </c>
      <c r="B331" s="304" t="str">
        <f>IF(ISNA(VLOOKUP(A331, WEB_Database!A:A, 1, FALSE)), "Not Found", "Found")</f>
        <v>Found</v>
      </c>
      <c r="C331" s="304" t="str">
        <f t="shared" si="5"/>
        <v>No</v>
      </c>
      <c r="D331" s="290" t="s">
        <v>2825</v>
      </c>
      <c r="E331" t="e">
        <f>IF(VLOOKUP(A331,WEB_Database!A:F,16,FALSE)=D331,"yes","no")</f>
        <v>#REF!</v>
      </c>
      <c r="F331" t="e">
        <f>IF(E331 = "no",VLOOKUP(A331,WEB_Database!A:F,16,FALSE),"")</f>
        <v>#REF!</v>
      </c>
    </row>
    <row r="332" spans="1:6">
      <c r="A332" s="292" t="s">
        <v>2841</v>
      </c>
      <c r="B332" s="304" t="str">
        <f>IF(ISNA(VLOOKUP(A332, WEB_Database!A:A, 1, FALSE)), "Not Found", "Found")</f>
        <v>Found</v>
      </c>
      <c r="C332" s="304" t="str">
        <f t="shared" si="5"/>
        <v>No</v>
      </c>
      <c r="D332" s="290" t="s">
        <v>2842</v>
      </c>
      <c r="E332" t="e">
        <f>IF(VLOOKUP(A332,WEB_Database!A:F,16,FALSE)=D332,"yes","no")</f>
        <v>#REF!</v>
      </c>
      <c r="F332" t="e">
        <f>IF(E332 = "no",VLOOKUP(A332,WEB_Database!A:F,16,FALSE),"")</f>
        <v>#REF!</v>
      </c>
    </row>
    <row r="333" spans="1:6">
      <c r="A333" s="292" t="s">
        <v>2844</v>
      </c>
      <c r="B333" s="304" t="str">
        <f>IF(ISNA(VLOOKUP(A333, WEB_Database!A:A, 1, FALSE)), "Not Found", "Found")</f>
        <v>Found</v>
      </c>
      <c r="C333" s="304" t="str">
        <f t="shared" si="5"/>
        <v>No</v>
      </c>
      <c r="D333" s="290" t="s">
        <v>2842</v>
      </c>
      <c r="E333" t="e">
        <f>IF(VLOOKUP(A333,WEB_Database!A:F,16,FALSE)=D333,"yes","no")</f>
        <v>#REF!</v>
      </c>
      <c r="F333" t="e">
        <f>IF(E333 = "no",VLOOKUP(A333,WEB_Database!A:F,16,FALSE),"")</f>
        <v>#REF!</v>
      </c>
    </row>
    <row r="334" spans="1:6">
      <c r="A334" s="292" t="s">
        <v>3595</v>
      </c>
      <c r="B334" s="304" t="str">
        <f>IF(ISNA(VLOOKUP(A334, WEB_Database!A:A, 1, FALSE)), "Not Found", "Found")</f>
        <v>Found</v>
      </c>
      <c r="C334" s="304" t="str">
        <f t="shared" si="5"/>
        <v>No</v>
      </c>
      <c r="D334" s="290" t="s">
        <v>1468</v>
      </c>
      <c r="E334" t="e">
        <f>IF(VLOOKUP(A334,WEB_Database!A:F,16,FALSE)=D334,"yes","no")</f>
        <v>#REF!</v>
      </c>
      <c r="F334" t="e">
        <f>IF(E334 = "no",VLOOKUP(A334,WEB_Database!A:F,16,FALSE),"")</f>
        <v>#REF!</v>
      </c>
    </row>
    <row r="335" spans="1:6">
      <c r="A335" s="292" t="s">
        <v>3596</v>
      </c>
      <c r="B335" s="304" t="str">
        <f>IF(ISNA(VLOOKUP(A335, WEB_Database!A:A, 1, FALSE)), "Not Found", "Found")</f>
        <v>Found</v>
      </c>
      <c r="C335" s="304" t="str">
        <f t="shared" si="5"/>
        <v>No</v>
      </c>
      <c r="D335" s="290" t="s">
        <v>1458</v>
      </c>
      <c r="E335" t="e">
        <f>IF(VLOOKUP(A335,WEB_Database!A:F,16,FALSE)=D335,"yes","no")</f>
        <v>#REF!</v>
      </c>
      <c r="F335" t="e">
        <f>IF(E335 = "no",VLOOKUP(A335,WEB_Database!A:F,16,FALSE),"")</f>
        <v>#REF!</v>
      </c>
    </row>
    <row r="336" spans="1:6">
      <c r="A336" s="292" t="s">
        <v>3116</v>
      </c>
      <c r="B336" s="304" t="str">
        <f>IF(ISNA(VLOOKUP(A336, WEB_Database!A:A, 1, FALSE)), "Not Found", "Found")</f>
        <v>Found</v>
      </c>
      <c r="C336" s="304" t="str">
        <f t="shared" si="5"/>
        <v>No</v>
      </c>
      <c r="D336" s="290" t="s">
        <v>1486</v>
      </c>
      <c r="E336" t="e">
        <f>IF(VLOOKUP(A336,WEB_Database!A:F,16,FALSE)=D336,"yes","no")</f>
        <v>#REF!</v>
      </c>
      <c r="F336" t="e">
        <f>IF(E336 = "no",VLOOKUP(A336,WEB_Database!A:F,16,FALSE),"")</f>
        <v>#REF!</v>
      </c>
    </row>
    <row r="337" spans="1:6">
      <c r="A337" s="292" t="s">
        <v>2836</v>
      </c>
      <c r="B337" s="304" t="str">
        <f>IF(ISNA(VLOOKUP(A337, WEB_Database!A:A, 1, FALSE)), "Not Found", "Found")</f>
        <v>Found</v>
      </c>
      <c r="C337" s="304" t="str">
        <f t="shared" si="5"/>
        <v>No</v>
      </c>
      <c r="D337" s="290" t="s">
        <v>2825</v>
      </c>
      <c r="E337" t="e">
        <f>IF(VLOOKUP(A337,WEB_Database!A:F,16,FALSE)=D337,"yes","no")</f>
        <v>#REF!</v>
      </c>
      <c r="F337" t="e">
        <f>IF(E337 = "no",VLOOKUP(A337,WEB_Database!A:F,16,FALSE),"")</f>
        <v>#REF!</v>
      </c>
    </row>
    <row r="338" spans="1:6">
      <c r="A338" s="292" t="s">
        <v>2839</v>
      </c>
      <c r="B338" s="304" t="str">
        <f>IF(ISNA(VLOOKUP(A338, WEB_Database!A:A, 1, FALSE)), "Not Found", "Found")</f>
        <v>Found</v>
      </c>
      <c r="C338" s="304" t="str">
        <f t="shared" si="5"/>
        <v>No</v>
      </c>
      <c r="D338" s="290" t="s">
        <v>2825</v>
      </c>
      <c r="E338" t="e">
        <f>IF(VLOOKUP(A338,WEB_Database!A:F,16,FALSE)=D338,"yes","no")</f>
        <v>#REF!</v>
      </c>
      <c r="F338" t="e">
        <f>IF(E338 = "no",VLOOKUP(A338,WEB_Database!A:F,16,FALSE),"")</f>
        <v>#REF!</v>
      </c>
    </row>
    <row r="339" spans="1:6">
      <c r="A339" s="292" t="s">
        <v>3597</v>
      </c>
      <c r="B339" s="304" t="str">
        <f>IF(ISNA(VLOOKUP(A339, WEB_Database!A:A, 1, FALSE)), "Not Found", "Found")</f>
        <v>Found</v>
      </c>
      <c r="C339" s="304" t="str">
        <f t="shared" si="5"/>
        <v>No</v>
      </c>
      <c r="D339" s="290" t="s">
        <v>1468</v>
      </c>
      <c r="E339" t="e">
        <f>IF(VLOOKUP(A339,WEB_Database!A:F,16,FALSE)=D339,"yes","no")</f>
        <v>#REF!</v>
      </c>
      <c r="F339" t="e">
        <f>IF(E339 = "no",VLOOKUP(A339,WEB_Database!A:F,16,FALSE),"")</f>
        <v>#REF!</v>
      </c>
    </row>
    <row r="340" spans="1:6">
      <c r="A340" s="292" t="s">
        <v>2878</v>
      </c>
      <c r="B340" s="304" t="str">
        <f>IF(ISNA(VLOOKUP(A340, WEB_Database!A:A, 1, FALSE)), "Not Found", "Found")</f>
        <v>Found</v>
      </c>
      <c r="C340" s="304" t="str">
        <f t="shared" si="5"/>
        <v>No</v>
      </c>
      <c r="D340" s="290" t="s">
        <v>2842</v>
      </c>
      <c r="E340" t="e">
        <f>IF(VLOOKUP(A340,WEB_Database!A:F,16,FALSE)=D340,"yes","no")</f>
        <v>#REF!</v>
      </c>
      <c r="F340" t="e">
        <f>IF(E340 = "no",VLOOKUP(A340,WEB_Database!A:F,16,FALSE),"")</f>
        <v>#REF!</v>
      </c>
    </row>
    <row r="341" spans="1:6">
      <c r="A341" s="292" t="s">
        <v>2880</v>
      </c>
      <c r="B341" s="304" t="str">
        <f>IF(ISNA(VLOOKUP(A341, WEB_Database!A:A, 1, FALSE)), "Not Found", "Found")</f>
        <v>Found</v>
      </c>
      <c r="C341" s="304" t="str">
        <f t="shared" si="5"/>
        <v>No</v>
      </c>
      <c r="D341" s="290" t="s">
        <v>2842</v>
      </c>
      <c r="E341" t="e">
        <f>IF(VLOOKUP(A341,WEB_Database!A:F,16,FALSE)=D341,"yes","no")</f>
        <v>#REF!</v>
      </c>
      <c r="F341" t="e">
        <f>IF(E341 = "no",VLOOKUP(A341,WEB_Database!A:F,16,FALSE),"")</f>
        <v>#REF!</v>
      </c>
    </row>
    <row r="342" spans="1:6">
      <c r="A342" s="302" t="s">
        <v>2822</v>
      </c>
      <c r="B342" s="304" t="str">
        <f>IF(ISNA(VLOOKUP(A342, WEB_Database!A:A, 1, FALSE)), "Not Found", "Found")</f>
        <v>Found</v>
      </c>
      <c r="C342" s="304" t="str">
        <f t="shared" si="5"/>
        <v>No</v>
      </c>
      <c r="D342" s="290" t="s">
        <v>2825</v>
      </c>
      <c r="E342" t="e">
        <f>IF(VLOOKUP(A342,WEB_Database!A:F,16,FALSE)=D342,"yes","no")</f>
        <v>#REF!</v>
      </c>
      <c r="F342" t="e">
        <f>IF(E342 = "no",VLOOKUP(A342,WEB_Database!A:F,16,FALSE),"")</f>
        <v>#REF!</v>
      </c>
    </row>
    <row r="343" spans="1:6">
      <c r="A343" s="299" t="s">
        <v>3598</v>
      </c>
      <c r="B343" s="304" t="str">
        <f>IF(ISNA(VLOOKUP(A343, WEB_Database!A:A, 1, FALSE)), "Not Found", "Found")</f>
        <v>Found</v>
      </c>
      <c r="C343" s="304" t="str">
        <f t="shared" si="5"/>
        <v>No</v>
      </c>
      <c r="D343" s="301" t="s">
        <v>3680</v>
      </c>
    </row>
    <row r="344" spans="1:6">
      <c r="A344" s="299" t="s">
        <v>3599</v>
      </c>
      <c r="B344" s="304" t="str">
        <f>IF(ISNA(VLOOKUP(A344, WEB_Database!A:A, 1, FALSE)), "Not Found", "Found")</f>
        <v>Found</v>
      </c>
      <c r="C344" s="304" t="str">
        <f t="shared" si="5"/>
        <v>No</v>
      </c>
      <c r="D344" s="298" t="s">
        <v>3684</v>
      </c>
    </row>
    <row r="345" spans="1:6">
      <c r="A345" s="299" t="s">
        <v>3390</v>
      </c>
      <c r="B345" s="304" t="str">
        <f>IF(ISNA(VLOOKUP(A345, WEB_Database!A:A, 1, FALSE)), "Not Found", "Found")</f>
        <v>Found</v>
      </c>
      <c r="C345" s="304" t="str">
        <f t="shared" si="5"/>
        <v>No</v>
      </c>
      <c r="D345" s="306" t="s">
        <v>3086</v>
      </c>
    </row>
    <row r="346" spans="1:6">
      <c r="A346" s="299" t="s">
        <v>3391</v>
      </c>
      <c r="B346" s="304" t="str">
        <f>IF(ISNA(VLOOKUP(A346, WEB_Database!A:A, 1, FALSE)), "Not Found", "Found")</f>
        <v>Found</v>
      </c>
      <c r="C346" s="304" t="str">
        <f t="shared" si="5"/>
        <v>No</v>
      </c>
      <c r="D346" s="306" t="s">
        <v>3666</v>
      </c>
      <c r="E346" t="e">
        <f>IF(VLOOKUP(A346,WEB_Database!A:F,16,FALSE)=D346,"yes","no")</f>
        <v>#REF!</v>
      </c>
      <c r="F346" t="e">
        <f>IF(E346 = "no",VLOOKUP(A346,WEB_Database!A:F,16,FALSE),"")</f>
        <v>#REF!</v>
      </c>
    </row>
    <row r="347" spans="1:6">
      <c r="A347" s="292" t="s">
        <v>3600</v>
      </c>
      <c r="B347" s="304" t="str">
        <f>IF(ISNA(VLOOKUP(A347, WEB_Database!A:A, 1, FALSE)), "Not Found", "Found")</f>
        <v>Found</v>
      </c>
      <c r="C347" s="304" t="str">
        <f t="shared" si="5"/>
        <v>No</v>
      </c>
      <c r="D347" s="290" t="s">
        <v>3094</v>
      </c>
      <c r="E347" t="e">
        <f>IF(VLOOKUP(A347,WEB_Database!A:F,16,FALSE)=D347,"yes","no")</f>
        <v>#REF!</v>
      </c>
      <c r="F347" t="e">
        <f>IF(E347 = "no",VLOOKUP(A347,WEB_Database!A:F,16,FALSE),"")</f>
        <v>#REF!</v>
      </c>
    </row>
    <row r="348" spans="1:6">
      <c r="A348" s="292" t="s">
        <v>3601</v>
      </c>
      <c r="B348" s="304" t="str">
        <f>IF(ISNA(VLOOKUP(A348, WEB_Database!A:A, 1, FALSE)), "Not Found", "Found")</f>
        <v>Found</v>
      </c>
      <c r="C348" s="304" t="str">
        <f t="shared" si="5"/>
        <v>No</v>
      </c>
      <c r="D348" s="290" t="s">
        <v>3074</v>
      </c>
      <c r="E348" t="e">
        <f>IF(VLOOKUP(A348,WEB_Database!A:F,16,FALSE)=D348,"yes","no")</f>
        <v>#REF!</v>
      </c>
      <c r="F348" t="e">
        <f>IF(E348 = "no",VLOOKUP(A348,WEB_Database!A:F,16,FALSE),"")</f>
        <v>#REF!</v>
      </c>
    </row>
    <row r="349" spans="1:6">
      <c r="A349" s="292" t="s">
        <v>3602</v>
      </c>
      <c r="B349" s="304" t="str">
        <f>IF(ISNA(VLOOKUP(A349, WEB_Database!A:A, 1, FALSE)), "Not Found", "Found")</f>
        <v>Found</v>
      </c>
      <c r="C349" s="304" t="str">
        <f t="shared" si="5"/>
        <v>No</v>
      </c>
      <c r="D349" s="290" t="s">
        <v>3074</v>
      </c>
      <c r="E349" t="e">
        <f>IF(VLOOKUP(A349,WEB_Database!A:F,16,FALSE)=D349,"yes","no")</f>
        <v>#REF!</v>
      </c>
      <c r="F349" t="e">
        <f>IF(E349 = "no",VLOOKUP(A349,WEB_Database!A:F,16,FALSE),"")</f>
        <v>#REF!</v>
      </c>
    </row>
    <row r="350" spans="1:6">
      <c r="A350" s="292" t="s">
        <v>3603</v>
      </c>
      <c r="B350" s="304" t="str">
        <f>IF(ISNA(VLOOKUP(A350, WEB_Database!A:A, 1, FALSE)), "Not Found", "Found")</f>
        <v>Found</v>
      </c>
      <c r="C350" s="304" t="str">
        <f t="shared" si="5"/>
        <v>No</v>
      </c>
      <c r="D350" s="290" t="s">
        <v>3075</v>
      </c>
      <c r="E350" t="e">
        <f>IF(VLOOKUP(A350,WEB_Database!A:F,16,FALSE)=D350,"yes","no")</f>
        <v>#REF!</v>
      </c>
      <c r="F350" t="e">
        <f>IF(E350 = "no",VLOOKUP(A350,WEB_Database!A:F,16,FALSE),"")</f>
        <v>#REF!</v>
      </c>
    </row>
    <row r="351" spans="1:6">
      <c r="A351" s="292" t="s">
        <v>3604</v>
      </c>
      <c r="B351" s="304" t="str">
        <f>IF(ISNA(VLOOKUP(A351, WEB_Database!A:A, 1, FALSE)), "Not Found", "Found")</f>
        <v>Found</v>
      </c>
      <c r="C351" s="304" t="str">
        <f t="shared" si="5"/>
        <v>No</v>
      </c>
      <c r="D351" s="290" t="s">
        <v>3075</v>
      </c>
      <c r="E351" t="e">
        <f>IF(VLOOKUP(A351,WEB_Database!A:F,16,FALSE)=D351,"yes","no")</f>
        <v>#REF!</v>
      </c>
      <c r="F351" t="e">
        <f>IF(E351 = "no",VLOOKUP(A351,WEB_Database!A:F,16,FALSE),"")</f>
        <v>#REF!</v>
      </c>
    </row>
    <row r="352" spans="1:6">
      <c r="A352" s="292" t="s">
        <v>3605</v>
      </c>
      <c r="B352" s="304" t="str">
        <f>IF(ISNA(VLOOKUP(A352, WEB_Database!A:A, 1, FALSE)), "Not Found", "Found")</f>
        <v>Found</v>
      </c>
      <c r="C352" s="304" t="str">
        <f t="shared" si="5"/>
        <v>No</v>
      </c>
      <c r="D352" s="290" t="s">
        <v>3093</v>
      </c>
      <c r="E352" t="e">
        <f>IF(VLOOKUP(A352,WEB_Database!A:F,16,FALSE)=D352,"yes","no")</f>
        <v>#REF!</v>
      </c>
      <c r="F352" t="e">
        <f>IF(E352 = "no",VLOOKUP(A352,WEB_Database!A:F,16,FALSE),"")</f>
        <v>#REF!</v>
      </c>
    </row>
    <row r="353" spans="1:6">
      <c r="A353" s="292" t="s">
        <v>3606</v>
      </c>
      <c r="B353" s="304" t="str">
        <f>IF(ISNA(VLOOKUP(A353, WEB_Database!A:A, 1, FALSE)), "Not Found", "Found")</f>
        <v>Found</v>
      </c>
      <c r="C353" s="304" t="str">
        <f t="shared" si="5"/>
        <v>No</v>
      </c>
      <c r="D353" s="290" t="s">
        <v>3093</v>
      </c>
      <c r="E353" t="e">
        <f>IF(VLOOKUP(A353,WEB_Database!A:F,16,FALSE)=D353,"yes","no")</f>
        <v>#REF!</v>
      </c>
      <c r="F353" t="e">
        <f>IF(E353 = "no",VLOOKUP(A353,WEB_Database!A:F,16,FALSE),"")</f>
        <v>#REF!</v>
      </c>
    </row>
    <row r="354" spans="1:6">
      <c r="A354" s="292" t="s">
        <v>3607</v>
      </c>
      <c r="B354" s="304" t="str">
        <f>IF(ISNA(VLOOKUP(A354, WEB_Database!A:A, 1, FALSE)), "Not Found", "Found")</f>
        <v>Found</v>
      </c>
      <c r="C354" s="304" t="str">
        <f t="shared" si="5"/>
        <v>No</v>
      </c>
      <c r="D354" s="290" t="s">
        <v>3092</v>
      </c>
      <c r="E354" t="e">
        <f>IF(VLOOKUP(A354,WEB_Database!A:F,16,FALSE)=D354,"yes","no")</f>
        <v>#REF!</v>
      </c>
      <c r="F354" t="e">
        <f>IF(E354 = "no",VLOOKUP(A354,WEB_Database!A:F,16,FALSE),"")</f>
        <v>#REF!</v>
      </c>
    </row>
    <row r="355" spans="1:6">
      <c r="A355" s="292" t="s">
        <v>3608</v>
      </c>
      <c r="B355" s="304" t="str">
        <f>IF(ISNA(VLOOKUP(A355, WEB_Database!A:A, 1, FALSE)), "Not Found", "Found")</f>
        <v>Found</v>
      </c>
      <c r="C355" s="304" t="str">
        <f t="shared" si="5"/>
        <v>No</v>
      </c>
      <c r="D355" s="290" t="s">
        <v>3092</v>
      </c>
      <c r="E355" t="e">
        <f>IF(VLOOKUP(A355,WEB_Database!A:F,16,FALSE)=D355,"yes","no")</f>
        <v>#REF!</v>
      </c>
      <c r="F355" t="e">
        <f>IF(E355 = "no",VLOOKUP(A355,WEB_Database!A:F,16,FALSE),"")</f>
        <v>#REF!</v>
      </c>
    </row>
    <row r="356" spans="1:6">
      <c r="A356" s="292" t="s">
        <v>3609</v>
      </c>
      <c r="B356" s="304" t="str">
        <f>IF(ISNA(VLOOKUP(A356, WEB_Database!A:A, 1, FALSE)), "Not Found", "Found")</f>
        <v>Found</v>
      </c>
      <c r="C356" s="304" t="str">
        <f t="shared" si="5"/>
        <v>No</v>
      </c>
      <c r="D356" s="290" t="s">
        <v>3609</v>
      </c>
      <c r="E356" t="e">
        <f>IF(VLOOKUP(A356,WEB_Database!A:F,16,FALSE)=D356,"yes","no")</f>
        <v>#REF!</v>
      </c>
      <c r="F356" t="e">
        <f>IF(E356 = "no",VLOOKUP(A356,WEB_Database!A:F,16,FALSE),"")</f>
        <v>#REF!</v>
      </c>
    </row>
    <row r="357" spans="1:6">
      <c r="A357" s="292" t="s">
        <v>3610</v>
      </c>
      <c r="B357" s="304" t="str">
        <f>IF(ISNA(VLOOKUP(A357, WEB_Database!A:A, 1, FALSE)), "Not Found", "Found")</f>
        <v>Found</v>
      </c>
      <c r="C357" s="304" t="str">
        <f t="shared" si="5"/>
        <v>No</v>
      </c>
      <c r="D357" s="290" t="s">
        <v>3610</v>
      </c>
      <c r="E357" t="e">
        <f>IF(VLOOKUP(A357,WEB_Database!A:F,16,FALSE)=D357,"yes","no")</f>
        <v>#REF!</v>
      </c>
      <c r="F357" t="e">
        <f>IF(E357 = "no",VLOOKUP(A357,WEB_Database!A:F,16,FALSE),"")</f>
        <v>#REF!</v>
      </c>
    </row>
    <row r="358" spans="1:6">
      <c r="A358" s="292" t="s">
        <v>3611</v>
      </c>
      <c r="B358" s="304" t="str">
        <f>IF(ISNA(VLOOKUP(A358, WEB_Database!A:A, 1, FALSE)), "Not Found", "Found")</f>
        <v>Found</v>
      </c>
      <c r="C358" s="304" t="str">
        <f t="shared" si="5"/>
        <v>No</v>
      </c>
      <c r="D358" s="290" t="s">
        <v>3611</v>
      </c>
      <c r="E358" t="e">
        <f>IF(VLOOKUP(A358,WEB_Database!A:F,16,FALSE)=D358,"yes","no")</f>
        <v>#REF!</v>
      </c>
      <c r="F358" t="e">
        <f>IF(E358 = "no",VLOOKUP(A358,WEB_Database!A:F,16,FALSE),"")</f>
        <v>#REF!</v>
      </c>
    </row>
    <row r="359" spans="1:6">
      <c r="A359" s="292" t="s">
        <v>3612</v>
      </c>
      <c r="B359" s="304" t="str">
        <f>IF(ISNA(VLOOKUP(A359, WEB_Database!A:A, 1, FALSE)), "Not Found", "Found")</f>
        <v>Found</v>
      </c>
      <c r="C359" s="304" t="str">
        <f t="shared" si="5"/>
        <v>No</v>
      </c>
      <c r="D359" s="290" t="s">
        <v>3612</v>
      </c>
      <c r="E359" t="e">
        <f>IF(VLOOKUP(A359,WEB_Database!A:F,16,FALSE)=D359,"yes","no")</f>
        <v>#REF!</v>
      </c>
      <c r="F359" t="e">
        <f>IF(E359 = "no",VLOOKUP(A359,WEB_Database!A:F,16,FALSE),"")</f>
        <v>#REF!</v>
      </c>
    </row>
    <row r="360" spans="1:6">
      <c r="A360" s="292" t="s">
        <v>3613</v>
      </c>
      <c r="B360" s="304" t="str">
        <f>IF(ISNA(VLOOKUP(A360, WEB_Database!A:A, 1, FALSE)), "Not Found", "Found")</f>
        <v>Found</v>
      </c>
      <c r="C360" s="304" t="str">
        <f t="shared" si="5"/>
        <v>No</v>
      </c>
      <c r="D360" s="290" t="s">
        <v>3613</v>
      </c>
      <c r="E360" t="e">
        <f>IF(VLOOKUP(A360,WEB_Database!A:F,16,FALSE)=D360,"yes","no")</f>
        <v>#REF!</v>
      </c>
      <c r="F360" t="e">
        <f>IF(E360 = "no",VLOOKUP(A360,WEB_Database!A:F,16,FALSE),"")</f>
        <v>#REF!</v>
      </c>
    </row>
    <row r="361" spans="1:6">
      <c r="A361" s="292" t="s">
        <v>3614</v>
      </c>
      <c r="B361" s="304" t="str">
        <f>IF(ISNA(VLOOKUP(A361, WEB_Database!A:A, 1, FALSE)), "Not Found", "Found")</f>
        <v>Found</v>
      </c>
      <c r="C361" s="304" t="str">
        <f t="shared" si="5"/>
        <v>No</v>
      </c>
      <c r="D361" s="290" t="s">
        <v>3069</v>
      </c>
      <c r="E361" t="e">
        <f>IF(VLOOKUP(A361,WEB_Database!A:F,16,FALSE)=D361,"yes","no")</f>
        <v>#REF!</v>
      </c>
      <c r="F361" t="e">
        <f>IF(E361 = "no",VLOOKUP(A361,WEB_Database!A:F,16,FALSE),"")</f>
        <v>#REF!</v>
      </c>
    </row>
    <row r="362" spans="1:6">
      <c r="A362" s="292" t="s">
        <v>3615</v>
      </c>
      <c r="B362" s="304" t="str">
        <f>IF(ISNA(VLOOKUP(A362, WEB_Database!A:A, 1, FALSE)), "Not Found", "Found")</f>
        <v>Found</v>
      </c>
      <c r="C362" s="304" t="str">
        <f t="shared" si="5"/>
        <v>No</v>
      </c>
      <c r="D362" s="290" t="s">
        <v>3069</v>
      </c>
      <c r="E362" t="e">
        <f>IF(VLOOKUP(A362,WEB_Database!A:F,16,FALSE)=D362,"yes","no")</f>
        <v>#REF!</v>
      </c>
      <c r="F362" t="e">
        <f>IF(E362 = "no",VLOOKUP(A362,WEB_Database!A:F,16,FALSE),"")</f>
        <v>#REF!</v>
      </c>
    </row>
    <row r="363" spans="1:6">
      <c r="A363" s="292" t="s">
        <v>3616</v>
      </c>
      <c r="B363" s="304" t="str">
        <f>IF(ISNA(VLOOKUP(A363, WEB_Database!A:A, 1, FALSE)), "Not Found", "Found")</f>
        <v>Found</v>
      </c>
      <c r="C363" s="304" t="str">
        <f t="shared" si="5"/>
        <v>No</v>
      </c>
      <c r="D363" s="290" t="s">
        <v>3092</v>
      </c>
      <c r="E363" t="e">
        <f>IF(VLOOKUP(A363,WEB_Database!A:F,16,FALSE)=D363,"yes","no")</f>
        <v>#REF!</v>
      </c>
      <c r="F363" t="e">
        <f>IF(E363 = "no",VLOOKUP(A363,WEB_Database!A:F,16,FALSE),"")</f>
        <v>#REF!</v>
      </c>
    </row>
    <row r="364" spans="1:6">
      <c r="A364" s="292" t="s">
        <v>3617</v>
      </c>
      <c r="B364" s="304" t="str">
        <f>IF(ISNA(VLOOKUP(A364, WEB_Database!A:A, 1, FALSE)), "Not Found", "Found")</f>
        <v>Found</v>
      </c>
      <c r="C364" s="304" t="str">
        <f t="shared" si="5"/>
        <v>No</v>
      </c>
      <c r="D364" s="290" t="s">
        <v>3092</v>
      </c>
      <c r="E364" t="e">
        <f>IF(VLOOKUP(A364,WEB_Database!A:F,16,FALSE)=D364,"yes","no")</f>
        <v>#REF!</v>
      </c>
      <c r="F364" t="e">
        <f>IF(E364 = "no",VLOOKUP(A364,WEB_Database!A:F,16,FALSE),"")</f>
        <v>#REF!</v>
      </c>
    </row>
    <row r="365" spans="1:6">
      <c r="A365" s="292" t="s">
        <v>3618</v>
      </c>
      <c r="B365" s="304" t="str">
        <f>IF(ISNA(VLOOKUP(A365, WEB_Database!A:A, 1, FALSE)), "Not Found", "Found")</f>
        <v>Found</v>
      </c>
      <c r="C365" s="304" t="str">
        <f t="shared" si="5"/>
        <v>No</v>
      </c>
      <c r="D365" s="290" t="s">
        <v>3622</v>
      </c>
      <c r="E365" t="e">
        <f>IF(VLOOKUP(A365,WEB_Database!A:F,16,FALSE)=D365,"yes","no")</f>
        <v>#REF!</v>
      </c>
      <c r="F365" t="e">
        <f>IF(E365 = "no",VLOOKUP(A365,WEB_Database!A:F,16,FALSE),"")</f>
        <v>#REF!</v>
      </c>
    </row>
    <row r="366" spans="1:6">
      <c r="A366" s="292" t="s">
        <v>3619</v>
      </c>
      <c r="B366" s="304" t="str">
        <f>IF(ISNA(VLOOKUP(A366, WEB_Database!A:A, 1, FALSE)), "Not Found", "Found")</f>
        <v>Found</v>
      </c>
      <c r="C366" s="304" t="str">
        <f t="shared" si="5"/>
        <v>No</v>
      </c>
      <c r="D366" s="290" t="s">
        <v>3623</v>
      </c>
      <c r="E366" t="e">
        <f>IF(VLOOKUP(A366,WEB_Database!A:F,16,FALSE)=D366,"yes","no")</f>
        <v>#REF!</v>
      </c>
      <c r="F366" t="e">
        <f>IF(E366 = "no",VLOOKUP(A366,WEB_Database!A:F,16,FALSE),"")</f>
        <v>#REF!</v>
      </c>
    </row>
    <row r="367" spans="1:6">
      <c r="A367" s="292" t="s">
        <v>3620</v>
      </c>
      <c r="B367" s="304" t="str">
        <f>IF(ISNA(VLOOKUP(A367, WEB_Database!A:A, 1, FALSE)), "Not Found", "Found")</f>
        <v>Found</v>
      </c>
      <c r="C367" s="304" t="str">
        <f t="shared" si="5"/>
        <v>No</v>
      </c>
      <c r="D367" s="290" t="s">
        <v>3624</v>
      </c>
      <c r="E367" t="e">
        <f>IF(VLOOKUP(A367,WEB_Database!A:F,16,FALSE)=D367,"yes","no")</f>
        <v>#REF!</v>
      </c>
      <c r="F367" t="e">
        <f>IF(E367 = "no",VLOOKUP(A367,WEB_Database!A:F,16,FALSE),"")</f>
        <v>#REF!</v>
      </c>
    </row>
    <row r="368" spans="1:6">
      <c r="A368" s="292" t="s">
        <v>3621</v>
      </c>
      <c r="B368" s="304" t="str">
        <f>IF(ISNA(VLOOKUP(A368, WEB_Database!A:A, 1, FALSE)), "Not Found", "Found")</f>
        <v>Found</v>
      </c>
      <c r="C368" s="304" t="str">
        <f t="shared" si="5"/>
        <v>No</v>
      </c>
      <c r="D368" s="290" t="s">
        <v>3621</v>
      </c>
      <c r="E368" t="e">
        <f>IF(VLOOKUP(A368,WEB_Database!A:F,16,FALSE)=D368,"yes","no")</f>
        <v>#REF!</v>
      </c>
      <c r="F368" t="e">
        <f>IF(E368 = "no",VLOOKUP(A368,WEB_Database!A:F,16,FALSE),"")</f>
        <v>#REF!</v>
      </c>
    </row>
    <row r="369" spans="1:6">
      <c r="A369" s="292" t="s">
        <v>3622</v>
      </c>
      <c r="B369" s="304" t="str">
        <f>IF(ISNA(VLOOKUP(A369, WEB_Database!A:A, 1, FALSE)), "Not Found", "Found")</f>
        <v>Found</v>
      </c>
      <c r="C369" s="304" t="str">
        <f t="shared" si="5"/>
        <v>No</v>
      </c>
      <c r="D369" s="290" t="s">
        <v>3622</v>
      </c>
      <c r="E369" t="e">
        <f>IF(VLOOKUP(A369,WEB_Database!A:F,16,FALSE)=D369,"yes","no")</f>
        <v>#REF!</v>
      </c>
      <c r="F369" t="e">
        <f>IF(E369 = "no",VLOOKUP(A369,WEB_Database!A:F,16,FALSE),"")</f>
        <v>#REF!</v>
      </c>
    </row>
    <row r="370" spans="1:6">
      <c r="A370" s="292" t="s">
        <v>3623</v>
      </c>
      <c r="B370" s="304" t="str">
        <f>IF(ISNA(VLOOKUP(A370, WEB_Database!A:A, 1, FALSE)), "Not Found", "Found")</f>
        <v>Found</v>
      </c>
      <c r="C370" s="304" t="str">
        <f t="shared" si="5"/>
        <v>No</v>
      </c>
      <c r="D370" s="290" t="s">
        <v>3623</v>
      </c>
      <c r="E370" t="e">
        <f>IF(VLOOKUP(A370,WEB_Database!A:F,16,FALSE)=D370,"yes","no")</f>
        <v>#REF!</v>
      </c>
      <c r="F370" t="e">
        <f>IF(E370 = "no",VLOOKUP(A370,WEB_Database!A:F,16,FALSE),"")</f>
        <v>#REF!</v>
      </c>
    </row>
    <row r="371" spans="1:6">
      <c r="A371" s="292" t="s">
        <v>3624</v>
      </c>
      <c r="B371" s="304" t="str">
        <f>IF(ISNA(VLOOKUP(A371, WEB_Database!A:A, 1, FALSE)), "Not Found", "Found")</f>
        <v>Found</v>
      </c>
      <c r="C371" s="304" t="str">
        <f t="shared" si="5"/>
        <v>No</v>
      </c>
      <c r="D371" s="290" t="s">
        <v>3624</v>
      </c>
      <c r="E371" t="e">
        <f>IF(VLOOKUP(A371,WEB_Database!A:F,16,FALSE)=D371,"yes","no")</f>
        <v>#REF!</v>
      </c>
      <c r="F371" t="e">
        <f>IF(E371 = "no",VLOOKUP(A371,WEB_Database!A:F,16,FALSE),"")</f>
        <v>#REF!</v>
      </c>
    </row>
    <row r="372" spans="1:6">
      <c r="A372" s="292" t="s">
        <v>3625</v>
      </c>
      <c r="B372" s="304" t="str">
        <f>IF(ISNA(VLOOKUP(A372, WEB_Database!A:A, 1, FALSE)), "Not Found", "Found")</f>
        <v>Found</v>
      </c>
      <c r="C372" s="304" t="str">
        <f t="shared" si="5"/>
        <v>No</v>
      </c>
      <c r="D372" s="290" t="s">
        <v>3078</v>
      </c>
      <c r="E372" t="e">
        <f>IF(VLOOKUP(A372,WEB_Database!A:F,16,FALSE)=D372,"yes","no")</f>
        <v>#REF!</v>
      </c>
      <c r="F372" t="e">
        <f>IF(E372 = "no",VLOOKUP(A372,WEB_Database!A:F,16,FALSE),"")</f>
        <v>#REF!</v>
      </c>
    </row>
    <row r="373" spans="1:6">
      <c r="A373" s="292" t="s">
        <v>3626</v>
      </c>
      <c r="B373" s="304" t="str">
        <f>IF(ISNA(VLOOKUP(A373, WEB_Database!A:A, 1, FALSE)), "Not Found", "Found")</f>
        <v>Found</v>
      </c>
      <c r="C373" s="304" t="str">
        <f t="shared" si="5"/>
        <v>No</v>
      </c>
      <c r="D373" s="290" t="s">
        <v>3078</v>
      </c>
      <c r="E373" t="e">
        <f>IF(VLOOKUP(A373,WEB_Database!A:F,16,FALSE)=D373,"yes","no")</f>
        <v>#REF!</v>
      </c>
      <c r="F373" t="e">
        <f>IF(E373 = "no",VLOOKUP(A373,WEB_Database!A:F,16,FALSE),"")</f>
        <v>#REF!</v>
      </c>
    </row>
    <row r="374" spans="1:6">
      <c r="A374" s="292" t="s">
        <v>3627</v>
      </c>
      <c r="B374" s="304" t="str">
        <f>IF(ISNA(VLOOKUP(A374, WEB_Database!A:A, 1, FALSE)), "Not Found", "Found")</f>
        <v>Found</v>
      </c>
      <c r="C374" s="304" t="str">
        <f t="shared" si="5"/>
        <v>No</v>
      </c>
      <c r="D374" s="290" t="s">
        <v>3078</v>
      </c>
      <c r="E374" t="e">
        <f>IF(VLOOKUP(A374,WEB_Database!A:F,16,FALSE)=D374,"yes","no")</f>
        <v>#REF!</v>
      </c>
      <c r="F374" t="e">
        <f>IF(E374 = "no",VLOOKUP(A374,WEB_Database!A:F,16,FALSE),"")</f>
        <v>#REF!</v>
      </c>
    </row>
    <row r="375" spans="1:6">
      <c r="A375" s="292" t="s">
        <v>3628</v>
      </c>
      <c r="B375" s="304" t="str">
        <f>IF(ISNA(VLOOKUP(A375, WEB_Database!A:A, 1, FALSE)), "Not Found", "Found")</f>
        <v>Found</v>
      </c>
      <c r="C375" s="304" t="str">
        <f t="shared" si="5"/>
        <v>No</v>
      </c>
      <c r="D375" s="290" t="s">
        <v>3078</v>
      </c>
      <c r="E375" t="e">
        <f>IF(VLOOKUP(A375,WEB_Database!A:F,16,FALSE)=D375,"yes","no")</f>
        <v>#REF!</v>
      </c>
      <c r="F375" t="e">
        <f>IF(E375 = "no",VLOOKUP(A375,WEB_Database!A:F,16,FALSE),"")</f>
        <v>#REF!</v>
      </c>
    </row>
    <row r="376" spans="1:6">
      <c r="A376" s="292" t="s">
        <v>3629</v>
      </c>
      <c r="B376" s="304" t="str">
        <f>IF(ISNA(VLOOKUP(A376, WEB_Database!A:A, 1, FALSE)), "Not Found", "Found")</f>
        <v>Found</v>
      </c>
      <c r="C376" s="304" t="str">
        <f t="shared" si="5"/>
        <v>No</v>
      </c>
      <c r="D376" s="290" t="s">
        <v>3078</v>
      </c>
      <c r="E376" t="e">
        <f>IF(VLOOKUP(A376,WEB_Database!A:F,16,FALSE)=D376,"yes","no")</f>
        <v>#REF!</v>
      </c>
      <c r="F376" t="e">
        <f>IF(E376 = "no",VLOOKUP(A376,WEB_Database!A:F,16,FALSE),"")</f>
        <v>#REF!</v>
      </c>
    </row>
    <row r="377" spans="1:6">
      <c r="A377" s="292" t="s">
        <v>3630</v>
      </c>
      <c r="B377" s="304" t="str">
        <f>IF(ISNA(VLOOKUP(A377, WEB_Database!A:A, 1, FALSE)), "Not Found", "Found")</f>
        <v>Found</v>
      </c>
      <c r="C377" s="304" t="str">
        <f t="shared" si="5"/>
        <v>No</v>
      </c>
      <c r="D377" s="290" t="s">
        <v>3073</v>
      </c>
      <c r="E377" t="e">
        <f>IF(VLOOKUP(A377,WEB_Database!A:F,16,FALSE)=D377,"yes","no")</f>
        <v>#REF!</v>
      </c>
      <c r="F377" t="e">
        <f>IF(E377 = "no",VLOOKUP(A377,WEB_Database!A:F,16,FALSE),"")</f>
        <v>#REF!</v>
      </c>
    </row>
    <row r="378" spans="1:6">
      <c r="A378" s="292" t="s">
        <v>3631</v>
      </c>
      <c r="B378" s="304" t="str">
        <f>IF(ISNA(VLOOKUP(A378, WEB_Database!A:A, 1, FALSE)), "Not Found", "Found")</f>
        <v>Found</v>
      </c>
      <c r="C378" s="304" t="str">
        <f t="shared" si="5"/>
        <v>No</v>
      </c>
      <c r="D378" s="290" t="s">
        <v>3092</v>
      </c>
      <c r="E378" t="e">
        <f>IF(VLOOKUP(A378,WEB_Database!A:F,16,FALSE)=D378,"yes","no")</f>
        <v>#REF!</v>
      </c>
      <c r="F378" t="e">
        <f>IF(E378 = "no",VLOOKUP(A378,WEB_Database!A:F,16,FALSE),"")</f>
        <v>#REF!</v>
      </c>
    </row>
    <row r="379" spans="1:6">
      <c r="A379" s="292" t="s">
        <v>3632</v>
      </c>
      <c r="B379" s="304" t="str">
        <f>IF(ISNA(VLOOKUP(A379, WEB_Database!A:A, 1, FALSE)), "Not Found", "Found")</f>
        <v>Found</v>
      </c>
      <c r="C379" s="304" t="str">
        <f t="shared" si="5"/>
        <v>No</v>
      </c>
      <c r="D379" s="290" t="s">
        <v>3092</v>
      </c>
      <c r="E379" t="e">
        <f>IF(VLOOKUP(A379,WEB_Database!A:F,16,FALSE)=D379,"yes","no")</f>
        <v>#REF!</v>
      </c>
      <c r="F379" t="e">
        <f>IF(E379 = "no",VLOOKUP(A379,WEB_Database!A:F,16,FALSE),"")</f>
        <v>#REF!</v>
      </c>
    </row>
    <row r="380" spans="1:6">
      <c r="A380" s="292" t="s">
        <v>3633</v>
      </c>
      <c r="B380" s="304" t="str">
        <f>IF(ISNA(VLOOKUP(A380, WEB_Database!A:A, 1, FALSE)), "Not Found", "Found")</f>
        <v>Found</v>
      </c>
      <c r="C380" s="304" t="str">
        <f t="shared" si="5"/>
        <v>No</v>
      </c>
      <c r="D380" s="290" t="s">
        <v>3071</v>
      </c>
      <c r="E380" t="e">
        <f>IF(VLOOKUP(A380,WEB_Database!A:F,16,FALSE)=D380,"yes","no")</f>
        <v>#REF!</v>
      </c>
      <c r="F380" t="e">
        <f>IF(E380 = "no",VLOOKUP(A380,WEB_Database!A:F,16,FALSE),"")</f>
        <v>#REF!</v>
      </c>
    </row>
    <row r="381" spans="1:6">
      <c r="A381" s="292" t="s">
        <v>3634</v>
      </c>
      <c r="B381" s="304" t="str">
        <f>IF(ISNA(VLOOKUP(A381, WEB_Database!A:A, 1, FALSE)), "Not Found", "Found")</f>
        <v>Found</v>
      </c>
      <c r="C381" s="304" t="str">
        <f t="shared" si="5"/>
        <v>No</v>
      </c>
      <c r="D381" s="290" t="s">
        <v>3073</v>
      </c>
      <c r="E381" t="e">
        <f>IF(VLOOKUP(A381,WEB_Database!A:F,16,FALSE)=D381,"yes","no")</f>
        <v>#REF!</v>
      </c>
      <c r="F381" t="e">
        <f>IF(E381 = "no",VLOOKUP(A381,WEB_Database!A:F,16,FALSE),"")</f>
        <v>#REF!</v>
      </c>
    </row>
    <row r="382" spans="1:6">
      <c r="A382" s="292" t="s">
        <v>3635</v>
      </c>
      <c r="B382" s="304" t="str">
        <f>IF(ISNA(VLOOKUP(A382, WEB_Database!A:A, 1, FALSE)), "Not Found", "Found")</f>
        <v>Found</v>
      </c>
      <c r="C382" s="304" t="str">
        <f t="shared" si="5"/>
        <v>No</v>
      </c>
      <c r="D382" s="290" t="s">
        <v>3071</v>
      </c>
      <c r="E382" t="e">
        <f>IF(VLOOKUP(A382,WEB_Database!A:F,16,FALSE)=D382,"yes","no")</f>
        <v>#REF!</v>
      </c>
      <c r="F382" t="e">
        <f>IF(E382 = "no",VLOOKUP(A382,WEB_Database!A:F,16,FALSE),"")</f>
        <v>#REF!</v>
      </c>
    </row>
    <row r="383" spans="1:6">
      <c r="A383" s="292" t="s">
        <v>3636</v>
      </c>
      <c r="B383" s="304" t="str">
        <f>IF(ISNA(VLOOKUP(A383, WEB_Database!A:A, 1, FALSE)), "Not Found", "Found")</f>
        <v>Found</v>
      </c>
      <c r="C383" s="304" t="str">
        <f t="shared" si="5"/>
        <v>No</v>
      </c>
      <c r="D383" s="290" t="s">
        <v>3071</v>
      </c>
      <c r="E383" t="e">
        <f>IF(VLOOKUP(A383,WEB_Database!A:F,16,FALSE)=D383,"yes","no")</f>
        <v>#REF!</v>
      </c>
      <c r="F383" t="e">
        <f>IF(E383 = "no",VLOOKUP(A383,WEB_Database!A:F,16,FALSE),"")</f>
        <v>#REF!</v>
      </c>
    </row>
    <row r="384" spans="1:6">
      <c r="A384" s="292" t="s">
        <v>3637</v>
      </c>
      <c r="B384" s="304" t="str">
        <f>IF(ISNA(VLOOKUP(A384, WEB_Database!A:A, 1, FALSE)), "Not Found", "Found")</f>
        <v>Found</v>
      </c>
      <c r="C384" s="304" t="str">
        <f t="shared" si="5"/>
        <v>No</v>
      </c>
      <c r="D384" s="290" t="s">
        <v>3071</v>
      </c>
      <c r="E384" t="e">
        <f>IF(VLOOKUP(A384,WEB_Database!A:F,16,FALSE)=D384,"yes","no")</f>
        <v>#REF!</v>
      </c>
      <c r="F384" t="e">
        <f>IF(E384 = "no",VLOOKUP(A384,WEB_Database!A:F,16,FALSE),"")</f>
        <v>#REF!</v>
      </c>
    </row>
    <row r="385" spans="1:6">
      <c r="A385" s="292" t="s">
        <v>3638</v>
      </c>
      <c r="B385" s="304" t="str">
        <f>IF(ISNA(VLOOKUP(A385, WEB_Database!A:A, 1, FALSE)), "Not Found", "Found")</f>
        <v>Found</v>
      </c>
      <c r="C385" s="304" t="str">
        <f t="shared" si="5"/>
        <v>No</v>
      </c>
      <c r="D385" s="290" t="s">
        <v>3071</v>
      </c>
      <c r="E385" t="e">
        <f>IF(VLOOKUP(A385,WEB_Database!A:F,16,FALSE)=D385,"yes","no")</f>
        <v>#REF!</v>
      </c>
      <c r="F385" t="e">
        <f>IF(E385 = "no",VLOOKUP(A385,WEB_Database!A:F,16,FALSE),"")</f>
        <v>#REF!</v>
      </c>
    </row>
    <row r="386" spans="1:6">
      <c r="A386" s="292" t="s">
        <v>3639</v>
      </c>
      <c r="B386" s="304" t="str">
        <f>IF(ISNA(VLOOKUP(A386, WEB_Database!A:A, 1, FALSE)), "Not Found", "Found")</f>
        <v>Found</v>
      </c>
      <c r="C386" s="304" t="str">
        <f t="shared" si="5"/>
        <v>No</v>
      </c>
      <c r="D386" s="290" t="s">
        <v>3070</v>
      </c>
      <c r="E386" t="e">
        <f>IF(VLOOKUP(A386,WEB_Database!A:F,16,FALSE)=D386,"yes","no")</f>
        <v>#REF!</v>
      </c>
      <c r="F386" t="e">
        <f>IF(E386 = "no",VLOOKUP(A386,WEB_Database!A:F,16,FALSE),"")</f>
        <v>#REF!</v>
      </c>
    </row>
    <row r="387" spans="1:6">
      <c r="A387" s="292" t="s">
        <v>3640</v>
      </c>
      <c r="B387" s="304" t="str">
        <f>IF(ISNA(VLOOKUP(A387, WEB_Database!A:A, 1, FALSE)), "Not Found", "Found")</f>
        <v>Found</v>
      </c>
      <c r="C387" s="304" t="str">
        <f t="shared" ref="C387:C406" si="6">IF(ISNA(VLOOKUP(A387, A388:A985, 1, FALSE)), "No", "Yes")</f>
        <v>No</v>
      </c>
      <c r="D387" s="290" t="s">
        <v>3070</v>
      </c>
      <c r="E387" t="e">
        <f>IF(VLOOKUP(A387,WEB_Database!A:F,16,FALSE)=D387,"yes","no")</f>
        <v>#REF!</v>
      </c>
      <c r="F387" t="e">
        <f>IF(E387 = "no",VLOOKUP(A387,WEB_Database!A:F,16,FALSE),"")</f>
        <v>#REF!</v>
      </c>
    </row>
    <row r="388" spans="1:6">
      <c r="A388" s="292" t="s">
        <v>3641</v>
      </c>
      <c r="B388" s="304" t="str">
        <f>IF(ISNA(VLOOKUP(A388, WEB_Database!A:A, 1, FALSE)), "Not Found", "Found")</f>
        <v>Found</v>
      </c>
      <c r="C388" s="304" t="str">
        <f t="shared" si="6"/>
        <v>No</v>
      </c>
      <c r="D388" s="290" t="s">
        <v>3070</v>
      </c>
      <c r="E388" t="e">
        <f>IF(VLOOKUP(A388,WEB_Database!A:F,16,FALSE)=D388,"yes","no")</f>
        <v>#REF!</v>
      </c>
      <c r="F388" t="e">
        <f>IF(E388 = "no",VLOOKUP(A388,WEB_Database!A:F,16,FALSE),"")</f>
        <v>#REF!</v>
      </c>
    </row>
    <row r="389" spans="1:6">
      <c r="A389" s="292" t="s">
        <v>3642</v>
      </c>
      <c r="B389" s="304" t="str">
        <f>IF(ISNA(VLOOKUP(A389, WEB_Database!A:A, 1, FALSE)), "Not Found", "Found")</f>
        <v>Found</v>
      </c>
      <c r="C389" s="304" t="str">
        <f t="shared" si="6"/>
        <v>No</v>
      </c>
      <c r="D389" s="290" t="s">
        <v>3070</v>
      </c>
      <c r="E389" t="e">
        <f>IF(VLOOKUP(A389,WEB_Database!A:F,16,FALSE)=D389,"yes","no")</f>
        <v>#REF!</v>
      </c>
      <c r="F389" t="e">
        <f>IF(E389 = "no",VLOOKUP(A389,WEB_Database!A:F,16,FALSE),"")</f>
        <v>#REF!</v>
      </c>
    </row>
    <row r="390" spans="1:6">
      <c r="A390" s="292" t="s">
        <v>3643</v>
      </c>
      <c r="B390" s="304" t="str">
        <f>IF(ISNA(VLOOKUP(A390, WEB_Database!A:A, 1, FALSE)), "Not Found", "Found")</f>
        <v>Found</v>
      </c>
      <c r="C390" s="304" t="str">
        <f t="shared" si="6"/>
        <v>No</v>
      </c>
      <c r="D390" s="290" t="s">
        <v>3073</v>
      </c>
      <c r="E390" t="e">
        <f>IF(VLOOKUP(A390,WEB_Database!A:F,16,FALSE)=D390,"yes","no")</f>
        <v>#REF!</v>
      </c>
      <c r="F390" t="e">
        <f>IF(E390 = "no",VLOOKUP(A390,WEB_Database!A:F,16,FALSE),"")</f>
        <v>#REF!</v>
      </c>
    </row>
    <row r="391" spans="1:6">
      <c r="A391" s="292" t="s">
        <v>3644</v>
      </c>
      <c r="B391" s="304" t="str">
        <f>IF(ISNA(VLOOKUP(A391, WEB_Database!A:A, 1, FALSE)), "Not Found", "Found")</f>
        <v>Found</v>
      </c>
      <c r="C391" s="304" t="str">
        <f t="shared" si="6"/>
        <v>No</v>
      </c>
      <c r="D391" s="290" t="s">
        <v>3070</v>
      </c>
      <c r="E391" t="e">
        <f>IF(VLOOKUP(A391,WEB_Database!A:F,16,FALSE)=D391,"yes","no")</f>
        <v>#REF!</v>
      </c>
      <c r="F391" t="e">
        <f>IF(E391 = "no",VLOOKUP(A391,WEB_Database!A:F,16,FALSE),"")</f>
        <v>#REF!</v>
      </c>
    </row>
    <row r="392" spans="1:6">
      <c r="A392" s="292" t="s">
        <v>3645</v>
      </c>
      <c r="B392" s="304" t="str">
        <f>IF(ISNA(VLOOKUP(A392, WEB_Database!A:A, 1, FALSE)), "Not Found", "Found")</f>
        <v>Found</v>
      </c>
      <c r="C392" s="304" t="str">
        <f t="shared" si="6"/>
        <v>No</v>
      </c>
      <c r="D392" s="290" t="s">
        <v>3092</v>
      </c>
      <c r="E392" t="e">
        <f>IF(VLOOKUP(A392,WEB_Database!A:F,16,FALSE)=D392,"yes","no")</f>
        <v>#REF!</v>
      </c>
      <c r="F392" t="e">
        <f>IF(E392 = "no",VLOOKUP(A392,WEB_Database!A:F,16,FALSE),"")</f>
        <v>#REF!</v>
      </c>
    </row>
    <row r="393" spans="1:6">
      <c r="A393" s="292" t="s">
        <v>3646</v>
      </c>
      <c r="B393" s="304" t="str">
        <f>IF(ISNA(VLOOKUP(A393, WEB_Database!A:A, 1, FALSE)), "Not Found", "Found")</f>
        <v>Found</v>
      </c>
      <c r="C393" s="304" t="str">
        <f t="shared" si="6"/>
        <v>No</v>
      </c>
      <c r="D393" s="290" t="s">
        <v>3072</v>
      </c>
      <c r="E393" t="e">
        <f>IF(VLOOKUP(A393,WEB_Database!A:F,16,FALSE)=D393,"yes","no")</f>
        <v>#REF!</v>
      </c>
      <c r="F393" t="e">
        <f>IF(E393 = "no",VLOOKUP(A393,WEB_Database!A:F,16,FALSE),"")</f>
        <v>#REF!</v>
      </c>
    </row>
    <row r="394" spans="1:6">
      <c r="A394" s="292" t="s">
        <v>3647</v>
      </c>
      <c r="B394" s="304" t="str">
        <f>IF(ISNA(VLOOKUP(A394, WEB_Database!A:A, 1, FALSE)), "Not Found", "Found")</f>
        <v>Found</v>
      </c>
      <c r="C394" s="304" t="str">
        <f t="shared" si="6"/>
        <v>No</v>
      </c>
      <c r="D394" s="290" t="s">
        <v>3072</v>
      </c>
      <c r="E394" t="e">
        <f>IF(VLOOKUP(A394,WEB_Database!A:F,16,FALSE)=D394,"yes","no")</f>
        <v>#REF!</v>
      </c>
      <c r="F394" t="e">
        <f>IF(E394 = "no",VLOOKUP(A394,WEB_Database!A:F,16,FALSE),"")</f>
        <v>#REF!</v>
      </c>
    </row>
    <row r="395" spans="1:6">
      <c r="A395" s="292" t="s">
        <v>3648</v>
      </c>
      <c r="B395" s="304" t="str">
        <f>IF(ISNA(VLOOKUP(A395, WEB_Database!A:A, 1, FALSE)), "Not Found", "Found")</f>
        <v>Found</v>
      </c>
      <c r="C395" s="304" t="str">
        <f t="shared" si="6"/>
        <v>No</v>
      </c>
      <c r="D395" s="290" t="s">
        <v>3072</v>
      </c>
      <c r="E395" t="e">
        <f>IF(VLOOKUP(A395,WEB_Database!A:F,16,FALSE)=D395,"yes","no")</f>
        <v>#REF!</v>
      </c>
      <c r="F395" t="e">
        <f>IF(E395 = "no",VLOOKUP(A395,WEB_Database!A:F,16,FALSE),"")</f>
        <v>#REF!</v>
      </c>
    </row>
    <row r="396" spans="1:6">
      <c r="A396" s="292" t="s">
        <v>3649</v>
      </c>
      <c r="B396" s="304" t="str">
        <f>IF(ISNA(VLOOKUP(A396, WEB_Database!A:A, 1, FALSE)), "Not Found", "Found")</f>
        <v>Found</v>
      </c>
      <c r="C396" s="304" t="str">
        <f t="shared" si="6"/>
        <v>No</v>
      </c>
      <c r="D396" s="290" t="s">
        <v>3072</v>
      </c>
      <c r="E396" t="e">
        <f>IF(VLOOKUP(A396,WEB_Database!A:F,16,FALSE)=D396,"yes","no")</f>
        <v>#REF!</v>
      </c>
      <c r="F396" t="e">
        <f>IF(E396 = "no",VLOOKUP(A396,WEB_Database!A:F,16,FALSE),"")</f>
        <v>#REF!</v>
      </c>
    </row>
    <row r="397" spans="1:6">
      <c r="A397" s="292" t="s">
        <v>3650</v>
      </c>
      <c r="B397" s="304" t="str">
        <f>IF(ISNA(VLOOKUP(A397, WEB_Database!A:A, 1, FALSE)), "Not Found", "Found")</f>
        <v>Found</v>
      </c>
      <c r="C397" s="304" t="str">
        <f t="shared" si="6"/>
        <v>No</v>
      </c>
      <c r="D397" s="290" t="s">
        <v>3092</v>
      </c>
      <c r="E397" t="e">
        <f>IF(VLOOKUP(A397,WEB_Database!A:F,16,FALSE)=D397,"yes","no")</f>
        <v>#REF!</v>
      </c>
      <c r="F397" t="e">
        <f>IF(E397 = "no",VLOOKUP(A397,WEB_Database!A:F,16,FALSE),"")</f>
        <v>#REF!</v>
      </c>
    </row>
    <row r="398" spans="1:6">
      <c r="A398" s="292" t="s">
        <v>3651</v>
      </c>
      <c r="B398" s="304" t="str">
        <f>IF(ISNA(VLOOKUP(A398, WEB_Database!A:A, 1, FALSE)), "Not Found", "Found")</f>
        <v>Found</v>
      </c>
      <c r="C398" s="304" t="str">
        <f t="shared" si="6"/>
        <v>No</v>
      </c>
      <c r="D398" s="290" t="s">
        <v>3651</v>
      </c>
      <c r="E398" t="e">
        <f>IF(VLOOKUP(A398,WEB_Database!A:F,16,FALSE)=D398,"yes","no")</f>
        <v>#REF!</v>
      </c>
      <c r="F398" t="e">
        <f>IF(E398 = "no",VLOOKUP(A398,WEB_Database!A:F,16,FALSE),"")</f>
        <v>#REF!</v>
      </c>
    </row>
    <row r="399" spans="1:6">
      <c r="A399" s="292" t="s">
        <v>3652</v>
      </c>
      <c r="B399" s="304" t="str">
        <f>IF(ISNA(VLOOKUP(A399, WEB_Database!A:A, 1, FALSE)), "Not Found", "Found")</f>
        <v>Found</v>
      </c>
      <c r="C399" s="304" t="str">
        <f t="shared" si="6"/>
        <v>No</v>
      </c>
      <c r="D399" s="290" t="s">
        <v>3356</v>
      </c>
      <c r="E399" t="e">
        <f>IF(VLOOKUP(A399,WEB_Database!A:F,16,FALSE)=D399,"yes","no")</f>
        <v>#REF!</v>
      </c>
      <c r="F399" t="e">
        <f>IF(E399 = "no",VLOOKUP(A399,WEB_Database!A:F,16,FALSE),"")</f>
        <v>#REF!</v>
      </c>
    </row>
    <row r="400" spans="1:6">
      <c r="A400" s="292" t="s">
        <v>3653</v>
      </c>
      <c r="B400" s="304" t="str">
        <f>IF(ISNA(VLOOKUP(A400, WEB_Database!A:A, 1, FALSE)), "Not Found", "Found")</f>
        <v>Found</v>
      </c>
      <c r="C400" s="304" t="str">
        <f t="shared" si="6"/>
        <v>No</v>
      </c>
      <c r="D400" s="290" t="s">
        <v>3356</v>
      </c>
      <c r="E400" t="e">
        <f>IF(VLOOKUP(A400,WEB_Database!A:F,16,FALSE)=D400,"yes","no")</f>
        <v>#REF!</v>
      </c>
      <c r="F400" t="e">
        <f>IF(E400 = "no",VLOOKUP(A400,WEB_Database!A:F,16,FALSE),"")</f>
        <v>#REF!</v>
      </c>
    </row>
    <row r="401" spans="1:6">
      <c r="A401" s="292" t="s">
        <v>3654</v>
      </c>
      <c r="B401" s="304" t="str">
        <f>IF(ISNA(VLOOKUP(A401, WEB_Database!A:A, 1, FALSE)), "Not Found", "Found")</f>
        <v>Found</v>
      </c>
      <c r="C401" s="304" t="str">
        <f t="shared" si="6"/>
        <v>No</v>
      </c>
      <c r="D401" s="290" t="s">
        <v>3358</v>
      </c>
      <c r="E401" t="e">
        <f>IF(VLOOKUP(A401,WEB_Database!A:F,16,FALSE)=D401,"yes","no")</f>
        <v>#REF!</v>
      </c>
      <c r="F401" t="e">
        <f>IF(E401 = "no",VLOOKUP(A401,WEB_Database!A:F,16,FALSE),"")</f>
        <v>#REF!</v>
      </c>
    </row>
    <row r="402" spans="1:6">
      <c r="A402" s="292" t="s">
        <v>3655</v>
      </c>
      <c r="B402" s="304" t="str">
        <f>IF(ISNA(VLOOKUP(A402, WEB_Database!A:A, 1, FALSE)), "Not Found", "Found")</f>
        <v>Found</v>
      </c>
      <c r="C402" s="304" t="str">
        <f t="shared" si="6"/>
        <v>No</v>
      </c>
      <c r="D402" s="290" t="s">
        <v>3076</v>
      </c>
      <c r="E402" t="e">
        <f>IF(VLOOKUP(A402,WEB_Database!A:F,16,FALSE)=D402,"yes","no")</f>
        <v>#REF!</v>
      </c>
      <c r="F402" t="e">
        <f>IF(E402 = "no",VLOOKUP(A402,WEB_Database!A:F,16,FALSE),"")</f>
        <v>#REF!</v>
      </c>
    </row>
    <row r="403" spans="1:6">
      <c r="A403" s="292" t="s">
        <v>3656</v>
      </c>
      <c r="B403" s="304" t="str">
        <f>IF(ISNA(VLOOKUP(A403, WEB_Database!A:A, 1, FALSE)), "Not Found", "Found")</f>
        <v>Found</v>
      </c>
      <c r="C403" s="304" t="str">
        <f t="shared" si="6"/>
        <v>No</v>
      </c>
      <c r="D403" s="290" t="s">
        <v>3656</v>
      </c>
      <c r="E403" t="e">
        <f>IF(VLOOKUP(A403,WEB_Database!A:F,16,FALSE)=D403,"yes","no")</f>
        <v>#REF!</v>
      </c>
      <c r="F403" t="e">
        <f>IF(E403 = "no",VLOOKUP(A403,WEB_Database!A:F,16,FALSE),"")</f>
        <v>#REF!</v>
      </c>
    </row>
    <row r="404" spans="1:6">
      <c r="A404" s="292" t="s">
        <v>3657</v>
      </c>
      <c r="B404" s="304" t="str">
        <f>IF(ISNA(VLOOKUP(A404, WEB_Database!A:A, 1, FALSE)), "Not Found", "Found")</f>
        <v>Found</v>
      </c>
      <c r="C404" s="304" t="str">
        <f t="shared" si="6"/>
        <v>No</v>
      </c>
      <c r="D404" s="290" t="s">
        <v>3359</v>
      </c>
      <c r="E404" t="e">
        <f>IF(VLOOKUP(A404,WEB_Database!A:F,16,FALSE)=D404,"yes","no")</f>
        <v>#REF!</v>
      </c>
      <c r="F404" t="e">
        <f>IF(E404 = "no",VLOOKUP(A404,WEB_Database!A:F,16,FALSE),"")</f>
        <v>#REF!</v>
      </c>
    </row>
    <row r="405" spans="1:6">
      <c r="A405" s="292" t="s">
        <v>3658</v>
      </c>
      <c r="B405" s="304" t="str">
        <f>IF(ISNA(VLOOKUP(A405, WEB_Database!A:A, 1, FALSE)), "Not Found", "Found")</f>
        <v>Found</v>
      </c>
      <c r="C405" s="304" t="str">
        <f t="shared" si="6"/>
        <v>No</v>
      </c>
      <c r="D405" s="290" t="s">
        <v>3357</v>
      </c>
      <c r="E405" t="e">
        <f>IF(VLOOKUP(A405,WEB_Database!A:F,16,FALSE)=D405,"yes","no")</f>
        <v>#REF!</v>
      </c>
      <c r="F405" t="e">
        <f>IF(E405 = "no",VLOOKUP(A405,WEB_Database!A:F,16,FALSE),"")</f>
        <v>#REF!</v>
      </c>
    </row>
    <row r="406" spans="1:6">
      <c r="A406" s="292" t="s">
        <v>3659</v>
      </c>
      <c r="B406" s="304" t="str">
        <f>IF(ISNA(VLOOKUP(A406, WEB_Database!A:A, 1, FALSE)), "Not Found", "Found")</f>
        <v>Found</v>
      </c>
      <c r="C406" s="304" t="str">
        <f t="shared" si="6"/>
        <v>No</v>
      </c>
      <c r="D406" s="290" t="s">
        <v>3659</v>
      </c>
      <c r="E406" t="e">
        <f>IF(VLOOKUP(A406,WEB_Database!A:F,16,FALSE)=D406,"yes","no")</f>
        <v>#REF!</v>
      </c>
      <c r="F406" t="e">
        <f>IF(E406 = "no",VLOOKUP(A406,WEB_Database!A:F,16,FALSE),"")</f>
        <v>#REF!</v>
      </c>
    </row>
    <row r="407" spans="1:6">
      <c r="B407" s="304"/>
      <c r="D407" s="290"/>
    </row>
    <row r="408" spans="1:6">
      <c r="B408" s="304"/>
    </row>
  </sheetData>
  <conditionalFormatting sqref="D93">
    <cfRule type="expression" dxfId="5" priority="1">
      <formula>$AR93=5</formula>
    </cfRule>
    <cfRule type="expression" dxfId="4" priority="2">
      <formula>$AR93=0</formula>
    </cfRule>
    <cfRule type="expression" dxfId="3" priority="3">
      <formula>$AR93=4</formula>
    </cfRule>
    <cfRule type="expression" dxfId="2" priority="4">
      <formula>$AR93=3</formula>
    </cfRule>
    <cfRule type="expression" dxfId="1" priority="5">
      <formula>$AR93=2</formula>
    </cfRule>
    <cfRule type="expression" dxfId="0" priority="6">
      <formula>$AR93=1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12754"/>
  <sheetViews>
    <sheetView workbookViewId="0">
      <selection activeCell="O21" sqref="O21"/>
    </sheetView>
  </sheetViews>
  <sheetFormatPr defaultColWidth="8.77734375" defaultRowHeight="14.4"/>
  <cols>
    <col min="1" max="1" width="8.77734375" style="75"/>
    <col min="2" max="2" width="16" style="327" customWidth="1"/>
    <col min="3" max="3" width="16" style="328" customWidth="1"/>
    <col min="4" max="6" width="14" style="328" customWidth="1"/>
    <col min="8" max="9" width="16" customWidth="1"/>
    <col min="10" max="12" width="14" customWidth="1"/>
    <col min="13" max="15" width="8.6640625" style="75" customWidth="1"/>
    <col min="16" max="16" width="26.44140625" style="75" customWidth="1"/>
    <col min="17" max="17" width="16.77734375" style="75" bestFit="1" customWidth="1"/>
    <col min="18" max="16384" width="8.77734375" style="75"/>
  </cols>
  <sheetData>
    <row r="1" spans="1:12" ht="15" thickBot="1">
      <c r="A1"/>
      <c r="B1" s="75"/>
      <c r="C1" s="75"/>
      <c r="D1" s="75"/>
      <c r="E1" s="75"/>
      <c r="F1" s="75"/>
      <c r="G1" s="75"/>
      <c r="H1" s="75"/>
      <c r="I1" s="75"/>
      <c r="J1" s="75"/>
      <c r="K1" s="75"/>
      <c r="L1" s="75"/>
    </row>
    <row r="2" spans="1:12" ht="15" thickBot="1">
      <c r="B2" s="363" t="s">
        <v>1884</v>
      </c>
      <c r="C2" s="364"/>
      <c r="D2" s="364"/>
      <c r="E2" s="364"/>
      <c r="F2" s="365"/>
      <c r="H2" s="363" t="s">
        <v>3749</v>
      </c>
      <c r="I2" s="364"/>
      <c r="J2" s="364"/>
      <c r="K2" s="364"/>
      <c r="L2" s="365"/>
    </row>
    <row r="3" spans="1:12" ht="29.4" thickBot="1">
      <c r="B3" s="287" t="s">
        <v>2068</v>
      </c>
      <c r="C3" s="288" t="s">
        <v>3745</v>
      </c>
      <c r="D3" s="288" t="s">
        <v>3746</v>
      </c>
      <c r="E3" s="288" t="s">
        <v>3747</v>
      </c>
      <c r="F3" s="289" t="s">
        <v>3748</v>
      </c>
      <c r="H3" s="287" t="s">
        <v>2068</v>
      </c>
      <c r="I3" s="288" t="s">
        <v>3745</v>
      </c>
      <c r="J3" s="288" t="s">
        <v>3746</v>
      </c>
      <c r="K3" s="288" t="s">
        <v>3747</v>
      </c>
      <c r="L3" s="289" t="s">
        <v>3748</v>
      </c>
    </row>
    <row r="4" spans="1:12">
      <c r="B4" s="329" t="s">
        <v>3371</v>
      </c>
      <c r="C4" s="330">
        <v>102</v>
      </c>
      <c r="D4" s="330" t="e">
        <f>COUNTIF(WEB_Database!#REF!,Statistics!B4)</f>
        <v>#REF!</v>
      </c>
      <c r="E4" s="330" t="e">
        <f>COUNTIF(WEB_Database!#REF!,CONCATENATE(Statistics!B4," Spare"))</f>
        <v>#REF!</v>
      </c>
      <c r="F4" s="331" t="e">
        <f>E4/C4</f>
        <v>#REF!</v>
      </c>
      <c r="H4" s="329" t="s">
        <v>1883</v>
      </c>
      <c r="I4" s="330">
        <f t="shared" ref="I4:K9" si="0">C13+C22</f>
        <v>104</v>
      </c>
      <c r="J4" s="330" t="e">
        <f t="shared" si="0"/>
        <v>#REF!</v>
      </c>
      <c r="K4" s="330" t="e">
        <f t="shared" si="0"/>
        <v>#REF!</v>
      </c>
      <c r="L4" s="331" t="e">
        <f>K4/I4</f>
        <v>#REF!</v>
      </c>
    </row>
    <row r="5" spans="1:12">
      <c r="B5" s="332" t="s">
        <v>3372</v>
      </c>
      <c r="C5" s="326">
        <v>49</v>
      </c>
      <c r="D5" s="326" t="e">
        <f>COUNTIF(WEB_Database!#REF!,Statistics!B5)</f>
        <v>#REF!</v>
      </c>
      <c r="E5" s="326" t="e">
        <f>COUNTIF(WEB_Database!#REF!,CONCATENATE(Statistics!B5," Spare"))</f>
        <v>#REF!</v>
      </c>
      <c r="F5" s="335" t="e">
        <f>E5/C5</f>
        <v>#REF!</v>
      </c>
      <c r="H5" s="332" t="s">
        <v>3368</v>
      </c>
      <c r="I5" s="326">
        <f t="shared" si="0"/>
        <v>56</v>
      </c>
      <c r="J5" s="326" t="e">
        <f t="shared" si="0"/>
        <v>#REF!</v>
      </c>
      <c r="K5" s="326" t="e">
        <f t="shared" si="0"/>
        <v>#REF!</v>
      </c>
      <c r="L5" s="335" t="e">
        <f>K5/I5</f>
        <v>#REF!</v>
      </c>
    </row>
    <row r="6" spans="1:12">
      <c r="B6" s="332" t="s">
        <v>3737</v>
      </c>
      <c r="C6" s="326">
        <v>65</v>
      </c>
      <c r="D6" s="326" t="e">
        <f>D7+D8+D9</f>
        <v>#REF!</v>
      </c>
      <c r="E6" s="326" t="e">
        <f>E7+E8+E9</f>
        <v>#REF!</v>
      </c>
      <c r="F6" s="335" t="e">
        <f>E6/C6</f>
        <v>#REF!</v>
      </c>
      <c r="H6" s="332" t="s">
        <v>3737</v>
      </c>
      <c r="I6" s="326">
        <f t="shared" si="0"/>
        <v>93</v>
      </c>
      <c r="J6" s="326" t="e">
        <f t="shared" si="0"/>
        <v>#REF!</v>
      </c>
      <c r="K6" s="326" t="e">
        <f t="shared" si="0"/>
        <v>#REF!</v>
      </c>
      <c r="L6" s="335" t="e">
        <f>K6/I6</f>
        <v>#REF!</v>
      </c>
    </row>
    <row r="7" spans="1:12">
      <c r="B7" s="332" t="s">
        <v>3373</v>
      </c>
      <c r="C7" s="326">
        <v>0</v>
      </c>
      <c r="D7" s="326" t="e">
        <f>COUNTIF(WEB_Database!#REF!,Statistics!B7)</f>
        <v>#REF!</v>
      </c>
      <c r="E7" s="326" t="e">
        <f>COUNTIF(WEB_Database!#REF!,CONCATENATE(Statistics!B7," Spare"))</f>
        <v>#REF!</v>
      </c>
      <c r="F7" s="335"/>
      <c r="H7" s="332" t="s">
        <v>3362</v>
      </c>
      <c r="I7" s="326">
        <f t="shared" si="0"/>
        <v>70</v>
      </c>
      <c r="J7" s="326" t="e">
        <f t="shared" si="0"/>
        <v>#REF!</v>
      </c>
      <c r="K7" s="326" t="e">
        <f t="shared" si="0"/>
        <v>#REF!</v>
      </c>
      <c r="L7" s="335"/>
    </row>
    <row r="8" spans="1:12">
      <c r="B8" s="332" t="s">
        <v>3374</v>
      </c>
      <c r="C8" s="326">
        <v>5</v>
      </c>
      <c r="D8" s="326" t="e">
        <f>COUNTIF(WEB_Database!#REF!,Statistics!B8)</f>
        <v>#REF!</v>
      </c>
      <c r="E8" s="326" t="e">
        <f>COUNTIF(WEB_Database!#REF!,CONCATENATE(Statistics!B8," Spare"))</f>
        <v>#REF!</v>
      </c>
      <c r="F8" s="335"/>
      <c r="H8" s="332" t="s">
        <v>3369</v>
      </c>
      <c r="I8" s="326">
        <f t="shared" si="0"/>
        <v>23</v>
      </c>
      <c r="J8" s="326" t="e">
        <f t="shared" si="0"/>
        <v>#REF!</v>
      </c>
      <c r="K8" s="326" t="e">
        <f t="shared" si="0"/>
        <v>#REF!</v>
      </c>
      <c r="L8" s="335"/>
    </row>
    <row r="9" spans="1:12" ht="15" thickBot="1">
      <c r="B9" s="333" t="s">
        <v>3375</v>
      </c>
      <c r="C9" s="334">
        <v>60</v>
      </c>
      <c r="D9" s="334" t="e">
        <f>COUNTIF(WEB_Database!#REF!,Statistics!B9)</f>
        <v>#REF!</v>
      </c>
      <c r="E9" s="334" t="e">
        <f>COUNTIF(WEB_Database!#REF!,CONCATENATE(Statistics!B9," Spare"))</f>
        <v>#REF!</v>
      </c>
      <c r="F9" s="336"/>
      <c r="H9" s="333" t="s">
        <v>3370</v>
      </c>
      <c r="I9" s="334">
        <f t="shared" si="0"/>
        <v>0</v>
      </c>
      <c r="J9" s="334" t="e">
        <f t="shared" si="0"/>
        <v>#REF!</v>
      </c>
      <c r="K9" s="334" t="e">
        <f t="shared" si="0"/>
        <v>#REF!</v>
      </c>
      <c r="L9" s="336"/>
    </row>
    <row r="10" spans="1:12" ht="15" thickBot="1">
      <c r="B10" s="75"/>
      <c r="C10" s="75"/>
      <c r="D10" s="75"/>
      <c r="E10" s="75"/>
      <c r="F10" s="75"/>
    </row>
    <row r="11" spans="1:12" ht="15" thickBot="1">
      <c r="B11" s="363" t="s">
        <v>2927</v>
      </c>
      <c r="C11" s="364"/>
      <c r="D11" s="364"/>
      <c r="E11" s="364"/>
      <c r="F11" s="365"/>
    </row>
    <row r="12" spans="1:12" ht="29.4" thickBot="1">
      <c r="B12" s="287" t="s">
        <v>2068</v>
      </c>
      <c r="C12" s="288" t="s">
        <v>3745</v>
      </c>
      <c r="D12" s="288" t="s">
        <v>3746</v>
      </c>
      <c r="E12" s="288" t="s">
        <v>3747</v>
      </c>
      <c r="F12" s="289" t="s">
        <v>3748</v>
      </c>
    </row>
    <row r="13" spans="1:12">
      <c r="B13" s="329" t="s">
        <v>3376</v>
      </c>
      <c r="C13" s="330">
        <v>67</v>
      </c>
      <c r="D13" s="330" t="e">
        <f>COUNTIF(WEB_Database!#REF!,Statistics!B13)</f>
        <v>#REF!</v>
      </c>
      <c r="E13" s="330" t="e">
        <f>COUNTIF(WEB_Database!#REF!,CONCATENATE(Statistics!B13," Spare"))</f>
        <v>#REF!</v>
      </c>
      <c r="F13" s="331" t="e">
        <f>E13/C13</f>
        <v>#REF!</v>
      </c>
    </row>
    <row r="14" spans="1:12">
      <c r="B14" s="332" t="s">
        <v>3377</v>
      </c>
      <c r="C14" s="326">
        <v>31</v>
      </c>
      <c r="D14" s="326" t="e">
        <f>COUNTIF(WEB_Database!#REF!,Statistics!B14)</f>
        <v>#REF!</v>
      </c>
      <c r="E14" s="326" t="e">
        <f>COUNTIF(WEB_Database!#REF!,CONCATENATE(Statistics!B14," Spare"))</f>
        <v>#REF!</v>
      </c>
      <c r="F14" s="335" t="e">
        <f>E14/C14</f>
        <v>#REF!</v>
      </c>
    </row>
    <row r="15" spans="1:12">
      <c r="B15" s="332" t="s">
        <v>3737</v>
      </c>
      <c r="C15" s="326">
        <v>84</v>
      </c>
      <c r="D15" s="326" t="e">
        <f>D16+D17+D18</f>
        <v>#REF!</v>
      </c>
      <c r="E15" s="326" t="e">
        <f>E16+E17+E18</f>
        <v>#REF!</v>
      </c>
      <c r="F15" s="335" t="e">
        <f>E15/C15</f>
        <v>#REF!</v>
      </c>
    </row>
    <row r="16" spans="1:12">
      <c r="B16" s="332" t="s">
        <v>3378</v>
      </c>
      <c r="C16" s="326">
        <v>68</v>
      </c>
      <c r="D16" s="326" t="e">
        <f>COUNTIF(WEB_Database!#REF!,Statistics!B16)</f>
        <v>#REF!</v>
      </c>
      <c r="E16" s="326" t="e">
        <f>COUNTIF(WEB_Database!#REF!,CONCATENATE(Statistics!B16," Spare"))</f>
        <v>#REF!</v>
      </c>
      <c r="F16" s="335"/>
    </row>
    <row r="17" spans="2:11">
      <c r="B17" s="332" t="s">
        <v>3379</v>
      </c>
      <c r="C17" s="326">
        <v>16</v>
      </c>
      <c r="D17" s="326" t="e">
        <f>COUNTIF(WEB_Database!#REF!,Statistics!B17)</f>
        <v>#REF!</v>
      </c>
      <c r="E17" s="326" t="e">
        <f>COUNTIF(WEB_Database!#REF!,CONCATENATE(Statistics!B17," Spare"))</f>
        <v>#REF!</v>
      </c>
      <c r="F17" s="335"/>
    </row>
    <row r="18" spans="2:11" ht="15" thickBot="1">
      <c r="B18" s="333" t="s">
        <v>3380</v>
      </c>
      <c r="C18" s="334">
        <v>0</v>
      </c>
      <c r="D18" s="334" t="e">
        <f>COUNTIF(WEB_Database!#REF!,Statistics!B18)</f>
        <v>#REF!</v>
      </c>
      <c r="E18" s="334" t="e">
        <f>COUNTIF(WEB_Database!#REF!,CONCATENATE(Statistics!B18," Spare"))</f>
        <v>#REF!</v>
      </c>
      <c r="F18" s="336"/>
    </row>
    <row r="19" spans="2:11" ht="15" thickBot="1">
      <c r="B19" s="75"/>
      <c r="C19" s="75"/>
      <c r="D19" s="75"/>
      <c r="E19" s="75"/>
      <c r="F19" s="75"/>
    </row>
    <row r="20" spans="2:11" ht="15" thickBot="1">
      <c r="B20" s="363" t="s">
        <v>3381</v>
      </c>
      <c r="C20" s="364"/>
      <c r="D20" s="364"/>
      <c r="E20" s="364"/>
      <c r="F20" s="365"/>
    </row>
    <row r="21" spans="2:11" ht="29.4" thickBot="1">
      <c r="B21" s="287" t="s">
        <v>2068</v>
      </c>
      <c r="C21" s="288" t="s">
        <v>3745</v>
      </c>
      <c r="D21" s="288" t="s">
        <v>3746</v>
      </c>
      <c r="E21" s="288" t="s">
        <v>3747</v>
      </c>
      <c r="F21" s="289" t="s">
        <v>3748</v>
      </c>
    </row>
    <row r="22" spans="2:11">
      <c r="B22" s="329" t="s">
        <v>3382</v>
      </c>
      <c r="C22" s="330">
        <v>37</v>
      </c>
      <c r="D22" s="330" t="e">
        <f>COUNTIF(WEB_Database!#REF!,Statistics!B22)</f>
        <v>#REF!</v>
      </c>
      <c r="E22" s="330" t="e">
        <f>COUNTIF(WEB_Database!#REF!,CONCATENATE(Statistics!B22," Spare"))</f>
        <v>#REF!</v>
      </c>
      <c r="F22" s="331" t="e">
        <f>E22/C22</f>
        <v>#REF!</v>
      </c>
    </row>
    <row r="23" spans="2:11">
      <c r="B23" s="332" t="s">
        <v>3383</v>
      </c>
      <c r="C23" s="326">
        <v>25</v>
      </c>
      <c r="D23" s="326" t="e">
        <f>COUNTIF(WEB_Database!#REF!,Statistics!B23)</f>
        <v>#REF!</v>
      </c>
      <c r="E23" s="326" t="e">
        <f>COUNTIF(WEB_Database!#REF!,CONCATENATE(Statistics!B23," Spare"))</f>
        <v>#REF!</v>
      </c>
      <c r="F23" s="335" t="e">
        <f>E23/C23</f>
        <v>#REF!</v>
      </c>
    </row>
    <row r="24" spans="2:11">
      <c r="B24" s="332" t="s">
        <v>3737</v>
      </c>
      <c r="C24" s="326">
        <v>9</v>
      </c>
      <c r="D24" s="326" t="e">
        <f>D25+D26+D27</f>
        <v>#REF!</v>
      </c>
      <c r="E24" s="326" t="e">
        <f>E25+E26+E27</f>
        <v>#REF!</v>
      </c>
      <c r="F24" s="335" t="e">
        <f>E24/C24</f>
        <v>#REF!</v>
      </c>
    </row>
    <row r="25" spans="2:11">
      <c r="B25" s="332" t="s">
        <v>3384</v>
      </c>
      <c r="C25" s="326">
        <v>2</v>
      </c>
      <c r="D25" s="326" t="e">
        <f>COUNTIF(WEB_Database!#REF!,Statistics!B25)</f>
        <v>#REF!</v>
      </c>
      <c r="E25" s="326" t="e">
        <f>COUNTIF(WEB_Database!#REF!,CONCATENATE(Statistics!B25," Spare"))</f>
        <v>#REF!</v>
      </c>
      <c r="F25" s="335"/>
    </row>
    <row r="26" spans="2:11">
      <c r="B26" s="332" t="s">
        <v>3385</v>
      </c>
      <c r="C26" s="326">
        <v>7</v>
      </c>
      <c r="D26" s="326" t="e">
        <f>COUNTIF(WEB_Database!#REF!,Statistics!B26)</f>
        <v>#REF!</v>
      </c>
      <c r="E26" s="326" t="e">
        <f>COUNTIF(WEB_Database!#REF!,CONCATENATE(Statistics!B26," Spare"))</f>
        <v>#REF!</v>
      </c>
      <c r="F26" s="335"/>
    </row>
    <row r="27" spans="2:11" ht="15" thickBot="1">
      <c r="B27" s="333" t="s">
        <v>3386</v>
      </c>
      <c r="C27" s="334">
        <v>0</v>
      </c>
      <c r="D27" s="334" t="e">
        <f>COUNTIF(WEB_Database!#REF!,Statistics!B27)</f>
        <v>#REF!</v>
      </c>
      <c r="E27" s="334" t="e">
        <f>COUNTIF(WEB_Database!#REF!,CONCATENATE(Statistics!B27," Spare"))</f>
        <v>#REF!</v>
      </c>
      <c r="F27" s="336"/>
    </row>
    <row r="28" spans="2:11" ht="15" thickBot="1">
      <c r="B28" s="75"/>
      <c r="C28" s="75"/>
      <c r="D28" s="75"/>
      <c r="E28" s="75"/>
      <c r="F28" s="75"/>
    </row>
    <row r="29" spans="2:11" ht="15" thickBot="1">
      <c r="B29" s="363" t="s">
        <v>3387</v>
      </c>
      <c r="C29" s="364"/>
      <c r="D29" s="364"/>
      <c r="E29" s="364"/>
      <c r="F29" s="365"/>
    </row>
    <row r="30" spans="2:11" ht="49.95" customHeight="1" thickBot="1">
      <c r="B30" s="287" t="s">
        <v>2068</v>
      </c>
      <c r="C30" s="288" t="s">
        <v>3745</v>
      </c>
      <c r="D30" s="288" t="s">
        <v>3746</v>
      </c>
      <c r="E30" s="288" t="s">
        <v>3747</v>
      </c>
      <c r="F30" s="289" t="s">
        <v>3748</v>
      </c>
      <c r="I30" s="370" t="s">
        <v>3366</v>
      </c>
      <c r="J30" s="371"/>
      <c r="K30" s="284" t="s">
        <v>3367</v>
      </c>
    </row>
    <row r="31" spans="2:11">
      <c r="B31" s="329" t="s">
        <v>1883</v>
      </c>
      <c r="C31" s="330">
        <f t="shared" ref="C31:C36" si="1">C4+C13+C22</f>
        <v>206</v>
      </c>
      <c r="D31" s="330">
        <f>COUNTIF(WEB_Database!E:E,Statistics!B31)</f>
        <v>171</v>
      </c>
      <c r="E31" s="330" t="e">
        <f t="shared" ref="E31:E36" si="2">E4+E13+E22</f>
        <v>#REF!</v>
      </c>
      <c r="F31" s="331" t="e">
        <f>E31/C31</f>
        <v>#REF!</v>
      </c>
      <c r="I31" s="372" t="s">
        <v>3363</v>
      </c>
      <c r="J31" s="373"/>
      <c r="K31" s="337" t="e">
        <f>COUNTIF(WEB_Database!#REF!,2)</f>
        <v>#REF!</v>
      </c>
    </row>
    <row r="32" spans="2:11">
      <c r="B32" s="332" t="s">
        <v>3368</v>
      </c>
      <c r="C32" s="326">
        <f t="shared" si="1"/>
        <v>105</v>
      </c>
      <c r="D32" s="326">
        <f>COUNTIF(WEB_Database!E:E,Statistics!B32)</f>
        <v>102</v>
      </c>
      <c r="E32" s="326" t="e">
        <f t="shared" si="2"/>
        <v>#REF!</v>
      </c>
      <c r="F32" s="335" t="e">
        <f>E32/C32</f>
        <v>#REF!</v>
      </c>
      <c r="I32" s="366" t="s">
        <v>3364</v>
      </c>
      <c r="J32" s="367"/>
      <c r="K32" s="285" t="e">
        <f>COUNTIF(WEB_Database!#REF!,3)</f>
        <v>#REF!</v>
      </c>
    </row>
    <row r="33" spans="2:11">
      <c r="B33" s="332" t="s">
        <v>3737</v>
      </c>
      <c r="C33" s="326">
        <f t="shared" si="1"/>
        <v>158</v>
      </c>
      <c r="D33" s="326">
        <f>D34+D35+D36</f>
        <v>130</v>
      </c>
      <c r="E33" s="326" t="e">
        <f t="shared" si="2"/>
        <v>#REF!</v>
      </c>
      <c r="F33" s="335" t="e">
        <f>E33/C33</f>
        <v>#REF!</v>
      </c>
      <c r="I33" s="366" t="s">
        <v>3365</v>
      </c>
      <c r="J33" s="367"/>
      <c r="K33" s="285" t="e">
        <f>COUNTIF(WEB_Database!#REF!,4)+COUNTIF(WEB_Database!#REF!,5)</f>
        <v>#REF!</v>
      </c>
    </row>
    <row r="34" spans="2:11" ht="15" thickBot="1">
      <c r="B34" s="332" t="s">
        <v>3362</v>
      </c>
      <c r="C34" s="326">
        <f t="shared" si="1"/>
        <v>70</v>
      </c>
      <c r="D34" s="326">
        <f>COUNTIF(WEB_Database!E:E,Statistics!B34)</f>
        <v>57</v>
      </c>
      <c r="E34" s="326" t="e">
        <f t="shared" si="2"/>
        <v>#REF!</v>
      </c>
      <c r="F34" s="335"/>
      <c r="I34" s="368" t="s">
        <v>3388</v>
      </c>
      <c r="J34" s="369"/>
      <c r="K34" s="286" t="e">
        <f>SUM(K31:K33)</f>
        <v>#REF!</v>
      </c>
    </row>
    <row r="35" spans="2:11">
      <c r="B35" s="332" t="s">
        <v>3369</v>
      </c>
      <c r="C35" s="326">
        <f t="shared" si="1"/>
        <v>28</v>
      </c>
      <c r="D35" s="326">
        <f>COUNTIF(WEB_Database!E:E,Statistics!B35)</f>
        <v>27</v>
      </c>
      <c r="E35" s="326" t="e">
        <f t="shared" si="2"/>
        <v>#REF!</v>
      </c>
      <c r="F35" s="335"/>
    </row>
    <row r="36" spans="2:11" ht="15" thickBot="1">
      <c r="B36" s="333" t="s">
        <v>3370</v>
      </c>
      <c r="C36" s="334">
        <f t="shared" si="1"/>
        <v>60</v>
      </c>
      <c r="D36" s="334">
        <f>COUNTIF(WEB_Database!E:E,Statistics!B36)</f>
        <v>46</v>
      </c>
      <c r="E36" s="334" t="e">
        <f t="shared" si="2"/>
        <v>#REF!</v>
      </c>
      <c r="F36" s="336"/>
    </row>
    <row r="37" spans="2:11">
      <c r="B37" s="75"/>
      <c r="C37" s="75"/>
      <c r="D37" s="75"/>
      <c r="E37" s="75"/>
      <c r="F37" s="75"/>
    </row>
    <row r="38" spans="2:11">
      <c r="B38" s="75"/>
      <c r="C38" s="75"/>
      <c r="D38" s="75"/>
      <c r="E38" s="75"/>
      <c r="F38" s="75"/>
    </row>
    <row r="47" spans="2:11">
      <c r="B47" s="75"/>
      <c r="C47" s="75"/>
      <c r="D47" s="75"/>
      <c r="E47" s="75"/>
      <c r="F47" s="75"/>
    </row>
    <row r="48" spans="2:11">
      <c r="B48" s="75"/>
      <c r="C48" s="75"/>
      <c r="D48" s="75"/>
      <c r="E48" s="75"/>
      <c r="F48" s="75"/>
    </row>
    <row r="49" spans="2:6">
      <c r="B49" s="75"/>
      <c r="C49" s="75"/>
      <c r="D49" s="75"/>
      <c r="E49" s="75"/>
      <c r="F49" s="75"/>
    </row>
    <row r="50" spans="2:6">
      <c r="B50" s="75"/>
      <c r="C50" s="75"/>
      <c r="D50" s="75"/>
      <c r="E50" s="75"/>
      <c r="F50" s="75"/>
    </row>
    <row r="51" spans="2:6">
      <c r="B51" s="75"/>
      <c r="C51" s="75"/>
      <c r="D51" s="75"/>
      <c r="E51" s="75"/>
      <c r="F51" s="75"/>
    </row>
    <row r="52" spans="2:6">
      <c r="B52" s="75"/>
      <c r="C52" s="75"/>
      <c r="D52" s="75"/>
      <c r="E52" s="75"/>
      <c r="F52" s="75"/>
    </row>
    <row r="53" spans="2:6">
      <c r="B53" s="75"/>
      <c r="C53" s="75"/>
      <c r="D53" s="75"/>
      <c r="E53" s="75"/>
      <c r="F53" s="75"/>
    </row>
    <row r="54" spans="2:6">
      <c r="B54" s="75"/>
      <c r="C54" s="75"/>
      <c r="D54" s="75"/>
      <c r="E54" s="75"/>
      <c r="F54" s="75"/>
    </row>
    <row r="55" spans="2:6">
      <c r="B55" s="75"/>
      <c r="C55" s="75"/>
      <c r="D55" s="75"/>
      <c r="E55" s="75"/>
      <c r="F55" s="75"/>
    </row>
    <row r="56" spans="2:6">
      <c r="B56" s="75"/>
      <c r="C56" s="75"/>
      <c r="D56" s="75"/>
      <c r="E56" s="75"/>
      <c r="F56" s="75"/>
    </row>
    <row r="57" spans="2:6">
      <c r="B57" s="75"/>
      <c r="C57" s="75"/>
      <c r="D57" s="75"/>
      <c r="E57" s="75"/>
      <c r="F57" s="75"/>
    </row>
    <row r="58" spans="2:6">
      <c r="B58" s="75"/>
      <c r="C58" s="75"/>
      <c r="D58" s="75"/>
      <c r="E58" s="75"/>
      <c r="F58" s="75"/>
    </row>
    <row r="59" spans="2:6">
      <c r="B59" s="75"/>
      <c r="C59" s="75"/>
      <c r="D59" s="75"/>
      <c r="E59" s="75"/>
      <c r="F59" s="75"/>
    </row>
    <row r="60" spans="2:6">
      <c r="B60" s="75"/>
      <c r="C60" s="75"/>
      <c r="D60" s="75"/>
      <c r="E60" s="75"/>
      <c r="F60" s="75"/>
    </row>
    <row r="61" spans="2:6">
      <c r="B61" s="75"/>
      <c r="C61" s="75"/>
      <c r="D61" s="75"/>
      <c r="E61" s="75"/>
      <c r="F61" s="75"/>
    </row>
    <row r="62" spans="2:6">
      <c r="B62" s="75"/>
      <c r="C62" s="75"/>
      <c r="D62" s="75"/>
      <c r="E62" s="75"/>
      <c r="F62" s="75"/>
    </row>
    <row r="63" spans="2:6">
      <c r="B63" s="75"/>
      <c r="C63" s="75"/>
      <c r="D63" s="75"/>
      <c r="E63" s="75"/>
      <c r="F63" s="75"/>
    </row>
    <row r="64" spans="2:6">
      <c r="B64" s="75"/>
      <c r="C64" s="75"/>
      <c r="D64" s="75"/>
      <c r="E64" s="75"/>
      <c r="F64" s="75"/>
    </row>
    <row r="65" spans="2:6">
      <c r="B65" s="75"/>
      <c r="C65" s="75"/>
      <c r="D65" s="75"/>
      <c r="E65" s="75"/>
      <c r="F65" s="75"/>
    </row>
    <row r="66" spans="2:6">
      <c r="B66" s="75"/>
      <c r="C66" s="75"/>
      <c r="D66" s="75"/>
      <c r="E66" s="75"/>
      <c r="F66" s="75"/>
    </row>
    <row r="67" spans="2:6">
      <c r="B67" s="75"/>
      <c r="C67" s="75"/>
      <c r="D67" s="75"/>
      <c r="E67" s="75"/>
      <c r="F67" s="75"/>
    </row>
    <row r="68" spans="2:6">
      <c r="B68" s="75"/>
      <c r="C68" s="75"/>
      <c r="D68" s="75"/>
      <c r="E68" s="75"/>
      <c r="F68" s="75"/>
    </row>
    <row r="69" spans="2:6">
      <c r="B69" s="75"/>
      <c r="C69" s="75"/>
      <c r="D69" s="75"/>
      <c r="E69" s="75"/>
      <c r="F69" s="75"/>
    </row>
    <row r="70" spans="2:6">
      <c r="B70" s="75"/>
      <c r="C70" s="75"/>
      <c r="D70" s="75"/>
      <c r="E70" s="75"/>
      <c r="F70" s="75"/>
    </row>
    <row r="71" spans="2:6">
      <c r="B71" s="75"/>
      <c r="C71" s="75"/>
      <c r="D71" s="75"/>
      <c r="E71" s="75"/>
      <c r="F71" s="75"/>
    </row>
    <row r="72" spans="2:6">
      <c r="B72" s="75"/>
      <c r="C72" s="75"/>
      <c r="D72" s="75"/>
      <c r="E72" s="75"/>
      <c r="F72" s="75"/>
    </row>
    <row r="73" spans="2:6">
      <c r="B73" s="75"/>
      <c r="C73" s="75"/>
      <c r="D73" s="75"/>
      <c r="E73" s="75"/>
      <c r="F73" s="75"/>
    </row>
    <row r="74" spans="2:6">
      <c r="B74" s="75"/>
      <c r="C74" s="75"/>
      <c r="D74" s="75"/>
      <c r="E74" s="75"/>
      <c r="F74" s="75"/>
    </row>
    <row r="75" spans="2:6">
      <c r="B75" s="75"/>
      <c r="C75" s="75"/>
      <c r="D75" s="75"/>
      <c r="E75" s="75"/>
      <c r="F75" s="75"/>
    </row>
    <row r="76" spans="2:6">
      <c r="B76" s="75"/>
      <c r="C76" s="75"/>
      <c r="D76" s="75"/>
      <c r="E76" s="75"/>
      <c r="F76" s="75"/>
    </row>
    <row r="77" spans="2:6">
      <c r="B77" s="75"/>
      <c r="C77" s="75"/>
      <c r="D77" s="75"/>
      <c r="E77" s="75"/>
      <c r="F77" s="75"/>
    </row>
    <row r="78" spans="2:6">
      <c r="B78" s="75"/>
      <c r="C78" s="75"/>
      <c r="D78" s="75"/>
      <c r="E78" s="75"/>
      <c r="F78" s="75"/>
    </row>
    <row r="79" spans="2:6">
      <c r="B79" s="75"/>
      <c r="C79" s="75"/>
      <c r="D79" s="75"/>
      <c r="E79" s="75"/>
      <c r="F79" s="75"/>
    </row>
    <row r="80" spans="2:6">
      <c r="B80" s="75"/>
      <c r="C80" s="75"/>
      <c r="D80" s="75"/>
      <c r="E80" s="75"/>
      <c r="F80" s="75"/>
    </row>
    <row r="81" spans="2:6">
      <c r="B81" s="75"/>
      <c r="C81" s="75"/>
      <c r="D81" s="75"/>
      <c r="E81" s="75"/>
      <c r="F81" s="75"/>
    </row>
    <row r="82" spans="2:6">
      <c r="B82" s="75"/>
      <c r="C82" s="75"/>
      <c r="D82" s="75"/>
      <c r="E82" s="75"/>
      <c r="F82" s="75"/>
    </row>
    <row r="83" spans="2:6">
      <c r="B83" s="75"/>
      <c r="C83" s="75"/>
      <c r="D83" s="75"/>
      <c r="E83" s="75"/>
      <c r="F83" s="75"/>
    </row>
    <row r="84" spans="2:6">
      <c r="B84" s="75"/>
      <c r="C84" s="75"/>
      <c r="D84" s="75"/>
      <c r="E84" s="75"/>
      <c r="F84" s="75"/>
    </row>
    <row r="85" spans="2:6">
      <c r="B85" s="75"/>
      <c r="C85" s="75"/>
      <c r="D85" s="75"/>
      <c r="E85" s="75"/>
      <c r="F85" s="75"/>
    </row>
    <row r="86" spans="2:6">
      <c r="B86" s="75"/>
      <c r="C86" s="75"/>
      <c r="D86" s="75"/>
      <c r="E86" s="75"/>
      <c r="F86" s="75"/>
    </row>
    <row r="87" spans="2:6">
      <c r="B87" s="75"/>
      <c r="C87" s="75"/>
      <c r="D87" s="75"/>
      <c r="E87" s="75"/>
      <c r="F87" s="75"/>
    </row>
    <row r="88" spans="2:6">
      <c r="B88" s="75"/>
      <c r="C88" s="75"/>
      <c r="D88" s="75"/>
      <c r="E88" s="75"/>
      <c r="F88" s="75"/>
    </row>
    <row r="89" spans="2:6">
      <c r="B89" s="75"/>
      <c r="C89" s="75"/>
      <c r="D89" s="75"/>
      <c r="E89" s="75"/>
      <c r="F89" s="75"/>
    </row>
    <row r="90" spans="2:6">
      <c r="B90" s="75"/>
      <c r="C90" s="75"/>
      <c r="D90" s="75"/>
      <c r="E90" s="75"/>
      <c r="F90" s="75"/>
    </row>
    <row r="91" spans="2:6">
      <c r="B91" s="75"/>
      <c r="C91" s="75"/>
      <c r="D91" s="75"/>
      <c r="E91" s="75"/>
      <c r="F91" s="75"/>
    </row>
    <row r="92" spans="2:6">
      <c r="B92" s="75"/>
      <c r="C92" s="75"/>
      <c r="D92" s="75"/>
      <c r="E92" s="75"/>
      <c r="F92" s="75"/>
    </row>
    <row r="93" spans="2:6">
      <c r="B93" s="75"/>
      <c r="C93" s="75"/>
      <c r="D93" s="75"/>
      <c r="E93" s="75"/>
      <c r="F93" s="75"/>
    </row>
    <row r="94" spans="2:6">
      <c r="B94" s="75"/>
      <c r="C94" s="75"/>
      <c r="D94" s="75"/>
      <c r="E94" s="75"/>
      <c r="F94" s="75"/>
    </row>
    <row r="95" spans="2:6">
      <c r="B95" s="75"/>
      <c r="C95" s="75"/>
      <c r="D95" s="75"/>
      <c r="E95" s="75"/>
      <c r="F95" s="75"/>
    </row>
    <row r="96" spans="2:6">
      <c r="B96" s="75"/>
      <c r="C96" s="75"/>
      <c r="D96" s="75"/>
      <c r="E96" s="75"/>
      <c r="F96" s="75"/>
    </row>
    <row r="97" spans="2:6">
      <c r="B97" s="75"/>
      <c r="C97" s="75"/>
      <c r="D97" s="75"/>
      <c r="E97" s="75"/>
      <c r="F97" s="75"/>
    </row>
    <row r="98" spans="2:6">
      <c r="B98" s="75"/>
      <c r="C98" s="75"/>
      <c r="D98" s="75"/>
      <c r="E98" s="75"/>
      <c r="F98" s="75"/>
    </row>
    <row r="99" spans="2:6">
      <c r="B99" s="75"/>
      <c r="C99" s="75"/>
      <c r="D99" s="75"/>
      <c r="E99" s="75"/>
      <c r="F99" s="75"/>
    </row>
    <row r="100" spans="2:6">
      <c r="B100" s="75"/>
      <c r="C100" s="75"/>
      <c r="D100" s="75"/>
      <c r="E100" s="75"/>
      <c r="F100" s="75"/>
    </row>
    <row r="101" spans="2:6">
      <c r="B101" s="75"/>
      <c r="C101" s="75"/>
      <c r="D101" s="75"/>
      <c r="E101" s="75"/>
      <c r="F101" s="75"/>
    </row>
    <row r="102" spans="2:6">
      <c r="B102" s="75"/>
      <c r="C102" s="75"/>
      <c r="D102" s="75"/>
      <c r="E102" s="75"/>
      <c r="F102" s="75"/>
    </row>
    <row r="103" spans="2:6">
      <c r="B103" s="75"/>
      <c r="C103" s="75"/>
      <c r="D103" s="75"/>
      <c r="E103" s="75"/>
      <c r="F103" s="75"/>
    </row>
    <row r="104" spans="2:6">
      <c r="B104" s="75"/>
      <c r="C104" s="75"/>
      <c r="D104" s="75"/>
      <c r="E104" s="75"/>
      <c r="F104" s="75"/>
    </row>
    <row r="105" spans="2:6">
      <c r="B105" s="75"/>
      <c r="C105" s="75"/>
      <c r="D105" s="75"/>
      <c r="E105" s="75"/>
      <c r="F105" s="75"/>
    </row>
    <row r="106" spans="2:6">
      <c r="B106" s="75"/>
      <c r="C106" s="75"/>
      <c r="D106" s="75"/>
      <c r="E106" s="75"/>
      <c r="F106" s="75"/>
    </row>
    <row r="107" spans="2:6">
      <c r="B107" s="75"/>
      <c r="C107" s="75"/>
      <c r="D107" s="75"/>
      <c r="E107" s="75"/>
      <c r="F107" s="75"/>
    </row>
    <row r="108" spans="2:6">
      <c r="B108" s="75"/>
      <c r="C108" s="75"/>
      <c r="D108" s="75"/>
      <c r="E108" s="75"/>
      <c r="F108" s="75"/>
    </row>
    <row r="109" spans="2:6">
      <c r="B109" s="75"/>
      <c r="C109" s="75"/>
      <c r="D109" s="75"/>
      <c r="E109" s="75"/>
      <c r="F109" s="75"/>
    </row>
    <row r="110" spans="2:6">
      <c r="B110" s="75"/>
      <c r="C110" s="75"/>
      <c r="D110" s="75"/>
      <c r="E110" s="75"/>
      <c r="F110" s="75"/>
    </row>
    <row r="111" spans="2:6">
      <c r="B111" s="75"/>
      <c r="C111" s="75"/>
      <c r="D111" s="75"/>
      <c r="E111" s="75"/>
      <c r="F111" s="75"/>
    </row>
    <row r="112" spans="2:6">
      <c r="B112" s="75"/>
      <c r="C112" s="75"/>
      <c r="D112" s="75"/>
      <c r="E112" s="75"/>
      <c r="F112" s="75"/>
    </row>
    <row r="113" spans="2:6">
      <c r="B113" s="75"/>
      <c r="C113" s="75"/>
      <c r="D113" s="75"/>
      <c r="E113" s="75"/>
      <c r="F113" s="75"/>
    </row>
    <row r="114" spans="2:6">
      <c r="B114" s="75"/>
      <c r="C114" s="75"/>
      <c r="D114" s="75"/>
      <c r="E114" s="75"/>
      <c r="F114" s="75"/>
    </row>
    <row r="115" spans="2:6">
      <c r="B115" s="75"/>
      <c r="C115" s="75"/>
      <c r="D115" s="75"/>
      <c r="E115" s="75"/>
      <c r="F115" s="75"/>
    </row>
    <row r="116" spans="2:6">
      <c r="B116" s="75"/>
      <c r="C116" s="75"/>
      <c r="D116" s="75"/>
      <c r="E116" s="75"/>
      <c r="F116" s="75"/>
    </row>
    <row r="117" spans="2:6">
      <c r="B117" s="75"/>
      <c r="C117" s="75"/>
      <c r="D117" s="75"/>
      <c r="E117" s="75"/>
      <c r="F117" s="75"/>
    </row>
    <row r="118" spans="2:6">
      <c r="B118" s="75"/>
      <c r="C118" s="75"/>
      <c r="D118" s="75"/>
      <c r="E118" s="75"/>
      <c r="F118" s="75"/>
    </row>
    <row r="119" spans="2:6">
      <c r="B119" s="75"/>
      <c r="C119" s="75"/>
      <c r="D119" s="75"/>
      <c r="E119" s="75"/>
      <c r="F119" s="75"/>
    </row>
    <row r="120" spans="2:6">
      <c r="B120" s="75"/>
      <c r="C120" s="75"/>
      <c r="D120" s="75"/>
      <c r="E120" s="75"/>
      <c r="F120" s="75"/>
    </row>
    <row r="121" spans="2:6">
      <c r="B121" s="75"/>
      <c r="C121" s="75"/>
      <c r="D121" s="75"/>
      <c r="E121" s="75"/>
      <c r="F121" s="75"/>
    </row>
    <row r="122" spans="2:6">
      <c r="B122" s="75"/>
      <c r="C122" s="75"/>
      <c r="D122" s="75"/>
      <c r="E122" s="75"/>
      <c r="F122" s="75"/>
    </row>
    <row r="123" spans="2:6">
      <c r="B123" s="75"/>
      <c r="C123" s="75"/>
      <c r="D123" s="75"/>
      <c r="E123" s="75"/>
      <c r="F123" s="75"/>
    </row>
    <row r="124" spans="2:6">
      <c r="B124" s="75"/>
      <c r="C124" s="75"/>
      <c r="D124" s="75"/>
      <c r="E124" s="75"/>
      <c r="F124" s="75"/>
    </row>
    <row r="125" spans="2:6">
      <c r="B125" s="75"/>
      <c r="C125" s="75"/>
      <c r="D125" s="75"/>
      <c r="E125" s="75"/>
      <c r="F125" s="75"/>
    </row>
    <row r="126" spans="2:6">
      <c r="B126" s="75"/>
      <c r="C126" s="75"/>
      <c r="D126" s="75"/>
      <c r="E126" s="75"/>
      <c r="F126" s="75"/>
    </row>
    <row r="127" spans="2:6">
      <c r="B127" s="75"/>
      <c r="C127" s="75"/>
      <c r="D127" s="75"/>
      <c r="E127" s="75"/>
      <c r="F127" s="75"/>
    </row>
    <row r="128" spans="2:6">
      <c r="B128" s="75"/>
      <c r="C128" s="75"/>
      <c r="D128" s="75"/>
      <c r="E128" s="75"/>
      <c r="F128" s="75"/>
    </row>
    <row r="129" spans="2:6">
      <c r="B129" s="75"/>
      <c r="C129" s="75"/>
      <c r="D129" s="75"/>
      <c r="E129" s="75"/>
      <c r="F129" s="75"/>
    </row>
    <row r="130" spans="2:6">
      <c r="B130" s="75"/>
      <c r="C130" s="75"/>
      <c r="D130" s="75"/>
      <c r="E130" s="75"/>
      <c r="F130" s="75"/>
    </row>
    <row r="131" spans="2:6">
      <c r="B131" s="75"/>
      <c r="C131" s="75"/>
      <c r="D131" s="75"/>
      <c r="E131" s="75"/>
      <c r="F131" s="75"/>
    </row>
    <row r="132" spans="2:6">
      <c r="B132" s="75"/>
      <c r="C132" s="75"/>
      <c r="D132" s="75"/>
      <c r="E132" s="75"/>
      <c r="F132" s="75"/>
    </row>
    <row r="133" spans="2:6">
      <c r="B133" s="75"/>
      <c r="C133" s="75"/>
      <c r="D133" s="75"/>
      <c r="E133" s="75"/>
      <c r="F133" s="75"/>
    </row>
    <row r="134" spans="2:6">
      <c r="B134" s="75"/>
      <c r="C134" s="75"/>
      <c r="D134" s="75"/>
      <c r="E134" s="75"/>
      <c r="F134" s="75"/>
    </row>
    <row r="135" spans="2:6">
      <c r="B135" s="75"/>
      <c r="C135" s="75"/>
      <c r="D135" s="75"/>
      <c r="E135" s="75"/>
      <c r="F135" s="75"/>
    </row>
    <row r="136" spans="2:6">
      <c r="B136" s="75"/>
      <c r="C136" s="75"/>
      <c r="D136" s="75"/>
      <c r="E136" s="75"/>
      <c r="F136" s="75"/>
    </row>
    <row r="137" spans="2:6">
      <c r="B137" s="75"/>
      <c r="C137" s="75"/>
      <c r="D137" s="75"/>
      <c r="E137" s="75"/>
      <c r="F137" s="75"/>
    </row>
    <row r="138" spans="2:6">
      <c r="B138" s="75"/>
      <c r="C138" s="75"/>
      <c r="D138" s="75"/>
      <c r="E138" s="75"/>
      <c r="F138" s="75"/>
    </row>
    <row r="139" spans="2:6">
      <c r="B139" s="75"/>
      <c r="C139" s="75"/>
      <c r="D139" s="75"/>
      <c r="E139" s="75"/>
      <c r="F139" s="75"/>
    </row>
    <row r="140" spans="2:6">
      <c r="B140" s="75"/>
      <c r="C140" s="75"/>
      <c r="D140" s="75"/>
      <c r="E140" s="75"/>
      <c r="F140" s="75"/>
    </row>
    <row r="141" spans="2:6">
      <c r="B141" s="75"/>
      <c r="C141" s="75"/>
      <c r="D141" s="75"/>
      <c r="E141" s="75"/>
      <c r="F141" s="75"/>
    </row>
    <row r="142" spans="2:6">
      <c r="B142" s="75"/>
      <c r="C142" s="75"/>
      <c r="D142" s="75"/>
      <c r="E142" s="75"/>
      <c r="F142" s="75"/>
    </row>
    <row r="143" spans="2:6">
      <c r="B143" s="75"/>
      <c r="C143" s="75"/>
      <c r="D143" s="75"/>
      <c r="E143" s="75"/>
      <c r="F143" s="75"/>
    </row>
    <row r="144" spans="2:6">
      <c r="B144" s="75"/>
      <c r="C144" s="75"/>
      <c r="D144" s="75"/>
      <c r="E144" s="75"/>
      <c r="F144" s="75"/>
    </row>
    <row r="145" spans="2:6">
      <c r="B145" s="75"/>
      <c r="C145" s="75"/>
      <c r="D145" s="75"/>
      <c r="E145" s="75"/>
      <c r="F145" s="75"/>
    </row>
    <row r="146" spans="2:6">
      <c r="B146" s="75"/>
      <c r="C146" s="75"/>
      <c r="D146" s="75"/>
      <c r="E146" s="75"/>
      <c r="F146" s="75"/>
    </row>
    <row r="147" spans="2:6">
      <c r="B147" s="75"/>
      <c r="C147" s="75"/>
      <c r="D147" s="75"/>
      <c r="E147" s="75"/>
      <c r="F147" s="75"/>
    </row>
    <row r="148" spans="2:6">
      <c r="B148" s="75"/>
      <c r="C148" s="75"/>
      <c r="D148" s="75"/>
      <c r="E148" s="75"/>
      <c r="F148" s="75"/>
    </row>
    <row r="149" spans="2:6">
      <c r="B149" s="75"/>
      <c r="C149" s="75"/>
      <c r="D149" s="75"/>
      <c r="E149" s="75"/>
      <c r="F149" s="75"/>
    </row>
    <row r="150" spans="2:6">
      <c r="B150" s="75"/>
      <c r="C150" s="75"/>
      <c r="D150" s="75"/>
      <c r="E150" s="75"/>
      <c r="F150" s="75"/>
    </row>
    <row r="151" spans="2:6">
      <c r="B151" s="75"/>
      <c r="C151" s="75"/>
      <c r="D151" s="75"/>
      <c r="E151" s="75"/>
      <c r="F151" s="75"/>
    </row>
    <row r="152" spans="2:6">
      <c r="B152" s="75"/>
      <c r="C152" s="75"/>
      <c r="D152" s="75"/>
      <c r="E152" s="75"/>
      <c r="F152" s="75"/>
    </row>
    <row r="153" spans="2:6">
      <c r="B153" s="75"/>
      <c r="C153" s="75"/>
      <c r="D153" s="75"/>
      <c r="E153" s="75"/>
      <c r="F153" s="75"/>
    </row>
    <row r="154" spans="2:6">
      <c r="B154" s="75"/>
      <c r="C154" s="75"/>
      <c r="D154" s="75"/>
      <c r="E154" s="75"/>
      <c r="F154" s="75"/>
    </row>
    <row r="155" spans="2:6">
      <c r="B155" s="75"/>
      <c r="C155" s="75"/>
      <c r="D155" s="75"/>
      <c r="E155" s="75"/>
      <c r="F155" s="75"/>
    </row>
    <row r="156" spans="2:6">
      <c r="B156" s="75"/>
      <c r="C156" s="75"/>
      <c r="D156" s="75"/>
      <c r="E156" s="75"/>
      <c r="F156" s="75"/>
    </row>
    <row r="157" spans="2:6">
      <c r="B157" s="75"/>
      <c r="C157" s="75"/>
      <c r="D157" s="75"/>
      <c r="E157" s="75"/>
      <c r="F157" s="75"/>
    </row>
    <row r="158" spans="2:6">
      <c r="B158" s="75"/>
      <c r="C158" s="75"/>
      <c r="D158" s="75"/>
      <c r="E158" s="75"/>
      <c r="F158" s="75"/>
    </row>
    <row r="159" spans="2:6">
      <c r="B159" s="75"/>
      <c r="C159" s="75"/>
      <c r="D159" s="75"/>
      <c r="E159" s="75"/>
      <c r="F159" s="75"/>
    </row>
    <row r="160" spans="2:6">
      <c r="B160" s="75"/>
      <c r="C160" s="75"/>
      <c r="D160" s="75"/>
      <c r="E160" s="75"/>
      <c r="F160" s="75"/>
    </row>
    <row r="161" spans="2:6">
      <c r="B161" s="75"/>
      <c r="C161" s="75"/>
      <c r="D161" s="75"/>
      <c r="E161" s="75"/>
      <c r="F161" s="75"/>
    </row>
    <row r="162" spans="2:6">
      <c r="B162" s="75"/>
      <c r="C162" s="75"/>
      <c r="D162" s="75"/>
      <c r="E162" s="75"/>
      <c r="F162" s="75"/>
    </row>
    <row r="163" spans="2:6">
      <c r="B163" s="75"/>
      <c r="C163" s="75"/>
      <c r="D163" s="75"/>
      <c r="E163" s="75"/>
      <c r="F163" s="75"/>
    </row>
    <row r="164" spans="2:6">
      <c r="B164" s="75"/>
      <c r="C164" s="75"/>
      <c r="D164" s="75"/>
      <c r="E164" s="75"/>
      <c r="F164" s="75"/>
    </row>
    <row r="165" spans="2:6">
      <c r="B165" s="75"/>
      <c r="C165" s="75"/>
      <c r="D165" s="75"/>
      <c r="E165" s="75"/>
      <c r="F165" s="75"/>
    </row>
    <row r="166" spans="2:6">
      <c r="B166" s="75"/>
      <c r="C166" s="75"/>
      <c r="D166" s="75"/>
      <c r="E166" s="75"/>
      <c r="F166" s="75"/>
    </row>
    <row r="167" spans="2:6">
      <c r="B167" s="75"/>
      <c r="C167" s="75"/>
      <c r="D167" s="75"/>
      <c r="E167" s="75"/>
      <c r="F167" s="75"/>
    </row>
    <row r="168" spans="2:6">
      <c r="B168" s="75"/>
      <c r="C168" s="75"/>
      <c r="D168" s="75"/>
      <c r="E168" s="75"/>
      <c r="F168" s="75"/>
    </row>
    <row r="169" spans="2:6">
      <c r="B169" s="75"/>
      <c r="C169" s="75"/>
      <c r="D169" s="75"/>
      <c r="E169" s="75"/>
      <c r="F169" s="75"/>
    </row>
    <row r="170" spans="2:6">
      <c r="B170" s="75"/>
      <c r="C170" s="75"/>
      <c r="D170" s="75"/>
      <c r="E170" s="75"/>
      <c r="F170" s="75"/>
    </row>
    <row r="171" spans="2:6">
      <c r="B171" s="75"/>
      <c r="C171" s="75"/>
      <c r="D171" s="75"/>
      <c r="E171" s="75"/>
      <c r="F171" s="75"/>
    </row>
    <row r="172" spans="2:6">
      <c r="B172" s="75"/>
      <c r="C172" s="75"/>
      <c r="D172" s="75"/>
      <c r="E172" s="75"/>
      <c r="F172" s="75"/>
    </row>
    <row r="173" spans="2:6">
      <c r="B173" s="75"/>
      <c r="C173" s="75"/>
      <c r="D173" s="75"/>
      <c r="E173" s="75"/>
      <c r="F173" s="75"/>
    </row>
    <row r="174" spans="2:6">
      <c r="B174" s="75"/>
      <c r="C174" s="75"/>
      <c r="D174" s="75"/>
      <c r="E174" s="75"/>
      <c r="F174" s="75"/>
    </row>
    <row r="175" spans="2:6">
      <c r="B175" s="75"/>
      <c r="C175" s="75"/>
      <c r="D175" s="75"/>
      <c r="E175" s="75"/>
      <c r="F175" s="75"/>
    </row>
    <row r="176" spans="2:6">
      <c r="B176" s="75"/>
      <c r="C176" s="75"/>
      <c r="D176" s="75"/>
      <c r="E176" s="75"/>
      <c r="F176" s="75"/>
    </row>
    <row r="177" spans="2:6">
      <c r="B177" s="75"/>
      <c r="C177" s="75"/>
      <c r="D177" s="75"/>
      <c r="E177" s="75"/>
      <c r="F177" s="75"/>
    </row>
    <row r="178" spans="2:6">
      <c r="B178" s="75"/>
      <c r="C178" s="75"/>
      <c r="D178" s="75"/>
      <c r="E178" s="75"/>
      <c r="F178" s="75"/>
    </row>
    <row r="179" spans="2:6">
      <c r="B179" s="75"/>
      <c r="C179" s="75"/>
      <c r="D179" s="75"/>
      <c r="E179" s="75"/>
      <c r="F179" s="75"/>
    </row>
    <row r="180" spans="2:6">
      <c r="B180" s="75"/>
      <c r="C180" s="75"/>
      <c r="D180" s="75"/>
      <c r="E180" s="75"/>
      <c r="F180" s="75"/>
    </row>
    <row r="181" spans="2:6">
      <c r="B181" s="75"/>
      <c r="C181" s="75"/>
      <c r="D181" s="75"/>
      <c r="E181" s="75"/>
      <c r="F181" s="75"/>
    </row>
    <row r="182" spans="2:6">
      <c r="B182" s="75"/>
      <c r="C182" s="75"/>
      <c r="D182" s="75"/>
      <c r="E182" s="75"/>
      <c r="F182" s="75"/>
    </row>
    <row r="183" spans="2:6">
      <c r="B183" s="75"/>
      <c r="C183" s="75"/>
      <c r="D183" s="75"/>
      <c r="E183" s="75"/>
      <c r="F183" s="75"/>
    </row>
    <row r="184" spans="2:6">
      <c r="B184" s="75"/>
      <c r="C184" s="75"/>
      <c r="D184" s="75"/>
      <c r="E184" s="75"/>
      <c r="F184" s="75"/>
    </row>
    <row r="185" spans="2:6">
      <c r="B185" s="75"/>
      <c r="C185" s="75"/>
      <c r="D185" s="75"/>
      <c r="E185" s="75"/>
      <c r="F185" s="75"/>
    </row>
    <row r="186" spans="2:6">
      <c r="B186" s="75"/>
      <c r="C186" s="75"/>
      <c r="D186" s="75"/>
      <c r="E186" s="75"/>
      <c r="F186" s="75"/>
    </row>
    <row r="187" spans="2:6">
      <c r="B187" s="75"/>
      <c r="C187" s="75"/>
      <c r="D187" s="75"/>
      <c r="E187" s="75"/>
      <c r="F187" s="75"/>
    </row>
    <row r="188" spans="2:6">
      <c r="B188" s="75"/>
      <c r="C188" s="75"/>
      <c r="D188" s="75"/>
      <c r="E188" s="75"/>
      <c r="F188" s="75"/>
    </row>
    <row r="189" spans="2:6">
      <c r="B189" s="75"/>
      <c r="C189" s="75"/>
      <c r="D189" s="75"/>
      <c r="E189" s="75"/>
      <c r="F189" s="75"/>
    </row>
    <row r="190" spans="2:6">
      <c r="B190" s="75"/>
      <c r="C190" s="75"/>
      <c r="D190" s="75"/>
      <c r="E190" s="75"/>
      <c r="F190" s="75"/>
    </row>
    <row r="191" spans="2:6">
      <c r="B191" s="75"/>
      <c r="C191" s="75"/>
      <c r="D191" s="75"/>
      <c r="E191" s="75"/>
      <c r="F191" s="75"/>
    </row>
    <row r="192" spans="2:6">
      <c r="B192" s="75"/>
      <c r="C192" s="75"/>
      <c r="D192" s="75"/>
      <c r="E192" s="75"/>
      <c r="F192" s="75"/>
    </row>
    <row r="193" spans="2:6">
      <c r="B193" s="75"/>
      <c r="C193" s="75"/>
      <c r="D193" s="75"/>
      <c r="E193" s="75"/>
      <c r="F193" s="75"/>
    </row>
    <row r="194" spans="2:6">
      <c r="B194" s="75"/>
      <c r="C194" s="75"/>
      <c r="D194" s="75"/>
      <c r="E194" s="75"/>
      <c r="F194" s="75"/>
    </row>
    <row r="195" spans="2:6">
      <c r="B195" s="75"/>
      <c r="C195" s="75"/>
      <c r="D195" s="75"/>
      <c r="E195" s="75"/>
      <c r="F195" s="75"/>
    </row>
    <row r="196" spans="2:6">
      <c r="B196" s="75"/>
      <c r="C196" s="75"/>
      <c r="D196" s="75"/>
      <c r="E196" s="75"/>
      <c r="F196" s="75"/>
    </row>
    <row r="197" spans="2:6">
      <c r="B197" s="75"/>
      <c r="C197" s="75"/>
      <c r="D197" s="75"/>
      <c r="E197" s="75"/>
      <c r="F197" s="75"/>
    </row>
    <row r="198" spans="2:6">
      <c r="B198" s="75"/>
      <c r="C198" s="75"/>
      <c r="D198" s="75"/>
      <c r="E198" s="75"/>
      <c r="F198" s="75"/>
    </row>
    <row r="199" spans="2:6">
      <c r="B199" s="75"/>
      <c r="C199" s="75"/>
      <c r="D199" s="75"/>
      <c r="E199" s="75"/>
      <c r="F199" s="75"/>
    </row>
    <row r="200" spans="2:6">
      <c r="B200" s="75"/>
      <c r="C200" s="75"/>
      <c r="D200" s="75"/>
      <c r="E200" s="75"/>
      <c r="F200" s="75"/>
    </row>
    <row r="201" spans="2:6">
      <c r="B201" s="75"/>
      <c r="C201" s="75"/>
      <c r="D201" s="75"/>
      <c r="E201" s="75"/>
      <c r="F201" s="75"/>
    </row>
    <row r="202" spans="2:6">
      <c r="B202" s="75"/>
      <c r="C202" s="75"/>
      <c r="D202" s="75"/>
      <c r="E202" s="75"/>
      <c r="F202" s="75"/>
    </row>
    <row r="203" spans="2:6">
      <c r="B203" s="75"/>
      <c r="C203" s="75"/>
      <c r="D203" s="75"/>
      <c r="E203" s="75"/>
      <c r="F203" s="75"/>
    </row>
    <row r="204" spans="2:6">
      <c r="B204" s="75"/>
      <c r="C204" s="75"/>
      <c r="D204" s="75"/>
      <c r="E204" s="75"/>
      <c r="F204" s="75"/>
    </row>
    <row r="205" spans="2:6">
      <c r="B205" s="75"/>
      <c r="C205" s="75"/>
      <c r="D205" s="75"/>
      <c r="E205" s="75"/>
      <c r="F205" s="75"/>
    </row>
    <row r="206" spans="2:6">
      <c r="B206" s="75"/>
      <c r="C206" s="75"/>
      <c r="D206" s="75"/>
      <c r="E206" s="75"/>
      <c r="F206" s="75"/>
    </row>
    <row r="207" spans="2:6">
      <c r="B207" s="75"/>
      <c r="C207" s="75"/>
      <c r="D207" s="75"/>
      <c r="E207" s="75"/>
      <c r="F207" s="75"/>
    </row>
    <row r="208" spans="2:6">
      <c r="B208" s="75"/>
      <c r="C208" s="75"/>
      <c r="D208" s="75"/>
      <c r="E208" s="75"/>
      <c r="F208" s="75"/>
    </row>
    <row r="209" spans="2:6">
      <c r="B209" s="75"/>
      <c r="C209" s="75"/>
      <c r="D209" s="75"/>
      <c r="E209" s="75"/>
      <c r="F209" s="75"/>
    </row>
    <row r="210" spans="2:6">
      <c r="B210" s="75"/>
      <c r="C210" s="75"/>
      <c r="D210" s="75"/>
      <c r="E210" s="75"/>
      <c r="F210" s="75"/>
    </row>
    <row r="211" spans="2:6">
      <c r="B211" s="75"/>
      <c r="C211" s="75"/>
      <c r="D211" s="75"/>
      <c r="E211" s="75"/>
      <c r="F211" s="75"/>
    </row>
    <row r="212" spans="2:6">
      <c r="B212" s="75"/>
      <c r="C212" s="75"/>
      <c r="D212" s="75"/>
      <c r="E212" s="75"/>
      <c r="F212" s="75"/>
    </row>
    <row r="213" spans="2:6">
      <c r="B213" s="75"/>
      <c r="C213" s="75"/>
      <c r="D213" s="75"/>
      <c r="E213" s="75"/>
      <c r="F213" s="75"/>
    </row>
    <row r="214" spans="2:6">
      <c r="B214" s="75"/>
      <c r="C214" s="75"/>
      <c r="D214" s="75"/>
      <c r="E214" s="75"/>
      <c r="F214" s="75"/>
    </row>
    <row r="215" spans="2:6">
      <c r="B215" s="75"/>
      <c r="C215" s="75"/>
      <c r="D215" s="75"/>
      <c r="E215" s="75"/>
      <c r="F215" s="75"/>
    </row>
    <row r="216" spans="2:6">
      <c r="B216" s="75"/>
      <c r="C216" s="75"/>
      <c r="D216" s="75"/>
      <c r="E216" s="75"/>
      <c r="F216" s="75"/>
    </row>
    <row r="217" spans="2:6">
      <c r="B217" s="75"/>
      <c r="C217" s="75"/>
      <c r="D217" s="75"/>
      <c r="E217" s="75"/>
      <c r="F217" s="75"/>
    </row>
    <row r="218" spans="2:6">
      <c r="B218" s="75"/>
      <c r="C218" s="75"/>
      <c r="D218" s="75"/>
      <c r="E218" s="75"/>
      <c r="F218" s="75"/>
    </row>
    <row r="219" spans="2:6">
      <c r="B219" s="75"/>
      <c r="C219" s="75"/>
      <c r="D219" s="75"/>
      <c r="E219" s="75"/>
      <c r="F219" s="75"/>
    </row>
    <row r="220" spans="2:6">
      <c r="B220" s="75"/>
      <c r="C220" s="75"/>
      <c r="D220" s="75"/>
      <c r="E220" s="75"/>
      <c r="F220" s="75"/>
    </row>
    <row r="221" spans="2:6">
      <c r="B221" s="75"/>
      <c r="C221" s="75"/>
      <c r="D221" s="75"/>
      <c r="E221" s="75"/>
      <c r="F221" s="75"/>
    </row>
    <row r="222" spans="2:6">
      <c r="B222" s="75"/>
      <c r="C222" s="75"/>
      <c r="D222" s="75"/>
      <c r="E222" s="75"/>
      <c r="F222" s="75"/>
    </row>
    <row r="223" spans="2:6">
      <c r="B223" s="75"/>
      <c r="C223" s="75"/>
      <c r="D223" s="75"/>
      <c r="E223" s="75"/>
      <c r="F223" s="75"/>
    </row>
    <row r="224" spans="2:6">
      <c r="B224" s="75"/>
      <c r="C224" s="75"/>
      <c r="D224" s="75"/>
      <c r="E224" s="75"/>
      <c r="F224" s="75"/>
    </row>
    <row r="225" spans="2:6">
      <c r="B225" s="75"/>
      <c r="C225" s="75"/>
      <c r="D225" s="75"/>
      <c r="E225" s="75"/>
      <c r="F225" s="75"/>
    </row>
    <row r="226" spans="2:6">
      <c r="B226" s="75"/>
      <c r="C226" s="75"/>
      <c r="D226" s="75"/>
      <c r="E226" s="75"/>
      <c r="F226" s="75"/>
    </row>
    <row r="227" spans="2:6">
      <c r="B227" s="75"/>
      <c r="C227" s="75"/>
      <c r="D227" s="75"/>
      <c r="E227" s="75"/>
      <c r="F227" s="75"/>
    </row>
    <row r="228" spans="2:6">
      <c r="B228" s="75"/>
      <c r="C228" s="75"/>
      <c r="D228" s="75"/>
      <c r="E228" s="75"/>
      <c r="F228" s="75"/>
    </row>
    <row r="229" spans="2:6">
      <c r="B229" s="75"/>
      <c r="C229" s="75"/>
      <c r="D229" s="75"/>
      <c r="E229" s="75"/>
      <c r="F229" s="75"/>
    </row>
    <row r="230" spans="2:6">
      <c r="B230" s="75"/>
      <c r="C230" s="75"/>
      <c r="D230" s="75"/>
      <c r="E230" s="75"/>
      <c r="F230" s="75"/>
    </row>
    <row r="231" spans="2:6">
      <c r="B231" s="75"/>
      <c r="C231" s="75"/>
      <c r="D231" s="75"/>
      <c r="E231" s="75"/>
      <c r="F231" s="75"/>
    </row>
    <row r="232" spans="2:6">
      <c r="B232" s="75"/>
      <c r="C232" s="75"/>
      <c r="D232" s="75"/>
      <c r="E232" s="75"/>
      <c r="F232" s="75"/>
    </row>
    <row r="233" spans="2:6">
      <c r="B233" s="75"/>
      <c r="C233" s="75"/>
      <c r="D233" s="75"/>
      <c r="E233" s="75"/>
      <c r="F233" s="75"/>
    </row>
    <row r="234" spans="2:6">
      <c r="B234" s="75"/>
      <c r="C234" s="75"/>
      <c r="D234" s="75"/>
      <c r="E234" s="75"/>
      <c r="F234" s="75"/>
    </row>
    <row r="235" spans="2:6">
      <c r="B235" s="75"/>
      <c r="C235" s="75"/>
      <c r="D235" s="75"/>
      <c r="E235" s="75"/>
      <c r="F235" s="75"/>
    </row>
    <row r="236" spans="2:6">
      <c r="B236" s="75"/>
      <c r="C236" s="75"/>
      <c r="D236" s="75"/>
      <c r="E236" s="75"/>
      <c r="F236" s="75"/>
    </row>
    <row r="237" spans="2:6">
      <c r="B237" s="75"/>
      <c r="C237" s="75"/>
      <c r="D237" s="75"/>
      <c r="E237" s="75"/>
      <c r="F237" s="75"/>
    </row>
    <row r="238" spans="2:6">
      <c r="B238" s="75"/>
      <c r="C238" s="75"/>
      <c r="D238" s="75"/>
      <c r="E238" s="75"/>
      <c r="F238" s="75"/>
    </row>
    <row r="239" spans="2:6">
      <c r="B239" s="75"/>
      <c r="C239" s="75"/>
      <c r="D239" s="75"/>
      <c r="E239" s="75"/>
      <c r="F239" s="75"/>
    </row>
    <row r="240" spans="2:6">
      <c r="B240" s="75"/>
      <c r="C240" s="75"/>
      <c r="D240" s="75"/>
      <c r="E240" s="75"/>
      <c r="F240" s="75"/>
    </row>
    <row r="241" spans="2:6">
      <c r="B241" s="75"/>
      <c r="C241" s="75"/>
      <c r="D241" s="75"/>
      <c r="E241" s="75"/>
      <c r="F241" s="75"/>
    </row>
    <row r="242" spans="2:6">
      <c r="B242" s="75"/>
      <c r="C242" s="75"/>
      <c r="D242" s="75"/>
      <c r="E242" s="75"/>
      <c r="F242" s="75"/>
    </row>
    <row r="243" spans="2:6">
      <c r="B243" s="75"/>
      <c r="C243" s="75"/>
      <c r="D243" s="75"/>
      <c r="E243" s="75"/>
      <c r="F243" s="75"/>
    </row>
    <row r="244" spans="2:6">
      <c r="B244" s="75"/>
      <c r="C244" s="75"/>
      <c r="D244" s="75"/>
      <c r="E244" s="75"/>
      <c r="F244" s="75"/>
    </row>
    <row r="245" spans="2:6">
      <c r="B245" s="75"/>
      <c r="C245" s="75"/>
      <c r="D245" s="75"/>
      <c r="E245" s="75"/>
      <c r="F245" s="75"/>
    </row>
    <row r="246" spans="2:6">
      <c r="B246" s="75"/>
      <c r="C246" s="75"/>
      <c r="D246" s="75"/>
      <c r="E246" s="75"/>
      <c r="F246" s="75"/>
    </row>
    <row r="247" spans="2:6">
      <c r="B247" s="75"/>
      <c r="C247" s="75"/>
      <c r="D247" s="75"/>
      <c r="E247" s="75"/>
      <c r="F247" s="75"/>
    </row>
    <row r="248" spans="2:6">
      <c r="B248" s="75"/>
      <c r="C248" s="75"/>
      <c r="D248" s="75"/>
      <c r="E248" s="75"/>
      <c r="F248" s="75"/>
    </row>
    <row r="249" spans="2:6">
      <c r="B249" s="75"/>
      <c r="C249" s="75"/>
      <c r="D249" s="75"/>
      <c r="E249" s="75"/>
      <c r="F249" s="75"/>
    </row>
    <row r="250" spans="2:6">
      <c r="B250" s="75"/>
      <c r="C250" s="75"/>
      <c r="D250" s="75"/>
      <c r="E250" s="75"/>
      <c r="F250" s="75"/>
    </row>
    <row r="251" spans="2:6">
      <c r="B251" s="75"/>
      <c r="C251" s="75"/>
      <c r="D251" s="75"/>
      <c r="E251" s="75"/>
      <c r="F251" s="75"/>
    </row>
    <row r="252" spans="2:6">
      <c r="B252" s="75"/>
      <c r="C252" s="75"/>
      <c r="D252" s="75"/>
      <c r="E252" s="75"/>
      <c r="F252" s="75"/>
    </row>
    <row r="253" spans="2:6">
      <c r="B253" s="75"/>
      <c r="C253" s="75"/>
      <c r="D253" s="75"/>
      <c r="E253" s="75"/>
      <c r="F253" s="75"/>
    </row>
    <row r="254" spans="2:6">
      <c r="B254" s="75"/>
      <c r="C254" s="75"/>
      <c r="D254" s="75"/>
      <c r="E254" s="75"/>
      <c r="F254" s="75"/>
    </row>
    <row r="255" spans="2:6">
      <c r="B255" s="75"/>
      <c r="C255" s="75"/>
      <c r="D255" s="75"/>
      <c r="E255" s="75"/>
      <c r="F255" s="75"/>
    </row>
    <row r="256" spans="2:6">
      <c r="B256" s="75"/>
      <c r="C256" s="75"/>
      <c r="D256" s="75"/>
      <c r="E256" s="75"/>
      <c r="F256" s="75"/>
    </row>
    <row r="257" spans="2:6">
      <c r="B257" s="75"/>
      <c r="C257" s="75"/>
      <c r="D257" s="75"/>
      <c r="E257" s="75"/>
      <c r="F257" s="75"/>
    </row>
    <row r="258" spans="2:6">
      <c r="B258" s="75"/>
      <c r="C258" s="75"/>
      <c r="D258" s="75"/>
      <c r="E258" s="75"/>
      <c r="F258" s="75"/>
    </row>
    <row r="259" spans="2:6">
      <c r="B259" s="75"/>
      <c r="C259" s="75"/>
      <c r="D259" s="75"/>
      <c r="E259" s="75"/>
      <c r="F259" s="75"/>
    </row>
    <row r="260" spans="2:6">
      <c r="B260" s="75"/>
      <c r="C260" s="75"/>
      <c r="D260" s="75"/>
      <c r="E260" s="75"/>
      <c r="F260" s="75"/>
    </row>
    <row r="261" spans="2:6">
      <c r="B261" s="75"/>
      <c r="C261" s="75"/>
      <c r="D261" s="75"/>
      <c r="E261" s="75"/>
      <c r="F261" s="75"/>
    </row>
    <row r="262" spans="2:6">
      <c r="B262" s="75"/>
      <c r="C262" s="75"/>
      <c r="D262" s="75"/>
      <c r="E262" s="75"/>
      <c r="F262" s="75"/>
    </row>
    <row r="263" spans="2:6">
      <c r="B263" s="75"/>
      <c r="C263" s="75"/>
      <c r="D263" s="75"/>
      <c r="E263" s="75"/>
      <c r="F263" s="75"/>
    </row>
    <row r="264" spans="2:6">
      <c r="B264" s="75"/>
      <c r="C264" s="75"/>
      <c r="D264" s="75"/>
      <c r="E264" s="75"/>
      <c r="F264" s="75"/>
    </row>
    <row r="265" spans="2:6">
      <c r="B265" s="75"/>
      <c r="C265" s="75"/>
      <c r="D265" s="75"/>
      <c r="E265" s="75"/>
      <c r="F265" s="75"/>
    </row>
    <row r="266" spans="2:6">
      <c r="B266" s="75"/>
      <c r="C266" s="75"/>
      <c r="D266" s="75"/>
      <c r="E266" s="75"/>
      <c r="F266" s="75"/>
    </row>
    <row r="267" spans="2:6">
      <c r="B267" s="75"/>
      <c r="C267" s="75"/>
      <c r="D267" s="75"/>
      <c r="E267" s="75"/>
      <c r="F267" s="75"/>
    </row>
    <row r="268" spans="2:6">
      <c r="B268" s="75"/>
      <c r="C268" s="75"/>
      <c r="D268" s="75"/>
      <c r="E268" s="75"/>
      <c r="F268" s="75"/>
    </row>
    <row r="269" spans="2:6">
      <c r="B269" s="75"/>
      <c r="C269" s="75"/>
      <c r="D269" s="75"/>
      <c r="E269" s="75"/>
      <c r="F269" s="75"/>
    </row>
    <row r="270" spans="2:6">
      <c r="B270" s="75"/>
      <c r="C270" s="75"/>
      <c r="D270" s="75"/>
      <c r="E270" s="75"/>
      <c r="F270" s="75"/>
    </row>
    <row r="271" spans="2:6">
      <c r="B271" s="75"/>
      <c r="C271" s="75"/>
      <c r="D271" s="75"/>
      <c r="E271" s="75"/>
      <c r="F271" s="75"/>
    </row>
    <row r="272" spans="2:6">
      <c r="B272" s="75"/>
      <c r="C272" s="75"/>
      <c r="D272" s="75"/>
      <c r="E272" s="75"/>
      <c r="F272" s="75"/>
    </row>
    <row r="273" spans="2:6">
      <c r="B273" s="75"/>
      <c r="C273" s="75"/>
      <c r="D273" s="75"/>
      <c r="E273" s="75"/>
      <c r="F273" s="75"/>
    </row>
    <row r="274" spans="2:6">
      <c r="B274" s="75"/>
      <c r="C274" s="75"/>
      <c r="D274" s="75"/>
      <c r="E274" s="75"/>
      <c r="F274" s="75"/>
    </row>
    <row r="275" spans="2:6">
      <c r="B275" s="75"/>
      <c r="C275" s="75"/>
      <c r="D275" s="75"/>
      <c r="E275" s="75"/>
      <c r="F275" s="75"/>
    </row>
    <row r="276" spans="2:6">
      <c r="B276" s="75"/>
      <c r="C276" s="75"/>
      <c r="D276" s="75"/>
      <c r="E276" s="75"/>
      <c r="F276" s="75"/>
    </row>
    <row r="277" spans="2:6">
      <c r="B277" s="75"/>
      <c r="C277" s="75"/>
      <c r="D277" s="75"/>
      <c r="E277" s="75"/>
      <c r="F277" s="75"/>
    </row>
    <row r="278" spans="2:6">
      <c r="B278" s="75"/>
      <c r="C278" s="75"/>
      <c r="D278" s="75"/>
      <c r="E278" s="75"/>
      <c r="F278" s="75"/>
    </row>
    <row r="279" spans="2:6">
      <c r="B279" s="75"/>
      <c r="C279" s="75"/>
      <c r="D279" s="75"/>
      <c r="E279" s="75"/>
      <c r="F279" s="75"/>
    </row>
    <row r="280" spans="2:6">
      <c r="B280" s="75"/>
      <c r="C280" s="75"/>
      <c r="D280" s="75"/>
      <c r="E280" s="75"/>
      <c r="F280" s="75"/>
    </row>
    <row r="281" spans="2:6">
      <c r="B281" s="75"/>
      <c r="C281" s="75"/>
      <c r="D281" s="75"/>
      <c r="E281" s="75"/>
      <c r="F281" s="75"/>
    </row>
    <row r="282" spans="2:6">
      <c r="B282" s="75"/>
      <c r="C282" s="75"/>
      <c r="D282" s="75"/>
      <c r="E282" s="75"/>
      <c r="F282" s="75"/>
    </row>
    <row r="283" spans="2:6">
      <c r="B283" s="75"/>
      <c r="C283" s="75"/>
      <c r="D283" s="75"/>
      <c r="E283" s="75"/>
      <c r="F283" s="75"/>
    </row>
    <row r="284" spans="2:6">
      <c r="B284" s="75"/>
      <c r="C284" s="75"/>
      <c r="D284" s="75"/>
      <c r="E284" s="75"/>
      <c r="F284" s="75"/>
    </row>
    <row r="285" spans="2:6">
      <c r="B285" s="75"/>
      <c r="C285" s="75"/>
      <c r="D285" s="75"/>
      <c r="E285" s="75"/>
      <c r="F285" s="75"/>
    </row>
    <row r="286" spans="2:6">
      <c r="B286" s="75"/>
      <c r="C286" s="75"/>
      <c r="D286" s="75"/>
      <c r="E286" s="75"/>
      <c r="F286" s="75"/>
    </row>
    <row r="287" spans="2:6">
      <c r="B287" s="75"/>
      <c r="C287" s="75"/>
      <c r="D287" s="75"/>
      <c r="E287" s="75"/>
      <c r="F287" s="75"/>
    </row>
    <row r="288" spans="2:6">
      <c r="B288" s="75"/>
      <c r="C288" s="75"/>
      <c r="D288" s="75"/>
      <c r="E288" s="75"/>
      <c r="F288" s="75"/>
    </row>
    <row r="289" spans="2:6">
      <c r="B289" s="75"/>
      <c r="C289" s="75"/>
      <c r="D289" s="75"/>
      <c r="E289" s="75"/>
      <c r="F289" s="75"/>
    </row>
    <row r="290" spans="2:6">
      <c r="B290" s="75"/>
      <c r="C290" s="75"/>
      <c r="D290" s="75"/>
      <c r="E290" s="75"/>
      <c r="F290" s="75"/>
    </row>
    <row r="291" spans="2:6">
      <c r="B291" s="75"/>
      <c r="C291" s="75"/>
      <c r="D291" s="75"/>
      <c r="E291" s="75"/>
      <c r="F291" s="75"/>
    </row>
    <row r="292" spans="2:6">
      <c r="B292" s="75"/>
      <c r="C292" s="75"/>
      <c r="D292" s="75"/>
      <c r="E292" s="75"/>
      <c r="F292" s="75"/>
    </row>
    <row r="293" spans="2:6">
      <c r="B293" s="75"/>
      <c r="C293" s="75"/>
      <c r="D293" s="75"/>
      <c r="E293" s="75"/>
      <c r="F293" s="75"/>
    </row>
    <row r="294" spans="2:6">
      <c r="B294" s="75"/>
      <c r="C294" s="75"/>
      <c r="D294" s="75"/>
      <c r="E294" s="75"/>
      <c r="F294" s="75"/>
    </row>
    <row r="295" spans="2:6">
      <c r="B295" s="75"/>
      <c r="C295" s="75"/>
      <c r="D295" s="75"/>
      <c r="E295" s="75"/>
      <c r="F295" s="75"/>
    </row>
    <row r="296" spans="2:6">
      <c r="B296" s="75"/>
      <c r="C296" s="75"/>
      <c r="D296" s="75"/>
      <c r="E296" s="75"/>
      <c r="F296" s="75"/>
    </row>
    <row r="297" spans="2:6">
      <c r="B297" s="75"/>
      <c r="C297" s="75"/>
      <c r="D297" s="75"/>
      <c r="E297" s="75"/>
      <c r="F297" s="75"/>
    </row>
    <row r="298" spans="2:6">
      <c r="B298" s="75"/>
      <c r="C298" s="75"/>
      <c r="D298" s="75"/>
      <c r="E298" s="75"/>
      <c r="F298" s="75"/>
    </row>
    <row r="299" spans="2:6">
      <c r="B299" s="75"/>
      <c r="C299" s="75"/>
      <c r="D299" s="75"/>
      <c r="E299" s="75"/>
      <c r="F299" s="75"/>
    </row>
    <row r="300" spans="2:6">
      <c r="B300" s="75"/>
      <c r="C300" s="75"/>
      <c r="D300" s="75"/>
      <c r="E300" s="75"/>
      <c r="F300" s="75"/>
    </row>
    <row r="301" spans="2:6">
      <c r="B301" s="75"/>
      <c r="C301" s="75"/>
      <c r="D301" s="75"/>
      <c r="E301" s="75"/>
      <c r="F301" s="75"/>
    </row>
    <row r="302" spans="2:6">
      <c r="B302" s="75"/>
      <c r="C302" s="75"/>
      <c r="D302" s="75"/>
      <c r="E302" s="75"/>
      <c r="F302" s="75"/>
    </row>
    <row r="303" spans="2:6">
      <c r="B303" s="75"/>
      <c r="C303" s="75"/>
      <c r="D303" s="75"/>
      <c r="E303" s="75"/>
      <c r="F303" s="75"/>
    </row>
    <row r="304" spans="2:6">
      <c r="B304" s="75"/>
      <c r="C304" s="75"/>
      <c r="D304" s="75"/>
      <c r="E304" s="75"/>
      <c r="F304" s="75"/>
    </row>
    <row r="305" spans="2:6">
      <c r="B305" s="75"/>
      <c r="C305" s="75"/>
      <c r="D305" s="75"/>
      <c r="E305" s="75"/>
      <c r="F305" s="75"/>
    </row>
    <row r="306" spans="2:6">
      <c r="B306" s="75"/>
      <c r="C306" s="75"/>
      <c r="D306" s="75"/>
      <c r="E306" s="75"/>
      <c r="F306" s="75"/>
    </row>
    <row r="307" spans="2:6">
      <c r="B307" s="75"/>
      <c r="C307" s="75"/>
      <c r="D307" s="75"/>
      <c r="E307" s="75"/>
      <c r="F307" s="75"/>
    </row>
    <row r="308" spans="2:6">
      <c r="B308" s="75"/>
      <c r="C308" s="75"/>
      <c r="D308" s="75"/>
      <c r="E308" s="75"/>
      <c r="F308" s="75"/>
    </row>
    <row r="309" spans="2:6">
      <c r="B309" s="75"/>
      <c r="C309" s="75"/>
      <c r="D309" s="75"/>
      <c r="E309" s="75"/>
      <c r="F309" s="75"/>
    </row>
    <row r="310" spans="2:6">
      <c r="B310" s="75"/>
      <c r="C310" s="75"/>
      <c r="D310" s="75"/>
      <c r="E310" s="75"/>
      <c r="F310" s="75"/>
    </row>
    <row r="311" spans="2:6">
      <c r="B311" s="75"/>
      <c r="C311" s="75"/>
      <c r="D311" s="75"/>
      <c r="E311" s="75"/>
      <c r="F311" s="75"/>
    </row>
    <row r="312" spans="2:6">
      <c r="B312" s="75"/>
      <c r="C312" s="75"/>
      <c r="D312" s="75"/>
      <c r="E312" s="75"/>
      <c r="F312" s="75"/>
    </row>
    <row r="313" spans="2:6">
      <c r="B313" s="75"/>
      <c r="C313" s="75"/>
      <c r="D313" s="75"/>
      <c r="E313" s="75"/>
      <c r="F313" s="75"/>
    </row>
    <row r="314" spans="2:6">
      <c r="B314" s="75"/>
      <c r="C314" s="75"/>
      <c r="D314" s="75"/>
      <c r="E314" s="75"/>
      <c r="F314" s="75"/>
    </row>
    <row r="315" spans="2:6">
      <c r="B315" s="75"/>
      <c r="C315" s="75"/>
      <c r="D315" s="75"/>
      <c r="E315" s="75"/>
      <c r="F315" s="75"/>
    </row>
    <row r="316" spans="2:6">
      <c r="B316" s="75"/>
      <c r="C316" s="75"/>
      <c r="D316" s="75"/>
      <c r="E316" s="75"/>
      <c r="F316" s="75"/>
    </row>
    <row r="317" spans="2:6">
      <c r="B317" s="75"/>
      <c r="C317" s="75"/>
      <c r="D317" s="75"/>
      <c r="E317" s="75"/>
      <c r="F317" s="75"/>
    </row>
    <row r="318" spans="2:6">
      <c r="B318" s="75"/>
      <c r="C318" s="75"/>
      <c r="D318" s="75"/>
      <c r="E318" s="75"/>
      <c r="F318" s="75"/>
    </row>
    <row r="319" spans="2:6">
      <c r="B319" s="75"/>
      <c r="C319" s="75"/>
      <c r="D319" s="75"/>
      <c r="E319" s="75"/>
      <c r="F319" s="75"/>
    </row>
    <row r="320" spans="2:6">
      <c r="B320" s="75"/>
      <c r="C320" s="75"/>
      <c r="D320" s="75"/>
      <c r="E320" s="75"/>
      <c r="F320" s="75"/>
    </row>
    <row r="321" spans="2:6">
      <c r="B321" s="75"/>
      <c r="C321" s="75"/>
      <c r="D321" s="75"/>
      <c r="E321" s="75"/>
      <c r="F321" s="75"/>
    </row>
    <row r="322" spans="2:6">
      <c r="B322" s="75"/>
      <c r="C322" s="75"/>
      <c r="D322" s="75"/>
      <c r="E322" s="75"/>
      <c r="F322" s="75"/>
    </row>
    <row r="323" spans="2:6">
      <c r="B323" s="75"/>
      <c r="C323" s="75"/>
      <c r="D323" s="75"/>
      <c r="E323" s="75"/>
      <c r="F323" s="75"/>
    </row>
    <row r="324" spans="2:6">
      <c r="B324" s="75"/>
      <c r="C324" s="75"/>
      <c r="D324" s="75"/>
      <c r="E324" s="75"/>
      <c r="F324" s="75"/>
    </row>
    <row r="325" spans="2:6">
      <c r="B325" s="75"/>
      <c r="C325" s="75"/>
      <c r="D325" s="75"/>
      <c r="E325" s="75"/>
      <c r="F325" s="75"/>
    </row>
    <row r="326" spans="2:6">
      <c r="B326" s="75"/>
      <c r="C326" s="75"/>
      <c r="D326" s="75"/>
      <c r="E326" s="75"/>
      <c r="F326" s="75"/>
    </row>
    <row r="327" spans="2:6">
      <c r="B327" s="75"/>
      <c r="C327" s="75"/>
      <c r="D327" s="75"/>
      <c r="E327" s="75"/>
      <c r="F327" s="75"/>
    </row>
    <row r="328" spans="2:6">
      <c r="B328" s="75"/>
      <c r="C328" s="75"/>
      <c r="D328" s="75"/>
      <c r="E328" s="75"/>
      <c r="F328" s="75"/>
    </row>
    <row r="329" spans="2:6">
      <c r="B329" s="75"/>
      <c r="C329" s="75"/>
      <c r="D329" s="75"/>
      <c r="E329" s="75"/>
      <c r="F329" s="75"/>
    </row>
    <row r="330" spans="2:6">
      <c r="B330" s="75"/>
      <c r="C330" s="75"/>
      <c r="D330" s="75"/>
      <c r="E330" s="75"/>
      <c r="F330" s="75"/>
    </row>
    <row r="331" spans="2:6">
      <c r="B331" s="75"/>
      <c r="C331" s="75"/>
      <c r="D331" s="75"/>
      <c r="E331" s="75"/>
      <c r="F331" s="75"/>
    </row>
    <row r="332" spans="2:6">
      <c r="B332" s="75"/>
      <c r="C332" s="75"/>
      <c r="D332" s="75"/>
      <c r="E332" s="75"/>
      <c r="F332" s="75"/>
    </row>
    <row r="333" spans="2:6">
      <c r="B333" s="75"/>
      <c r="C333" s="75"/>
      <c r="D333" s="75"/>
      <c r="E333" s="75"/>
      <c r="F333" s="75"/>
    </row>
    <row r="334" spans="2:6">
      <c r="B334" s="75"/>
      <c r="C334" s="75"/>
      <c r="D334" s="75"/>
      <c r="E334" s="75"/>
      <c r="F334" s="75"/>
    </row>
    <row r="335" spans="2:6">
      <c r="B335" s="75"/>
      <c r="C335" s="75"/>
      <c r="D335" s="75"/>
      <c r="E335" s="75"/>
      <c r="F335" s="75"/>
    </row>
    <row r="336" spans="2:6">
      <c r="B336" s="75"/>
      <c r="C336" s="75"/>
      <c r="D336" s="75"/>
      <c r="E336" s="75"/>
      <c r="F336" s="75"/>
    </row>
    <row r="337" spans="2:6">
      <c r="B337" s="75"/>
      <c r="C337" s="75"/>
      <c r="D337" s="75"/>
      <c r="E337" s="75"/>
      <c r="F337" s="75"/>
    </row>
    <row r="338" spans="2:6">
      <c r="B338" s="75"/>
      <c r="C338" s="75"/>
      <c r="D338" s="75"/>
      <c r="E338" s="75"/>
      <c r="F338" s="75"/>
    </row>
    <row r="339" spans="2:6">
      <c r="B339" s="75"/>
      <c r="C339" s="75"/>
      <c r="D339" s="75"/>
      <c r="E339" s="75"/>
      <c r="F339" s="75"/>
    </row>
    <row r="340" spans="2:6">
      <c r="B340" s="75"/>
      <c r="C340" s="75"/>
      <c r="D340" s="75"/>
      <c r="E340" s="75"/>
      <c r="F340" s="75"/>
    </row>
    <row r="341" spans="2:6">
      <c r="B341" s="75"/>
      <c r="C341" s="75"/>
      <c r="D341" s="75"/>
      <c r="E341" s="75"/>
      <c r="F341" s="75"/>
    </row>
    <row r="342" spans="2:6">
      <c r="B342" s="75"/>
      <c r="C342" s="75"/>
      <c r="D342" s="75"/>
      <c r="E342" s="75"/>
      <c r="F342" s="75"/>
    </row>
    <row r="343" spans="2:6">
      <c r="B343" s="75"/>
      <c r="C343" s="75"/>
      <c r="D343" s="75"/>
      <c r="E343" s="75"/>
      <c r="F343" s="75"/>
    </row>
    <row r="344" spans="2:6">
      <c r="B344" s="75"/>
      <c r="C344" s="75"/>
      <c r="D344" s="75"/>
      <c r="E344" s="75"/>
      <c r="F344" s="75"/>
    </row>
    <row r="345" spans="2:6">
      <c r="B345" s="75"/>
      <c r="C345" s="75"/>
      <c r="D345" s="75"/>
      <c r="E345" s="75"/>
      <c r="F345" s="75"/>
    </row>
    <row r="346" spans="2:6">
      <c r="B346" s="75"/>
      <c r="C346" s="75"/>
      <c r="D346" s="75"/>
      <c r="E346" s="75"/>
      <c r="F346" s="75"/>
    </row>
    <row r="347" spans="2:6">
      <c r="B347" s="75"/>
      <c r="C347" s="75"/>
      <c r="D347" s="75"/>
      <c r="E347" s="75"/>
      <c r="F347" s="75"/>
    </row>
    <row r="348" spans="2:6">
      <c r="B348" s="75"/>
      <c r="C348" s="75"/>
      <c r="D348" s="75"/>
      <c r="E348" s="75"/>
      <c r="F348" s="75"/>
    </row>
    <row r="349" spans="2:6">
      <c r="B349" s="75"/>
      <c r="C349" s="75"/>
      <c r="D349" s="75"/>
      <c r="E349" s="75"/>
      <c r="F349" s="75"/>
    </row>
    <row r="350" spans="2:6">
      <c r="B350" s="75"/>
      <c r="C350" s="75"/>
      <c r="D350" s="75"/>
      <c r="E350" s="75"/>
      <c r="F350" s="75"/>
    </row>
    <row r="351" spans="2:6">
      <c r="B351" s="75"/>
      <c r="C351" s="75"/>
      <c r="D351" s="75"/>
      <c r="E351" s="75"/>
      <c r="F351" s="75"/>
    </row>
    <row r="352" spans="2:6">
      <c r="B352" s="75"/>
      <c r="C352" s="75"/>
      <c r="D352" s="75"/>
      <c r="E352" s="75"/>
      <c r="F352" s="75"/>
    </row>
    <row r="353" spans="2:6">
      <c r="B353" s="75"/>
      <c r="C353" s="75"/>
      <c r="D353" s="75"/>
      <c r="E353" s="75"/>
      <c r="F353" s="75"/>
    </row>
    <row r="354" spans="2:6">
      <c r="B354" s="75"/>
      <c r="C354" s="75"/>
      <c r="D354" s="75"/>
      <c r="E354" s="75"/>
      <c r="F354" s="75"/>
    </row>
    <row r="355" spans="2:6">
      <c r="B355" s="75"/>
      <c r="C355" s="75"/>
      <c r="D355" s="75"/>
      <c r="E355" s="75"/>
      <c r="F355" s="75"/>
    </row>
    <row r="356" spans="2:6">
      <c r="B356" s="75"/>
      <c r="C356" s="75"/>
      <c r="D356" s="75"/>
      <c r="E356" s="75"/>
      <c r="F356" s="75"/>
    </row>
    <row r="357" spans="2:6">
      <c r="B357" s="75"/>
      <c r="C357" s="75"/>
      <c r="D357" s="75"/>
      <c r="E357" s="75"/>
      <c r="F357" s="75"/>
    </row>
    <row r="358" spans="2:6">
      <c r="B358" s="75"/>
      <c r="C358" s="75"/>
      <c r="D358" s="75"/>
      <c r="E358" s="75"/>
      <c r="F358" s="75"/>
    </row>
    <row r="359" spans="2:6">
      <c r="B359" s="75"/>
      <c r="C359" s="75"/>
      <c r="D359" s="75"/>
      <c r="E359" s="75"/>
      <c r="F359" s="75"/>
    </row>
    <row r="360" spans="2:6">
      <c r="B360" s="75"/>
      <c r="C360" s="75"/>
      <c r="D360" s="75"/>
      <c r="E360" s="75"/>
      <c r="F360" s="75"/>
    </row>
    <row r="361" spans="2:6">
      <c r="B361" s="75"/>
      <c r="C361" s="75"/>
      <c r="D361" s="75"/>
      <c r="E361" s="75"/>
      <c r="F361" s="75"/>
    </row>
    <row r="362" spans="2:6">
      <c r="B362" s="75"/>
      <c r="C362" s="75"/>
      <c r="D362" s="75"/>
      <c r="E362" s="75"/>
      <c r="F362" s="75"/>
    </row>
    <row r="363" spans="2:6">
      <c r="B363" s="75"/>
      <c r="C363" s="75"/>
      <c r="D363" s="75"/>
      <c r="E363" s="75"/>
      <c r="F363" s="75"/>
    </row>
    <row r="364" spans="2:6">
      <c r="B364" s="75"/>
      <c r="C364" s="75"/>
      <c r="D364" s="75"/>
      <c r="E364" s="75"/>
      <c r="F364" s="75"/>
    </row>
    <row r="365" spans="2:6">
      <c r="B365" s="75"/>
      <c r="C365" s="75"/>
      <c r="D365" s="75"/>
      <c r="E365" s="75"/>
      <c r="F365" s="75"/>
    </row>
    <row r="366" spans="2:6">
      <c r="B366" s="75"/>
      <c r="C366" s="75"/>
      <c r="D366" s="75"/>
      <c r="E366" s="75"/>
      <c r="F366" s="75"/>
    </row>
    <row r="367" spans="2:6">
      <c r="B367" s="75"/>
      <c r="C367" s="75"/>
      <c r="D367" s="75"/>
      <c r="E367" s="75"/>
      <c r="F367" s="75"/>
    </row>
    <row r="368" spans="2:6">
      <c r="B368" s="75"/>
      <c r="C368" s="75"/>
      <c r="D368" s="75"/>
      <c r="E368" s="75"/>
      <c r="F368" s="75"/>
    </row>
    <row r="369" spans="2:6">
      <c r="B369" s="75"/>
      <c r="C369" s="75"/>
      <c r="D369" s="75"/>
      <c r="E369" s="75"/>
      <c r="F369" s="75"/>
    </row>
    <row r="370" spans="2:6">
      <c r="B370" s="75"/>
      <c r="C370" s="75"/>
      <c r="D370" s="75"/>
      <c r="E370" s="75"/>
      <c r="F370" s="75"/>
    </row>
    <row r="371" spans="2:6">
      <c r="B371" s="75"/>
      <c r="C371" s="75"/>
      <c r="D371" s="75"/>
      <c r="E371" s="75"/>
      <c r="F371" s="75"/>
    </row>
    <row r="372" spans="2:6">
      <c r="B372" s="75"/>
      <c r="C372" s="75"/>
      <c r="D372" s="75"/>
      <c r="E372" s="75"/>
      <c r="F372" s="75"/>
    </row>
    <row r="373" spans="2:6">
      <c r="B373" s="75"/>
      <c r="C373" s="75"/>
      <c r="D373" s="75"/>
      <c r="E373" s="75"/>
      <c r="F373" s="75"/>
    </row>
    <row r="374" spans="2:6">
      <c r="B374" s="75"/>
      <c r="C374" s="75"/>
      <c r="D374" s="75"/>
      <c r="E374" s="75"/>
      <c r="F374" s="75"/>
    </row>
    <row r="375" spans="2:6">
      <c r="B375" s="75"/>
      <c r="C375" s="75"/>
      <c r="D375" s="75"/>
      <c r="E375" s="75"/>
      <c r="F375" s="75"/>
    </row>
    <row r="376" spans="2:6">
      <c r="B376" s="75"/>
      <c r="C376" s="75"/>
      <c r="D376" s="75"/>
      <c r="E376" s="75"/>
      <c r="F376" s="75"/>
    </row>
    <row r="377" spans="2:6">
      <c r="B377" s="75"/>
      <c r="C377" s="75"/>
      <c r="D377" s="75"/>
      <c r="E377" s="75"/>
      <c r="F377" s="75"/>
    </row>
    <row r="378" spans="2:6">
      <c r="B378" s="75"/>
      <c r="C378" s="75"/>
      <c r="D378" s="75"/>
      <c r="E378" s="75"/>
      <c r="F378" s="75"/>
    </row>
    <row r="379" spans="2:6">
      <c r="B379" s="75"/>
      <c r="C379" s="75"/>
      <c r="D379" s="75"/>
      <c r="E379" s="75"/>
      <c r="F379" s="75"/>
    </row>
    <row r="380" spans="2:6">
      <c r="B380" s="75"/>
      <c r="C380" s="75"/>
      <c r="D380" s="75"/>
      <c r="E380" s="75"/>
      <c r="F380" s="75"/>
    </row>
    <row r="381" spans="2:6">
      <c r="B381" s="75"/>
      <c r="C381" s="75"/>
      <c r="D381" s="75"/>
      <c r="E381" s="75"/>
      <c r="F381" s="75"/>
    </row>
    <row r="382" spans="2:6">
      <c r="B382" s="75"/>
      <c r="C382" s="75"/>
      <c r="D382" s="75"/>
      <c r="E382" s="75"/>
      <c r="F382" s="75"/>
    </row>
    <row r="383" spans="2:6">
      <c r="B383" s="75"/>
      <c r="C383" s="75"/>
      <c r="D383" s="75"/>
      <c r="E383" s="75"/>
      <c r="F383" s="75"/>
    </row>
    <row r="384" spans="2:6">
      <c r="B384" s="75"/>
      <c r="C384" s="75"/>
      <c r="D384" s="75"/>
      <c r="E384" s="75"/>
      <c r="F384" s="75"/>
    </row>
    <row r="385" spans="2:6">
      <c r="B385" s="75"/>
      <c r="C385" s="75"/>
      <c r="D385" s="75"/>
      <c r="E385" s="75"/>
      <c r="F385" s="75"/>
    </row>
    <row r="386" spans="2:6">
      <c r="B386" s="75"/>
      <c r="C386" s="75"/>
      <c r="D386" s="75"/>
      <c r="E386" s="75"/>
      <c r="F386" s="75"/>
    </row>
    <row r="387" spans="2:6">
      <c r="B387" s="75"/>
      <c r="C387" s="75"/>
      <c r="D387" s="75"/>
      <c r="E387" s="75"/>
      <c r="F387" s="75"/>
    </row>
    <row r="388" spans="2:6">
      <c r="B388" s="75"/>
      <c r="C388" s="75"/>
      <c r="D388" s="75"/>
      <c r="E388" s="75"/>
      <c r="F388" s="75"/>
    </row>
    <row r="389" spans="2:6">
      <c r="B389" s="75"/>
      <c r="C389" s="75"/>
      <c r="D389" s="75"/>
      <c r="E389" s="75"/>
      <c r="F389" s="75"/>
    </row>
    <row r="390" spans="2:6">
      <c r="B390" s="75"/>
      <c r="C390" s="75"/>
      <c r="D390" s="75"/>
      <c r="E390" s="75"/>
      <c r="F390" s="75"/>
    </row>
    <row r="391" spans="2:6">
      <c r="B391" s="75"/>
      <c r="C391" s="75"/>
      <c r="D391" s="75"/>
      <c r="E391" s="75"/>
      <c r="F391" s="75"/>
    </row>
    <row r="392" spans="2:6">
      <c r="B392" s="75"/>
      <c r="C392" s="75"/>
      <c r="D392" s="75"/>
      <c r="E392" s="75"/>
      <c r="F392" s="75"/>
    </row>
    <row r="393" spans="2:6">
      <c r="B393" s="75"/>
      <c r="C393" s="75"/>
      <c r="D393" s="75"/>
      <c r="E393" s="75"/>
      <c r="F393" s="75"/>
    </row>
    <row r="394" spans="2:6">
      <c r="B394" s="75"/>
      <c r="C394" s="75"/>
      <c r="D394" s="75"/>
      <c r="E394" s="75"/>
      <c r="F394" s="75"/>
    </row>
    <row r="395" spans="2:6">
      <c r="B395" s="75"/>
      <c r="C395" s="75"/>
      <c r="D395" s="75"/>
      <c r="E395" s="75"/>
      <c r="F395" s="75"/>
    </row>
    <row r="396" spans="2:6">
      <c r="B396" s="75"/>
      <c r="C396" s="75"/>
      <c r="D396" s="75"/>
      <c r="E396" s="75"/>
      <c r="F396" s="75"/>
    </row>
    <row r="397" spans="2:6">
      <c r="B397" s="75"/>
      <c r="C397" s="75"/>
      <c r="D397" s="75"/>
      <c r="E397" s="75"/>
      <c r="F397" s="75"/>
    </row>
    <row r="398" spans="2:6">
      <c r="B398" s="75"/>
      <c r="C398" s="75"/>
      <c r="D398" s="75"/>
      <c r="E398" s="75"/>
      <c r="F398" s="75"/>
    </row>
    <row r="399" spans="2:6">
      <c r="B399" s="75"/>
      <c r="C399" s="75"/>
      <c r="D399" s="75"/>
      <c r="E399" s="75"/>
      <c r="F399" s="75"/>
    </row>
    <row r="400" spans="2:6">
      <c r="B400" s="75"/>
      <c r="C400" s="75"/>
      <c r="D400" s="75"/>
      <c r="E400" s="75"/>
      <c r="F400" s="75"/>
    </row>
    <row r="401" spans="2:6">
      <c r="B401" s="75"/>
      <c r="C401" s="75"/>
      <c r="D401" s="75"/>
      <c r="E401" s="75"/>
      <c r="F401" s="75"/>
    </row>
    <row r="402" spans="2:6">
      <c r="B402" s="75"/>
      <c r="C402" s="75"/>
      <c r="D402" s="75"/>
      <c r="E402" s="75"/>
      <c r="F402" s="75"/>
    </row>
    <row r="403" spans="2:6">
      <c r="B403" s="75"/>
      <c r="C403" s="75"/>
      <c r="D403" s="75"/>
      <c r="E403" s="75"/>
      <c r="F403" s="75"/>
    </row>
    <row r="404" spans="2:6">
      <c r="B404" s="75"/>
      <c r="C404" s="75"/>
      <c r="D404" s="75"/>
      <c r="E404" s="75"/>
      <c r="F404" s="75"/>
    </row>
    <row r="405" spans="2:6">
      <c r="B405" s="75"/>
      <c r="C405" s="75"/>
      <c r="D405" s="75"/>
      <c r="E405" s="75"/>
      <c r="F405" s="75"/>
    </row>
    <row r="406" spans="2:6">
      <c r="B406" s="75"/>
      <c r="C406" s="75"/>
      <c r="D406" s="75"/>
      <c r="E406" s="75"/>
      <c r="F406" s="75"/>
    </row>
    <row r="407" spans="2:6">
      <c r="B407" s="75"/>
      <c r="C407" s="75"/>
      <c r="D407" s="75"/>
      <c r="E407" s="75"/>
      <c r="F407" s="75"/>
    </row>
    <row r="408" spans="2:6">
      <c r="B408" s="75"/>
      <c r="C408" s="75"/>
      <c r="D408" s="75"/>
      <c r="E408" s="75"/>
      <c r="F408" s="75"/>
    </row>
    <row r="409" spans="2:6">
      <c r="B409" s="75"/>
      <c r="C409" s="75"/>
      <c r="D409" s="75"/>
      <c r="E409" s="75"/>
      <c r="F409" s="75"/>
    </row>
    <row r="410" spans="2:6">
      <c r="B410" s="75"/>
      <c r="C410" s="75"/>
      <c r="D410" s="75"/>
      <c r="E410" s="75"/>
      <c r="F410" s="75"/>
    </row>
    <row r="411" spans="2:6">
      <c r="B411" s="75"/>
      <c r="C411" s="75"/>
      <c r="D411" s="75"/>
      <c r="E411" s="75"/>
      <c r="F411" s="75"/>
    </row>
    <row r="412" spans="2:6">
      <c r="B412" s="75"/>
      <c r="C412" s="75"/>
      <c r="D412" s="75"/>
      <c r="E412" s="75"/>
      <c r="F412" s="75"/>
    </row>
    <row r="413" spans="2:6">
      <c r="B413" s="75"/>
      <c r="C413" s="75"/>
      <c r="D413" s="75"/>
      <c r="E413" s="75"/>
      <c r="F413" s="75"/>
    </row>
    <row r="414" spans="2:6">
      <c r="B414" s="75"/>
      <c r="C414" s="75"/>
      <c r="D414" s="75"/>
      <c r="E414" s="75"/>
      <c r="F414" s="75"/>
    </row>
    <row r="415" spans="2:6">
      <c r="B415" s="75"/>
      <c r="C415" s="75"/>
      <c r="D415" s="75"/>
      <c r="E415" s="75"/>
      <c r="F415" s="75"/>
    </row>
    <row r="416" spans="2:6">
      <c r="B416" s="75"/>
      <c r="C416" s="75"/>
      <c r="D416" s="75"/>
      <c r="E416" s="75"/>
      <c r="F416" s="75"/>
    </row>
    <row r="417" spans="2:6">
      <c r="B417" s="75"/>
      <c r="C417" s="75"/>
      <c r="D417" s="75"/>
      <c r="E417" s="75"/>
      <c r="F417" s="75"/>
    </row>
    <row r="418" spans="2:6">
      <c r="B418" s="75"/>
      <c r="C418" s="75"/>
      <c r="D418" s="75"/>
      <c r="E418" s="75"/>
      <c r="F418" s="75"/>
    </row>
    <row r="419" spans="2:6">
      <c r="B419" s="75"/>
      <c r="C419" s="75"/>
      <c r="D419" s="75"/>
      <c r="E419" s="75"/>
      <c r="F419" s="75"/>
    </row>
    <row r="420" spans="2:6">
      <c r="B420" s="75"/>
      <c r="C420" s="75"/>
      <c r="D420" s="75"/>
      <c r="E420" s="75"/>
      <c r="F420" s="75"/>
    </row>
    <row r="421" spans="2:6">
      <c r="B421" s="75"/>
      <c r="C421" s="75"/>
      <c r="D421" s="75"/>
      <c r="E421" s="75"/>
      <c r="F421" s="75"/>
    </row>
    <row r="422" spans="2:6">
      <c r="B422" s="75"/>
      <c r="C422" s="75"/>
      <c r="D422" s="75"/>
      <c r="E422" s="75"/>
      <c r="F422" s="75"/>
    </row>
    <row r="423" spans="2:6">
      <c r="B423" s="75"/>
      <c r="C423" s="75"/>
      <c r="D423" s="75"/>
      <c r="E423" s="75"/>
      <c r="F423" s="75"/>
    </row>
    <row r="424" spans="2:6">
      <c r="B424" s="75"/>
      <c r="C424" s="75"/>
      <c r="D424" s="75"/>
      <c r="E424" s="75"/>
      <c r="F424" s="75"/>
    </row>
    <row r="425" spans="2:6">
      <c r="B425" s="75"/>
      <c r="C425" s="75"/>
      <c r="D425" s="75"/>
      <c r="E425" s="75"/>
      <c r="F425" s="75"/>
    </row>
    <row r="426" spans="2:6">
      <c r="B426" s="75"/>
      <c r="C426" s="75"/>
      <c r="D426" s="75"/>
      <c r="E426" s="75"/>
      <c r="F426" s="75"/>
    </row>
    <row r="427" spans="2:6">
      <c r="B427" s="75"/>
      <c r="C427" s="75"/>
      <c r="D427" s="75"/>
      <c r="E427" s="75"/>
      <c r="F427" s="75"/>
    </row>
    <row r="428" spans="2:6">
      <c r="B428" s="75"/>
      <c r="C428" s="75"/>
      <c r="D428" s="75"/>
      <c r="E428" s="75"/>
      <c r="F428" s="75"/>
    </row>
    <row r="429" spans="2:6">
      <c r="B429" s="75"/>
      <c r="C429" s="75"/>
      <c r="D429" s="75"/>
      <c r="E429" s="75"/>
      <c r="F429" s="75"/>
    </row>
    <row r="430" spans="2:6">
      <c r="B430" s="75"/>
      <c r="C430" s="75"/>
      <c r="D430" s="75"/>
      <c r="E430" s="75"/>
      <c r="F430" s="75"/>
    </row>
    <row r="431" spans="2:6">
      <c r="B431" s="75"/>
      <c r="C431" s="75"/>
      <c r="D431" s="75"/>
      <c r="E431" s="75"/>
      <c r="F431" s="75"/>
    </row>
    <row r="432" spans="2:6">
      <c r="B432" s="75"/>
      <c r="C432" s="75"/>
      <c r="D432" s="75"/>
      <c r="E432" s="75"/>
      <c r="F432" s="75"/>
    </row>
    <row r="433" spans="2:6">
      <c r="B433" s="75"/>
      <c r="C433" s="75"/>
      <c r="D433" s="75"/>
      <c r="E433" s="75"/>
      <c r="F433" s="75"/>
    </row>
    <row r="434" spans="2:6">
      <c r="B434" s="75"/>
      <c r="C434" s="75"/>
      <c r="D434" s="75"/>
      <c r="E434" s="75"/>
      <c r="F434" s="75"/>
    </row>
    <row r="435" spans="2:6">
      <c r="B435" s="75"/>
      <c r="C435" s="75"/>
      <c r="D435" s="75"/>
      <c r="E435" s="75"/>
      <c r="F435" s="75"/>
    </row>
    <row r="436" spans="2:6">
      <c r="B436" s="75"/>
      <c r="C436" s="75"/>
      <c r="D436" s="75"/>
      <c r="E436" s="75"/>
      <c r="F436" s="75"/>
    </row>
    <row r="437" spans="2:6">
      <c r="B437" s="75"/>
      <c r="C437" s="75"/>
      <c r="D437" s="75"/>
      <c r="E437" s="75"/>
      <c r="F437" s="75"/>
    </row>
    <row r="438" spans="2:6">
      <c r="B438" s="75"/>
      <c r="C438" s="75"/>
      <c r="D438" s="75"/>
      <c r="E438" s="75"/>
      <c r="F438" s="75"/>
    </row>
    <row r="439" spans="2:6">
      <c r="B439" s="75"/>
      <c r="C439" s="75"/>
      <c r="D439" s="75"/>
      <c r="E439" s="75"/>
      <c r="F439" s="75"/>
    </row>
    <row r="440" spans="2:6">
      <c r="B440" s="75"/>
      <c r="C440" s="75"/>
      <c r="D440" s="75"/>
      <c r="E440" s="75"/>
      <c r="F440" s="75"/>
    </row>
    <row r="441" spans="2:6">
      <c r="B441" s="75"/>
      <c r="C441" s="75"/>
      <c r="D441" s="75"/>
      <c r="E441" s="75"/>
      <c r="F441" s="75"/>
    </row>
    <row r="442" spans="2:6">
      <c r="B442" s="75"/>
      <c r="C442" s="75"/>
      <c r="D442" s="75"/>
      <c r="E442" s="75"/>
      <c r="F442" s="75"/>
    </row>
    <row r="443" spans="2:6">
      <c r="B443" s="75"/>
      <c r="C443" s="75"/>
      <c r="D443" s="75"/>
      <c r="E443" s="75"/>
      <c r="F443" s="75"/>
    </row>
    <row r="444" spans="2:6">
      <c r="B444" s="75"/>
      <c r="C444" s="75"/>
      <c r="D444" s="75"/>
      <c r="E444" s="75"/>
      <c r="F444" s="75"/>
    </row>
    <row r="445" spans="2:6">
      <c r="B445" s="75"/>
      <c r="C445" s="75"/>
      <c r="D445" s="75"/>
      <c r="E445" s="75"/>
      <c r="F445" s="75"/>
    </row>
    <row r="446" spans="2:6">
      <c r="B446" s="75"/>
      <c r="C446" s="75"/>
      <c r="D446" s="75"/>
      <c r="E446" s="75"/>
      <c r="F446" s="75"/>
    </row>
    <row r="447" spans="2:6">
      <c r="B447" s="75"/>
      <c r="C447" s="75"/>
      <c r="D447" s="75"/>
      <c r="E447" s="75"/>
      <c r="F447" s="75"/>
    </row>
    <row r="448" spans="2:6">
      <c r="B448" s="75"/>
      <c r="C448" s="75"/>
      <c r="D448" s="75"/>
      <c r="E448" s="75"/>
      <c r="F448" s="75"/>
    </row>
    <row r="449" spans="2:6">
      <c r="B449" s="75"/>
      <c r="C449" s="75"/>
      <c r="D449" s="75"/>
      <c r="E449" s="75"/>
      <c r="F449" s="75"/>
    </row>
    <row r="450" spans="2:6">
      <c r="B450" s="75"/>
      <c r="C450" s="75"/>
      <c r="D450" s="75"/>
      <c r="E450" s="75"/>
      <c r="F450" s="75"/>
    </row>
    <row r="451" spans="2:6">
      <c r="B451" s="75"/>
      <c r="C451" s="75"/>
      <c r="D451" s="75"/>
      <c r="E451" s="75"/>
      <c r="F451" s="75"/>
    </row>
    <row r="452" spans="2:6">
      <c r="B452" s="75"/>
      <c r="C452" s="75"/>
      <c r="D452" s="75"/>
      <c r="E452" s="75"/>
      <c r="F452" s="75"/>
    </row>
    <row r="453" spans="2:6">
      <c r="B453" s="75"/>
      <c r="C453" s="75"/>
      <c r="D453" s="75"/>
      <c r="E453" s="75"/>
      <c r="F453" s="75"/>
    </row>
    <row r="454" spans="2:6">
      <c r="B454" s="75"/>
      <c r="C454" s="75"/>
      <c r="D454" s="75"/>
      <c r="E454" s="75"/>
      <c r="F454" s="75"/>
    </row>
    <row r="455" spans="2:6">
      <c r="B455" s="75"/>
      <c r="C455" s="75"/>
      <c r="D455" s="75"/>
      <c r="E455" s="75"/>
      <c r="F455" s="75"/>
    </row>
    <row r="456" spans="2:6">
      <c r="B456" s="75"/>
      <c r="C456" s="75"/>
      <c r="D456" s="75"/>
      <c r="E456" s="75"/>
      <c r="F456" s="75"/>
    </row>
    <row r="457" spans="2:6">
      <c r="B457" s="75"/>
      <c r="C457" s="75"/>
      <c r="D457" s="75"/>
      <c r="E457" s="75"/>
      <c r="F457" s="75"/>
    </row>
    <row r="458" spans="2:6">
      <c r="B458" s="75"/>
      <c r="C458" s="75"/>
      <c r="D458" s="75"/>
      <c r="E458" s="75"/>
      <c r="F458" s="75"/>
    </row>
    <row r="459" spans="2:6">
      <c r="B459" s="75"/>
      <c r="C459" s="75"/>
      <c r="D459" s="75"/>
      <c r="E459" s="75"/>
      <c r="F459" s="75"/>
    </row>
    <row r="460" spans="2:6">
      <c r="B460" s="75"/>
      <c r="C460" s="75"/>
      <c r="D460" s="75"/>
      <c r="E460" s="75"/>
      <c r="F460" s="75"/>
    </row>
    <row r="461" spans="2:6">
      <c r="B461" s="75"/>
      <c r="C461" s="75"/>
      <c r="D461" s="75"/>
      <c r="E461" s="75"/>
      <c r="F461" s="75"/>
    </row>
    <row r="462" spans="2:6">
      <c r="B462" s="75"/>
      <c r="C462" s="75"/>
      <c r="D462" s="75"/>
      <c r="E462" s="75"/>
      <c r="F462" s="75"/>
    </row>
    <row r="463" spans="2:6">
      <c r="B463" s="75"/>
      <c r="C463" s="75"/>
      <c r="D463" s="75"/>
      <c r="E463" s="75"/>
      <c r="F463" s="75"/>
    </row>
    <row r="464" spans="2:6">
      <c r="B464" s="75"/>
      <c r="C464" s="75"/>
      <c r="D464" s="75"/>
      <c r="E464" s="75"/>
      <c r="F464" s="75"/>
    </row>
    <row r="465" spans="2:6">
      <c r="B465" s="75"/>
      <c r="C465" s="75"/>
      <c r="D465" s="75"/>
      <c r="E465" s="75"/>
      <c r="F465" s="75"/>
    </row>
    <row r="466" spans="2:6">
      <c r="B466" s="75"/>
      <c r="C466" s="75"/>
      <c r="D466" s="75"/>
      <c r="E466" s="75"/>
      <c r="F466" s="75"/>
    </row>
    <row r="467" spans="2:6">
      <c r="B467" s="75"/>
      <c r="C467" s="75"/>
      <c r="D467" s="75"/>
      <c r="E467" s="75"/>
      <c r="F467" s="75"/>
    </row>
    <row r="468" spans="2:6">
      <c r="B468" s="75"/>
      <c r="C468" s="75"/>
      <c r="D468" s="75"/>
      <c r="E468" s="75"/>
      <c r="F468" s="75"/>
    </row>
    <row r="469" spans="2:6">
      <c r="B469" s="75"/>
      <c r="C469" s="75"/>
      <c r="D469" s="75"/>
      <c r="E469" s="75"/>
      <c r="F469" s="75"/>
    </row>
    <row r="470" spans="2:6">
      <c r="B470" s="75"/>
      <c r="C470" s="75"/>
      <c r="D470" s="75"/>
      <c r="E470" s="75"/>
      <c r="F470" s="75"/>
    </row>
    <row r="471" spans="2:6">
      <c r="B471" s="75"/>
      <c r="C471" s="75"/>
      <c r="D471" s="75"/>
      <c r="E471" s="75"/>
      <c r="F471" s="75"/>
    </row>
    <row r="472" spans="2:6">
      <c r="B472" s="75"/>
      <c r="C472" s="75"/>
      <c r="D472" s="75"/>
      <c r="E472" s="75"/>
      <c r="F472" s="75"/>
    </row>
    <row r="473" spans="2:6">
      <c r="B473" s="75"/>
      <c r="C473" s="75"/>
      <c r="D473" s="75"/>
      <c r="E473" s="75"/>
      <c r="F473" s="75"/>
    </row>
    <row r="474" spans="2:6">
      <c r="B474" s="75"/>
      <c r="C474" s="75"/>
      <c r="D474" s="75"/>
      <c r="E474" s="75"/>
      <c r="F474" s="75"/>
    </row>
    <row r="475" spans="2:6">
      <c r="B475" s="75"/>
      <c r="C475" s="75"/>
      <c r="D475" s="75"/>
      <c r="E475" s="75"/>
      <c r="F475" s="75"/>
    </row>
    <row r="476" spans="2:6">
      <c r="B476" s="75"/>
      <c r="C476" s="75"/>
      <c r="D476" s="75"/>
      <c r="E476" s="75"/>
      <c r="F476" s="75"/>
    </row>
    <row r="477" spans="2:6">
      <c r="B477" s="75"/>
      <c r="C477" s="75"/>
      <c r="D477" s="75"/>
      <c r="E477" s="75"/>
      <c r="F477" s="75"/>
    </row>
    <row r="478" spans="2:6">
      <c r="B478" s="75"/>
      <c r="C478" s="75"/>
      <c r="D478" s="75"/>
      <c r="E478" s="75"/>
      <c r="F478" s="75"/>
    </row>
    <row r="479" spans="2:6">
      <c r="B479" s="75"/>
      <c r="C479" s="75"/>
      <c r="D479" s="75"/>
      <c r="E479" s="75"/>
      <c r="F479" s="75"/>
    </row>
    <row r="480" spans="2:6">
      <c r="B480" s="75"/>
      <c r="C480" s="75"/>
      <c r="D480" s="75"/>
      <c r="E480" s="75"/>
      <c r="F480" s="75"/>
    </row>
    <row r="481" spans="2:6">
      <c r="B481" s="75"/>
      <c r="C481" s="75"/>
      <c r="D481" s="75"/>
      <c r="E481" s="75"/>
      <c r="F481" s="75"/>
    </row>
    <row r="482" spans="2:6">
      <c r="B482" s="75"/>
      <c r="C482" s="75"/>
      <c r="D482" s="75"/>
      <c r="E482" s="75"/>
      <c r="F482" s="75"/>
    </row>
    <row r="483" spans="2:6">
      <c r="B483" s="75"/>
      <c r="C483" s="75"/>
      <c r="D483" s="75"/>
      <c r="E483" s="75"/>
      <c r="F483" s="75"/>
    </row>
    <row r="484" spans="2:6">
      <c r="B484" s="75"/>
      <c r="C484" s="75"/>
      <c r="D484" s="75"/>
      <c r="E484" s="75"/>
      <c r="F484" s="75"/>
    </row>
    <row r="485" spans="2:6">
      <c r="B485" s="75"/>
      <c r="C485" s="75"/>
      <c r="D485" s="75"/>
      <c r="E485" s="75"/>
      <c r="F485" s="75"/>
    </row>
    <row r="486" spans="2:6">
      <c r="B486" s="75"/>
      <c r="C486" s="75"/>
      <c r="D486" s="75"/>
      <c r="E486" s="75"/>
      <c r="F486" s="75"/>
    </row>
    <row r="487" spans="2:6">
      <c r="B487" s="75"/>
      <c r="C487" s="75"/>
      <c r="D487" s="75"/>
      <c r="E487" s="75"/>
      <c r="F487" s="75"/>
    </row>
    <row r="488" spans="2:6">
      <c r="B488" s="75"/>
      <c r="C488" s="75"/>
      <c r="D488" s="75"/>
      <c r="E488" s="75"/>
      <c r="F488" s="75"/>
    </row>
    <row r="489" spans="2:6">
      <c r="B489" s="75"/>
      <c r="C489" s="75"/>
      <c r="D489" s="75"/>
      <c r="E489" s="75"/>
      <c r="F489" s="75"/>
    </row>
    <row r="490" spans="2:6">
      <c r="B490" s="75"/>
      <c r="C490" s="75"/>
      <c r="D490" s="75"/>
      <c r="E490" s="75"/>
      <c r="F490" s="75"/>
    </row>
    <row r="491" spans="2:6">
      <c r="B491" s="75"/>
      <c r="C491" s="75"/>
      <c r="D491" s="75"/>
      <c r="E491" s="75"/>
      <c r="F491" s="75"/>
    </row>
    <row r="492" spans="2:6">
      <c r="B492" s="75"/>
      <c r="C492" s="75"/>
      <c r="D492" s="75"/>
      <c r="E492" s="75"/>
      <c r="F492" s="75"/>
    </row>
    <row r="493" spans="2:6">
      <c r="B493" s="75"/>
      <c r="C493" s="75"/>
      <c r="D493" s="75"/>
      <c r="E493" s="75"/>
      <c r="F493" s="75"/>
    </row>
    <row r="494" spans="2:6">
      <c r="B494" s="75"/>
      <c r="C494" s="75"/>
      <c r="D494" s="75"/>
      <c r="E494" s="75"/>
      <c r="F494" s="75"/>
    </row>
    <row r="495" spans="2:6">
      <c r="B495" s="75"/>
      <c r="C495" s="75"/>
      <c r="D495" s="75"/>
      <c r="E495" s="75"/>
      <c r="F495" s="75"/>
    </row>
    <row r="496" spans="2:6">
      <c r="B496" s="75"/>
      <c r="C496" s="75"/>
      <c r="D496" s="75"/>
      <c r="E496" s="75"/>
      <c r="F496" s="75"/>
    </row>
    <row r="497" spans="2:6">
      <c r="B497" s="75"/>
      <c r="C497" s="75"/>
      <c r="D497" s="75"/>
      <c r="E497" s="75"/>
      <c r="F497" s="75"/>
    </row>
    <row r="498" spans="2:6">
      <c r="B498" s="75"/>
      <c r="C498" s="75"/>
      <c r="D498" s="75"/>
      <c r="E498" s="75"/>
      <c r="F498" s="75"/>
    </row>
    <row r="499" spans="2:6">
      <c r="B499" s="75"/>
      <c r="C499" s="75"/>
      <c r="D499" s="75"/>
      <c r="E499" s="75"/>
      <c r="F499" s="75"/>
    </row>
    <row r="500" spans="2:6">
      <c r="B500" s="75"/>
      <c r="C500" s="75"/>
      <c r="D500" s="75"/>
      <c r="E500" s="75"/>
      <c r="F500" s="75"/>
    </row>
    <row r="501" spans="2:6">
      <c r="B501" s="75"/>
      <c r="C501" s="75"/>
      <c r="D501" s="75"/>
      <c r="E501" s="75"/>
      <c r="F501" s="75"/>
    </row>
    <row r="502" spans="2:6">
      <c r="B502" s="75"/>
      <c r="C502" s="75"/>
      <c r="D502" s="75"/>
      <c r="E502" s="75"/>
      <c r="F502" s="75"/>
    </row>
    <row r="503" spans="2:6">
      <c r="B503" s="75"/>
      <c r="C503" s="75"/>
      <c r="D503" s="75"/>
      <c r="E503" s="75"/>
      <c r="F503" s="75"/>
    </row>
    <row r="504" spans="2:6">
      <c r="B504" s="75"/>
      <c r="C504" s="75"/>
      <c r="D504" s="75"/>
      <c r="E504" s="75"/>
      <c r="F504" s="75"/>
    </row>
    <row r="505" spans="2:6">
      <c r="B505" s="75"/>
      <c r="C505" s="75"/>
      <c r="D505" s="75"/>
      <c r="E505" s="75"/>
      <c r="F505" s="75"/>
    </row>
    <row r="506" spans="2:6">
      <c r="B506" s="75"/>
      <c r="C506" s="75"/>
      <c r="D506" s="75"/>
      <c r="E506" s="75"/>
      <c r="F506" s="75"/>
    </row>
    <row r="507" spans="2:6">
      <c r="B507" s="75"/>
      <c r="C507" s="75"/>
      <c r="D507" s="75"/>
      <c r="E507" s="75"/>
      <c r="F507" s="75"/>
    </row>
    <row r="508" spans="2:6">
      <c r="B508" s="75"/>
      <c r="C508" s="75"/>
      <c r="D508" s="75"/>
      <c r="E508" s="75"/>
      <c r="F508" s="75"/>
    </row>
    <row r="509" spans="2:6">
      <c r="B509" s="75"/>
      <c r="C509" s="75"/>
      <c r="D509" s="75"/>
      <c r="E509" s="75"/>
      <c r="F509" s="75"/>
    </row>
    <row r="510" spans="2:6">
      <c r="B510" s="75"/>
      <c r="C510" s="75"/>
      <c r="D510" s="75"/>
      <c r="E510" s="75"/>
      <c r="F510" s="75"/>
    </row>
    <row r="511" spans="2:6">
      <c r="B511" s="75"/>
      <c r="C511" s="75"/>
      <c r="D511" s="75"/>
      <c r="E511" s="75"/>
      <c r="F511" s="75"/>
    </row>
    <row r="512" spans="2:6">
      <c r="B512" s="75"/>
      <c r="C512" s="75"/>
      <c r="D512" s="75"/>
      <c r="E512" s="75"/>
      <c r="F512" s="75"/>
    </row>
    <row r="513" spans="2:6">
      <c r="B513" s="75"/>
      <c r="C513" s="75"/>
      <c r="D513" s="75"/>
      <c r="E513" s="75"/>
      <c r="F513" s="75"/>
    </row>
    <row r="514" spans="2:6">
      <c r="B514" s="75"/>
      <c r="C514" s="75"/>
      <c r="D514" s="75"/>
      <c r="E514" s="75"/>
      <c r="F514" s="75"/>
    </row>
    <row r="515" spans="2:6">
      <c r="B515" s="75"/>
      <c r="C515" s="75"/>
      <c r="D515" s="75"/>
      <c r="E515" s="75"/>
      <c r="F515" s="75"/>
    </row>
    <row r="516" spans="2:6">
      <c r="B516" s="75"/>
      <c r="C516" s="75"/>
      <c r="D516" s="75"/>
      <c r="E516" s="75"/>
      <c r="F516" s="75"/>
    </row>
    <row r="517" spans="2:6">
      <c r="B517" s="75"/>
      <c r="C517" s="75"/>
      <c r="D517" s="75"/>
      <c r="E517" s="75"/>
      <c r="F517" s="75"/>
    </row>
    <row r="518" spans="2:6">
      <c r="B518" s="75"/>
      <c r="C518" s="75"/>
      <c r="D518" s="75"/>
      <c r="E518" s="75"/>
      <c r="F518" s="75"/>
    </row>
    <row r="519" spans="2:6">
      <c r="B519" s="75"/>
      <c r="C519" s="75"/>
      <c r="D519" s="75"/>
      <c r="E519" s="75"/>
      <c r="F519" s="75"/>
    </row>
    <row r="520" spans="2:6">
      <c r="B520" s="75"/>
      <c r="C520" s="75"/>
      <c r="D520" s="75"/>
      <c r="E520" s="75"/>
      <c r="F520" s="75"/>
    </row>
    <row r="521" spans="2:6">
      <c r="B521" s="75"/>
      <c r="C521" s="75"/>
      <c r="D521" s="75"/>
      <c r="E521" s="75"/>
      <c r="F521" s="75"/>
    </row>
    <row r="522" spans="2:6">
      <c r="B522" s="75"/>
      <c r="C522" s="75"/>
      <c r="D522" s="75"/>
      <c r="E522" s="75"/>
      <c r="F522" s="75"/>
    </row>
    <row r="523" spans="2:6">
      <c r="B523" s="75"/>
      <c r="C523" s="75"/>
      <c r="D523" s="75"/>
      <c r="E523" s="75"/>
      <c r="F523" s="75"/>
    </row>
    <row r="524" spans="2:6">
      <c r="B524" s="75"/>
      <c r="C524" s="75"/>
      <c r="D524" s="75"/>
      <c r="E524" s="75"/>
      <c r="F524" s="75"/>
    </row>
    <row r="525" spans="2:6">
      <c r="B525" s="75"/>
      <c r="C525" s="75"/>
      <c r="D525" s="75"/>
      <c r="E525" s="75"/>
      <c r="F525" s="75"/>
    </row>
    <row r="526" spans="2:6">
      <c r="B526" s="75"/>
      <c r="C526" s="75"/>
      <c r="D526" s="75"/>
      <c r="E526" s="75"/>
      <c r="F526" s="75"/>
    </row>
    <row r="527" spans="2:6">
      <c r="B527" s="75"/>
      <c r="C527" s="75"/>
      <c r="D527" s="75"/>
      <c r="E527" s="75"/>
      <c r="F527" s="75"/>
    </row>
    <row r="528" spans="2:6">
      <c r="B528" s="75"/>
      <c r="C528" s="75"/>
      <c r="D528" s="75"/>
      <c r="E528" s="75"/>
      <c r="F528" s="75"/>
    </row>
    <row r="529" spans="2:6">
      <c r="B529" s="75"/>
      <c r="C529" s="75"/>
      <c r="D529" s="75"/>
      <c r="E529" s="75"/>
      <c r="F529" s="75"/>
    </row>
    <row r="530" spans="2:6">
      <c r="B530" s="75"/>
      <c r="C530" s="75"/>
      <c r="D530" s="75"/>
      <c r="E530" s="75"/>
      <c r="F530" s="75"/>
    </row>
    <row r="531" spans="2:6">
      <c r="B531" s="75"/>
      <c r="C531" s="75"/>
      <c r="D531" s="75"/>
      <c r="E531" s="75"/>
      <c r="F531" s="75"/>
    </row>
    <row r="532" spans="2:6">
      <c r="B532" s="75"/>
      <c r="C532" s="75"/>
      <c r="D532" s="75"/>
      <c r="E532" s="75"/>
      <c r="F532" s="75"/>
    </row>
    <row r="533" spans="2:6">
      <c r="B533" s="75"/>
      <c r="C533" s="75"/>
      <c r="D533" s="75"/>
      <c r="E533" s="75"/>
      <c r="F533" s="75"/>
    </row>
    <row r="534" spans="2:6">
      <c r="B534" s="75"/>
      <c r="C534" s="75"/>
      <c r="D534" s="75"/>
      <c r="E534" s="75"/>
      <c r="F534" s="75"/>
    </row>
    <row r="535" spans="2:6">
      <c r="B535" s="75"/>
      <c r="C535" s="75"/>
      <c r="D535" s="75"/>
      <c r="E535" s="75"/>
      <c r="F535" s="75"/>
    </row>
    <row r="536" spans="2:6">
      <c r="B536" s="75"/>
      <c r="C536" s="75"/>
      <c r="D536" s="75"/>
      <c r="E536" s="75"/>
      <c r="F536" s="75"/>
    </row>
    <row r="537" spans="2:6">
      <c r="B537" s="75"/>
      <c r="C537" s="75"/>
      <c r="D537" s="75"/>
      <c r="E537" s="75"/>
      <c r="F537" s="75"/>
    </row>
    <row r="538" spans="2:6">
      <c r="B538" s="75"/>
      <c r="C538" s="75"/>
      <c r="D538" s="75"/>
      <c r="E538" s="75"/>
      <c r="F538" s="75"/>
    </row>
    <row r="539" spans="2:6">
      <c r="B539" s="75"/>
      <c r="C539" s="75"/>
      <c r="D539" s="75"/>
      <c r="E539" s="75"/>
      <c r="F539" s="75"/>
    </row>
    <row r="540" spans="2:6">
      <c r="B540" s="75"/>
      <c r="C540" s="75"/>
      <c r="D540" s="75"/>
      <c r="E540" s="75"/>
      <c r="F540" s="75"/>
    </row>
    <row r="541" spans="2:6">
      <c r="B541" s="75"/>
      <c r="C541" s="75"/>
      <c r="D541" s="75"/>
      <c r="E541" s="75"/>
      <c r="F541" s="75"/>
    </row>
    <row r="542" spans="2:6">
      <c r="B542" s="75"/>
      <c r="C542" s="75"/>
      <c r="D542" s="75"/>
      <c r="E542" s="75"/>
      <c r="F542" s="75"/>
    </row>
    <row r="543" spans="2:6">
      <c r="B543" s="75"/>
      <c r="C543" s="75"/>
      <c r="D543" s="75"/>
      <c r="E543" s="75"/>
      <c r="F543" s="75"/>
    </row>
    <row r="544" spans="2:6">
      <c r="B544" s="75"/>
      <c r="C544" s="75"/>
      <c r="D544" s="75"/>
      <c r="E544" s="75"/>
      <c r="F544" s="75"/>
    </row>
    <row r="545" spans="2:6">
      <c r="B545" s="75"/>
      <c r="C545" s="75"/>
      <c r="D545" s="75"/>
      <c r="E545" s="75"/>
      <c r="F545" s="75"/>
    </row>
    <row r="546" spans="2:6">
      <c r="B546" s="75"/>
      <c r="C546" s="75"/>
      <c r="D546" s="75"/>
      <c r="E546" s="75"/>
      <c r="F546" s="75"/>
    </row>
    <row r="547" spans="2:6">
      <c r="B547" s="75"/>
      <c r="C547" s="75"/>
      <c r="D547" s="75"/>
      <c r="E547" s="75"/>
      <c r="F547" s="75"/>
    </row>
    <row r="548" spans="2:6">
      <c r="B548" s="75"/>
      <c r="C548" s="75"/>
      <c r="D548" s="75"/>
      <c r="E548" s="75"/>
      <c r="F548" s="75"/>
    </row>
    <row r="549" spans="2:6">
      <c r="B549" s="75"/>
      <c r="C549" s="75"/>
      <c r="D549" s="75"/>
      <c r="E549" s="75"/>
      <c r="F549" s="75"/>
    </row>
    <row r="550" spans="2:6">
      <c r="B550" s="75"/>
      <c r="C550" s="75"/>
      <c r="D550" s="75"/>
      <c r="E550" s="75"/>
      <c r="F550" s="75"/>
    </row>
    <row r="551" spans="2:6">
      <c r="B551" s="75"/>
      <c r="C551" s="75"/>
      <c r="D551" s="75"/>
      <c r="E551" s="75"/>
      <c r="F551" s="75"/>
    </row>
    <row r="552" spans="2:6">
      <c r="B552" s="75"/>
      <c r="C552" s="75"/>
      <c r="D552" s="75"/>
      <c r="E552" s="75"/>
      <c r="F552" s="75"/>
    </row>
    <row r="553" spans="2:6">
      <c r="B553" s="75"/>
      <c r="C553" s="75"/>
      <c r="D553" s="75"/>
      <c r="E553" s="75"/>
      <c r="F553" s="75"/>
    </row>
    <row r="554" spans="2:6">
      <c r="B554" s="75"/>
      <c r="C554" s="75"/>
      <c r="D554" s="75"/>
      <c r="E554" s="75"/>
      <c r="F554" s="75"/>
    </row>
    <row r="555" spans="2:6">
      <c r="B555" s="75"/>
      <c r="C555" s="75"/>
      <c r="D555" s="75"/>
      <c r="E555" s="75"/>
      <c r="F555" s="75"/>
    </row>
    <row r="556" spans="2:6">
      <c r="B556" s="75"/>
      <c r="C556" s="75"/>
      <c r="D556" s="75"/>
      <c r="E556" s="75"/>
      <c r="F556" s="75"/>
    </row>
    <row r="557" spans="2:6">
      <c r="B557" s="75"/>
      <c r="C557" s="75"/>
      <c r="D557" s="75"/>
      <c r="E557" s="75"/>
      <c r="F557" s="75"/>
    </row>
    <row r="558" spans="2:6">
      <c r="B558" s="75"/>
      <c r="C558" s="75"/>
      <c r="D558" s="75"/>
      <c r="E558" s="75"/>
      <c r="F558" s="75"/>
    </row>
    <row r="559" spans="2:6">
      <c r="B559" s="75"/>
      <c r="C559" s="75"/>
      <c r="D559" s="75"/>
      <c r="E559" s="75"/>
      <c r="F559" s="75"/>
    </row>
    <row r="560" spans="2:6">
      <c r="B560" s="75"/>
      <c r="C560" s="75"/>
      <c r="D560" s="75"/>
      <c r="E560" s="75"/>
      <c r="F560" s="75"/>
    </row>
    <row r="561" spans="2:6">
      <c r="B561" s="75"/>
      <c r="C561" s="75"/>
      <c r="D561" s="75"/>
      <c r="E561" s="75"/>
      <c r="F561" s="75"/>
    </row>
    <row r="562" spans="2:6">
      <c r="B562" s="75"/>
      <c r="C562" s="75"/>
      <c r="D562" s="75"/>
      <c r="E562" s="75"/>
      <c r="F562" s="75"/>
    </row>
    <row r="563" spans="2:6">
      <c r="B563" s="75"/>
      <c r="C563" s="75"/>
      <c r="D563" s="75"/>
      <c r="E563" s="75"/>
      <c r="F563" s="75"/>
    </row>
    <row r="564" spans="2:6">
      <c r="B564" s="75"/>
      <c r="C564" s="75"/>
      <c r="D564" s="75"/>
      <c r="E564" s="75"/>
      <c r="F564" s="75"/>
    </row>
    <row r="565" spans="2:6">
      <c r="B565" s="75"/>
      <c r="C565" s="75"/>
      <c r="D565" s="75"/>
      <c r="E565" s="75"/>
      <c r="F565" s="75"/>
    </row>
    <row r="566" spans="2:6">
      <c r="B566" s="75"/>
      <c r="C566" s="75"/>
      <c r="D566" s="75"/>
      <c r="E566" s="75"/>
      <c r="F566" s="75"/>
    </row>
    <row r="567" spans="2:6">
      <c r="B567" s="75"/>
      <c r="C567" s="75"/>
      <c r="D567" s="75"/>
      <c r="E567" s="75"/>
      <c r="F567" s="75"/>
    </row>
    <row r="568" spans="2:6">
      <c r="B568" s="75"/>
      <c r="C568" s="75"/>
      <c r="D568" s="75"/>
      <c r="E568" s="75"/>
      <c r="F568" s="75"/>
    </row>
    <row r="569" spans="2:6">
      <c r="B569" s="75"/>
      <c r="C569" s="75"/>
      <c r="D569" s="75"/>
      <c r="E569" s="75"/>
      <c r="F569" s="75"/>
    </row>
    <row r="570" spans="2:6">
      <c r="B570" s="75"/>
      <c r="C570" s="75"/>
      <c r="D570" s="75"/>
      <c r="E570" s="75"/>
      <c r="F570" s="75"/>
    </row>
    <row r="571" spans="2:6">
      <c r="B571" s="75"/>
      <c r="C571" s="75"/>
      <c r="D571" s="75"/>
      <c r="E571" s="75"/>
      <c r="F571" s="75"/>
    </row>
    <row r="572" spans="2:6">
      <c r="B572" s="75"/>
      <c r="C572" s="75"/>
      <c r="D572" s="75"/>
      <c r="E572" s="75"/>
      <c r="F572" s="75"/>
    </row>
    <row r="573" spans="2:6">
      <c r="B573" s="75"/>
      <c r="C573" s="75"/>
      <c r="D573" s="75"/>
      <c r="E573" s="75"/>
      <c r="F573" s="75"/>
    </row>
    <row r="574" spans="2:6">
      <c r="B574" s="75"/>
      <c r="C574" s="75"/>
      <c r="D574" s="75"/>
      <c r="E574" s="75"/>
      <c r="F574" s="75"/>
    </row>
    <row r="575" spans="2:6">
      <c r="B575" s="75"/>
      <c r="C575" s="75"/>
      <c r="D575" s="75"/>
      <c r="E575" s="75"/>
      <c r="F575" s="75"/>
    </row>
    <row r="576" spans="2:6">
      <c r="B576" s="75"/>
      <c r="C576" s="75"/>
      <c r="D576" s="75"/>
      <c r="E576" s="75"/>
      <c r="F576" s="75"/>
    </row>
    <row r="577" spans="2:6">
      <c r="B577" s="75"/>
      <c r="C577" s="75"/>
      <c r="D577" s="75"/>
      <c r="E577" s="75"/>
      <c r="F577" s="75"/>
    </row>
    <row r="578" spans="2:6">
      <c r="B578" s="75"/>
      <c r="C578" s="75"/>
      <c r="D578" s="75"/>
      <c r="E578" s="75"/>
      <c r="F578" s="75"/>
    </row>
    <row r="579" spans="2:6">
      <c r="B579" s="75"/>
      <c r="C579" s="75"/>
      <c r="D579" s="75"/>
      <c r="E579" s="75"/>
      <c r="F579" s="75"/>
    </row>
    <row r="580" spans="2:6">
      <c r="B580" s="75"/>
      <c r="C580" s="75"/>
      <c r="D580" s="75"/>
      <c r="E580" s="75"/>
      <c r="F580" s="75"/>
    </row>
    <row r="581" spans="2:6">
      <c r="B581" s="75"/>
      <c r="C581" s="75"/>
      <c r="D581" s="75"/>
      <c r="E581" s="75"/>
      <c r="F581" s="75"/>
    </row>
    <row r="582" spans="2:6">
      <c r="B582" s="75"/>
      <c r="C582" s="75"/>
      <c r="D582" s="75"/>
      <c r="E582" s="75"/>
      <c r="F582" s="75"/>
    </row>
    <row r="583" spans="2:6">
      <c r="B583" s="75"/>
      <c r="C583" s="75"/>
      <c r="D583" s="75"/>
      <c r="E583" s="75"/>
      <c r="F583" s="75"/>
    </row>
    <row r="584" spans="2:6">
      <c r="B584" s="75"/>
      <c r="C584" s="75"/>
      <c r="D584" s="75"/>
      <c r="E584" s="75"/>
      <c r="F584" s="75"/>
    </row>
    <row r="585" spans="2:6">
      <c r="B585" s="75"/>
      <c r="C585" s="75"/>
      <c r="D585" s="75"/>
      <c r="E585" s="75"/>
      <c r="F585" s="75"/>
    </row>
    <row r="586" spans="2:6">
      <c r="B586" s="75"/>
      <c r="C586" s="75"/>
      <c r="D586" s="75"/>
      <c r="E586" s="75"/>
      <c r="F586" s="75"/>
    </row>
    <row r="587" spans="2:6">
      <c r="B587" s="75"/>
      <c r="C587" s="75"/>
      <c r="D587" s="75"/>
      <c r="E587" s="75"/>
      <c r="F587" s="75"/>
    </row>
    <row r="588" spans="2:6">
      <c r="B588" s="75"/>
      <c r="C588" s="75"/>
      <c r="D588" s="75"/>
      <c r="E588" s="75"/>
      <c r="F588" s="75"/>
    </row>
    <row r="589" spans="2:6">
      <c r="B589" s="75"/>
      <c r="C589" s="75"/>
      <c r="D589" s="75"/>
      <c r="E589" s="75"/>
      <c r="F589" s="75"/>
    </row>
    <row r="590" spans="2:6">
      <c r="B590" s="75"/>
      <c r="C590" s="75"/>
      <c r="D590" s="75"/>
      <c r="E590" s="75"/>
      <c r="F590" s="75"/>
    </row>
    <row r="591" spans="2:6">
      <c r="B591" s="75"/>
      <c r="C591" s="75"/>
      <c r="D591" s="75"/>
      <c r="E591" s="75"/>
      <c r="F591" s="75"/>
    </row>
    <row r="592" spans="2:6">
      <c r="B592" s="75"/>
      <c r="C592" s="75"/>
      <c r="D592" s="75"/>
      <c r="E592" s="75"/>
      <c r="F592" s="75"/>
    </row>
    <row r="593" spans="2:6">
      <c r="B593" s="75"/>
      <c r="C593" s="75"/>
      <c r="D593" s="75"/>
      <c r="E593" s="75"/>
      <c r="F593" s="75"/>
    </row>
    <row r="594" spans="2:6">
      <c r="B594" s="75"/>
      <c r="C594" s="75"/>
      <c r="D594" s="75"/>
      <c r="E594" s="75"/>
      <c r="F594" s="75"/>
    </row>
    <row r="595" spans="2:6">
      <c r="B595" s="75"/>
      <c r="C595" s="75"/>
      <c r="D595" s="75"/>
      <c r="E595" s="75"/>
      <c r="F595" s="75"/>
    </row>
    <row r="596" spans="2:6">
      <c r="B596" s="75"/>
      <c r="C596" s="75"/>
      <c r="D596" s="75"/>
      <c r="E596" s="75"/>
      <c r="F596" s="75"/>
    </row>
    <row r="597" spans="2:6">
      <c r="B597" s="75"/>
      <c r="C597" s="75"/>
      <c r="D597" s="75"/>
      <c r="E597" s="75"/>
      <c r="F597" s="75"/>
    </row>
    <row r="598" spans="2:6">
      <c r="B598" s="75"/>
      <c r="C598" s="75"/>
      <c r="D598" s="75"/>
      <c r="E598" s="75"/>
      <c r="F598" s="75"/>
    </row>
    <row r="599" spans="2:6">
      <c r="B599" s="75"/>
      <c r="C599" s="75"/>
      <c r="D599" s="75"/>
      <c r="E599" s="75"/>
      <c r="F599" s="75"/>
    </row>
    <row r="600" spans="2:6">
      <c r="B600" s="75"/>
      <c r="C600" s="75"/>
      <c r="D600" s="75"/>
      <c r="E600" s="75"/>
      <c r="F600" s="75"/>
    </row>
    <row r="601" spans="2:6">
      <c r="B601" s="75"/>
      <c r="C601" s="75"/>
      <c r="D601" s="75"/>
      <c r="E601" s="75"/>
      <c r="F601" s="75"/>
    </row>
    <row r="602" spans="2:6">
      <c r="B602" s="75"/>
      <c r="C602" s="75"/>
      <c r="D602" s="75"/>
      <c r="E602" s="75"/>
      <c r="F602" s="75"/>
    </row>
    <row r="603" spans="2:6">
      <c r="B603" s="75"/>
      <c r="C603" s="75"/>
      <c r="D603" s="75"/>
      <c r="E603" s="75"/>
      <c r="F603" s="75"/>
    </row>
    <row r="604" spans="2:6">
      <c r="B604" s="75"/>
      <c r="C604" s="75"/>
      <c r="D604" s="75"/>
      <c r="E604" s="75"/>
      <c r="F604" s="75"/>
    </row>
    <row r="605" spans="2:6">
      <c r="B605" s="75"/>
      <c r="C605" s="75"/>
      <c r="D605" s="75"/>
      <c r="E605" s="75"/>
      <c r="F605" s="75"/>
    </row>
    <row r="606" spans="2:6">
      <c r="B606" s="75"/>
      <c r="C606" s="75"/>
      <c r="D606" s="75"/>
      <c r="E606" s="75"/>
      <c r="F606" s="75"/>
    </row>
    <row r="607" spans="2:6">
      <c r="B607" s="75"/>
      <c r="C607" s="75"/>
      <c r="D607" s="75"/>
      <c r="E607" s="75"/>
      <c r="F607" s="75"/>
    </row>
    <row r="608" spans="2:6">
      <c r="B608" s="75"/>
      <c r="C608" s="75"/>
      <c r="D608" s="75"/>
      <c r="E608" s="75"/>
      <c r="F608" s="75"/>
    </row>
    <row r="609" spans="2:6">
      <c r="B609" s="75"/>
      <c r="C609" s="75"/>
      <c r="D609" s="75"/>
      <c r="E609" s="75"/>
      <c r="F609" s="75"/>
    </row>
    <row r="610" spans="2:6">
      <c r="B610" s="75"/>
      <c r="C610" s="75"/>
      <c r="D610" s="75"/>
      <c r="E610" s="75"/>
      <c r="F610" s="75"/>
    </row>
    <row r="611" spans="2:6">
      <c r="B611" s="75"/>
      <c r="C611" s="75"/>
      <c r="D611" s="75"/>
      <c r="E611" s="75"/>
      <c r="F611" s="75"/>
    </row>
    <row r="612" spans="2:6">
      <c r="B612" s="75"/>
      <c r="C612" s="75"/>
      <c r="D612" s="75"/>
      <c r="E612" s="75"/>
      <c r="F612" s="75"/>
    </row>
    <row r="613" spans="2:6">
      <c r="B613" s="75"/>
      <c r="C613" s="75"/>
      <c r="D613" s="75"/>
      <c r="E613" s="75"/>
      <c r="F613" s="75"/>
    </row>
    <row r="614" spans="2:6">
      <c r="B614" s="75"/>
      <c r="C614" s="75"/>
      <c r="D614" s="75"/>
      <c r="E614" s="75"/>
      <c r="F614" s="75"/>
    </row>
    <row r="615" spans="2:6">
      <c r="B615" s="75"/>
      <c r="C615" s="75"/>
      <c r="D615" s="75"/>
      <c r="E615" s="75"/>
      <c r="F615" s="75"/>
    </row>
    <row r="616" spans="2:6">
      <c r="B616" s="75"/>
      <c r="C616" s="75"/>
      <c r="D616" s="75"/>
      <c r="E616" s="75"/>
      <c r="F616" s="75"/>
    </row>
    <row r="617" spans="2:6">
      <c r="B617" s="75"/>
      <c r="C617" s="75"/>
      <c r="D617" s="75"/>
      <c r="E617" s="75"/>
      <c r="F617" s="75"/>
    </row>
    <row r="618" spans="2:6">
      <c r="B618" s="75"/>
      <c r="C618" s="75"/>
      <c r="D618" s="75"/>
      <c r="E618" s="75"/>
      <c r="F618" s="75"/>
    </row>
    <row r="619" spans="2:6">
      <c r="B619" s="75"/>
      <c r="C619" s="75"/>
      <c r="D619" s="75"/>
      <c r="E619" s="75"/>
      <c r="F619" s="75"/>
    </row>
    <row r="620" spans="2:6">
      <c r="B620" s="75"/>
      <c r="C620" s="75"/>
      <c r="D620" s="75"/>
      <c r="E620" s="75"/>
      <c r="F620" s="75"/>
    </row>
    <row r="621" spans="2:6">
      <c r="B621" s="75"/>
      <c r="C621" s="75"/>
      <c r="D621" s="75"/>
      <c r="E621" s="75"/>
      <c r="F621" s="75"/>
    </row>
    <row r="622" spans="2:6">
      <c r="B622" s="75"/>
      <c r="C622" s="75"/>
      <c r="D622" s="75"/>
      <c r="E622" s="75"/>
      <c r="F622" s="75"/>
    </row>
    <row r="623" spans="2:6">
      <c r="B623" s="75"/>
      <c r="C623" s="75"/>
      <c r="D623" s="75"/>
      <c r="E623" s="75"/>
      <c r="F623" s="75"/>
    </row>
    <row r="624" spans="2:6">
      <c r="B624" s="75"/>
      <c r="C624" s="75"/>
      <c r="D624" s="75"/>
      <c r="E624" s="75"/>
      <c r="F624" s="75"/>
    </row>
    <row r="625" spans="2:6">
      <c r="B625" s="75"/>
      <c r="C625" s="75"/>
      <c r="D625" s="75"/>
      <c r="E625" s="75"/>
      <c r="F625" s="75"/>
    </row>
    <row r="626" spans="2:6">
      <c r="B626" s="75"/>
      <c r="C626" s="75"/>
      <c r="D626" s="75"/>
      <c r="E626" s="75"/>
      <c r="F626" s="75"/>
    </row>
    <row r="627" spans="2:6">
      <c r="B627" s="75"/>
      <c r="C627" s="75"/>
      <c r="D627" s="75"/>
      <c r="E627" s="75"/>
      <c r="F627" s="75"/>
    </row>
    <row r="628" spans="2:6">
      <c r="B628" s="75"/>
      <c r="C628" s="75"/>
      <c r="D628" s="75"/>
      <c r="E628" s="75"/>
      <c r="F628" s="75"/>
    </row>
    <row r="629" spans="2:6">
      <c r="B629" s="75"/>
      <c r="C629" s="75"/>
      <c r="D629" s="75"/>
      <c r="E629" s="75"/>
      <c r="F629" s="75"/>
    </row>
    <row r="630" spans="2:6">
      <c r="B630" s="75"/>
      <c r="C630" s="75"/>
      <c r="D630" s="75"/>
      <c r="E630" s="75"/>
      <c r="F630" s="75"/>
    </row>
    <row r="631" spans="2:6">
      <c r="B631" s="75"/>
      <c r="C631" s="75"/>
      <c r="D631" s="75"/>
      <c r="E631" s="75"/>
      <c r="F631" s="75"/>
    </row>
    <row r="632" spans="2:6">
      <c r="B632" s="75"/>
      <c r="C632" s="75"/>
      <c r="D632" s="75"/>
      <c r="E632" s="75"/>
      <c r="F632" s="75"/>
    </row>
    <row r="633" spans="2:6">
      <c r="B633" s="75"/>
      <c r="C633" s="75"/>
      <c r="D633" s="75"/>
      <c r="E633" s="75"/>
      <c r="F633" s="75"/>
    </row>
    <row r="634" spans="2:6">
      <c r="B634" s="75"/>
      <c r="C634" s="75"/>
      <c r="D634" s="75"/>
      <c r="E634" s="75"/>
      <c r="F634" s="75"/>
    </row>
    <row r="635" spans="2:6">
      <c r="B635" s="75"/>
      <c r="C635" s="75"/>
      <c r="D635" s="75"/>
      <c r="E635" s="75"/>
      <c r="F635" s="75"/>
    </row>
    <row r="636" spans="2:6">
      <c r="B636" s="75"/>
      <c r="C636" s="75"/>
      <c r="D636" s="75"/>
      <c r="E636" s="75"/>
      <c r="F636" s="75"/>
    </row>
    <row r="637" spans="2:6">
      <c r="B637" s="75"/>
      <c r="C637" s="75"/>
      <c r="D637" s="75"/>
      <c r="E637" s="75"/>
      <c r="F637" s="75"/>
    </row>
    <row r="638" spans="2:6">
      <c r="B638" s="75"/>
      <c r="C638" s="75"/>
      <c r="D638" s="75"/>
      <c r="E638" s="75"/>
      <c r="F638" s="75"/>
    </row>
    <row r="639" spans="2:6">
      <c r="B639" s="75"/>
      <c r="C639" s="75"/>
      <c r="D639" s="75"/>
      <c r="E639" s="75"/>
      <c r="F639" s="75"/>
    </row>
    <row r="640" spans="2:6">
      <c r="B640" s="75"/>
      <c r="C640" s="75"/>
      <c r="D640" s="75"/>
      <c r="E640" s="75"/>
      <c r="F640" s="75"/>
    </row>
    <row r="641" spans="2:6">
      <c r="B641" s="75"/>
      <c r="C641" s="75"/>
      <c r="D641" s="75"/>
      <c r="E641" s="75"/>
      <c r="F641" s="75"/>
    </row>
    <row r="642" spans="2:6">
      <c r="B642" s="75"/>
      <c r="C642" s="75"/>
      <c r="D642" s="75"/>
      <c r="E642" s="75"/>
      <c r="F642" s="75"/>
    </row>
    <row r="643" spans="2:6">
      <c r="B643" s="75"/>
      <c r="C643" s="75"/>
      <c r="D643" s="75"/>
      <c r="E643" s="75"/>
      <c r="F643" s="75"/>
    </row>
    <row r="644" spans="2:6">
      <c r="B644" s="75"/>
      <c r="C644" s="75"/>
      <c r="D644" s="75"/>
      <c r="E644" s="75"/>
      <c r="F644" s="75"/>
    </row>
    <row r="645" spans="2:6">
      <c r="B645" s="75"/>
      <c r="C645" s="75"/>
      <c r="D645" s="75"/>
      <c r="E645" s="75"/>
      <c r="F645" s="75"/>
    </row>
    <row r="646" spans="2:6">
      <c r="B646" s="75"/>
      <c r="C646" s="75"/>
      <c r="D646" s="75"/>
      <c r="E646" s="75"/>
      <c r="F646" s="75"/>
    </row>
    <row r="647" spans="2:6">
      <c r="B647" s="75"/>
      <c r="C647" s="75"/>
      <c r="D647" s="75"/>
      <c r="E647" s="75"/>
      <c r="F647" s="75"/>
    </row>
    <row r="648" spans="2:6">
      <c r="B648" s="75"/>
      <c r="C648" s="75"/>
      <c r="D648" s="75"/>
      <c r="E648" s="75"/>
      <c r="F648" s="75"/>
    </row>
    <row r="649" spans="2:6">
      <c r="B649" s="75"/>
      <c r="C649" s="75"/>
      <c r="D649" s="75"/>
      <c r="E649" s="75"/>
      <c r="F649" s="75"/>
    </row>
    <row r="650" spans="2:6">
      <c r="B650" s="75"/>
      <c r="C650" s="75"/>
      <c r="D650" s="75"/>
      <c r="E650" s="75"/>
      <c r="F650" s="75"/>
    </row>
    <row r="651" spans="2:6">
      <c r="B651" s="75"/>
      <c r="C651" s="75"/>
      <c r="D651" s="75"/>
      <c r="E651" s="75"/>
      <c r="F651" s="75"/>
    </row>
    <row r="652" spans="2:6">
      <c r="B652" s="75"/>
      <c r="C652" s="75"/>
      <c r="D652" s="75"/>
      <c r="E652" s="75"/>
      <c r="F652" s="75"/>
    </row>
    <row r="653" spans="2:6">
      <c r="B653" s="75"/>
      <c r="C653" s="75"/>
      <c r="D653" s="75"/>
      <c r="E653" s="75"/>
      <c r="F653" s="75"/>
    </row>
    <row r="654" spans="2:6">
      <c r="B654" s="75"/>
      <c r="C654" s="75"/>
      <c r="D654" s="75"/>
      <c r="E654" s="75"/>
      <c r="F654" s="75"/>
    </row>
    <row r="655" spans="2:6">
      <c r="B655" s="75"/>
      <c r="C655" s="75"/>
      <c r="D655" s="75"/>
      <c r="E655" s="75"/>
      <c r="F655" s="75"/>
    </row>
    <row r="656" spans="2:6">
      <c r="B656" s="75"/>
      <c r="C656" s="75"/>
      <c r="D656" s="75"/>
      <c r="E656" s="75"/>
      <c r="F656" s="75"/>
    </row>
    <row r="657" spans="2:6">
      <c r="B657" s="75"/>
      <c r="C657" s="75"/>
      <c r="D657" s="75"/>
      <c r="E657" s="75"/>
      <c r="F657" s="75"/>
    </row>
    <row r="658" spans="2:6">
      <c r="B658" s="75"/>
      <c r="C658" s="75"/>
      <c r="D658" s="75"/>
      <c r="E658" s="75"/>
      <c r="F658" s="75"/>
    </row>
    <row r="659" spans="2:6">
      <c r="B659" s="75"/>
      <c r="C659" s="75"/>
      <c r="D659" s="75"/>
      <c r="E659" s="75"/>
      <c r="F659" s="75"/>
    </row>
    <row r="660" spans="2:6">
      <c r="B660" s="75"/>
      <c r="C660" s="75"/>
      <c r="D660" s="75"/>
      <c r="E660" s="75"/>
      <c r="F660" s="75"/>
    </row>
    <row r="661" spans="2:6">
      <c r="B661" s="75"/>
      <c r="C661" s="75"/>
      <c r="D661" s="75"/>
      <c r="E661" s="75"/>
      <c r="F661" s="75"/>
    </row>
    <row r="662" spans="2:6">
      <c r="B662" s="75"/>
      <c r="C662" s="75"/>
      <c r="D662" s="75"/>
      <c r="E662" s="75"/>
      <c r="F662" s="75"/>
    </row>
    <row r="663" spans="2:6">
      <c r="B663" s="75"/>
      <c r="C663" s="75"/>
      <c r="D663" s="75"/>
      <c r="E663" s="75"/>
      <c r="F663" s="75"/>
    </row>
    <row r="664" spans="2:6">
      <c r="B664" s="75"/>
      <c r="C664" s="75"/>
      <c r="D664" s="75"/>
      <c r="E664" s="75"/>
      <c r="F664" s="75"/>
    </row>
    <row r="665" spans="2:6">
      <c r="B665" s="75"/>
      <c r="C665" s="75"/>
      <c r="D665" s="75"/>
      <c r="E665" s="75"/>
      <c r="F665" s="75"/>
    </row>
    <row r="666" spans="2:6">
      <c r="B666" s="75"/>
      <c r="C666" s="75"/>
      <c r="D666" s="75"/>
      <c r="E666" s="75"/>
      <c r="F666" s="75"/>
    </row>
    <row r="667" spans="2:6">
      <c r="B667" s="75"/>
      <c r="C667" s="75"/>
      <c r="D667" s="75"/>
      <c r="E667" s="75"/>
      <c r="F667" s="75"/>
    </row>
    <row r="668" spans="2:6">
      <c r="B668" s="75"/>
      <c r="C668" s="75"/>
      <c r="D668" s="75"/>
      <c r="E668" s="75"/>
      <c r="F668" s="75"/>
    </row>
    <row r="669" spans="2:6">
      <c r="B669" s="75"/>
      <c r="C669" s="75"/>
      <c r="D669" s="75"/>
      <c r="E669" s="75"/>
      <c r="F669" s="75"/>
    </row>
    <row r="670" spans="2:6">
      <c r="B670" s="75"/>
      <c r="C670" s="75"/>
      <c r="D670" s="75"/>
      <c r="E670" s="75"/>
      <c r="F670" s="75"/>
    </row>
    <row r="671" spans="2:6">
      <c r="B671" s="75"/>
      <c r="C671" s="75"/>
      <c r="D671" s="75"/>
      <c r="E671" s="75"/>
      <c r="F671" s="75"/>
    </row>
    <row r="672" spans="2:6">
      <c r="B672" s="75"/>
      <c r="C672" s="75"/>
      <c r="D672" s="75"/>
      <c r="E672" s="75"/>
      <c r="F672" s="75"/>
    </row>
    <row r="673" spans="2:6">
      <c r="B673" s="75"/>
      <c r="C673" s="75"/>
      <c r="D673" s="75"/>
      <c r="E673" s="75"/>
      <c r="F673" s="75"/>
    </row>
    <row r="674" spans="2:6">
      <c r="B674" s="75"/>
      <c r="C674" s="75"/>
      <c r="D674" s="75"/>
      <c r="E674" s="75"/>
      <c r="F674" s="75"/>
    </row>
    <row r="675" spans="2:6">
      <c r="B675" s="75"/>
      <c r="C675" s="75"/>
      <c r="D675" s="75"/>
      <c r="E675" s="75"/>
      <c r="F675" s="75"/>
    </row>
    <row r="676" spans="2:6">
      <c r="B676" s="75"/>
      <c r="C676" s="75"/>
      <c r="D676" s="75"/>
      <c r="E676" s="75"/>
      <c r="F676" s="75"/>
    </row>
    <row r="677" spans="2:6">
      <c r="B677" s="75"/>
      <c r="C677" s="75"/>
      <c r="D677" s="75"/>
      <c r="E677" s="75"/>
      <c r="F677" s="75"/>
    </row>
    <row r="678" spans="2:6">
      <c r="B678" s="75"/>
      <c r="C678" s="75"/>
      <c r="D678" s="75"/>
      <c r="E678" s="75"/>
      <c r="F678" s="75"/>
    </row>
    <row r="679" spans="2:6">
      <c r="B679" s="75"/>
      <c r="C679" s="75"/>
      <c r="D679" s="75"/>
      <c r="E679" s="75"/>
      <c r="F679" s="75"/>
    </row>
    <row r="680" spans="2:6">
      <c r="B680" s="75"/>
      <c r="C680" s="75"/>
      <c r="D680" s="75"/>
      <c r="E680" s="75"/>
      <c r="F680" s="75"/>
    </row>
    <row r="681" spans="2:6">
      <c r="B681" s="75"/>
      <c r="C681" s="75"/>
      <c r="D681" s="75"/>
      <c r="E681" s="75"/>
      <c r="F681" s="75"/>
    </row>
    <row r="682" spans="2:6">
      <c r="B682" s="75"/>
      <c r="C682" s="75"/>
      <c r="D682" s="75"/>
      <c r="E682" s="75"/>
      <c r="F682" s="75"/>
    </row>
    <row r="683" spans="2:6">
      <c r="B683" s="75"/>
      <c r="C683" s="75"/>
      <c r="D683" s="75"/>
      <c r="E683" s="75"/>
      <c r="F683" s="75"/>
    </row>
    <row r="684" spans="2:6">
      <c r="B684" s="75"/>
      <c r="C684" s="75"/>
      <c r="D684" s="75"/>
      <c r="E684" s="75"/>
      <c r="F684" s="75"/>
    </row>
    <row r="685" spans="2:6">
      <c r="B685" s="75"/>
      <c r="C685" s="75"/>
      <c r="D685" s="75"/>
      <c r="E685" s="75"/>
      <c r="F685" s="75"/>
    </row>
    <row r="686" spans="2:6">
      <c r="B686" s="75"/>
      <c r="C686" s="75"/>
      <c r="D686" s="75"/>
      <c r="E686" s="75"/>
      <c r="F686" s="75"/>
    </row>
    <row r="687" spans="2:6">
      <c r="B687" s="75"/>
      <c r="C687" s="75"/>
      <c r="D687" s="75"/>
      <c r="E687" s="75"/>
      <c r="F687" s="75"/>
    </row>
    <row r="688" spans="2:6">
      <c r="B688" s="75"/>
      <c r="C688" s="75"/>
      <c r="D688" s="75"/>
      <c r="E688" s="75"/>
      <c r="F688" s="75"/>
    </row>
    <row r="689" spans="2:6">
      <c r="B689" s="75"/>
      <c r="C689" s="75"/>
      <c r="D689" s="75"/>
      <c r="E689" s="75"/>
      <c r="F689" s="75"/>
    </row>
    <row r="690" spans="2:6">
      <c r="B690" s="75"/>
      <c r="C690" s="75"/>
      <c r="D690" s="75"/>
      <c r="E690" s="75"/>
      <c r="F690" s="75"/>
    </row>
    <row r="691" spans="2:6">
      <c r="B691" s="75"/>
      <c r="C691" s="75"/>
      <c r="D691" s="75"/>
      <c r="E691" s="75"/>
      <c r="F691" s="75"/>
    </row>
    <row r="692" spans="2:6">
      <c r="B692" s="75"/>
      <c r="C692" s="75"/>
      <c r="D692" s="75"/>
      <c r="E692" s="75"/>
      <c r="F692" s="75"/>
    </row>
    <row r="693" spans="2:6">
      <c r="B693" s="75"/>
      <c r="C693" s="75"/>
      <c r="D693" s="75"/>
      <c r="E693" s="75"/>
      <c r="F693" s="75"/>
    </row>
    <row r="694" spans="2:6">
      <c r="B694" s="75"/>
      <c r="C694" s="75"/>
      <c r="D694" s="75"/>
      <c r="E694" s="75"/>
      <c r="F694" s="75"/>
    </row>
    <row r="695" spans="2:6">
      <c r="B695" s="75"/>
      <c r="C695" s="75"/>
      <c r="D695" s="75"/>
      <c r="E695" s="75"/>
      <c r="F695" s="75"/>
    </row>
    <row r="696" spans="2:6">
      <c r="B696" s="75"/>
      <c r="C696" s="75"/>
      <c r="D696" s="75"/>
      <c r="E696" s="75"/>
      <c r="F696" s="75"/>
    </row>
    <row r="697" spans="2:6">
      <c r="B697" s="75"/>
      <c r="C697" s="75"/>
      <c r="D697" s="75"/>
      <c r="E697" s="75"/>
      <c r="F697" s="75"/>
    </row>
    <row r="698" spans="2:6">
      <c r="B698" s="75"/>
      <c r="C698" s="75"/>
      <c r="D698" s="75"/>
      <c r="E698" s="75"/>
      <c r="F698" s="75"/>
    </row>
    <row r="699" spans="2:6">
      <c r="B699" s="75"/>
      <c r="C699" s="75"/>
      <c r="D699" s="75"/>
      <c r="E699" s="75"/>
      <c r="F699" s="75"/>
    </row>
    <row r="700" spans="2:6">
      <c r="B700" s="75"/>
      <c r="C700" s="75"/>
      <c r="D700" s="75"/>
      <c r="E700" s="75"/>
      <c r="F700" s="75"/>
    </row>
    <row r="701" spans="2:6">
      <c r="B701" s="75"/>
      <c r="C701" s="75"/>
      <c r="D701" s="75"/>
      <c r="E701" s="75"/>
      <c r="F701" s="75"/>
    </row>
    <row r="702" spans="2:6">
      <c r="B702" s="75"/>
      <c r="C702" s="75"/>
      <c r="D702" s="75"/>
      <c r="E702" s="75"/>
      <c r="F702" s="75"/>
    </row>
    <row r="703" spans="2:6">
      <c r="B703" s="75"/>
      <c r="C703" s="75"/>
      <c r="D703" s="75"/>
      <c r="E703" s="75"/>
      <c r="F703" s="75"/>
    </row>
    <row r="704" spans="2:6">
      <c r="B704" s="75"/>
      <c r="C704" s="75"/>
      <c r="D704" s="75"/>
      <c r="E704" s="75"/>
      <c r="F704" s="75"/>
    </row>
    <row r="705" spans="2:6">
      <c r="B705" s="75"/>
      <c r="C705" s="75"/>
      <c r="D705" s="75"/>
      <c r="E705" s="75"/>
      <c r="F705" s="75"/>
    </row>
    <row r="706" spans="2:6">
      <c r="B706" s="75"/>
      <c r="C706" s="75"/>
      <c r="D706" s="75"/>
      <c r="E706" s="75"/>
      <c r="F706" s="75"/>
    </row>
    <row r="707" spans="2:6">
      <c r="B707" s="75"/>
      <c r="C707" s="75"/>
      <c r="D707" s="75"/>
      <c r="E707" s="75"/>
      <c r="F707" s="75"/>
    </row>
    <row r="708" spans="2:6">
      <c r="B708" s="75"/>
      <c r="C708" s="75"/>
      <c r="D708" s="75"/>
      <c r="E708" s="75"/>
      <c r="F708" s="75"/>
    </row>
    <row r="709" spans="2:6">
      <c r="B709" s="75"/>
      <c r="C709" s="75"/>
      <c r="D709" s="75"/>
      <c r="E709" s="75"/>
      <c r="F709" s="75"/>
    </row>
    <row r="710" spans="2:6">
      <c r="B710" s="75"/>
      <c r="C710" s="75"/>
      <c r="D710" s="75"/>
      <c r="E710" s="75"/>
      <c r="F710" s="75"/>
    </row>
    <row r="711" spans="2:6">
      <c r="B711" s="75"/>
      <c r="C711" s="75"/>
      <c r="D711" s="75"/>
      <c r="E711" s="75"/>
      <c r="F711" s="75"/>
    </row>
    <row r="712" spans="2:6">
      <c r="B712" s="75"/>
      <c r="C712" s="75"/>
      <c r="D712" s="75"/>
      <c r="E712" s="75"/>
      <c r="F712" s="75"/>
    </row>
    <row r="713" spans="2:6">
      <c r="B713" s="75"/>
      <c r="C713" s="75"/>
      <c r="D713" s="75"/>
      <c r="E713" s="75"/>
      <c r="F713" s="75"/>
    </row>
    <row r="714" spans="2:6">
      <c r="B714" s="75"/>
      <c r="C714" s="75"/>
      <c r="D714" s="75"/>
      <c r="E714" s="75"/>
      <c r="F714" s="75"/>
    </row>
    <row r="715" spans="2:6">
      <c r="B715" s="75"/>
      <c r="C715" s="75"/>
      <c r="D715" s="75"/>
      <c r="E715" s="75"/>
      <c r="F715" s="75"/>
    </row>
    <row r="716" spans="2:6">
      <c r="B716" s="75"/>
      <c r="C716" s="75"/>
      <c r="D716" s="75"/>
      <c r="E716" s="75"/>
      <c r="F716" s="75"/>
    </row>
    <row r="717" spans="2:6">
      <c r="B717" s="75"/>
      <c r="C717" s="75"/>
      <c r="D717" s="75"/>
      <c r="E717" s="75"/>
      <c r="F717" s="75"/>
    </row>
    <row r="718" spans="2:6">
      <c r="B718" s="75"/>
      <c r="C718" s="75"/>
      <c r="D718" s="75"/>
      <c r="E718" s="75"/>
      <c r="F718" s="75"/>
    </row>
    <row r="719" spans="2:6">
      <c r="B719" s="75"/>
      <c r="C719" s="75"/>
      <c r="D719" s="75"/>
      <c r="E719" s="75"/>
      <c r="F719" s="75"/>
    </row>
    <row r="720" spans="2:6">
      <c r="B720" s="75"/>
      <c r="C720" s="75"/>
      <c r="D720" s="75"/>
      <c r="E720" s="75"/>
      <c r="F720" s="75"/>
    </row>
    <row r="721" spans="2:6">
      <c r="B721" s="75"/>
      <c r="C721" s="75"/>
      <c r="D721" s="75"/>
      <c r="E721" s="75"/>
      <c r="F721" s="75"/>
    </row>
    <row r="722" spans="2:6">
      <c r="B722" s="75"/>
      <c r="C722" s="75"/>
      <c r="D722" s="75"/>
      <c r="E722" s="75"/>
      <c r="F722" s="75"/>
    </row>
    <row r="723" spans="2:6">
      <c r="B723" s="75"/>
      <c r="C723" s="75"/>
      <c r="D723" s="75"/>
      <c r="E723" s="75"/>
      <c r="F723" s="75"/>
    </row>
    <row r="724" spans="2:6">
      <c r="B724" s="75"/>
      <c r="C724" s="75"/>
      <c r="D724" s="75"/>
      <c r="E724" s="75"/>
      <c r="F724" s="75"/>
    </row>
    <row r="725" spans="2:6">
      <c r="B725" s="75"/>
      <c r="C725" s="75"/>
      <c r="D725" s="75"/>
      <c r="E725" s="75"/>
      <c r="F725" s="75"/>
    </row>
    <row r="726" spans="2:6">
      <c r="B726" s="75"/>
      <c r="C726" s="75"/>
      <c r="D726" s="75"/>
      <c r="E726" s="75"/>
      <c r="F726" s="75"/>
    </row>
    <row r="727" spans="2:6">
      <c r="B727" s="75"/>
      <c r="C727" s="75"/>
      <c r="D727" s="75"/>
      <c r="E727" s="75"/>
      <c r="F727" s="75"/>
    </row>
    <row r="728" spans="2:6">
      <c r="B728" s="75"/>
      <c r="C728" s="75"/>
      <c r="D728" s="75"/>
      <c r="E728" s="75"/>
      <c r="F728" s="75"/>
    </row>
    <row r="729" spans="2:6">
      <c r="B729" s="75"/>
      <c r="C729" s="75"/>
      <c r="D729" s="75"/>
      <c r="E729" s="75"/>
      <c r="F729" s="75"/>
    </row>
    <row r="730" spans="2:6">
      <c r="B730" s="75"/>
      <c r="C730" s="75"/>
      <c r="D730" s="75"/>
      <c r="E730" s="75"/>
      <c r="F730" s="75"/>
    </row>
    <row r="731" spans="2:6">
      <c r="B731" s="75"/>
      <c r="C731" s="75"/>
      <c r="D731" s="75"/>
      <c r="E731" s="75"/>
      <c r="F731" s="75"/>
    </row>
    <row r="732" spans="2:6">
      <c r="B732" s="75"/>
      <c r="C732" s="75"/>
      <c r="D732" s="75"/>
      <c r="E732" s="75"/>
      <c r="F732" s="75"/>
    </row>
    <row r="733" spans="2:6">
      <c r="B733" s="75"/>
      <c r="C733" s="75"/>
      <c r="D733" s="75"/>
      <c r="E733" s="75"/>
      <c r="F733" s="75"/>
    </row>
    <row r="734" spans="2:6">
      <c r="B734" s="75"/>
      <c r="C734" s="75"/>
      <c r="D734" s="75"/>
      <c r="E734" s="75"/>
      <c r="F734" s="75"/>
    </row>
    <row r="735" spans="2:6">
      <c r="B735" s="75"/>
      <c r="C735" s="75"/>
      <c r="D735" s="75"/>
      <c r="E735" s="75"/>
      <c r="F735" s="75"/>
    </row>
    <row r="736" spans="2:6">
      <c r="B736" s="75"/>
      <c r="C736" s="75"/>
      <c r="D736" s="75"/>
      <c r="E736" s="75"/>
      <c r="F736" s="75"/>
    </row>
    <row r="737" spans="2:6">
      <c r="B737" s="75"/>
      <c r="C737" s="75"/>
      <c r="D737" s="75"/>
      <c r="E737" s="75"/>
      <c r="F737" s="75"/>
    </row>
    <row r="738" spans="2:6">
      <c r="B738" s="75"/>
      <c r="C738" s="75"/>
      <c r="D738" s="75"/>
      <c r="E738" s="75"/>
      <c r="F738" s="75"/>
    </row>
    <row r="739" spans="2:6">
      <c r="B739" s="75"/>
      <c r="C739" s="75"/>
      <c r="D739" s="75"/>
      <c r="E739" s="75"/>
      <c r="F739" s="75"/>
    </row>
    <row r="740" spans="2:6">
      <c r="B740" s="75"/>
      <c r="C740" s="75"/>
      <c r="D740" s="75"/>
      <c r="E740" s="75"/>
      <c r="F740" s="75"/>
    </row>
    <row r="741" spans="2:6">
      <c r="B741" s="75"/>
      <c r="C741" s="75"/>
      <c r="D741" s="75"/>
      <c r="E741" s="75"/>
      <c r="F741" s="75"/>
    </row>
    <row r="742" spans="2:6">
      <c r="B742" s="75"/>
      <c r="C742" s="75"/>
      <c r="D742" s="75"/>
      <c r="E742" s="75"/>
      <c r="F742" s="75"/>
    </row>
    <row r="743" spans="2:6">
      <c r="B743" s="75"/>
      <c r="C743" s="75"/>
      <c r="D743" s="75"/>
      <c r="E743" s="75"/>
      <c r="F743" s="75"/>
    </row>
    <row r="744" spans="2:6">
      <c r="B744" s="75"/>
      <c r="C744" s="75"/>
      <c r="D744" s="75"/>
      <c r="E744" s="75"/>
      <c r="F744" s="75"/>
    </row>
    <row r="745" spans="2:6">
      <c r="B745" s="75"/>
      <c r="C745" s="75"/>
      <c r="D745" s="75"/>
      <c r="E745" s="75"/>
      <c r="F745" s="75"/>
    </row>
    <row r="746" spans="2:6">
      <c r="B746" s="75"/>
      <c r="C746" s="75"/>
      <c r="D746" s="75"/>
      <c r="E746" s="75"/>
      <c r="F746" s="75"/>
    </row>
    <row r="747" spans="2:6">
      <c r="B747" s="75"/>
      <c r="C747" s="75"/>
      <c r="D747" s="75"/>
      <c r="E747" s="75"/>
      <c r="F747" s="75"/>
    </row>
    <row r="748" spans="2:6">
      <c r="B748" s="75"/>
      <c r="C748" s="75"/>
      <c r="D748" s="75"/>
      <c r="E748" s="75"/>
      <c r="F748" s="75"/>
    </row>
    <row r="749" spans="2:6">
      <c r="B749" s="75"/>
      <c r="C749" s="75"/>
      <c r="D749" s="75"/>
      <c r="E749" s="75"/>
      <c r="F749" s="75"/>
    </row>
    <row r="750" spans="2:6">
      <c r="B750" s="75"/>
      <c r="C750" s="75"/>
      <c r="D750" s="75"/>
      <c r="E750" s="75"/>
      <c r="F750" s="75"/>
    </row>
    <row r="751" spans="2:6">
      <c r="B751" s="75"/>
      <c r="C751" s="75"/>
      <c r="D751" s="75"/>
      <c r="E751" s="75"/>
      <c r="F751" s="75"/>
    </row>
    <row r="752" spans="2:6">
      <c r="B752" s="75"/>
      <c r="C752" s="75"/>
      <c r="D752" s="75"/>
      <c r="E752" s="75"/>
      <c r="F752" s="75"/>
    </row>
    <row r="753" spans="2:6">
      <c r="B753" s="75"/>
      <c r="C753" s="75"/>
      <c r="D753" s="75"/>
      <c r="E753" s="75"/>
      <c r="F753" s="75"/>
    </row>
    <row r="754" spans="2:6">
      <c r="B754" s="75"/>
      <c r="C754" s="75"/>
      <c r="D754" s="75"/>
      <c r="E754" s="75"/>
      <c r="F754" s="75"/>
    </row>
    <row r="755" spans="2:6">
      <c r="B755" s="75"/>
      <c r="C755" s="75"/>
      <c r="D755" s="75"/>
      <c r="E755" s="75"/>
      <c r="F755" s="75"/>
    </row>
    <row r="756" spans="2:6">
      <c r="B756" s="75"/>
      <c r="C756" s="75"/>
      <c r="D756" s="75"/>
      <c r="E756" s="75"/>
      <c r="F756" s="75"/>
    </row>
    <row r="757" spans="2:6">
      <c r="B757" s="75"/>
      <c r="C757" s="75"/>
      <c r="D757" s="75"/>
      <c r="E757" s="75"/>
      <c r="F757" s="75"/>
    </row>
    <row r="758" spans="2:6">
      <c r="B758" s="75"/>
      <c r="C758" s="75"/>
      <c r="D758" s="75"/>
      <c r="E758" s="75"/>
      <c r="F758" s="75"/>
    </row>
    <row r="759" spans="2:6">
      <c r="B759" s="75"/>
      <c r="C759" s="75"/>
      <c r="D759" s="75"/>
      <c r="E759" s="75"/>
      <c r="F759" s="75"/>
    </row>
    <row r="760" spans="2:6">
      <c r="B760" s="75"/>
      <c r="C760" s="75"/>
      <c r="D760" s="75"/>
      <c r="E760" s="75"/>
      <c r="F760" s="75"/>
    </row>
    <row r="761" spans="2:6">
      <c r="B761" s="75"/>
      <c r="C761" s="75"/>
      <c r="D761" s="75"/>
      <c r="E761" s="75"/>
      <c r="F761" s="75"/>
    </row>
    <row r="762" spans="2:6">
      <c r="B762" s="75"/>
      <c r="C762" s="75"/>
      <c r="D762" s="75"/>
      <c r="E762" s="75"/>
      <c r="F762" s="75"/>
    </row>
    <row r="763" spans="2:6">
      <c r="B763" s="75"/>
      <c r="C763" s="75"/>
      <c r="D763" s="75"/>
      <c r="E763" s="75"/>
      <c r="F763" s="75"/>
    </row>
    <row r="764" spans="2:6">
      <c r="B764" s="75"/>
      <c r="C764" s="75"/>
      <c r="D764" s="75"/>
      <c r="E764" s="75"/>
      <c r="F764" s="75"/>
    </row>
    <row r="765" spans="2:6">
      <c r="B765" s="75"/>
      <c r="C765" s="75"/>
      <c r="D765" s="75"/>
      <c r="E765" s="75"/>
      <c r="F765" s="75"/>
    </row>
    <row r="766" spans="2:6">
      <c r="B766" s="75"/>
      <c r="C766" s="75"/>
      <c r="D766" s="75"/>
      <c r="E766" s="75"/>
      <c r="F766" s="75"/>
    </row>
    <row r="767" spans="2:6">
      <c r="B767" s="75"/>
      <c r="C767" s="75"/>
      <c r="D767" s="75"/>
      <c r="E767" s="75"/>
      <c r="F767" s="75"/>
    </row>
    <row r="768" spans="2:6">
      <c r="B768" s="75"/>
      <c r="C768" s="75"/>
      <c r="D768" s="75"/>
      <c r="E768" s="75"/>
      <c r="F768" s="75"/>
    </row>
    <row r="769" spans="2:6">
      <c r="B769" s="75"/>
      <c r="C769" s="75"/>
      <c r="D769" s="75"/>
      <c r="E769" s="75"/>
      <c r="F769" s="75"/>
    </row>
    <row r="770" spans="2:6">
      <c r="B770" s="75"/>
      <c r="C770" s="75"/>
      <c r="D770" s="75"/>
      <c r="E770" s="75"/>
      <c r="F770" s="75"/>
    </row>
    <row r="771" spans="2:6">
      <c r="B771" s="75"/>
      <c r="C771" s="75"/>
      <c r="D771" s="75"/>
      <c r="E771" s="75"/>
      <c r="F771" s="75"/>
    </row>
    <row r="772" spans="2:6">
      <c r="B772" s="75"/>
      <c r="C772" s="75"/>
      <c r="D772" s="75"/>
      <c r="E772" s="75"/>
      <c r="F772" s="75"/>
    </row>
    <row r="773" spans="2:6">
      <c r="B773" s="75"/>
      <c r="C773" s="75"/>
      <c r="D773" s="75"/>
      <c r="E773" s="75"/>
      <c r="F773" s="75"/>
    </row>
    <row r="774" spans="2:6">
      <c r="B774" s="75"/>
      <c r="C774" s="75"/>
      <c r="D774" s="75"/>
      <c r="E774" s="75"/>
      <c r="F774" s="75"/>
    </row>
    <row r="775" spans="2:6">
      <c r="B775" s="75"/>
      <c r="C775" s="75"/>
      <c r="D775" s="75"/>
      <c r="E775" s="75"/>
      <c r="F775" s="75"/>
    </row>
    <row r="776" spans="2:6">
      <c r="B776" s="75"/>
      <c r="C776" s="75"/>
      <c r="D776" s="75"/>
      <c r="E776" s="75"/>
      <c r="F776" s="75"/>
    </row>
    <row r="777" spans="2:6">
      <c r="B777" s="75"/>
      <c r="C777" s="75"/>
      <c r="D777" s="75"/>
      <c r="E777" s="75"/>
      <c r="F777" s="75"/>
    </row>
    <row r="778" spans="2:6">
      <c r="B778" s="75"/>
      <c r="C778" s="75"/>
      <c r="D778" s="75"/>
      <c r="E778" s="75"/>
      <c r="F778" s="75"/>
    </row>
    <row r="779" spans="2:6">
      <c r="B779" s="75"/>
      <c r="C779" s="75"/>
      <c r="D779" s="75"/>
      <c r="E779" s="75"/>
      <c r="F779" s="75"/>
    </row>
    <row r="780" spans="2:6">
      <c r="B780" s="75"/>
      <c r="C780" s="75"/>
      <c r="D780" s="75"/>
      <c r="E780" s="75"/>
      <c r="F780" s="75"/>
    </row>
    <row r="781" spans="2:6">
      <c r="B781" s="75"/>
      <c r="C781" s="75"/>
      <c r="D781" s="75"/>
      <c r="E781" s="75"/>
      <c r="F781" s="75"/>
    </row>
    <row r="782" spans="2:6">
      <c r="B782" s="75"/>
      <c r="C782" s="75"/>
      <c r="D782" s="75"/>
      <c r="E782" s="75"/>
      <c r="F782" s="75"/>
    </row>
    <row r="783" spans="2:6">
      <c r="B783" s="75"/>
      <c r="C783" s="75"/>
      <c r="D783" s="75"/>
      <c r="E783" s="75"/>
      <c r="F783" s="75"/>
    </row>
    <row r="784" spans="2:6">
      <c r="B784" s="75"/>
      <c r="C784" s="75"/>
      <c r="D784" s="75"/>
      <c r="E784" s="75"/>
      <c r="F784" s="75"/>
    </row>
    <row r="785" spans="2:6">
      <c r="B785" s="75"/>
      <c r="C785" s="75"/>
      <c r="D785" s="75"/>
      <c r="E785" s="75"/>
      <c r="F785" s="75"/>
    </row>
    <row r="786" spans="2:6">
      <c r="B786" s="75"/>
      <c r="C786" s="75"/>
      <c r="D786" s="75"/>
      <c r="E786" s="75"/>
      <c r="F786" s="75"/>
    </row>
    <row r="787" spans="2:6">
      <c r="B787" s="75"/>
      <c r="C787" s="75"/>
      <c r="D787" s="75"/>
      <c r="E787" s="75"/>
      <c r="F787" s="75"/>
    </row>
    <row r="788" spans="2:6">
      <c r="B788" s="75"/>
      <c r="C788" s="75"/>
      <c r="D788" s="75"/>
      <c r="E788" s="75"/>
      <c r="F788" s="75"/>
    </row>
    <row r="789" spans="2:6">
      <c r="B789" s="75"/>
      <c r="C789" s="75"/>
      <c r="D789" s="75"/>
      <c r="E789" s="75"/>
      <c r="F789" s="75"/>
    </row>
    <row r="790" spans="2:6">
      <c r="B790" s="75"/>
      <c r="C790" s="75"/>
      <c r="D790" s="75"/>
      <c r="E790" s="75"/>
      <c r="F790" s="75"/>
    </row>
    <row r="791" spans="2:6">
      <c r="B791" s="75"/>
      <c r="C791" s="75"/>
      <c r="D791" s="75"/>
      <c r="E791" s="75"/>
      <c r="F791" s="75"/>
    </row>
    <row r="792" spans="2:6">
      <c r="B792" s="75"/>
      <c r="C792" s="75"/>
      <c r="D792" s="75"/>
      <c r="E792" s="75"/>
      <c r="F792" s="75"/>
    </row>
    <row r="793" spans="2:6">
      <c r="B793" s="75"/>
      <c r="C793" s="75"/>
      <c r="D793" s="75"/>
      <c r="E793" s="75"/>
      <c r="F793" s="75"/>
    </row>
    <row r="794" spans="2:6">
      <c r="B794" s="75"/>
      <c r="C794" s="75"/>
      <c r="D794" s="75"/>
      <c r="E794" s="75"/>
      <c r="F794" s="75"/>
    </row>
    <row r="795" spans="2:6">
      <c r="B795" s="75"/>
      <c r="C795" s="75"/>
      <c r="D795" s="75"/>
      <c r="E795" s="75"/>
      <c r="F795" s="75"/>
    </row>
    <row r="796" spans="2:6">
      <c r="B796" s="75"/>
      <c r="C796" s="75"/>
      <c r="D796" s="75"/>
      <c r="E796" s="75"/>
      <c r="F796" s="75"/>
    </row>
    <row r="797" spans="2:6">
      <c r="B797" s="75"/>
      <c r="C797" s="75"/>
      <c r="D797" s="75"/>
      <c r="E797" s="75"/>
      <c r="F797" s="75"/>
    </row>
    <row r="798" spans="2:6">
      <c r="B798" s="75"/>
      <c r="C798" s="75"/>
      <c r="D798" s="75"/>
      <c r="E798" s="75"/>
      <c r="F798" s="75"/>
    </row>
    <row r="799" spans="2:6">
      <c r="B799" s="75"/>
      <c r="C799" s="75"/>
      <c r="D799" s="75"/>
      <c r="E799" s="75"/>
      <c r="F799" s="75"/>
    </row>
    <row r="800" spans="2:6">
      <c r="B800" s="75"/>
      <c r="C800" s="75"/>
      <c r="D800" s="75"/>
      <c r="E800" s="75"/>
      <c r="F800" s="75"/>
    </row>
    <row r="801" spans="2:6">
      <c r="B801" s="75"/>
      <c r="C801" s="75"/>
      <c r="D801" s="75"/>
      <c r="E801" s="75"/>
      <c r="F801" s="75"/>
    </row>
    <row r="802" spans="2:6">
      <c r="B802" s="75"/>
      <c r="C802" s="75"/>
      <c r="D802" s="75"/>
      <c r="E802" s="75"/>
      <c r="F802" s="75"/>
    </row>
    <row r="803" spans="2:6">
      <c r="B803" s="75"/>
      <c r="C803" s="75"/>
      <c r="D803" s="75"/>
      <c r="E803" s="75"/>
      <c r="F803" s="75"/>
    </row>
    <row r="804" spans="2:6">
      <c r="B804" s="75"/>
      <c r="C804" s="75"/>
      <c r="D804" s="75"/>
      <c r="E804" s="75"/>
      <c r="F804" s="75"/>
    </row>
    <row r="805" spans="2:6">
      <c r="B805" s="75"/>
      <c r="C805" s="75"/>
      <c r="D805" s="75"/>
      <c r="E805" s="75"/>
      <c r="F805" s="75"/>
    </row>
    <row r="806" spans="2:6">
      <c r="B806" s="75"/>
      <c r="C806" s="75"/>
      <c r="D806" s="75"/>
      <c r="E806" s="75"/>
      <c r="F806" s="75"/>
    </row>
    <row r="807" spans="2:6">
      <c r="B807" s="75"/>
      <c r="C807" s="75"/>
      <c r="D807" s="75"/>
      <c r="E807" s="75"/>
      <c r="F807" s="75"/>
    </row>
    <row r="808" spans="2:6">
      <c r="B808" s="75"/>
      <c r="C808" s="75"/>
      <c r="D808" s="75"/>
      <c r="E808" s="75"/>
      <c r="F808" s="75"/>
    </row>
    <row r="809" spans="2:6">
      <c r="B809" s="75"/>
      <c r="C809" s="75"/>
      <c r="D809" s="75"/>
      <c r="E809" s="75"/>
      <c r="F809" s="75"/>
    </row>
    <row r="810" spans="2:6">
      <c r="B810" s="75"/>
      <c r="C810" s="75"/>
      <c r="D810" s="75"/>
      <c r="E810" s="75"/>
      <c r="F810" s="75"/>
    </row>
    <row r="811" spans="2:6">
      <c r="B811" s="75"/>
      <c r="C811" s="75"/>
      <c r="D811" s="75"/>
      <c r="E811" s="75"/>
      <c r="F811" s="75"/>
    </row>
    <row r="812" spans="2:6">
      <c r="B812" s="75"/>
      <c r="C812" s="75"/>
      <c r="D812" s="75"/>
      <c r="E812" s="75"/>
      <c r="F812" s="75"/>
    </row>
    <row r="813" spans="2:6">
      <c r="B813" s="75"/>
      <c r="C813" s="75"/>
      <c r="D813" s="75"/>
      <c r="E813" s="75"/>
      <c r="F813" s="75"/>
    </row>
    <row r="814" spans="2:6">
      <c r="B814" s="75"/>
      <c r="C814" s="75"/>
      <c r="D814" s="75"/>
      <c r="E814" s="75"/>
      <c r="F814" s="75"/>
    </row>
    <row r="815" spans="2:6">
      <c r="B815" s="75"/>
      <c r="C815" s="75"/>
      <c r="D815" s="75"/>
      <c r="E815" s="75"/>
      <c r="F815" s="75"/>
    </row>
    <row r="816" spans="2:6">
      <c r="B816" s="75"/>
      <c r="C816" s="75"/>
      <c r="D816" s="75"/>
      <c r="E816" s="75"/>
      <c r="F816" s="75"/>
    </row>
    <row r="817" spans="2:6">
      <c r="B817" s="75"/>
      <c r="C817" s="75"/>
      <c r="D817" s="75"/>
      <c r="E817" s="75"/>
      <c r="F817" s="75"/>
    </row>
    <row r="818" spans="2:6">
      <c r="B818" s="75"/>
      <c r="C818" s="75"/>
      <c r="D818" s="75"/>
      <c r="E818" s="75"/>
      <c r="F818" s="75"/>
    </row>
    <row r="819" spans="2:6">
      <c r="B819" s="75"/>
      <c r="C819" s="75"/>
      <c r="D819" s="75"/>
      <c r="E819" s="75"/>
      <c r="F819" s="75"/>
    </row>
    <row r="820" spans="2:6">
      <c r="B820" s="75"/>
      <c r="C820" s="75"/>
      <c r="D820" s="75"/>
      <c r="E820" s="75"/>
      <c r="F820" s="75"/>
    </row>
    <row r="821" spans="2:6">
      <c r="B821" s="75"/>
      <c r="C821" s="75"/>
      <c r="D821" s="75"/>
      <c r="E821" s="75"/>
      <c r="F821" s="75"/>
    </row>
    <row r="822" spans="2:6">
      <c r="B822" s="75"/>
      <c r="C822" s="75"/>
      <c r="D822" s="75"/>
      <c r="E822" s="75"/>
      <c r="F822" s="75"/>
    </row>
    <row r="823" spans="2:6">
      <c r="B823" s="75"/>
      <c r="C823" s="75"/>
      <c r="D823" s="75"/>
      <c r="E823" s="75"/>
      <c r="F823" s="75"/>
    </row>
    <row r="824" spans="2:6">
      <c r="B824" s="75"/>
      <c r="C824" s="75"/>
      <c r="D824" s="75"/>
      <c r="E824" s="75"/>
      <c r="F824" s="75"/>
    </row>
    <row r="825" spans="2:6">
      <c r="B825" s="75"/>
      <c r="C825" s="75"/>
      <c r="D825" s="75"/>
      <c r="E825" s="75"/>
      <c r="F825" s="75"/>
    </row>
    <row r="826" spans="2:6">
      <c r="B826" s="75"/>
      <c r="C826" s="75"/>
      <c r="D826" s="75"/>
      <c r="E826" s="75"/>
      <c r="F826" s="75"/>
    </row>
    <row r="827" spans="2:6">
      <c r="B827" s="75"/>
      <c r="C827" s="75"/>
      <c r="D827" s="75"/>
      <c r="E827" s="75"/>
      <c r="F827" s="75"/>
    </row>
    <row r="828" spans="2:6">
      <c r="B828" s="75"/>
      <c r="C828" s="75"/>
      <c r="D828" s="75"/>
      <c r="E828" s="75"/>
      <c r="F828" s="75"/>
    </row>
    <row r="829" spans="2:6">
      <c r="B829" s="75"/>
      <c r="C829" s="75"/>
      <c r="D829" s="75"/>
      <c r="E829" s="75"/>
      <c r="F829" s="75"/>
    </row>
    <row r="830" spans="2:6">
      <c r="B830" s="75"/>
      <c r="C830" s="75"/>
      <c r="D830" s="75"/>
      <c r="E830" s="75"/>
      <c r="F830" s="75"/>
    </row>
    <row r="831" spans="2:6">
      <c r="B831" s="75"/>
      <c r="C831" s="75"/>
      <c r="D831" s="75"/>
      <c r="E831" s="75"/>
      <c r="F831" s="75"/>
    </row>
    <row r="832" spans="2:6">
      <c r="B832" s="75"/>
      <c r="C832" s="75"/>
      <c r="D832" s="75"/>
      <c r="E832" s="75"/>
      <c r="F832" s="75"/>
    </row>
    <row r="833" spans="2:6">
      <c r="B833" s="75"/>
      <c r="C833" s="75"/>
      <c r="D833" s="75"/>
      <c r="E833" s="75"/>
      <c r="F833" s="75"/>
    </row>
    <row r="834" spans="2:6">
      <c r="B834" s="75"/>
      <c r="C834" s="75"/>
      <c r="D834" s="75"/>
      <c r="E834" s="75"/>
      <c r="F834" s="75"/>
    </row>
    <row r="835" spans="2:6">
      <c r="B835" s="75"/>
      <c r="C835" s="75"/>
      <c r="D835" s="75"/>
      <c r="E835" s="75"/>
      <c r="F835" s="75"/>
    </row>
    <row r="836" spans="2:6">
      <c r="B836" s="75"/>
      <c r="C836" s="75"/>
      <c r="D836" s="75"/>
      <c r="E836" s="75"/>
      <c r="F836" s="75"/>
    </row>
    <row r="837" spans="2:6">
      <c r="B837" s="75"/>
      <c r="C837" s="75"/>
      <c r="D837" s="75"/>
      <c r="E837" s="75"/>
      <c r="F837" s="75"/>
    </row>
    <row r="838" spans="2:6">
      <c r="B838" s="75"/>
      <c r="C838" s="75"/>
      <c r="D838" s="75"/>
      <c r="E838" s="75"/>
      <c r="F838" s="75"/>
    </row>
    <row r="839" spans="2:6">
      <c r="B839" s="75"/>
      <c r="C839" s="75"/>
      <c r="D839" s="75"/>
      <c r="E839" s="75"/>
      <c r="F839" s="75"/>
    </row>
    <row r="840" spans="2:6">
      <c r="B840" s="75"/>
      <c r="C840" s="75"/>
      <c r="D840" s="75"/>
      <c r="E840" s="75"/>
      <c r="F840" s="75"/>
    </row>
    <row r="841" spans="2:6">
      <c r="B841" s="75"/>
      <c r="C841" s="75"/>
      <c r="D841" s="75"/>
      <c r="E841" s="75"/>
      <c r="F841" s="75"/>
    </row>
    <row r="842" spans="2:6">
      <c r="B842" s="75"/>
      <c r="C842" s="75"/>
      <c r="D842" s="75"/>
      <c r="E842" s="75"/>
      <c r="F842" s="75"/>
    </row>
    <row r="843" spans="2:6">
      <c r="B843" s="75"/>
      <c r="C843" s="75"/>
      <c r="D843" s="75"/>
      <c r="E843" s="75"/>
      <c r="F843" s="75"/>
    </row>
    <row r="844" spans="2:6">
      <c r="B844" s="75"/>
      <c r="C844" s="75"/>
      <c r="D844" s="75"/>
      <c r="E844" s="75"/>
      <c r="F844" s="75"/>
    </row>
    <row r="845" spans="2:6">
      <c r="B845" s="75"/>
      <c r="C845" s="75"/>
      <c r="D845" s="75"/>
      <c r="E845" s="75"/>
      <c r="F845" s="75"/>
    </row>
    <row r="846" spans="2:6">
      <c r="B846" s="75"/>
      <c r="C846" s="75"/>
      <c r="D846" s="75"/>
      <c r="E846" s="75"/>
      <c r="F846" s="75"/>
    </row>
    <row r="847" spans="2:6">
      <c r="B847" s="75"/>
      <c r="C847" s="75"/>
      <c r="D847" s="75"/>
      <c r="E847" s="75"/>
      <c r="F847" s="75"/>
    </row>
    <row r="848" spans="2:6">
      <c r="B848" s="75"/>
      <c r="C848" s="75"/>
      <c r="D848" s="75"/>
      <c r="E848" s="75"/>
      <c r="F848" s="75"/>
    </row>
    <row r="849" spans="2:6">
      <c r="B849" s="75"/>
      <c r="C849" s="75"/>
      <c r="D849" s="75"/>
      <c r="E849" s="75"/>
      <c r="F849" s="75"/>
    </row>
    <row r="850" spans="2:6">
      <c r="B850" s="75"/>
      <c r="C850" s="75"/>
      <c r="D850" s="75"/>
      <c r="E850" s="75"/>
      <c r="F850" s="75"/>
    </row>
    <row r="851" spans="2:6">
      <c r="B851" s="75"/>
      <c r="C851" s="75"/>
      <c r="D851" s="75"/>
      <c r="E851" s="75"/>
      <c r="F851" s="75"/>
    </row>
    <row r="852" spans="2:6">
      <c r="B852" s="75"/>
      <c r="C852" s="75"/>
      <c r="D852" s="75"/>
      <c r="E852" s="75"/>
      <c r="F852" s="75"/>
    </row>
    <row r="853" spans="2:6">
      <c r="B853" s="75"/>
      <c r="C853" s="75"/>
      <c r="D853" s="75"/>
      <c r="E853" s="75"/>
      <c r="F853" s="75"/>
    </row>
    <row r="854" spans="2:6">
      <c r="B854" s="75"/>
      <c r="C854" s="75"/>
      <c r="D854" s="75"/>
      <c r="E854" s="75"/>
      <c r="F854" s="75"/>
    </row>
    <row r="855" spans="2:6">
      <c r="B855" s="75"/>
      <c r="C855" s="75"/>
      <c r="D855" s="75"/>
      <c r="E855" s="75"/>
      <c r="F855" s="75"/>
    </row>
    <row r="856" spans="2:6">
      <c r="B856" s="75"/>
      <c r="C856" s="75"/>
      <c r="D856" s="75"/>
      <c r="E856" s="75"/>
      <c r="F856" s="75"/>
    </row>
    <row r="857" spans="2:6">
      <c r="B857" s="75"/>
      <c r="C857" s="75"/>
      <c r="D857" s="75"/>
      <c r="E857" s="75"/>
      <c r="F857" s="75"/>
    </row>
    <row r="858" spans="2:6">
      <c r="B858" s="75"/>
      <c r="C858" s="75"/>
      <c r="D858" s="75"/>
      <c r="E858" s="75"/>
      <c r="F858" s="75"/>
    </row>
    <row r="859" spans="2:6">
      <c r="B859" s="75"/>
      <c r="C859" s="75"/>
      <c r="D859" s="75"/>
      <c r="E859" s="75"/>
      <c r="F859" s="75"/>
    </row>
    <row r="860" spans="2:6">
      <c r="B860" s="75"/>
      <c r="C860" s="75"/>
      <c r="D860" s="75"/>
      <c r="E860" s="75"/>
      <c r="F860" s="75"/>
    </row>
    <row r="861" spans="2:6">
      <c r="B861" s="75"/>
      <c r="C861" s="75"/>
      <c r="D861" s="75"/>
      <c r="E861" s="75"/>
      <c r="F861" s="75"/>
    </row>
    <row r="862" spans="2:6">
      <c r="B862" s="75"/>
      <c r="C862" s="75"/>
      <c r="D862" s="75"/>
      <c r="E862" s="75"/>
      <c r="F862" s="75"/>
    </row>
    <row r="863" spans="2:6">
      <c r="B863" s="75"/>
      <c r="C863" s="75"/>
      <c r="D863" s="75"/>
      <c r="E863" s="75"/>
      <c r="F863" s="75"/>
    </row>
    <row r="864" spans="2:6">
      <c r="B864" s="75"/>
      <c r="C864" s="75"/>
      <c r="D864" s="75"/>
      <c r="E864" s="75"/>
      <c r="F864" s="75"/>
    </row>
    <row r="865" spans="2:6">
      <c r="B865" s="75"/>
      <c r="C865" s="75"/>
      <c r="D865" s="75"/>
      <c r="E865" s="75"/>
      <c r="F865" s="75"/>
    </row>
    <row r="866" spans="2:6">
      <c r="B866" s="75"/>
      <c r="C866" s="75"/>
      <c r="D866" s="75"/>
      <c r="E866" s="75"/>
      <c r="F866" s="75"/>
    </row>
    <row r="867" spans="2:6">
      <c r="B867" s="75"/>
      <c r="C867" s="75"/>
      <c r="D867" s="75"/>
      <c r="E867" s="75"/>
      <c r="F867" s="75"/>
    </row>
    <row r="868" spans="2:6">
      <c r="B868" s="75"/>
      <c r="C868" s="75"/>
      <c r="D868" s="75"/>
      <c r="E868" s="75"/>
      <c r="F868" s="75"/>
    </row>
    <row r="869" spans="2:6">
      <c r="B869" s="75"/>
      <c r="C869" s="75"/>
      <c r="D869" s="75"/>
      <c r="E869" s="75"/>
      <c r="F869" s="75"/>
    </row>
    <row r="870" spans="2:6">
      <c r="B870" s="75"/>
      <c r="C870" s="75"/>
      <c r="D870" s="75"/>
      <c r="E870" s="75"/>
      <c r="F870" s="75"/>
    </row>
    <row r="871" spans="2:6">
      <c r="B871" s="75"/>
      <c r="C871" s="75"/>
      <c r="D871" s="75"/>
      <c r="E871" s="75"/>
      <c r="F871" s="75"/>
    </row>
    <row r="872" spans="2:6">
      <c r="B872" s="75"/>
      <c r="C872" s="75"/>
      <c r="D872" s="75"/>
      <c r="E872" s="75"/>
      <c r="F872" s="75"/>
    </row>
    <row r="873" spans="2:6">
      <c r="B873" s="75"/>
      <c r="C873" s="75"/>
      <c r="D873" s="75"/>
      <c r="E873" s="75"/>
      <c r="F873" s="75"/>
    </row>
    <row r="874" spans="2:6">
      <c r="B874" s="75"/>
      <c r="C874" s="75"/>
      <c r="D874" s="75"/>
      <c r="E874" s="75"/>
      <c r="F874" s="75"/>
    </row>
    <row r="875" spans="2:6">
      <c r="B875" s="75"/>
      <c r="C875" s="75"/>
      <c r="D875" s="75"/>
      <c r="E875" s="75"/>
      <c r="F875" s="75"/>
    </row>
    <row r="876" spans="2:6">
      <c r="B876" s="75"/>
      <c r="C876" s="75"/>
      <c r="D876" s="75"/>
      <c r="E876" s="75"/>
      <c r="F876" s="75"/>
    </row>
    <row r="877" spans="2:6">
      <c r="B877" s="75"/>
      <c r="C877" s="75"/>
      <c r="D877" s="75"/>
      <c r="E877" s="75"/>
      <c r="F877" s="75"/>
    </row>
    <row r="878" spans="2:6">
      <c r="B878" s="75"/>
      <c r="C878" s="75"/>
      <c r="D878" s="75"/>
      <c r="E878" s="75"/>
      <c r="F878" s="75"/>
    </row>
    <row r="879" spans="2:6">
      <c r="B879" s="75"/>
      <c r="C879" s="75"/>
      <c r="D879" s="75"/>
      <c r="E879" s="75"/>
      <c r="F879" s="75"/>
    </row>
    <row r="880" spans="2:6">
      <c r="B880" s="75"/>
      <c r="C880" s="75"/>
      <c r="D880" s="75"/>
      <c r="E880" s="75"/>
      <c r="F880" s="75"/>
    </row>
    <row r="881" spans="2:6">
      <c r="B881" s="75"/>
      <c r="C881" s="75"/>
      <c r="D881" s="75"/>
      <c r="E881" s="75"/>
      <c r="F881" s="75"/>
    </row>
    <row r="882" spans="2:6">
      <c r="B882" s="75"/>
      <c r="C882" s="75"/>
      <c r="D882" s="75"/>
      <c r="E882" s="75"/>
      <c r="F882" s="75"/>
    </row>
    <row r="883" spans="2:6">
      <c r="B883" s="75"/>
      <c r="C883" s="75"/>
      <c r="D883" s="75"/>
      <c r="E883" s="75"/>
      <c r="F883" s="75"/>
    </row>
    <row r="884" spans="2:6">
      <c r="B884" s="75"/>
      <c r="C884" s="75"/>
      <c r="D884" s="75"/>
      <c r="E884" s="75"/>
      <c r="F884" s="75"/>
    </row>
    <row r="885" spans="2:6">
      <c r="B885" s="75"/>
      <c r="C885" s="75"/>
      <c r="D885" s="75"/>
      <c r="E885" s="75"/>
      <c r="F885" s="75"/>
    </row>
    <row r="886" spans="2:6">
      <c r="B886" s="75"/>
      <c r="C886" s="75"/>
      <c r="D886" s="75"/>
      <c r="E886" s="75"/>
      <c r="F886" s="75"/>
    </row>
    <row r="887" spans="2:6">
      <c r="B887" s="75"/>
      <c r="C887" s="75"/>
      <c r="D887" s="75"/>
      <c r="E887" s="75"/>
      <c r="F887" s="75"/>
    </row>
    <row r="888" spans="2:6">
      <c r="B888" s="75"/>
      <c r="C888" s="75"/>
      <c r="D888" s="75"/>
      <c r="E888" s="75"/>
      <c r="F888" s="75"/>
    </row>
    <row r="889" spans="2:6">
      <c r="B889" s="75"/>
      <c r="C889" s="75"/>
      <c r="D889" s="75"/>
      <c r="E889" s="75"/>
      <c r="F889" s="75"/>
    </row>
    <row r="890" spans="2:6">
      <c r="B890" s="75"/>
      <c r="C890" s="75"/>
      <c r="D890" s="75"/>
      <c r="E890" s="75"/>
      <c r="F890" s="75"/>
    </row>
    <row r="891" spans="2:6">
      <c r="B891" s="75"/>
      <c r="C891" s="75"/>
      <c r="D891" s="75"/>
      <c r="E891" s="75"/>
      <c r="F891" s="75"/>
    </row>
    <row r="892" spans="2:6">
      <c r="B892" s="75"/>
      <c r="C892" s="75"/>
      <c r="D892" s="75"/>
      <c r="E892" s="75"/>
      <c r="F892" s="75"/>
    </row>
    <row r="893" spans="2:6">
      <c r="B893" s="75"/>
      <c r="C893" s="75"/>
      <c r="D893" s="75"/>
      <c r="E893" s="75"/>
      <c r="F893" s="75"/>
    </row>
    <row r="894" spans="2:6">
      <c r="B894" s="75"/>
      <c r="C894" s="75"/>
      <c r="D894" s="75"/>
      <c r="E894" s="75"/>
      <c r="F894" s="75"/>
    </row>
    <row r="895" spans="2:6">
      <c r="B895" s="75"/>
      <c r="C895" s="75"/>
      <c r="D895" s="75"/>
      <c r="E895" s="75"/>
      <c r="F895" s="75"/>
    </row>
    <row r="896" spans="2:6">
      <c r="B896" s="75"/>
      <c r="C896" s="75"/>
      <c r="D896" s="75"/>
      <c r="E896" s="75"/>
      <c r="F896" s="75"/>
    </row>
    <row r="897" spans="2:6">
      <c r="B897" s="75"/>
      <c r="C897" s="75"/>
      <c r="D897" s="75"/>
      <c r="E897" s="75"/>
      <c r="F897" s="75"/>
    </row>
    <row r="898" spans="2:6">
      <c r="B898" s="75"/>
      <c r="C898" s="75"/>
      <c r="D898" s="75"/>
      <c r="E898" s="75"/>
      <c r="F898" s="75"/>
    </row>
    <row r="899" spans="2:6">
      <c r="B899" s="75"/>
      <c r="C899" s="75"/>
      <c r="D899" s="75"/>
      <c r="E899" s="75"/>
      <c r="F899" s="75"/>
    </row>
    <row r="900" spans="2:6">
      <c r="B900" s="75"/>
      <c r="C900" s="75"/>
      <c r="D900" s="75"/>
      <c r="E900" s="75"/>
      <c r="F900" s="75"/>
    </row>
    <row r="901" spans="2:6">
      <c r="B901" s="75"/>
      <c r="C901" s="75"/>
      <c r="D901" s="75"/>
      <c r="E901" s="75"/>
      <c r="F901" s="75"/>
    </row>
    <row r="902" spans="2:6">
      <c r="B902" s="75"/>
      <c r="C902" s="75"/>
      <c r="D902" s="75"/>
      <c r="E902" s="75"/>
      <c r="F902" s="75"/>
    </row>
    <row r="903" spans="2:6">
      <c r="B903" s="75"/>
      <c r="C903" s="75"/>
      <c r="D903" s="75"/>
      <c r="E903" s="75"/>
      <c r="F903" s="75"/>
    </row>
    <row r="904" spans="2:6">
      <c r="B904" s="75"/>
      <c r="C904" s="75"/>
      <c r="D904" s="75"/>
      <c r="E904" s="75"/>
      <c r="F904" s="75"/>
    </row>
    <row r="905" spans="2:6">
      <c r="B905" s="75"/>
      <c r="C905" s="75"/>
      <c r="D905" s="75"/>
      <c r="E905" s="75"/>
      <c r="F905" s="75"/>
    </row>
    <row r="906" spans="2:6">
      <c r="B906" s="75"/>
      <c r="C906" s="75"/>
      <c r="D906" s="75"/>
      <c r="E906" s="75"/>
      <c r="F906" s="75"/>
    </row>
    <row r="907" spans="2:6">
      <c r="B907" s="75"/>
      <c r="C907" s="75"/>
      <c r="D907" s="75"/>
      <c r="E907" s="75"/>
      <c r="F907" s="75"/>
    </row>
    <row r="908" spans="2:6">
      <c r="B908" s="75"/>
      <c r="C908" s="75"/>
      <c r="D908" s="75"/>
      <c r="E908" s="75"/>
      <c r="F908" s="75"/>
    </row>
    <row r="909" spans="2:6">
      <c r="B909" s="75"/>
      <c r="C909" s="75"/>
      <c r="D909" s="75"/>
      <c r="E909" s="75"/>
      <c r="F909" s="75"/>
    </row>
    <row r="910" spans="2:6">
      <c r="B910" s="75"/>
      <c r="C910" s="75"/>
      <c r="D910" s="75"/>
      <c r="E910" s="75"/>
      <c r="F910" s="75"/>
    </row>
    <row r="911" spans="2:6">
      <c r="B911" s="75"/>
      <c r="C911" s="75"/>
      <c r="D911" s="75"/>
      <c r="E911" s="75"/>
      <c r="F911" s="75"/>
    </row>
    <row r="912" spans="2:6">
      <c r="B912" s="75"/>
      <c r="C912" s="75"/>
      <c r="D912" s="75"/>
      <c r="E912" s="75"/>
      <c r="F912" s="75"/>
    </row>
    <row r="913" spans="2:6">
      <c r="B913" s="75"/>
      <c r="C913" s="75"/>
      <c r="D913" s="75"/>
      <c r="E913" s="75"/>
      <c r="F913" s="75"/>
    </row>
    <row r="914" spans="2:6">
      <c r="B914" s="75"/>
      <c r="C914" s="75"/>
      <c r="D914" s="75"/>
      <c r="E914" s="75"/>
      <c r="F914" s="75"/>
    </row>
    <row r="915" spans="2:6">
      <c r="B915" s="75"/>
      <c r="C915" s="75"/>
      <c r="D915" s="75"/>
      <c r="E915" s="75"/>
      <c r="F915" s="75"/>
    </row>
    <row r="916" spans="2:6">
      <c r="B916" s="75"/>
      <c r="C916" s="75"/>
      <c r="D916" s="75"/>
      <c r="E916" s="75"/>
      <c r="F916" s="75"/>
    </row>
    <row r="917" spans="2:6">
      <c r="B917" s="75"/>
      <c r="C917" s="75"/>
      <c r="D917" s="75"/>
      <c r="E917" s="75"/>
      <c r="F917" s="75"/>
    </row>
    <row r="918" spans="2:6">
      <c r="B918" s="75"/>
      <c r="C918" s="75"/>
      <c r="D918" s="75"/>
      <c r="E918" s="75"/>
      <c r="F918" s="75"/>
    </row>
    <row r="919" spans="2:6">
      <c r="B919" s="75"/>
      <c r="C919" s="75"/>
      <c r="D919" s="75"/>
      <c r="E919" s="75"/>
      <c r="F919" s="75"/>
    </row>
    <row r="920" spans="2:6">
      <c r="B920" s="75"/>
      <c r="C920" s="75"/>
      <c r="D920" s="75"/>
      <c r="E920" s="75"/>
      <c r="F920" s="75"/>
    </row>
    <row r="921" spans="2:6">
      <c r="B921" s="75"/>
      <c r="C921" s="75"/>
      <c r="D921" s="75"/>
      <c r="E921" s="75"/>
      <c r="F921" s="75"/>
    </row>
    <row r="922" spans="2:6">
      <c r="B922" s="75"/>
      <c r="C922" s="75"/>
      <c r="D922" s="75"/>
      <c r="E922" s="75"/>
      <c r="F922" s="75"/>
    </row>
    <row r="923" spans="2:6">
      <c r="B923" s="75"/>
      <c r="C923" s="75"/>
      <c r="D923" s="75"/>
      <c r="E923" s="75"/>
      <c r="F923" s="75"/>
    </row>
    <row r="924" spans="2:6">
      <c r="B924" s="75"/>
      <c r="C924" s="75"/>
      <c r="D924" s="75"/>
      <c r="E924" s="75"/>
      <c r="F924" s="75"/>
    </row>
    <row r="925" spans="2:6">
      <c r="B925" s="75"/>
      <c r="C925" s="75"/>
      <c r="D925" s="75"/>
      <c r="E925" s="75"/>
      <c r="F925" s="75"/>
    </row>
    <row r="926" spans="2:6">
      <c r="B926" s="75"/>
      <c r="C926" s="75"/>
      <c r="D926" s="75"/>
      <c r="E926" s="75"/>
      <c r="F926" s="75"/>
    </row>
    <row r="927" spans="2:6">
      <c r="B927" s="75"/>
      <c r="C927" s="75"/>
      <c r="D927" s="75"/>
      <c r="E927" s="75"/>
      <c r="F927" s="75"/>
    </row>
    <row r="928" spans="2:6">
      <c r="B928" s="75"/>
      <c r="C928" s="75"/>
      <c r="D928" s="75"/>
      <c r="E928" s="75"/>
      <c r="F928" s="75"/>
    </row>
    <row r="929" spans="2:6">
      <c r="B929" s="75"/>
      <c r="C929" s="75"/>
      <c r="D929" s="75"/>
      <c r="E929" s="75"/>
      <c r="F929" s="75"/>
    </row>
    <row r="930" spans="2:6">
      <c r="B930" s="75"/>
      <c r="C930" s="75"/>
      <c r="D930" s="75"/>
      <c r="E930" s="75"/>
      <c r="F930" s="75"/>
    </row>
    <row r="931" spans="2:6">
      <c r="B931" s="75"/>
      <c r="C931" s="75"/>
      <c r="D931" s="75"/>
      <c r="E931" s="75"/>
      <c r="F931" s="75"/>
    </row>
    <row r="932" spans="2:6">
      <c r="B932" s="75"/>
      <c r="C932" s="75"/>
      <c r="D932" s="75"/>
      <c r="E932" s="75"/>
      <c r="F932" s="75"/>
    </row>
    <row r="933" spans="2:6">
      <c r="B933" s="75"/>
      <c r="C933" s="75"/>
      <c r="D933" s="75"/>
      <c r="E933" s="75"/>
      <c r="F933" s="75"/>
    </row>
    <row r="934" spans="2:6">
      <c r="B934" s="75"/>
      <c r="C934" s="75"/>
      <c r="D934" s="75"/>
      <c r="E934" s="75"/>
      <c r="F934" s="75"/>
    </row>
    <row r="935" spans="2:6">
      <c r="B935" s="75"/>
      <c r="C935" s="75"/>
      <c r="D935" s="75"/>
      <c r="E935" s="75"/>
      <c r="F935" s="75"/>
    </row>
    <row r="936" spans="2:6">
      <c r="B936" s="75"/>
      <c r="C936" s="75"/>
      <c r="D936" s="75"/>
      <c r="E936" s="75"/>
      <c r="F936" s="75"/>
    </row>
    <row r="937" spans="2:6">
      <c r="B937" s="75"/>
      <c r="C937" s="75"/>
      <c r="D937" s="75"/>
      <c r="E937" s="75"/>
      <c r="F937" s="75"/>
    </row>
    <row r="938" spans="2:6">
      <c r="B938" s="75"/>
      <c r="C938" s="75"/>
      <c r="D938" s="75"/>
      <c r="E938" s="75"/>
      <c r="F938" s="75"/>
    </row>
    <row r="939" spans="2:6">
      <c r="B939" s="75"/>
      <c r="C939" s="75"/>
      <c r="D939" s="75"/>
      <c r="E939" s="75"/>
      <c r="F939" s="75"/>
    </row>
    <row r="940" spans="2:6">
      <c r="B940" s="75"/>
      <c r="C940" s="75"/>
      <c r="D940" s="75"/>
      <c r="E940" s="75"/>
      <c r="F940" s="75"/>
    </row>
    <row r="941" spans="2:6">
      <c r="B941" s="75"/>
      <c r="C941" s="75"/>
      <c r="D941" s="75"/>
      <c r="E941" s="75"/>
      <c r="F941" s="75"/>
    </row>
    <row r="942" spans="2:6">
      <c r="B942" s="75"/>
      <c r="C942" s="75"/>
      <c r="D942" s="75"/>
      <c r="E942" s="75"/>
      <c r="F942" s="75"/>
    </row>
    <row r="943" spans="2:6">
      <c r="B943" s="75"/>
      <c r="C943" s="75"/>
      <c r="D943" s="75"/>
      <c r="E943" s="75"/>
      <c r="F943" s="75"/>
    </row>
    <row r="944" spans="2:6">
      <c r="B944" s="75"/>
      <c r="C944" s="75"/>
      <c r="D944" s="75"/>
      <c r="E944" s="75"/>
      <c r="F944" s="75"/>
    </row>
    <row r="945" spans="2:6">
      <c r="B945" s="75"/>
      <c r="C945" s="75"/>
      <c r="D945" s="75"/>
      <c r="E945" s="75"/>
      <c r="F945" s="75"/>
    </row>
    <row r="946" spans="2:6">
      <c r="B946" s="75"/>
      <c r="C946" s="75"/>
      <c r="D946" s="75"/>
      <c r="E946" s="75"/>
      <c r="F946" s="75"/>
    </row>
    <row r="947" spans="2:6">
      <c r="B947" s="75"/>
      <c r="C947" s="75"/>
      <c r="D947" s="75"/>
      <c r="E947" s="75"/>
      <c r="F947" s="75"/>
    </row>
    <row r="948" spans="2:6">
      <c r="B948" s="75"/>
      <c r="C948" s="75"/>
      <c r="D948" s="75"/>
      <c r="E948" s="75"/>
      <c r="F948" s="75"/>
    </row>
    <row r="949" spans="2:6">
      <c r="B949" s="75"/>
      <c r="C949" s="75"/>
      <c r="D949" s="75"/>
      <c r="E949" s="75"/>
      <c r="F949" s="75"/>
    </row>
    <row r="950" spans="2:6">
      <c r="B950" s="75"/>
      <c r="C950" s="75"/>
      <c r="D950" s="75"/>
      <c r="E950" s="75"/>
      <c r="F950" s="75"/>
    </row>
    <row r="951" spans="2:6">
      <c r="B951" s="75"/>
      <c r="C951" s="75"/>
      <c r="D951" s="75"/>
      <c r="E951" s="75"/>
      <c r="F951" s="75"/>
    </row>
    <row r="952" spans="2:6">
      <c r="B952" s="75"/>
      <c r="C952" s="75"/>
      <c r="D952" s="75"/>
      <c r="E952" s="75"/>
      <c r="F952" s="75"/>
    </row>
    <row r="953" spans="2:6">
      <c r="B953" s="75"/>
      <c r="C953" s="75"/>
      <c r="D953" s="75"/>
      <c r="E953" s="75"/>
      <c r="F953" s="75"/>
    </row>
    <row r="954" spans="2:6">
      <c r="B954" s="75"/>
      <c r="C954" s="75"/>
      <c r="D954" s="75"/>
      <c r="E954" s="75"/>
      <c r="F954" s="75"/>
    </row>
    <row r="955" spans="2:6">
      <c r="B955" s="75"/>
      <c r="C955" s="75"/>
      <c r="D955" s="75"/>
      <c r="E955" s="75"/>
      <c r="F955" s="75"/>
    </row>
    <row r="956" spans="2:6">
      <c r="B956" s="75"/>
      <c r="C956" s="75"/>
      <c r="D956" s="75"/>
      <c r="E956" s="75"/>
      <c r="F956" s="75"/>
    </row>
    <row r="957" spans="2:6">
      <c r="B957" s="75"/>
      <c r="C957" s="75"/>
      <c r="D957" s="75"/>
      <c r="E957" s="75"/>
      <c r="F957" s="75"/>
    </row>
    <row r="958" spans="2:6">
      <c r="B958" s="75"/>
      <c r="C958" s="75"/>
      <c r="D958" s="75"/>
      <c r="E958" s="75"/>
      <c r="F958" s="75"/>
    </row>
    <row r="959" spans="2:6">
      <c r="B959" s="75"/>
      <c r="C959" s="75"/>
      <c r="D959" s="75"/>
      <c r="E959" s="75"/>
      <c r="F959" s="75"/>
    </row>
    <row r="960" spans="2:6">
      <c r="B960" s="75"/>
      <c r="C960" s="75"/>
      <c r="D960" s="75"/>
      <c r="E960" s="75"/>
      <c r="F960" s="75"/>
    </row>
    <row r="961" spans="2:6">
      <c r="B961" s="75"/>
      <c r="C961" s="75"/>
      <c r="D961" s="75"/>
      <c r="E961" s="75"/>
      <c r="F961" s="75"/>
    </row>
    <row r="962" spans="2:6">
      <c r="B962" s="75"/>
      <c r="C962" s="75"/>
      <c r="D962" s="75"/>
      <c r="E962" s="75"/>
      <c r="F962" s="75"/>
    </row>
    <row r="963" spans="2:6">
      <c r="B963" s="75"/>
      <c r="C963" s="75"/>
      <c r="D963" s="75"/>
      <c r="E963" s="75"/>
      <c r="F963" s="75"/>
    </row>
    <row r="964" spans="2:6">
      <c r="B964" s="75"/>
      <c r="C964" s="75"/>
      <c r="D964" s="75"/>
      <c r="E964" s="75"/>
      <c r="F964" s="75"/>
    </row>
    <row r="965" spans="2:6">
      <c r="B965" s="75"/>
      <c r="C965" s="75"/>
      <c r="D965" s="75"/>
      <c r="E965" s="75"/>
      <c r="F965" s="75"/>
    </row>
    <row r="966" spans="2:6">
      <c r="B966" s="75"/>
      <c r="C966" s="75"/>
      <c r="D966" s="75"/>
      <c r="E966" s="75"/>
      <c r="F966" s="75"/>
    </row>
    <row r="967" spans="2:6">
      <c r="B967" s="75"/>
      <c r="C967" s="75"/>
      <c r="D967" s="75"/>
      <c r="E967" s="75"/>
      <c r="F967" s="75"/>
    </row>
    <row r="968" spans="2:6">
      <c r="B968" s="75"/>
      <c r="C968" s="75"/>
      <c r="D968" s="75"/>
      <c r="E968" s="75"/>
      <c r="F968" s="75"/>
    </row>
    <row r="969" spans="2:6">
      <c r="B969" s="75"/>
      <c r="C969" s="75"/>
      <c r="D969" s="75"/>
      <c r="E969" s="75"/>
      <c r="F969" s="75"/>
    </row>
    <row r="970" spans="2:6">
      <c r="B970" s="75"/>
      <c r="C970" s="75"/>
      <c r="D970" s="75"/>
      <c r="E970" s="75"/>
      <c r="F970" s="75"/>
    </row>
    <row r="971" spans="2:6">
      <c r="B971" s="75"/>
      <c r="C971" s="75"/>
      <c r="D971" s="75"/>
      <c r="E971" s="75"/>
      <c r="F971" s="75"/>
    </row>
    <row r="972" spans="2:6">
      <c r="B972" s="75"/>
      <c r="C972" s="75"/>
      <c r="D972" s="75"/>
      <c r="E972" s="75"/>
      <c r="F972" s="75"/>
    </row>
    <row r="973" spans="2:6">
      <c r="B973" s="75"/>
      <c r="C973" s="75"/>
      <c r="D973" s="75"/>
      <c r="E973" s="75"/>
      <c r="F973" s="75"/>
    </row>
    <row r="974" spans="2:6">
      <c r="B974" s="75"/>
      <c r="C974" s="75"/>
      <c r="D974" s="75"/>
      <c r="E974" s="75"/>
      <c r="F974" s="75"/>
    </row>
    <row r="975" spans="2:6">
      <c r="B975" s="75"/>
      <c r="C975" s="75"/>
      <c r="D975" s="75"/>
      <c r="E975" s="75"/>
      <c r="F975" s="75"/>
    </row>
    <row r="976" spans="2:6">
      <c r="B976" s="75"/>
      <c r="C976" s="75"/>
      <c r="D976" s="75"/>
      <c r="E976" s="75"/>
      <c r="F976" s="75"/>
    </row>
    <row r="977" spans="2:6">
      <c r="B977" s="75"/>
      <c r="C977" s="75"/>
      <c r="D977" s="75"/>
      <c r="E977" s="75"/>
      <c r="F977" s="75"/>
    </row>
    <row r="978" spans="2:6">
      <c r="B978" s="75"/>
      <c r="C978" s="75"/>
      <c r="D978" s="75"/>
      <c r="E978" s="75"/>
      <c r="F978" s="75"/>
    </row>
    <row r="979" spans="2:6">
      <c r="B979" s="75"/>
      <c r="C979" s="75"/>
      <c r="D979" s="75"/>
      <c r="E979" s="75"/>
      <c r="F979" s="75"/>
    </row>
    <row r="980" spans="2:6">
      <c r="B980" s="75"/>
      <c r="C980" s="75"/>
      <c r="D980" s="75"/>
      <c r="E980" s="75"/>
      <c r="F980" s="75"/>
    </row>
    <row r="981" spans="2:6">
      <c r="B981" s="75"/>
      <c r="C981" s="75"/>
      <c r="D981" s="75"/>
      <c r="E981" s="75"/>
      <c r="F981" s="75"/>
    </row>
    <row r="982" spans="2:6">
      <c r="B982" s="75"/>
      <c r="C982" s="75"/>
      <c r="D982" s="75"/>
      <c r="E982" s="75"/>
      <c r="F982" s="75"/>
    </row>
    <row r="983" spans="2:6">
      <c r="B983" s="75"/>
      <c r="C983" s="75"/>
      <c r="D983" s="75"/>
      <c r="E983" s="75"/>
      <c r="F983" s="75"/>
    </row>
    <row r="984" spans="2:6">
      <c r="B984" s="75"/>
      <c r="C984" s="75"/>
      <c r="D984" s="75"/>
      <c r="E984" s="75"/>
      <c r="F984" s="75"/>
    </row>
    <row r="985" spans="2:6">
      <c r="B985" s="75"/>
      <c r="C985" s="75"/>
      <c r="D985" s="75"/>
      <c r="E985" s="75"/>
      <c r="F985" s="75"/>
    </row>
    <row r="986" spans="2:6">
      <c r="B986" s="75"/>
      <c r="C986" s="75"/>
      <c r="D986" s="75"/>
      <c r="E986" s="75"/>
      <c r="F986" s="75"/>
    </row>
    <row r="987" spans="2:6">
      <c r="B987" s="75"/>
      <c r="C987" s="75"/>
      <c r="D987" s="75"/>
      <c r="E987" s="75"/>
      <c r="F987" s="75"/>
    </row>
    <row r="988" spans="2:6">
      <c r="B988" s="75"/>
      <c r="C988" s="75"/>
      <c r="D988" s="75"/>
      <c r="E988" s="75"/>
      <c r="F988" s="75"/>
    </row>
    <row r="989" spans="2:6">
      <c r="B989" s="75"/>
      <c r="C989" s="75"/>
      <c r="D989" s="75"/>
      <c r="E989" s="75"/>
      <c r="F989" s="75"/>
    </row>
    <row r="990" spans="2:6">
      <c r="B990" s="75"/>
      <c r="C990" s="75"/>
      <c r="D990" s="75"/>
      <c r="E990" s="75"/>
      <c r="F990" s="75"/>
    </row>
    <row r="991" spans="2:6">
      <c r="B991" s="75"/>
      <c r="C991" s="75"/>
      <c r="D991" s="75"/>
      <c r="E991" s="75"/>
      <c r="F991" s="75"/>
    </row>
    <row r="992" spans="2:6">
      <c r="B992" s="75"/>
      <c r="C992" s="75"/>
      <c r="D992" s="75"/>
      <c r="E992" s="75"/>
      <c r="F992" s="75"/>
    </row>
    <row r="993" spans="2:6">
      <c r="B993" s="75"/>
      <c r="C993" s="75"/>
      <c r="D993" s="75"/>
      <c r="E993" s="75"/>
      <c r="F993" s="75"/>
    </row>
    <row r="994" spans="2:6">
      <c r="B994" s="75"/>
      <c r="C994" s="75"/>
      <c r="D994" s="75"/>
      <c r="E994" s="75"/>
      <c r="F994" s="75"/>
    </row>
    <row r="995" spans="2:6">
      <c r="B995" s="75"/>
      <c r="C995" s="75"/>
      <c r="D995" s="75"/>
      <c r="E995" s="75"/>
      <c r="F995" s="75"/>
    </row>
    <row r="996" spans="2:6">
      <c r="B996" s="75"/>
      <c r="C996" s="75"/>
      <c r="D996" s="75"/>
      <c r="E996" s="75"/>
      <c r="F996" s="75"/>
    </row>
    <row r="997" spans="2:6">
      <c r="B997" s="75"/>
      <c r="C997" s="75"/>
      <c r="D997" s="75"/>
      <c r="E997" s="75"/>
      <c r="F997" s="75"/>
    </row>
    <row r="998" spans="2:6">
      <c r="B998" s="75"/>
      <c r="C998" s="75"/>
      <c r="D998" s="75"/>
      <c r="E998" s="75"/>
      <c r="F998" s="75"/>
    </row>
    <row r="999" spans="2:6">
      <c r="B999" s="75"/>
      <c r="C999" s="75"/>
      <c r="D999" s="75"/>
      <c r="E999" s="75"/>
      <c r="F999" s="75"/>
    </row>
    <row r="1000" spans="2:6">
      <c r="B1000" s="75"/>
      <c r="C1000" s="75"/>
      <c r="D1000" s="75"/>
      <c r="E1000" s="75"/>
      <c r="F1000" s="75"/>
    </row>
    <row r="1001" spans="2:6">
      <c r="B1001" s="75"/>
      <c r="C1001" s="75"/>
      <c r="D1001" s="75"/>
      <c r="E1001" s="75"/>
      <c r="F1001" s="75"/>
    </row>
    <row r="1002" spans="2:6">
      <c r="B1002" s="75"/>
      <c r="C1002" s="75"/>
      <c r="D1002" s="75"/>
      <c r="E1002" s="75"/>
      <c r="F1002" s="75"/>
    </row>
    <row r="1003" spans="2:6">
      <c r="B1003" s="75"/>
      <c r="C1003" s="75"/>
      <c r="D1003" s="75"/>
      <c r="E1003" s="75"/>
      <c r="F1003" s="75"/>
    </row>
    <row r="1004" spans="2:6">
      <c r="B1004" s="75"/>
      <c r="C1004" s="75"/>
      <c r="D1004" s="75"/>
      <c r="E1004" s="75"/>
      <c r="F1004" s="75"/>
    </row>
    <row r="1005" spans="2:6">
      <c r="B1005" s="75"/>
      <c r="C1005" s="75"/>
      <c r="D1005" s="75"/>
      <c r="E1005" s="75"/>
      <c r="F1005" s="75"/>
    </row>
    <row r="1006" spans="2:6">
      <c r="B1006" s="75"/>
      <c r="C1006" s="75"/>
      <c r="D1006" s="75"/>
      <c r="E1006" s="75"/>
      <c r="F1006" s="75"/>
    </row>
    <row r="1007" spans="2:6">
      <c r="B1007" s="75"/>
      <c r="C1007" s="75"/>
      <c r="D1007" s="75"/>
      <c r="E1007" s="75"/>
      <c r="F1007" s="75"/>
    </row>
    <row r="1008" spans="2:6">
      <c r="B1008" s="75"/>
      <c r="C1008" s="75"/>
      <c r="D1008" s="75"/>
      <c r="E1008" s="75"/>
      <c r="F1008" s="75"/>
    </row>
    <row r="1009" spans="2:6">
      <c r="B1009" s="75"/>
      <c r="C1009" s="75"/>
      <c r="D1009" s="75"/>
      <c r="E1009" s="75"/>
      <c r="F1009" s="75"/>
    </row>
    <row r="1010" spans="2:6">
      <c r="B1010" s="75"/>
      <c r="C1010" s="75"/>
      <c r="D1010" s="75"/>
      <c r="E1010" s="75"/>
      <c r="F1010" s="75"/>
    </row>
    <row r="1011" spans="2:6">
      <c r="B1011" s="75"/>
      <c r="C1011" s="75"/>
      <c r="D1011" s="75"/>
      <c r="E1011" s="75"/>
      <c r="F1011" s="75"/>
    </row>
    <row r="1012" spans="2:6">
      <c r="B1012" s="75"/>
      <c r="C1012" s="75"/>
      <c r="D1012" s="75"/>
      <c r="E1012" s="75"/>
      <c r="F1012" s="75"/>
    </row>
    <row r="1013" spans="2:6">
      <c r="B1013" s="75"/>
      <c r="C1013" s="75"/>
      <c r="D1013" s="75"/>
      <c r="E1013" s="75"/>
      <c r="F1013" s="75"/>
    </row>
    <row r="1014" spans="2:6">
      <c r="B1014" s="75"/>
      <c r="C1014" s="75"/>
      <c r="D1014" s="75"/>
      <c r="E1014" s="75"/>
      <c r="F1014" s="75"/>
    </row>
    <row r="1015" spans="2:6">
      <c r="B1015" s="75"/>
      <c r="C1015" s="75"/>
      <c r="D1015" s="75"/>
      <c r="E1015" s="75"/>
      <c r="F1015" s="75"/>
    </row>
    <row r="1016" spans="2:6">
      <c r="B1016" s="75"/>
      <c r="C1016" s="75"/>
      <c r="D1016" s="75"/>
      <c r="E1016" s="75"/>
      <c r="F1016" s="75"/>
    </row>
    <row r="1017" spans="2:6">
      <c r="B1017" s="75"/>
      <c r="C1017" s="75"/>
      <c r="D1017" s="75"/>
      <c r="E1017" s="75"/>
      <c r="F1017" s="75"/>
    </row>
    <row r="1018" spans="2:6">
      <c r="B1018" s="75"/>
      <c r="C1018" s="75"/>
      <c r="D1018" s="75"/>
      <c r="E1018" s="75"/>
      <c r="F1018" s="75"/>
    </row>
    <row r="1019" spans="2:6">
      <c r="B1019" s="75"/>
      <c r="C1019" s="75"/>
      <c r="D1019" s="75"/>
      <c r="E1019" s="75"/>
      <c r="F1019" s="75"/>
    </row>
    <row r="1020" spans="2:6">
      <c r="B1020" s="75"/>
      <c r="C1020" s="75"/>
      <c r="D1020" s="75"/>
      <c r="E1020" s="75"/>
      <c r="F1020" s="75"/>
    </row>
    <row r="1021" spans="2:6">
      <c r="B1021" s="75"/>
      <c r="C1021" s="75"/>
      <c r="D1021" s="75"/>
      <c r="E1021" s="75"/>
      <c r="F1021" s="75"/>
    </row>
    <row r="1022" spans="2:6">
      <c r="B1022" s="75"/>
      <c r="C1022" s="75"/>
      <c r="D1022" s="75"/>
      <c r="E1022" s="75"/>
      <c r="F1022" s="75"/>
    </row>
    <row r="1023" spans="2:6">
      <c r="B1023" s="75"/>
      <c r="C1023" s="75"/>
      <c r="D1023" s="75"/>
      <c r="E1023" s="75"/>
      <c r="F1023" s="75"/>
    </row>
    <row r="1024" spans="2:6">
      <c r="B1024" s="75"/>
      <c r="C1024" s="75"/>
      <c r="D1024" s="75"/>
      <c r="E1024" s="75"/>
      <c r="F1024" s="75"/>
    </row>
    <row r="1025" spans="2:6">
      <c r="B1025" s="75"/>
      <c r="C1025" s="75"/>
      <c r="D1025" s="75"/>
      <c r="E1025" s="75"/>
      <c r="F1025" s="75"/>
    </row>
    <row r="1026" spans="2:6">
      <c r="B1026" s="75"/>
      <c r="C1026" s="75"/>
      <c r="D1026" s="75"/>
      <c r="E1026" s="75"/>
      <c r="F1026" s="75"/>
    </row>
    <row r="1027" spans="2:6">
      <c r="B1027" s="75"/>
      <c r="C1027" s="75"/>
      <c r="D1027" s="75"/>
      <c r="E1027" s="75"/>
      <c r="F1027" s="75"/>
    </row>
    <row r="1028" spans="2:6">
      <c r="B1028" s="75"/>
      <c r="C1028" s="75"/>
      <c r="D1028" s="75"/>
      <c r="E1028" s="75"/>
      <c r="F1028" s="75"/>
    </row>
    <row r="1029" spans="2:6">
      <c r="B1029" s="75"/>
      <c r="C1029" s="75"/>
      <c r="D1029" s="75"/>
      <c r="E1029" s="75"/>
      <c r="F1029" s="75"/>
    </row>
    <row r="1030" spans="2:6">
      <c r="B1030" s="75"/>
      <c r="C1030" s="75"/>
      <c r="D1030" s="75"/>
      <c r="E1030" s="75"/>
      <c r="F1030" s="75"/>
    </row>
    <row r="1031" spans="2:6">
      <c r="B1031" s="75"/>
      <c r="C1031" s="75"/>
      <c r="D1031" s="75"/>
      <c r="E1031" s="75"/>
      <c r="F1031" s="75"/>
    </row>
    <row r="1032" spans="2:6">
      <c r="B1032" s="75"/>
      <c r="C1032" s="75"/>
      <c r="D1032" s="75"/>
      <c r="E1032" s="75"/>
      <c r="F1032" s="75"/>
    </row>
    <row r="1033" spans="2:6">
      <c r="B1033" s="75"/>
      <c r="C1033" s="75"/>
      <c r="D1033" s="75"/>
      <c r="E1033" s="75"/>
      <c r="F1033" s="75"/>
    </row>
    <row r="1034" spans="2:6">
      <c r="B1034" s="75"/>
      <c r="C1034" s="75"/>
      <c r="D1034" s="75"/>
      <c r="E1034" s="75"/>
      <c r="F1034" s="75"/>
    </row>
    <row r="1035" spans="2:6">
      <c r="B1035" s="75"/>
      <c r="C1035" s="75"/>
      <c r="D1035" s="75"/>
      <c r="E1035" s="75"/>
      <c r="F1035" s="75"/>
    </row>
    <row r="1036" spans="2:6">
      <c r="B1036" s="75"/>
      <c r="C1036" s="75"/>
      <c r="D1036" s="75"/>
      <c r="E1036" s="75"/>
      <c r="F1036" s="75"/>
    </row>
    <row r="1037" spans="2:6">
      <c r="B1037" s="75"/>
      <c r="C1037" s="75"/>
      <c r="D1037" s="75"/>
      <c r="E1037" s="75"/>
      <c r="F1037" s="75"/>
    </row>
    <row r="1038" spans="2:6">
      <c r="B1038" s="75"/>
      <c r="C1038" s="75"/>
      <c r="D1038" s="75"/>
      <c r="E1038" s="75"/>
      <c r="F1038" s="75"/>
    </row>
    <row r="1039" spans="2:6">
      <c r="B1039" s="75"/>
      <c r="C1039" s="75"/>
      <c r="D1039" s="75"/>
      <c r="E1039" s="75"/>
      <c r="F1039" s="75"/>
    </row>
    <row r="1040" spans="2:6">
      <c r="B1040" s="75"/>
      <c r="C1040" s="75"/>
      <c r="D1040" s="75"/>
      <c r="E1040" s="75"/>
      <c r="F1040" s="75"/>
    </row>
    <row r="1041" spans="2:6">
      <c r="B1041" s="75"/>
      <c r="C1041" s="75"/>
      <c r="D1041" s="75"/>
      <c r="E1041" s="75"/>
      <c r="F1041" s="75"/>
    </row>
    <row r="1042" spans="2:6">
      <c r="B1042" s="75"/>
      <c r="C1042" s="75"/>
      <c r="D1042" s="75"/>
      <c r="E1042" s="75"/>
      <c r="F1042" s="75"/>
    </row>
    <row r="1043" spans="2:6">
      <c r="B1043" s="75"/>
      <c r="C1043" s="75"/>
      <c r="D1043" s="75"/>
      <c r="E1043" s="75"/>
      <c r="F1043" s="75"/>
    </row>
    <row r="1044" spans="2:6">
      <c r="B1044" s="75"/>
      <c r="C1044" s="75"/>
      <c r="D1044" s="75"/>
      <c r="E1044" s="75"/>
      <c r="F1044" s="75"/>
    </row>
    <row r="1045" spans="2:6">
      <c r="B1045" s="75"/>
      <c r="C1045" s="75"/>
      <c r="D1045" s="75"/>
      <c r="E1045" s="75"/>
      <c r="F1045" s="75"/>
    </row>
    <row r="1046" spans="2:6">
      <c r="B1046" s="75"/>
      <c r="C1046" s="75"/>
      <c r="D1046" s="75"/>
      <c r="E1046" s="75"/>
      <c r="F1046" s="75"/>
    </row>
    <row r="1047" spans="2:6">
      <c r="B1047" s="75"/>
      <c r="C1047" s="75"/>
      <c r="D1047" s="75"/>
      <c r="E1047" s="75"/>
      <c r="F1047" s="75"/>
    </row>
    <row r="1048" spans="2:6">
      <c r="B1048" s="75"/>
      <c r="C1048" s="75"/>
      <c r="D1048" s="75"/>
      <c r="E1048" s="75"/>
      <c r="F1048" s="75"/>
    </row>
    <row r="1049" spans="2:6">
      <c r="B1049" s="75"/>
      <c r="C1049" s="75"/>
      <c r="D1049" s="75"/>
      <c r="E1049" s="75"/>
      <c r="F1049" s="75"/>
    </row>
    <row r="1050" spans="2:6">
      <c r="B1050" s="75"/>
      <c r="C1050" s="75"/>
      <c r="D1050" s="75"/>
      <c r="E1050" s="75"/>
      <c r="F1050" s="75"/>
    </row>
    <row r="1051" spans="2:6">
      <c r="B1051" s="75"/>
      <c r="C1051" s="75"/>
      <c r="D1051" s="75"/>
      <c r="E1051" s="75"/>
      <c r="F1051" s="75"/>
    </row>
    <row r="1052" spans="2:6">
      <c r="B1052" s="75"/>
      <c r="C1052" s="75"/>
      <c r="D1052" s="75"/>
      <c r="E1052" s="75"/>
      <c r="F1052" s="75"/>
    </row>
    <row r="1053" spans="2:6">
      <c r="B1053" s="75"/>
      <c r="C1053" s="75"/>
      <c r="D1053" s="75"/>
      <c r="E1053" s="75"/>
      <c r="F1053" s="75"/>
    </row>
    <row r="1054" spans="2:6">
      <c r="B1054" s="75"/>
      <c r="C1054" s="75"/>
      <c r="D1054" s="75"/>
      <c r="E1054" s="75"/>
      <c r="F1054" s="75"/>
    </row>
    <row r="1055" spans="2:6">
      <c r="B1055" s="75"/>
      <c r="C1055" s="75"/>
      <c r="D1055" s="75"/>
      <c r="E1055" s="75"/>
      <c r="F1055" s="75"/>
    </row>
    <row r="1056" spans="2:6">
      <c r="B1056" s="75"/>
      <c r="C1056" s="75"/>
      <c r="D1056" s="75"/>
      <c r="E1056" s="75"/>
      <c r="F1056" s="75"/>
    </row>
    <row r="1057" spans="2:6">
      <c r="B1057" s="75"/>
      <c r="C1057" s="75"/>
      <c r="D1057" s="75"/>
      <c r="E1057" s="75"/>
      <c r="F1057" s="75"/>
    </row>
    <row r="1058" spans="2:6">
      <c r="B1058" s="75"/>
      <c r="C1058" s="75"/>
      <c r="D1058" s="75"/>
      <c r="E1058" s="75"/>
      <c r="F1058" s="75"/>
    </row>
    <row r="1059" spans="2:6">
      <c r="B1059" s="75"/>
      <c r="C1059" s="75"/>
      <c r="D1059" s="75"/>
      <c r="E1059" s="75"/>
      <c r="F1059" s="75"/>
    </row>
    <row r="1060" spans="2:6">
      <c r="B1060" s="75"/>
      <c r="C1060" s="75"/>
      <c r="D1060" s="75"/>
      <c r="E1060" s="75"/>
      <c r="F1060" s="75"/>
    </row>
    <row r="1061" spans="2:6">
      <c r="B1061" s="75"/>
      <c r="C1061" s="75"/>
      <c r="D1061" s="75"/>
      <c r="E1061" s="75"/>
      <c r="F1061" s="75"/>
    </row>
    <row r="1062" spans="2:6">
      <c r="B1062" s="75"/>
      <c r="C1062" s="75"/>
      <c r="D1062" s="75"/>
      <c r="E1062" s="75"/>
      <c r="F1062" s="75"/>
    </row>
    <row r="1063" spans="2:6">
      <c r="B1063" s="75"/>
      <c r="C1063" s="75"/>
      <c r="D1063" s="75"/>
      <c r="E1063" s="75"/>
      <c r="F1063" s="75"/>
    </row>
    <row r="1064" spans="2:6">
      <c r="B1064" s="75"/>
      <c r="C1064" s="75"/>
      <c r="D1064" s="75"/>
      <c r="E1064" s="75"/>
      <c r="F1064" s="75"/>
    </row>
    <row r="1065" spans="2:6">
      <c r="B1065" s="75"/>
      <c r="C1065" s="75"/>
      <c r="D1065" s="75"/>
      <c r="E1065" s="75"/>
      <c r="F1065" s="75"/>
    </row>
    <row r="1066" spans="2:6">
      <c r="B1066" s="75"/>
      <c r="C1066" s="75"/>
      <c r="D1066" s="75"/>
      <c r="E1066" s="75"/>
      <c r="F1066" s="75"/>
    </row>
    <row r="1067" spans="2:6">
      <c r="B1067" s="75"/>
      <c r="C1067" s="75"/>
      <c r="D1067" s="75"/>
      <c r="E1067" s="75"/>
      <c r="F1067" s="75"/>
    </row>
    <row r="1068" spans="2:6">
      <c r="B1068" s="75"/>
      <c r="C1068" s="75"/>
      <c r="D1068" s="75"/>
      <c r="E1068" s="75"/>
      <c r="F1068" s="75"/>
    </row>
    <row r="1069" spans="2:6">
      <c r="B1069" s="75"/>
      <c r="C1069" s="75"/>
      <c r="D1069" s="75"/>
      <c r="E1069" s="75"/>
      <c r="F1069" s="75"/>
    </row>
    <row r="1070" spans="2:6">
      <c r="B1070" s="75"/>
      <c r="C1070" s="75"/>
      <c r="D1070" s="75"/>
      <c r="E1070" s="75"/>
      <c r="F1070" s="75"/>
    </row>
    <row r="1071" spans="2:6">
      <c r="B1071" s="75"/>
      <c r="C1071" s="75"/>
      <c r="D1071" s="75"/>
      <c r="E1071" s="75"/>
      <c r="F1071" s="75"/>
    </row>
    <row r="1072" spans="2:6">
      <c r="B1072" s="75"/>
      <c r="C1072" s="75"/>
      <c r="D1072" s="75"/>
      <c r="E1072" s="75"/>
      <c r="F1072" s="75"/>
    </row>
    <row r="1073" spans="2:6">
      <c r="B1073" s="75"/>
      <c r="C1073" s="75"/>
      <c r="D1073" s="75"/>
      <c r="E1073" s="75"/>
      <c r="F1073" s="75"/>
    </row>
    <row r="1074" spans="2:6">
      <c r="B1074" s="75"/>
      <c r="C1074" s="75"/>
      <c r="D1074" s="75"/>
      <c r="E1074" s="75"/>
      <c r="F1074" s="75"/>
    </row>
    <row r="1075" spans="2:6">
      <c r="B1075" s="75"/>
      <c r="C1075" s="75"/>
      <c r="D1075" s="75"/>
      <c r="E1075" s="75"/>
      <c r="F1075" s="75"/>
    </row>
    <row r="1076" spans="2:6">
      <c r="B1076" s="75"/>
      <c r="C1076" s="75"/>
      <c r="D1076" s="75"/>
      <c r="E1076" s="75"/>
      <c r="F1076" s="75"/>
    </row>
    <row r="1077" spans="2:6">
      <c r="B1077" s="75"/>
      <c r="C1077" s="75"/>
      <c r="D1077" s="75"/>
      <c r="E1077" s="75"/>
      <c r="F1077" s="75"/>
    </row>
    <row r="1078" spans="2:6">
      <c r="B1078" s="75"/>
      <c r="C1078" s="75"/>
      <c r="D1078" s="75"/>
      <c r="E1078" s="75"/>
      <c r="F1078" s="75"/>
    </row>
    <row r="1079" spans="2:6">
      <c r="B1079" s="75"/>
      <c r="C1079" s="75"/>
      <c r="D1079" s="75"/>
      <c r="E1079" s="75"/>
      <c r="F1079" s="75"/>
    </row>
    <row r="1080" spans="2:6">
      <c r="B1080" s="75"/>
      <c r="C1080" s="75"/>
      <c r="D1080" s="75"/>
      <c r="E1080" s="75"/>
      <c r="F1080" s="75"/>
    </row>
    <row r="1081" spans="2:6">
      <c r="B1081" s="75"/>
      <c r="C1081" s="75"/>
      <c r="D1081" s="75"/>
      <c r="E1081" s="75"/>
      <c r="F1081" s="75"/>
    </row>
    <row r="1082" spans="2:6">
      <c r="B1082" s="75"/>
      <c r="C1082" s="75"/>
      <c r="D1082" s="75"/>
      <c r="E1082" s="75"/>
      <c r="F1082" s="75"/>
    </row>
    <row r="1083" spans="2:6">
      <c r="B1083" s="75"/>
      <c r="C1083" s="75"/>
      <c r="D1083" s="75"/>
      <c r="E1083" s="75"/>
      <c r="F1083" s="75"/>
    </row>
    <row r="1084" spans="2:6">
      <c r="B1084" s="75"/>
      <c r="C1084" s="75"/>
      <c r="D1084" s="75"/>
      <c r="E1084" s="75"/>
      <c r="F1084" s="75"/>
    </row>
    <row r="1085" spans="2:6">
      <c r="B1085" s="75"/>
      <c r="C1085" s="75"/>
      <c r="D1085" s="75"/>
      <c r="E1085" s="75"/>
      <c r="F1085" s="75"/>
    </row>
    <row r="1086" spans="2:6">
      <c r="B1086" s="75"/>
      <c r="C1086" s="75"/>
      <c r="D1086" s="75"/>
      <c r="E1086" s="75"/>
      <c r="F1086" s="75"/>
    </row>
    <row r="1087" spans="2:6">
      <c r="B1087" s="75"/>
      <c r="C1087" s="75"/>
      <c r="D1087" s="75"/>
      <c r="E1087" s="75"/>
      <c r="F1087" s="75"/>
    </row>
    <row r="1088" spans="2:6">
      <c r="B1088" s="75"/>
      <c r="C1088" s="75"/>
      <c r="D1088" s="75"/>
      <c r="E1088" s="75"/>
      <c r="F1088" s="75"/>
    </row>
    <row r="1089" spans="2:6">
      <c r="B1089" s="75"/>
      <c r="C1089" s="75"/>
      <c r="D1089" s="75"/>
      <c r="E1089" s="75"/>
      <c r="F1089" s="75"/>
    </row>
    <row r="1090" spans="2:6">
      <c r="B1090" s="75"/>
      <c r="C1090" s="75"/>
      <c r="D1090" s="75"/>
      <c r="E1090" s="75"/>
      <c r="F1090" s="75"/>
    </row>
    <row r="1091" spans="2:6">
      <c r="B1091" s="75"/>
      <c r="C1091" s="75"/>
      <c r="D1091" s="75"/>
      <c r="E1091" s="75"/>
      <c r="F1091" s="75"/>
    </row>
    <row r="1092" spans="2:6">
      <c r="B1092" s="75"/>
      <c r="C1092" s="75"/>
      <c r="D1092" s="75"/>
      <c r="E1092" s="75"/>
      <c r="F1092" s="75"/>
    </row>
    <row r="1093" spans="2:6">
      <c r="B1093" s="75"/>
      <c r="C1093" s="75"/>
      <c r="D1093" s="75"/>
      <c r="E1093" s="75"/>
      <c r="F1093" s="75"/>
    </row>
    <row r="1094" spans="2:6">
      <c r="B1094" s="75"/>
      <c r="C1094" s="75"/>
      <c r="D1094" s="75"/>
      <c r="E1094" s="75"/>
      <c r="F1094" s="75"/>
    </row>
    <row r="1095" spans="2:6">
      <c r="B1095" s="75"/>
      <c r="C1095" s="75"/>
      <c r="D1095" s="75"/>
      <c r="E1095" s="75"/>
      <c r="F1095" s="75"/>
    </row>
    <row r="1096" spans="2:6">
      <c r="B1096" s="75"/>
      <c r="C1096" s="75"/>
      <c r="D1096" s="75"/>
      <c r="E1096" s="75"/>
      <c r="F1096" s="75"/>
    </row>
    <row r="1097" spans="2:6">
      <c r="B1097" s="75"/>
      <c r="C1097" s="75"/>
      <c r="D1097" s="75"/>
      <c r="E1097" s="75"/>
      <c r="F1097" s="75"/>
    </row>
    <row r="1098" spans="2:6">
      <c r="B1098" s="75"/>
      <c r="C1098" s="75"/>
      <c r="D1098" s="75"/>
      <c r="E1098" s="75"/>
      <c r="F1098" s="75"/>
    </row>
    <row r="1099" spans="2:6">
      <c r="B1099" s="75"/>
      <c r="C1099" s="75"/>
      <c r="D1099" s="75"/>
      <c r="E1099" s="75"/>
      <c r="F1099" s="75"/>
    </row>
    <row r="1100" spans="2:6">
      <c r="B1100" s="75"/>
      <c r="C1100" s="75"/>
      <c r="D1100" s="75"/>
      <c r="E1100" s="75"/>
      <c r="F1100" s="75"/>
    </row>
    <row r="1101" spans="2:6">
      <c r="B1101" s="75"/>
      <c r="C1101" s="75"/>
      <c r="D1101" s="75"/>
      <c r="E1101" s="75"/>
      <c r="F1101" s="75"/>
    </row>
    <row r="1102" spans="2:6">
      <c r="B1102" s="75"/>
      <c r="C1102" s="75"/>
      <c r="D1102" s="75"/>
      <c r="E1102" s="75"/>
      <c r="F1102" s="75"/>
    </row>
    <row r="1103" spans="2:6">
      <c r="B1103" s="75"/>
      <c r="C1103" s="75"/>
      <c r="D1103" s="75"/>
      <c r="E1103" s="75"/>
      <c r="F1103" s="75"/>
    </row>
    <row r="1104" spans="2:6">
      <c r="B1104" s="75"/>
      <c r="C1104" s="75"/>
      <c r="D1104" s="75"/>
      <c r="E1104" s="75"/>
      <c r="F1104" s="75"/>
    </row>
    <row r="1105" spans="2:6">
      <c r="B1105" s="75"/>
      <c r="C1105" s="75"/>
      <c r="D1105" s="75"/>
      <c r="E1105" s="75"/>
      <c r="F1105" s="75"/>
    </row>
    <row r="1106" spans="2:6">
      <c r="B1106" s="75"/>
      <c r="C1106" s="75"/>
      <c r="D1106" s="75"/>
      <c r="E1106" s="75"/>
      <c r="F1106" s="75"/>
    </row>
    <row r="1107" spans="2:6">
      <c r="B1107" s="75"/>
      <c r="C1107" s="75"/>
      <c r="D1107" s="75"/>
      <c r="E1107" s="75"/>
      <c r="F1107" s="75"/>
    </row>
    <row r="1108" spans="2:6">
      <c r="B1108" s="75"/>
      <c r="C1108" s="75"/>
      <c r="D1108" s="75"/>
      <c r="E1108" s="75"/>
      <c r="F1108" s="75"/>
    </row>
    <row r="1109" spans="2:6">
      <c r="B1109" s="75"/>
      <c r="C1109" s="75"/>
      <c r="D1109" s="75"/>
      <c r="E1109" s="75"/>
      <c r="F1109" s="75"/>
    </row>
    <row r="1110" spans="2:6">
      <c r="B1110" s="75"/>
      <c r="C1110" s="75"/>
      <c r="D1110" s="75"/>
      <c r="E1110" s="75"/>
      <c r="F1110" s="75"/>
    </row>
    <row r="1111" spans="2:6">
      <c r="B1111" s="75"/>
      <c r="C1111" s="75"/>
      <c r="D1111" s="75"/>
      <c r="E1111" s="75"/>
      <c r="F1111" s="75"/>
    </row>
    <row r="1112" spans="2:6">
      <c r="B1112" s="75"/>
      <c r="C1112" s="75"/>
      <c r="D1112" s="75"/>
      <c r="E1112" s="75"/>
      <c r="F1112" s="75"/>
    </row>
    <row r="1113" spans="2:6">
      <c r="B1113" s="75"/>
      <c r="C1113" s="75"/>
      <c r="D1113" s="75"/>
      <c r="E1113" s="75"/>
      <c r="F1113" s="75"/>
    </row>
    <row r="1114" spans="2:6">
      <c r="B1114" s="75"/>
      <c r="C1114" s="75"/>
      <c r="D1114" s="75"/>
      <c r="E1114" s="75"/>
      <c r="F1114" s="75"/>
    </row>
    <row r="1115" spans="2:6">
      <c r="B1115" s="75"/>
      <c r="C1115" s="75"/>
      <c r="D1115" s="75"/>
      <c r="E1115" s="75"/>
      <c r="F1115" s="75"/>
    </row>
    <row r="1116" spans="2:6">
      <c r="B1116" s="75"/>
      <c r="C1116" s="75"/>
      <c r="D1116" s="75"/>
      <c r="E1116" s="75"/>
      <c r="F1116" s="75"/>
    </row>
    <row r="1117" spans="2:6">
      <c r="B1117" s="75"/>
      <c r="C1117" s="75"/>
      <c r="D1117" s="75"/>
      <c r="E1117" s="75"/>
      <c r="F1117" s="75"/>
    </row>
    <row r="1118" spans="2:6">
      <c r="B1118" s="75"/>
      <c r="C1118" s="75"/>
      <c r="D1118" s="75"/>
      <c r="E1118" s="75"/>
      <c r="F1118" s="75"/>
    </row>
    <row r="1119" spans="2:6">
      <c r="B1119" s="75"/>
      <c r="C1119" s="75"/>
      <c r="D1119" s="75"/>
      <c r="E1119" s="75"/>
      <c r="F1119" s="75"/>
    </row>
    <row r="1120" spans="2:6">
      <c r="B1120" s="75"/>
      <c r="C1120" s="75"/>
      <c r="D1120" s="75"/>
      <c r="E1120" s="75"/>
      <c r="F1120" s="75"/>
    </row>
    <row r="1121" spans="2:6">
      <c r="B1121" s="75"/>
      <c r="C1121" s="75"/>
      <c r="D1121" s="75"/>
      <c r="E1121" s="75"/>
      <c r="F1121" s="75"/>
    </row>
    <row r="1122" spans="2:6">
      <c r="B1122" s="75"/>
      <c r="C1122" s="75"/>
      <c r="D1122" s="75"/>
      <c r="E1122" s="75"/>
      <c r="F1122" s="75"/>
    </row>
    <row r="1123" spans="2:6">
      <c r="B1123" s="75"/>
      <c r="C1123" s="75"/>
      <c r="D1123" s="75"/>
      <c r="E1123" s="75"/>
      <c r="F1123" s="75"/>
    </row>
    <row r="1124" spans="2:6">
      <c r="B1124" s="75"/>
      <c r="C1124" s="75"/>
      <c r="D1124" s="75"/>
      <c r="E1124" s="75"/>
      <c r="F1124" s="75"/>
    </row>
    <row r="1125" spans="2:6">
      <c r="B1125" s="75"/>
      <c r="C1125" s="75"/>
      <c r="D1125" s="75"/>
      <c r="E1125" s="75"/>
      <c r="F1125" s="75"/>
    </row>
    <row r="1126" spans="2:6">
      <c r="B1126" s="75"/>
      <c r="C1126" s="75"/>
      <c r="D1126" s="75"/>
      <c r="E1126" s="75"/>
      <c r="F1126" s="75"/>
    </row>
    <row r="1127" spans="2:6">
      <c r="B1127" s="75"/>
      <c r="C1127" s="75"/>
      <c r="D1127" s="75"/>
      <c r="E1127" s="75"/>
      <c r="F1127" s="75"/>
    </row>
    <row r="1128" spans="2:6">
      <c r="B1128" s="75"/>
      <c r="C1128" s="75"/>
      <c r="D1128" s="75"/>
      <c r="E1128" s="75"/>
      <c r="F1128" s="75"/>
    </row>
    <row r="1129" spans="2:6">
      <c r="B1129" s="75"/>
      <c r="C1129" s="75"/>
      <c r="D1129" s="75"/>
      <c r="E1129" s="75"/>
      <c r="F1129" s="75"/>
    </row>
    <row r="1130" spans="2:6">
      <c r="B1130" s="75"/>
      <c r="C1130" s="75"/>
      <c r="D1130" s="75"/>
      <c r="E1130" s="75"/>
      <c r="F1130" s="75"/>
    </row>
    <row r="1131" spans="2:6">
      <c r="B1131" s="75"/>
      <c r="C1131" s="75"/>
      <c r="D1131" s="75"/>
      <c r="E1131" s="75"/>
      <c r="F1131" s="75"/>
    </row>
    <row r="1132" spans="2:6">
      <c r="B1132" s="75"/>
      <c r="C1132" s="75"/>
      <c r="D1132" s="75"/>
      <c r="E1132" s="75"/>
      <c r="F1132" s="75"/>
    </row>
    <row r="1133" spans="2:6">
      <c r="B1133" s="75"/>
      <c r="C1133" s="75"/>
      <c r="D1133" s="75"/>
      <c r="E1133" s="75"/>
      <c r="F1133" s="75"/>
    </row>
    <row r="1134" spans="2:6">
      <c r="B1134" s="75"/>
      <c r="C1134" s="75"/>
      <c r="D1134" s="75"/>
      <c r="E1134" s="75"/>
      <c r="F1134" s="75"/>
    </row>
    <row r="1135" spans="2:6">
      <c r="B1135" s="75"/>
      <c r="C1135" s="75"/>
      <c r="D1135" s="75"/>
      <c r="E1135" s="75"/>
      <c r="F1135" s="75"/>
    </row>
    <row r="1136" spans="2:6">
      <c r="B1136" s="75"/>
      <c r="C1136" s="75"/>
      <c r="D1136" s="75"/>
      <c r="E1136" s="75"/>
      <c r="F1136" s="75"/>
    </row>
    <row r="1137" spans="2:6">
      <c r="B1137" s="75"/>
      <c r="C1137" s="75"/>
      <c r="D1137" s="75"/>
      <c r="E1137" s="75"/>
      <c r="F1137" s="75"/>
    </row>
    <row r="1138" spans="2:6">
      <c r="B1138" s="75"/>
      <c r="C1138" s="75"/>
      <c r="D1138" s="75"/>
      <c r="E1138" s="75"/>
      <c r="F1138" s="75"/>
    </row>
    <row r="1139" spans="2:6">
      <c r="B1139" s="75"/>
      <c r="C1139" s="75"/>
      <c r="D1139" s="75"/>
      <c r="E1139" s="75"/>
      <c r="F1139" s="75"/>
    </row>
    <row r="1140" spans="2:6">
      <c r="B1140" s="75"/>
      <c r="C1140" s="75"/>
      <c r="D1140" s="75"/>
      <c r="E1140" s="75"/>
      <c r="F1140" s="75"/>
    </row>
    <row r="1141" spans="2:6">
      <c r="B1141" s="75"/>
      <c r="C1141" s="75"/>
      <c r="D1141" s="75"/>
      <c r="E1141" s="75"/>
      <c r="F1141" s="75"/>
    </row>
    <row r="1142" spans="2:6">
      <c r="B1142" s="75"/>
      <c r="C1142" s="75"/>
      <c r="D1142" s="75"/>
      <c r="E1142" s="75"/>
      <c r="F1142" s="75"/>
    </row>
    <row r="1143" spans="2:6">
      <c r="B1143" s="75"/>
      <c r="C1143" s="75"/>
      <c r="D1143" s="75"/>
      <c r="E1143" s="75"/>
      <c r="F1143" s="75"/>
    </row>
    <row r="1144" spans="2:6">
      <c r="B1144" s="75"/>
      <c r="C1144" s="75"/>
      <c r="D1144" s="75"/>
      <c r="E1144" s="75"/>
      <c r="F1144" s="75"/>
    </row>
    <row r="1145" spans="2:6">
      <c r="B1145" s="75"/>
      <c r="C1145" s="75"/>
      <c r="D1145" s="75"/>
      <c r="E1145" s="75"/>
      <c r="F1145" s="75"/>
    </row>
    <row r="1146" spans="2:6">
      <c r="B1146" s="75"/>
      <c r="C1146" s="75"/>
      <c r="D1146" s="75"/>
      <c r="E1146" s="75"/>
      <c r="F1146" s="75"/>
    </row>
    <row r="1147" spans="2:6">
      <c r="B1147" s="75"/>
      <c r="C1147" s="75"/>
      <c r="D1147" s="75"/>
      <c r="E1147" s="75"/>
      <c r="F1147" s="75"/>
    </row>
    <row r="1148" spans="2:6">
      <c r="B1148" s="75"/>
      <c r="C1148" s="75"/>
      <c r="D1148" s="75"/>
      <c r="E1148" s="75"/>
      <c r="F1148" s="75"/>
    </row>
    <row r="1149" spans="2:6">
      <c r="B1149" s="75"/>
      <c r="C1149" s="75"/>
      <c r="D1149" s="75"/>
      <c r="E1149" s="75"/>
      <c r="F1149" s="75"/>
    </row>
    <row r="1150" spans="2:6">
      <c r="B1150" s="75"/>
      <c r="C1150" s="75"/>
      <c r="D1150" s="75"/>
      <c r="E1150" s="75"/>
      <c r="F1150" s="75"/>
    </row>
    <row r="1151" spans="2:6">
      <c r="B1151" s="75"/>
      <c r="C1151" s="75"/>
      <c r="D1151" s="75"/>
      <c r="E1151" s="75"/>
      <c r="F1151" s="75"/>
    </row>
    <row r="1152" spans="2:6">
      <c r="B1152" s="75"/>
      <c r="C1152" s="75"/>
      <c r="D1152" s="75"/>
      <c r="E1152" s="75"/>
      <c r="F1152" s="75"/>
    </row>
    <row r="1153" spans="2:6">
      <c r="B1153" s="75"/>
      <c r="C1153" s="75"/>
      <c r="D1153" s="75"/>
      <c r="E1153" s="75"/>
      <c r="F1153" s="75"/>
    </row>
    <row r="1154" spans="2:6">
      <c r="B1154" s="75"/>
      <c r="C1154" s="75"/>
      <c r="D1154" s="75"/>
      <c r="E1154" s="75"/>
      <c r="F1154" s="75"/>
    </row>
    <row r="1155" spans="2:6">
      <c r="B1155" s="75"/>
      <c r="C1155" s="75"/>
      <c r="D1155" s="75"/>
      <c r="E1155" s="75"/>
      <c r="F1155" s="75"/>
    </row>
    <row r="1156" spans="2:6">
      <c r="B1156" s="75"/>
      <c r="C1156" s="75"/>
      <c r="D1156" s="75"/>
      <c r="E1156" s="75"/>
      <c r="F1156" s="75"/>
    </row>
    <row r="1157" spans="2:6">
      <c r="B1157" s="75"/>
      <c r="C1157" s="75"/>
      <c r="D1157" s="75"/>
      <c r="E1157" s="75"/>
      <c r="F1157" s="75"/>
    </row>
    <row r="1158" spans="2:6">
      <c r="B1158" s="75"/>
      <c r="C1158" s="75"/>
      <c r="D1158" s="75"/>
      <c r="E1158" s="75"/>
      <c r="F1158" s="75"/>
    </row>
    <row r="1159" spans="2:6">
      <c r="B1159" s="75"/>
      <c r="C1159" s="75"/>
      <c r="D1159" s="75"/>
      <c r="E1159" s="75"/>
      <c r="F1159" s="75"/>
    </row>
    <row r="1160" spans="2:6">
      <c r="B1160" s="75"/>
      <c r="C1160" s="75"/>
      <c r="D1160" s="75"/>
      <c r="E1160" s="75"/>
      <c r="F1160" s="75"/>
    </row>
    <row r="1161" spans="2:6">
      <c r="B1161" s="75"/>
      <c r="C1161" s="75"/>
      <c r="D1161" s="75"/>
      <c r="E1161" s="75"/>
      <c r="F1161" s="75"/>
    </row>
    <row r="1162" spans="2:6">
      <c r="B1162" s="75"/>
      <c r="C1162" s="75"/>
      <c r="D1162" s="75"/>
      <c r="E1162" s="75"/>
      <c r="F1162" s="75"/>
    </row>
    <row r="1163" spans="2:6">
      <c r="B1163" s="75"/>
      <c r="C1163" s="75"/>
      <c r="D1163" s="75"/>
      <c r="E1163" s="75"/>
      <c r="F1163" s="75"/>
    </row>
    <row r="1164" spans="2:6">
      <c r="B1164" s="75"/>
      <c r="C1164" s="75"/>
      <c r="D1164" s="75"/>
      <c r="E1164" s="75"/>
      <c r="F1164" s="75"/>
    </row>
    <row r="1165" spans="2:6">
      <c r="B1165" s="75"/>
      <c r="C1165" s="75"/>
      <c r="D1165" s="75"/>
      <c r="E1165" s="75"/>
      <c r="F1165" s="75"/>
    </row>
    <row r="1166" spans="2:6">
      <c r="B1166" s="75"/>
      <c r="C1166" s="75"/>
      <c r="D1166" s="75"/>
      <c r="E1166" s="75"/>
      <c r="F1166" s="75"/>
    </row>
    <row r="1167" spans="2:6">
      <c r="B1167" s="75"/>
      <c r="C1167" s="75"/>
      <c r="D1167" s="75"/>
      <c r="E1167" s="75"/>
      <c r="F1167" s="75"/>
    </row>
    <row r="1168" spans="2:6">
      <c r="B1168" s="75"/>
      <c r="C1168" s="75"/>
      <c r="D1168" s="75"/>
      <c r="E1168" s="75"/>
      <c r="F1168" s="75"/>
    </row>
    <row r="1169" spans="2:6">
      <c r="B1169" s="75"/>
      <c r="C1169" s="75"/>
      <c r="D1169" s="75"/>
      <c r="E1169" s="75"/>
      <c r="F1169" s="75"/>
    </row>
    <row r="1170" spans="2:6">
      <c r="B1170" s="75"/>
      <c r="C1170" s="75"/>
      <c r="D1170" s="75"/>
      <c r="E1170" s="75"/>
      <c r="F1170" s="75"/>
    </row>
    <row r="1171" spans="2:6">
      <c r="B1171" s="75"/>
      <c r="C1171" s="75"/>
      <c r="D1171" s="75"/>
      <c r="E1171" s="75"/>
      <c r="F1171" s="75"/>
    </row>
    <row r="1172" spans="2:6">
      <c r="B1172" s="75"/>
      <c r="C1172" s="75"/>
      <c r="D1172" s="75"/>
      <c r="E1172" s="75"/>
      <c r="F1172" s="75"/>
    </row>
    <row r="1173" spans="2:6">
      <c r="B1173" s="75"/>
      <c r="C1173" s="75"/>
      <c r="D1173" s="75"/>
      <c r="E1173" s="75"/>
      <c r="F1173" s="75"/>
    </row>
    <row r="1174" spans="2:6">
      <c r="B1174" s="75"/>
      <c r="C1174" s="75"/>
      <c r="D1174" s="75"/>
      <c r="E1174" s="75"/>
      <c r="F1174" s="75"/>
    </row>
    <row r="1175" spans="2:6">
      <c r="B1175" s="75"/>
      <c r="C1175" s="75"/>
      <c r="D1175" s="75"/>
      <c r="E1175" s="75"/>
      <c r="F1175" s="75"/>
    </row>
    <row r="1176" spans="2:6">
      <c r="B1176" s="75"/>
      <c r="C1176" s="75"/>
      <c r="D1176" s="75"/>
      <c r="E1176" s="75"/>
      <c r="F1176" s="75"/>
    </row>
    <row r="1177" spans="2:6">
      <c r="B1177" s="75"/>
      <c r="C1177" s="75"/>
      <c r="D1177" s="75"/>
      <c r="E1177" s="75"/>
      <c r="F1177" s="75"/>
    </row>
    <row r="1178" spans="2:6">
      <c r="B1178" s="75"/>
      <c r="C1178" s="75"/>
      <c r="D1178" s="75"/>
      <c r="E1178" s="75"/>
      <c r="F1178" s="75"/>
    </row>
    <row r="1179" spans="2:6">
      <c r="B1179" s="75"/>
      <c r="C1179" s="75"/>
      <c r="D1179" s="75"/>
      <c r="E1179" s="75"/>
      <c r="F1179" s="75"/>
    </row>
    <row r="1180" spans="2:6">
      <c r="B1180" s="75"/>
      <c r="C1180" s="75"/>
      <c r="D1180" s="75"/>
      <c r="E1180" s="75"/>
      <c r="F1180" s="75"/>
    </row>
    <row r="1181" spans="2:6">
      <c r="B1181" s="75"/>
      <c r="C1181" s="75"/>
      <c r="D1181" s="75"/>
      <c r="E1181" s="75"/>
      <c r="F1181" s="75"/>
    </row>
    <row r="1182" spans="2:6">
      <c r="B1182" s="75"/>
      <c r="C1182" s="75"/>
      <c r="D1182" s="75"/>
      <c r="E1182" s="75"/>
      <c r="F1182" s="75"/>
    </row>
    <row r="1183" spans="2:6">
      <c r="B1183" s="75"/>
      <c r="C1183" s="75"/>
      <c r="D1183" s="75"/>
      <c r="E1183" s="75"/>
      <c r="F1183" s="75"/>
    </row>
    <row r="1184" spans="2:6">
      <c r="B1184" s="75"/>
      <c r="C1184" s="75"/>
      <c r="D1184" s="75"/>
      <c r="E1184" s="75"/>
      <c r="F1184" s="75"/>
    </row>
    <row r="1185" spans="2:6">
      <c r="B1185" s="75"/>
      <c r="C1185" s="75"/>
      <c r="D1185" s="75"/>
      <c r="E1185" s="75"/>
      <c r="F1185" s="75"/>
    </row>
    <row r="1186" spans="2:6">
      <c r="B1186" s="75"/>
      <c r="C1186" s="75"/>
      <c r="D1186" s="75"/>
      <c r="E1186" s="75"/>
      <c r="F1186" s="75"/>
    </row>
    <row r="1187" spans="2:6">
      <c r="B1187" s="75"/>
      <c r="C1187" s="75"/>
      <c r="D1187" s="75"/>
      <c r="E1187" s="75"/>
      <c r="F1187" s="75"/>
    </row>
    <row r="1188" spans="2:6">
      <c r="B1188" s="75"/>
      <c r="C1188" s="75"/>
      <c r="D1188" s="75"/>
      <c r="E1188" s="75"/>
      <c r="F1188" s="75"/>
    </row>
    <row r="1189" spans="2:6">
      <c r="B1189" s="75"/>
      <c r="C1189" s="75"/>
      <c r="D1189" s="75"/>
      <c r="E1189" s="75"/>
      <c r="F1189" s="75"/>
    </row>
    <row r="1190" spans="2:6">
      <c r="B1190" s="75"/>
      <c r="C1190" s="75"/>
      <c r="D1190" s="75"/>
      <c r="E1190" s="75"/>
      <c r="F1190" s="75"/>
    </row>
    <row r="1191" spans="2:6">
      <c r="B1191" s="75"/>
      <c r="C1191" s="75"/>
      <c r="D1191" s="75"/>
      <c r="E1191" s="75"/>
      <c r="F1191" s="75"/>
    </row>
    <row r="1192" spans="2:6">
      <c r="B1192" s="75"/>
      <c r="C1192" s="75"/>
      <c r="D1192" s="75"/>
      <c r="E1192" s="75"/>
      <c r="F1192" s="75"/>
    </row>
    <row r="1193" spans="2:6">
      <c r="B1193" s="75"/>
      <c r="C1193" s="75"/>
      <c r="D1193" s="75"/>
      <c r="E1193" s="75"/>
      <c r="F1193" s="75"/>
    </row>
    <row r="1194" spans="2:6">
      <c r="B1194" s="75"/>
      <c r="C1194" s="75"/>
      <c r="D1194" s="75"/>
      <c r="E1194" s="75"/>
      <c r="F1194" s="75"/>
    </row>
    <row r="1195" spans="2:6">
      <c r="B1195" s="75"/>
      <c r="C1195" s="75"/>
      <c r="D1195" s="75"/>
      <c r="E1195" s="75"/>
      <c r="F1195" s="75"/>
    </row>
    <row r="1196" spans="2:6">
      <c r="B1196" s="75"/>
      <c r="C1196" s="75"/>
      <c r="D1196" s="75"/>
      <c r="E1196" s="75"/>
      <c r="F1196" s="75"/>
    </row>
    <row r="1197" spans="2:6">
      <c r="B1197" s="75"/>
      <c r="C1197" s="75"/>
      <c r="D1197" s="75"/>
      <c r="E1197" s="75"/>
      <c r="F1197" s="75"/>
    </row>
    <row r="1198" spans="2:6">
      <c r="B1198" s="75"/>
      <c r="C1198" s="75"/>
      <c r="D1198" s="75"/>
      <c r="E1198" s="75"/>
      <c r="F1198" s="75"/>
    </row>
    <row r="1199" spans="2:6">
      <c r="B1199" s="75"/>
      <c r="C1199" s="75"/>
      <c r="D1199" s="75"/>
      <c r="E1199" s="75"/>
      <c r="F1199" s="75"/>
    </row>
    <row r="1200" spans="2:6">
      <c r="B1200" s="75"/>
      <c r="C1200" s="75"/>
      <c r="D1200" s="75"/>
      <c r="E1200" s="75"/>
      <c r="F1200" s="75"/>
    </row>
    <row r="1201" spans="2:6">
      <c r="B1201" s="75"/>
      <c r="C1201" s="75"/>
      <c r="D1201" s="75"/>
      <c r="E1201" s="75"/>
      <c r="F1201" s="75"/>
    </row>
    <row r="1202" spans="2:6">
      <c r="B1202" s="75"/>
      <c r="C1202" s="75"/>
      <c r="D1202" s="75"/>
      <c r="E1202" s="75"/>
      <c r="F1202" s="75"/>
    </row>
    <row r="1203" spans="2:6">
      <c r="B1203" s="75"/>
      <c r="C1203" s="75"/>
      <c r="D1203" s="75"/>
      <c r="E1203" s="75"/>
      <c r="F1203" s="75"/>
    </row>
    <row r="1204" spans="2:6">
      <c r="B1204" s="75"/>
      <c r="C1204" s="75"/>
      <c r="D1204" s="75"/>
      <c r="E1204" s="75"/>
      <c r="F1204" s="75"/>
    </row>
    <row r="1205" spans="2:6">
      <c r="B1205" s="75"/>
      <c r="C1205" s="75"/>
      <c r="D1205" s="75"/>
      <c r="E1205" s="75"/>
      <c r="F1205" s="75"/>
    </row>
    <row r="1206" spans="2:6">
      <c r="B1206" s="75"/>
      <c r="C1206" s="75"/>
      <c r="D1206" s="75"/>
      <c r="E1206" s="75"/>
      <c r="F1206" s="75"/>
    </row>
    <row r="1207" spans="2:6">
      <c r="B1207" s="75"/>
      <c r="C1207" s="75"/>
      <c r="D1207" s="75"/>
      <c r="E1207" s="75"/>
      <c r="F1207" s="75"/>
    </row>
    <row r="1208" spans="2:6">
      <c r="B1208" s="75"/>
      <c r="C1208" s="75"/>
      <c r="D1208" s="75"/>
      <c r="E1208" s="75"/>
      <c r="F1208" s="75"/>
    </row>
    <row r="1209" spans="2:6">
      <c r="B1209" s="75"/>
      <c r="C1209" s="75"/>
      <c r="D1209" s="75"/>
      <c r="E1209" s="75"/>
      <c r="F1209" s="75"/>
    </row>
    <row r="1210" spans="2:6">
      <c r="B1210" s="75"/>
      <c r="C1210" s="75"/>
      <c r="D1210" s="75"/>
      <c r="E1210" s="75"/>
      <c r="F1210" s="75"/>
    </row>
    <row r="1211" spans="2:6">
      <c r="B1211" s="75"/>
      <c r="C1211" s="75"/>
      <c r="D1211" s="75"/>
      <c r="E1211" s="75"/>
      <c r="F1211" s="75"/>
    </row>
    <row r="1212" spans="2:6">
      <c r="B1212" s="75"/>
      <c r="C1212" s="75"/>
      <c r="D1212" s="75"/>
      <c r="E1212" s="75"/>
      <c r="F1212" s="75"/>
    </row>
    <row r="1213" spans="2:6">
      <c r="B1213" s="75"/>
      <c r="C1213" s="75"/>
      <c r="D1213" s="75"/>
      <c r="E1213" s="75"/>
      <c r="F1213" s="75"/>
    </row>
    <row r="1214" spans="2:6">
      <c r="B1214" s="75"/>
      <c r="C1214" s="75"/>
      <c r="D1214" s="75"/>
      <c r="E1214" s="75"/>
      <c r="F1214" s="75"/>
    </row>
    <row r="1215" spans="2:6">
      <c r="B1215" s="75"/>
      <c r="C1215" s="75"/>
      <c r="D1215" s="75"/>
      <c r="E1215" s="75"/>
      <c r="F1215" s="75"/>
    </row>
    <row r="1216" spans="2:6">
      <c r="B1216" s="75"/>
      <c r="C1216" s="75"/>
      <c r="D1216" s="75"/>
      <c r="E1216" s="75"/>
      <c r="F1216" s="75"/>
    </row>
    <row r="1217" spans="2:6">
      <c r="B1217" s="75"/>
      <c r="C1217" s="75"/>
      <c r="D1217" s="75"/>
      <c r="E1217" s="75"/>
      <c r="F1217" s="75"/>
    </row>
    <row r="1218" spans="2:6">
      <c r="B1218" s="75"/>
      <c r="C1218" s="75"/>
      <c r="D1218" s="75"/>
      <c r="E1218" s="75"/>
      <c r="F1218" s="75"/>
    </row>
    <row r="1219" spans="2:6">
      <c r="B1219" s="75"/>
      <c r="C1219" s="75"/>
      <c r="D1219" s="75"/>
      <c r="E1219" s="75"/>
      <c r="F1219" s="75"/>
    </row>
    <row r="1220" spans="2:6">
      <c r="B1220" s="75"/>
      <c r="C1220" s="75"/>
      <c r="D1220" s="75"/>
      <c r="E1220" s="75"/>
      <c r="F1220" s="75"/>
    </row>
    <row r="1221" spans="2:6">
      <c r="B1221" s="75"/>
      <c r="C1221" s="75"/>
      <c r="D1221" s="75"/>
      <c r="E1221" s="75"/>
      <c r="F1221" s="75"/>
    </row>
    <row r="1222" spans="2:6">
      <c r="B1222" s="75"/>
      <c r="C1222" s="75"/>
      <c r="D1222" s="75"/>
      <c r="E1222" s="75"/>
      <c r="F1222" s="75"/>
    </row>
    <row r="1223" spans="2:6">
      <c r="B1223" s="75"/>
      <c r="C1223" s="75"/>
      <c r="D1223" s="75"/>
      <c r="E1223" s="75"/>
      <c r="F1223" s="75"/>
    </row>
    <row r="1224" spans="2:6">
      <c r="B1224" s="75"/>
      <c r="C1224" s="75"/>
      <c r="D1224" s="75"/>
      <c r="E1224" s="75"/>
      <c r="F1224" s="75"/>
    </row>
    <row r="1225" spans="2:6">
      <c r="B1225" s="75"/>
      <c r="C1225" s="75"/>
      <c r="D1225" s="75"/>
      <c r="E1225" s="75"/>
      <c r="F1225" s="75"/>
    </row>
    <row r="1226" spans="2:6">
      <c r="B1226" s="75"/>
      <c r="C1226" s="75"/>
      <c r="D1226" s="75"/>
      <c r="E1226" s="75"/>
      <c r="F1226" s="75"/>
    </row>
    <row r="1227" spans="2:6">
      <c r="B1227" s="75"/>
      <c r="C1227" s="75"/>
      <c r="D1227" s="75"/>
      <c r="E1227" s="75"/>
      <c r="F1227" s="75"/>
    </row>
    <row r="1228" spans="2:6">
      <c r="B1228" s="75"/>
      <c r="C1228" s="75"/>
      <c r="D1228" s="75"/>
      <c r="E1228" s="75"/>
      <c r="F1228" s="75"/>
    </row>
    <row r="1229" spans="2:6">
      <c r="B1229" s="75"/>
      <c r="C1229" s="75"/>
      <c r="D1229" s="75"/>
      <c r="E1229" s="75"/>
      <c r="F1229" s="75"/>
    </row>
    <row r="1230" spans="2:6">
      <c r="B1230" s="75"/>
      <c r="C1230" s="75"/>
      <c r="D1230" s="75"/>
      <c r="E1230" s="75"/>
      <c r="F1230" s="75"/>
    </row>
    <row r="1231" spans="2:6">
      <c r="B1231" s="75"/>
      <c r="C1231" s="75"/>
      <c r="D1231" s="75"/>
      <c r="E1231" s="75"/>
      <c r="F1231" s="75"/>
    </row>
    <row r="1232" spans="2:6">
      <c r="B1232" s="75"/>
      <c r="C1232" s="75"/>
      <c r="D1232" s="75"/>
      <c r="E1232" s="75"/>
      <c r="F1232" s="75"/>
    </row>
    <row r="1233" spans="2:6">
      <c r="B1233" s="75"/>
      <c r="C1233" s="75"/>
      <c r="D1233" s="75"/>
      <c r="E1233" s="75"/>
      <c r="F1233" s="75"/>
    </row>
    <row r="1234" spans="2:6">
      <c r="B1234" s="75"/>
      <c r="C1234" s="75"/>
      <c r="D1234" s="75"/>
      <c r="E1234" s="75"/>
      <c r="F1234" s="75"/>
    </row>
    <row r="1235" spans="2:6">
      <c r="B1235" s="75"/>
      <c r="C1235" s="75"/>
      <c r="D1235" s="75"/>
      <c r="E1235" s="75"/>
      <c r="F1235" s="75"/>
    </row>
    <row r="1236" spans="2:6">
      <c r="B1236" s="75"/>
      <c r="C1236" s="75"/>
      <c r="D1236" s="75"/>
      <c r="E1236" s="75"/>
      <c r="F1236" s="75"/>
    </row>
    <row r="1237" spans="2:6">
      <c r="B1237" s="75"/>
      <c r="C1237" s="75"/>
      <c r="D1237" s="75"/>
      <c r="E1237" s="75"/>
      <c r="F1237" s="75"/>
    </row>
    <row r="1238" spans="2:6">
      <c r="B1238" s="75"/>
      <c r="C1238" s="75"/>
      <c r="D1238" s="75"/>
      <c r="E1238" s="75"/>
      <c r="F1238" s="75"/>
    </row>
    <row r="1239" spans="2:6">
      <c r="B1239" s="75"/>
      <c r="C1239" s="75"/>
      <c r="D1239" s="75"/>
      <c r="E1239" s="75"/>
      <c r="F1239" s="75"/>
    </row>
    <row r="1240" spans="2:6">
      <c r="B1240" s="75"/>
      <c r="C1240" s="75"/>
      <c r="D1240" s="75"/>
      <c r="E1240" s="75"/>
      <c r="F1240" s="75"/>
    </row>
    <row r="1241" spans="2:6">
      <c r="B1241" s="75"/>
      <c r="C1241" s="75"/>
      <c r="D1241" s="75"/>
      <c r="E1241" s="75"/>
      <c r="F1241" s="75"/>
    </row>
    <row r="1242" spans="2:6">
      <c r="B1242" s="75"/>
      <c r="C1242" s="75"/>
      <c r="D1242" s="75"/>
      <c r="E1242" s="75"/>
      <c r="F1242" s="75"/>
    </row>
    <row r="1243" spans="2:6">
      <c r="B1243" s="75"/>
      <c r="C1243" s="75"/>
      <c r="D1243" s="75"/>
      <c r="E1243" s="75"/>
      <c r="F1243" s="75"/>
    </row>
    <row r="1244" spans="2:6">
      <c r="B1244" s="75"/>
      <c r="C1244" s="75"/>
      <c r="D1244" s="75"/>
      <c r="E1244" s="75"/>
      <c r="F1244" s="75"/>
    </row>
    <row r="1245" spans="2:6">
      <c r="B1245" s="75"/>
      <c r="C1245" s="75"/>
      <c r="D1245" s="75"/>
      <c r="E1245" s="75"/>
      <c r="F1245" s="75"/>
    </row>
    <row r="1246" spans="2:6">
      <c r="B1246" s="75"/>
      <c r="C1246" s="75"/>
      <c r="D1246" s="75"/>
      <c r="E1246" s="75"/>
      <c r="F1246" s="75"/>
    </row>
    <row r="1247" spans="2:6">
      <c r="B1247" s="75"/>
      <c r="C1247" s="75"/>
      <c r="D1247" s="75"/>
      <c r="E1247" s="75"/>
      <c r="F1247" s="75"/>
    </row>
    <row r="1248" spans="2:6">
      <c r="B1248" s="75"/>
      <c r="C1248" s="75"/>
      <c r="D1248" s="75"/>
      <c r="E1248" s="75"/>
      <c r="F1248" s="75"/>
    </row>
    <row r="1249" spans="2:6">
      <c r="B1249" s="75"/>
      <c r="C1249" s="75"/>
      <c r="D1249" s="75"/>
      <c r="E1249" s="75"/>
      <c r="F1249" s="75"/>
    </row>
    <row r="1250" spans="2:6">
      <c r="B1250" s="75"/>
      <c r="C1250" s="75"/>
      <c r="D1250" s="75"/>
      <c r="E1250" s="75"/>
      <c r="F1250" s="75"/>
    </row>
    <row r="1251" spans="2:6">
      <c r="B1251" s="75"/>
      <c r="C1251" s="75"/>
      <c r="D1251" s="75"/>
      <c r="E1251" s="75"/>
      <c r="F1251" s="75"/>
    </row>
    <row r="1252" spans="2:6">
      <c r="B1252" s="75"/>
      <c r="C1252" s="75"/>
      <c r="D1252" s="75"/>
      <c r="E1252" s="75"/>
      <c r="F1252" s="75"/>
    </row>
    <row r="1253" spans="2:6">
      <c r="B1253" s="75"/>
      <c r="C1253" s="75"/>
      <c r="D1253" s="75"/>
      <c r="E1253" s="75"/>
      <c r="F1253" s="75"/>
    </row>
    <row r="1254" spans="2:6">
      <c r="B1254" s="75"/>
      <c r="C1254" s="75"/>
      <c r="D1254" s="75"/>
      <c r="E1254" s="75"/>
      <c r="F1254" s="75"/>
    </row>
    <row r="1255" spans="2:6">
      <c r="B1255" s="75"/>
      <c r="C1255" s="75"/>
      <c r="D1255" s="75"/>
      <c r="E1255" s="75"/>
      <c r="F1255" s="75"/>
    </row>
    <row r="1256" spans="2:6">
      <c r="B1256" s="75"/>
      <c r="C1256" s="75"/>
      <c r="D1256" s="75"/>
      <c r="E1256" s="75"/>
      <c r="F1256" s="75"/>
    </row>
    <row r="1257" spans="2:6">
      <c r="B1257" s="75"/>
      <c r="C1257" s="75"/>
      <c r="D1257" s="75"/>
      <c r="E1257" s="75"/>
      <c r="F1257" s="75"/>
    </row>
    <row r="1258" spans="2:6">
      <c r="B1258" s="75"/>
      <c r="C1258" s="75"/>
      <c r="D1258" s="75"/>
      <c r="E1258" s="75"/>
      <c r="F1258" s="75"/>
    </row>
    <row r="1259" spans="2:6">
      <c r="B1259" s="75"/>
      <c r="C1259" s="75"/>
      <c r="D1259" s="75"/>
      <c r="E1259" s="75"/>
      <c r="F1259" s="75"/>
    </row>
    <row r="1260" spans="2:6">
      <c r="B1260" s="75"/>
      <c r="C1260" s="75"/>
      <c r="D1260" s="75"/>
      <c r="E1260" s="75"/>
      <c r="F1260" s="75"/>
    </row>
    <row r="1261" spans="2:6">
      <c r="B1261" s="75"/>
      <c r="C1261" s="75"/>
      <c r="D1261" s="75"/>
      <c r="E1261" s="75"/>
      <c r="F1261" s="75"/>
    </row>
    <row r="1262" spans="2:6">
      <c r="B1262" s="75"/>
      <c r="C1262" s="75"/>
      <c r="D1262" s="75"/>
      <c r="E1262" s="75"/>
      <c r="F1262" s="75"/>
    </row>
    <row r="1263" spans="2:6">
      <c r="B1263" s="75"/>
      <c r="C1263" s="75"/>
      <c r="D1263" s="75"/>
      <c r="E1263" s="75"/>
      <c r="F1263" s="75"/>
    </row>
    <row r="1264" spans="2:6">
      <c r="B1264" s="75"/>
      <c r="C1264" s="75"/>
      <c r="D1264" s="75"/>
      <c r="E1264" s="75"/>
      <c r="F1264" s="75"/>
    </row>
    <row r="1265" spans="2:6">
      <c r="B1265" s="75"/>
      <c r="C1265" s="75"/>
      <c r="D1265" s="75"/>
      <c r="E1265" s="75"/>
      <c r="F1265" s="75"/>
    </row>
    <row r="1266" spans="2:6">
      <c r="B1266" s="75"/>
      <c r="C1266" s="75"/>
      <c r="D1266" s="75"/>
      <c r="E1266" s="75"/>
      <c r="F1266" s="75"/>
    </row>
    <row r="1267" spans="2:6">
      <c r="B1267" s="75"/>
      <c r="C1267" s="75"/>
      <c r="D1267" s="75"/>
      <c r="E1267" s="75"/>
      <c r="F1267" s="75"/>
    </row>
    <row r="1268" spans="2:6">
      <c r="B1268" s="75"/>
      <c r="C1268" s="75"/>
      <c r="D1268" s="75"/>
      <c r="E1268" s="75"/>
      <c r="F1268" s="75"/>
    </row>
    <row r="1269" spans="2:6">
      <c r="B1269" s="75"/>
      <c r="C1269" s="75"/>
      <c r="D1269" s="75"/>
      <c r="E1269" s="75"/>
      <c r="F1269" s="75"/>
    </row>
    <row r="1270" spans="2:6">
      <c r="B1270" s="75"/>
      <c r="C1270" s="75"/>
      <c r="D1270" s="75"/>
      <c r="E1270" s="75"/>
      <c r="F1270" s="75"/>
    </row>
    <row r="1271" spans="2:6">
      <c r="B1271" s="75"/>
      <c r="C1271" s="75"/>
      <c r="D1271" s="75"/>
      <c r="E1271" s="75"/>
      <c r="F1271" s="75"/>
    </row>
    <row r="1272" spans="2:6">
      <c r="B1272" s="75"/>
      <c r="C1272" s="75"/>
      <c r="D1272" s="75"/>
      <c r="E1272" s="75"/>
      <c r="F1272" s="75"/>
    </row>
    <row r="1273" spans="2:6">
      <c r="B1273" s="75"/>
      <c r="C1273" s="75"/>
      <c r="D1273" s="75"/>
      <c r="E1273" s="75"/>
      <c r="F1273" s="75"/>
    </row>
    <row r="1274" spans="2:6">
      <c r="B1274" s="75"/>
      <c r="C1274" s="75"/>
      <c r="D1274" s="75"/>
      <c r="E1274" s="75"/>
      <c r="F1274" s="75"/>
    </row>
    <row r="1275" spans="2:6">
      <c r="B1275" s="75"/>
      <c r="C1275" s="75"/>
      <c r="D1275" s="75"/>
      <c r="E1275" s="75"/>
      <c r="F1275" s="75"/>
    </row>
    <row r="1276" spans="2:6">
      <c r="B1276" s="75"/>
      <c r="C1276" s="75"/>
      <c r="D1276" s="75"/>
      <c r="E1276" s="75"/>
      <c r="F1276" s="75"/>
    </row>
    <row r="1277" spans="2:6">
      <c r="B1277" s="75"/>
      <c r="C1277" s="75"/>
      <c r="D1277" s="75"/>
      <c r="E1277" s="75"/>
      <c r="F1277" s="75"/>
    </row>
    <row r="1278" spans="2:6">
      <c r="B1278" s="75"/>
      <c r="C1278" s="75"/>
      <c r="D1278" s="75"/>
      <c r="E1278" s="75"/>
      <c r="F1278" s="75"/>
    </row>
    <row r="1279" spans="2:6">
      <c r="B1279" s="75"/>
      <c r="C1279" s="75"/>
      <c r="D1279" s="75"/>
      <c r="E1279" s="75"/>
      <c r="F1279" s="75"/>
    </row>
    <row r="1280" spans="2:6">
      <c r="B1280" s="75"/>
      <c r="C1280" s="75"/>
      <c r="D1280" s="75"/>
      <c r="E1280" s="75"/>
      <c r="F1280" s="75"/>
    </row>
    <row r="1281" spans="2:6">
      <c r="B1281" s="75"/>
      <c r="C1281" s="75"/>
      <c r="D1281" s="75"/>
      <c r="E1281" s="75"/>
      <c r="F1281" s="75"/>
    </row>
    <row r="1282" spans="2:6">
      <c r="B1282" s="75"/>
      <c r="C1282" s="75"/>
      <c r="D1282" s="75"/>
      <c r="E1282" s="75"/>
      <c r="F1282" s="75"/>
    </row>
    <row r="1283" spans="2:6">
      <c r="B1283" s="75"/>
      <c r="C1283" s="75"/>
      <c r="D1283" s="75"/>
      <c r="E1283" s="75"/>
      <c r="F1283" s="75"/>
    </row>
    <row r="1284" spans="2:6">
      <c r="B1284" s="75"/>
      <c r="C1284" s="75"/>
      <c r="D1284" s="75"/>
      <c r="E1284" s="75"/>
      <c r="F1284" s="75"/>
    </row>
    <row r="1285" spans="2:6">
      <c r="B1285" s="75"/>
      <c r="C1285" s="75"/>
      <c r="D1285" s="75"/>
      <c r="E1285" s="75"/>
      <c r="F1285" s="75"/>
    </row>
    <row r="1286" spans="2:6">
      <c r="B1286" s="75"/>
      <c r="C1286" s="75"/>
      <c r="D1286" s="75"/>
      <c r="E1286" s="75"/>
      <c r="F1286" s="75"/>
    </row>
    <row r="1287" spans="2:6">
      <c r="B1287" s="75"/>
      <c r="C1287" s="75"/>
      <c r="D1287" s="75"/>
      <c r="E1287" s="75"/>
      <c r="F1287" s="75"/>
    </row>
    <row r="1288" spans="2:6">
      <c r="B1288" s="75"/>
      <c r="C1288" s="75"/>
      <c r="D1288" s="75"/>
      <c r="E1288" s="75"/>
      <c r="F1288" s="75"/>
    </row>
    <row r="1289" spans="2:6">
      <c r="B1289" s="75"/>
      <c r="C1289" s="75"/>
      <c r="D1289" s="75"/>
      <c r="E1289" s="75"/>
      <c r="F1289" s="75"/>
    </row>
    <row r="1290" spans="2:6">
      <c r="B1290" s="75"/>
      <c r="C1290" s="75"/>
      <c r="D1290" s="75"/>
      <c r="E1290" s="75"/>
      <c r="F1290" s="75"/>
    </row>
    <row r="1291" spans="2:6">
      <c r="B1291" s="75"/>
      <c r="C1291" s="75"/>
      <c r="D1291" s="75"/>
      <c r="E1291" s="75"/>
      <c r="F1291" s="75"/>
    </row>
    <row r="1292" spans="2:6">
      <c r="B1292" s="75"/>
      <c r="C1292" s="75"/>
      <c r="D1292" s="75"/>
      <c r="E1292" s="75"/>
      <c r="F1292" s="75"/>
    </row>
    <row r="1293" spans="2:6">
      <c r="B1293" s="75"/>
      <c r="C1293" s="75"/>
      <c r="D1293" s="75"/>
      <c r="E1293" s="75"/>
      <c r="F1293" s="75"/>
    </row>
    <row r="1294" spans="2:6">
      <c r="B1294" s="75"/>
      <c r="C1294" s="75"/>
      <c r="D1294" s="75"/>
      <c r="E1294" s="75"/>
      <c r="F1294" s="75"/>
    </row>
    <row r="1295" spans="2:6">
      <c r="B1295" s="75"/>
      <c r="C1295" s="75"/>
      <c r="D1295" s="75"/>
      <c r="E1295" s="75"/>
      <c r="F1295" s="75"/>
    </row>
    <row r="1296" spans="2:6">
      <c r="B1296" s="75"/>
      <c r="C1296" s="75"/>
      <c r="D1296" s="75"/>
      <c r="E1296" s="75"/>
      <c r="F1296" s="75"/>
    </row>
    <row r="1297" spans="2:6">
      <c r="B1297" s="75"/>
      <c r="C1297" s="75"/>
      <c r="D1297" s="75"/>
      <c r="E1297" s="75"/>
      <c r="F1297" s="75"/>
    </row>
    <row r="1298" spans="2:6">
      <c r="B1298" s="75"/>
      <c r="C1298" s="75"/>
      <c r="D1298" s="75"/>
      <c r="E1298" s="75"/>
      <c r="F1298" s="75"/>
    </row>
    <row r="1299" spans="2:6">
      <c r="B1299" s="75"/>
      <c r="C1299" s="75"/>
      <c r="D1299" s="75"/>
      <c r="E1299" s="75"/>
      <c r="F1299" s="75"/>
    </row>
    <row r="1300" spans="2:6">
      <c r="B1300" s="75"/>
      <c r="C1300" s="75"/>
      <c r="D1300" s="75"/>
      <c r="E1300" s="75"/>
      <c r="F1300" s="75"/>
    </row>
    <row r="1301" spans="2:6">
      <c r="B1301" s="75"/>
      <c r="C1301" s="75"/>
      <c r="D1301" s="75"/>
      <c r="E1301" s="75"/>
      <c r="F1301" s="75"/>
    </row>
    <row r="1302" spans="2:6">
      <c r="B1302" s="75"/>
      <c r="C1302" s="75"/>
      <c r="D1302" s="75"/>
      <c r="E1302" s="75"/>
      <c r="F1302" s="75"/>
    </row>
    <row r="1303" spans="2:6">
      <c r="B1303" s="75"/>
      <c r="C1303" s="75"/>
      <c r="D1303" s="75"/>
      <c r="E1303" s="75"/>
      <c r="F1303" s="75"/>
    </row>
    <row r="1304" spans="2:6">
      <c r="B1304" s="75"/>
      <c r="C1304" s="75"/>
      <c r="D1304" s="75"/>
      <c r="E1304" s="75"/>
      <c r="F1304" s="75"/>
    </row>
    <row r="1305" spans="2:6">
      <c r="B1305" s="75"/>
      <c r="C1305" s="75"/>
      <c r="D1305" s="75"/>
      <c r="E1305" s="75"/>
      <c r="F1305" s="75"/>
    </row>
    <row r="1306" spans="2:6">
      <c r="B1306" s="75"/>
      <c r="C1306" s="75"/>
      <c r="D1306" s="75"/>
      <c r="E1306" s="75"/>
      <c r="F1306" s="75"/>
    </row>
    <row r="1307" spans="2:6">
      <c r="B1307" s="75"/>
      <c r="C1307" s="75"/>
      <c r="D1307" s="75"/>
      <c r="E1307" s="75"/>
      <c r="F1307" s="75"/>
    </row>
    <row r="1308" spans="2:6">
      <c r="B1308" s="75"/>
      <c r="C1308" s="75"/>
      <c r="D1308" s="75"/>
      <c r="E1308" s="75"/>
      <c r="F1308" s="75"/>
    </row>
    <row r="1309" spans="2:6">
      <c r="B1309" s="75"/>
      <c r="C1309" s="75"/>
      <c r="D1309" s="75"/>
      <c r="E1309" s="75"/>
      <c r="F1309" s="75"/>
    </row>
    <row r="1310" spans="2:6">
      <c r="B1310" s="75"/>
      <c r="C1310" s="75"/>
      <c r="D1310" s="75"/>
      <c r="E1310" s="75"/>
      <c r="F1310" s="75"/>
    </row>
    <row r="1311" spans="2:6">
      <c r="B1311" s="75"/>
      <c r="C1311" s="75"/>
      <c r="D1311" s="75"/>
      <c r="E1311" s="75"/>
      <c r="F1311" s="75"/>
    </row>
    <row r="1312" spans="2:6">
      <c r="B1312" s="75"/>
      <c r="C1312" s="75"/>
      <c r="D1312" s="75"/>
      <c r="E1312" s="75"/>
      <c r="F1312" s="75"/>
    </row>
    <row r="1313" spans="2:6">
      <c r="B1313" s="75"/>
      <c r="C1313" s="75"/>
      <c r="D1313" s="75"/>
      <c r="E1313" s="75"/>
      <c r="F1313" s="75"/>
    </row>
    <row r="1314" spans="2:6">
      <c r="B1314" s="75"/>
      <c r="C1314" s="75"/>
      <c r="D1314" s="75"/>
      <c r="E1314" s="75"/>
      <c r="F1314" s="75"/>
    </row>
    <row r="1315" spans="2:6">
      <c r="B1315" s="75"/>
      <c r="C1315" s="75"/>
      <c r="D1315" s="75"/>
      <c r="E1315" s="75"/>
      <c r="F1315" s="75"/>
    </row>
    <row r="1316" spans="2:6">
      <c r="B1316" s="75"/>
      <c r="C1316" s="75"/>
      <c r="D1316" s="75"/>
      <c r="E1316" s="75"/>
      <c r="F1316" s="75"/>
    </row>
    <row r="1317" spans="2:6">
      <c r="B1317" s="75"/>
      <c r="C1317" s="75"/>
      <c r="D1317" s="75"/>
      <c r="E1317" s="75"/>
      <c r="F1317" s="75"/>
    </row>
    <row r="1318" spans="2:6">
      <c r="B1318" s="75"/>
      <c r="C1318" s="75"/>
      <c r="D1318" s="75"/>
      <c r="E1318" s="75"/>
      <c r="F1318" s="75"/>
    </row>
    <row r="1319" spans="2:6">
      <c r="B1319" s="75"/>
      <c r="C1319" s="75"/>
      <c r="D1319" s="75"/>
      <c r="E1319" s="75"/>
      <c r="F1319" s="75"/>
    </row>
    <row r="1320" spans="2:6">
      <c r="B1320" s="75"/>
      <c r="C1320" s="75"/>
      <c r="D1320" s="75"/>
      <c r="E1320" s="75"/>
      <c r="F1320" s="75"/>
    </row>
    <row r="1321" spans="2:6">
      <c r="B1321" s="75"/>
      <c r="C1321" s="75"/>
      <c r="D1321" s="75"/>
      <c r="E1321" s="75"/>
      <c r="F1321" s="75"/>
    </row>
    <row r="1322" spans="2:6">
      <c r="B1322" s="75"/>
      <c r="C1322" s="75"/>
      <c r="D1322" s="75"/>
      <c r="E1322" s="75"/>
      <c r="F1322" s="75"/>
    </row>
    <row r="1323" spans="2:6">
      <c r="B1323" s="75"/>
      <c r="C1323" s="75"/>
      <c r="D1323" s="75"/>
      <c r="E1323" s="75"/>
      <c r="F1323" s="75"/>
    </row>
    <row r="1324" spans="2:6">
      <c r="B1324" s="75"/>
      <c r="C1324" s="75"/>
      <c r="D1324" s="75"/>
      <c r="E1324" s="75"/>
      <c r="F1324" s="75"/>
    </row>
    <row r="1325" spans="2:6">
      <c r="B1325" s="75"/>
      <c r="C1325" s="75"/>
      <c r="D1325" s="75"/>
      <c r="E1325" s="75"/>
      <c r="F1325" s="75"/>
    </row>
    <row r="1326" spans="2:6">
      <c r="B1326" s="75"/>
      <c r="C1326" s="75"/>
      <c r="D1326" s="75"/>
      <c r="E1326" s="75"/>
      <c r="F1326" s="75"/>
    </row>
    <row r="1327" spans="2:6">
      <c r="B1327" s="75"/>
      <c r="C1327" s="75"/>
      <c r="D1327" s="75"/>
      <c r="E1327" s="75"/>
      <c r="F1327" s="75"/>
    </row>
    <row r="1328" spans="2:6">
      <c r="B1328" s="75"/>
      <c r="C1328" s="75"/>
      <c r="D1328" s="75"/>
      <c r="E1328" s="75"/>
      <c r="F1328" s="75"/>
    </row>
    <row r="1329" spans="2:6">
      <c r="B1329" s="75"/>
      <c r="C1329" s="75"/>
      <c r="D1329" s="75"/>
      <c r="E1329" s="75"/>
      <c r="F1329" s="75"/>
    </row>
    <row r="1330" spans="2:6">
      <c r="B1330" s="75"/>
      <c r="C1330" s="75"/>
      <c r="D1330" s="75"/>
      <c r="E1330" s="75"/>
      <c r="F1330" s="75"/>
    </row>
    <row r="1331" spans="2:6">
      <c r="B1331" s="75"/>
      <c r="C1331" s="75"/>
      <c r="D1331" s="75"/>
      <c r="E1331" s="75"/>
      <c r="F1331" s="75"/>
    </row>
    <row r="1332" spans="2:6">
      <c r="B1332" s="75"/>
      <c r="C1332" s="75"/>
      <c r="D1332" s="75"/>
      <c r="E1332" s="75"/>
      <c r="F1332" s="75"/>
    </row>
    <row r="1333" spans="2:6">
      <c r="B1333" s="75"/>
      <c r="C1333" s="75"/>
      <c r="D1333" s="75"/>
      <c r="E1333" s="75"/>
      <c r="F1333" s="75"/>
    </row>
    <row r="1334" spans="2:6">
      <c r="B1334" s="75"/>
      <c r="C1334" s="75"/>
      <c r="D1334" s="75"/>
      <c r="E1334" s="75"/>
      <c r="F1334" s="75"/>
    </row>
    <row r="1335" spans="2:6">
      <c r="B1335" s="75"/>
      <c r="C1335" s="75"/>
      <c r="D1335" s="75"/>
      <c r="E1335" s="75"/>
      <c r="F1335" s="75"/>
    </row>
    <row r="1336" spans="2:6">
      <c r="B1336" s="75"/>
      <c r="C1336" s="75"/>
      <c r="D1336" s="75"/>
      <c r="E1336" s="75"/>
      <c r="F1336" s="75"/>
    </row>
    <row r="1337" spans="2:6">
      <c r="B1337" s="75"/>
      <c r="C1337" s="75"/>
      <c r="D1337" s="75"/>
      <c r="E1337" s="75"/>
      <c r="F1337" s="75"/>
    </row>
    <row r="1338" spans="2:6">
      <c r="B1338" s="75"/>
      <c r="C1338" s="75"/>
      <c r="D1338" s="75"/>
      <c r="E1338" s="75"/>
      <c r="F1338" s="75"/>
    </row>
    <row r="1339" spans="2:6">
      <c r="B1339" s="75"/>
      <c r="C1339" s="75"/>
      <c r="D1339" s="75"/>
      <c r="E1339" s="75"/>
      <c r="F1339" s="75"/>
    </row>
    <row r="1340" spans="2:6">
      <c r="B1340" s="75"/>
      <c r="C1340" s="75"/>
      <c r="D1340" s="75"/>
      <c r="E1340" s="75"/>
      <c r="F1340" s="75"/>
    </row>
    <row r="1341" spans="2:6">
      <c r="B1341" s="75"/>
      <c r="C1341" s="75"/>
      <c r="D1341" s="75"/>
      <c r="E1341" s="75"/>
      <c r="F1341" s="75"/>
    </row>
    <row r="1342" spans="2:6">
      <c r="B1342" s="75"/>
      <c r="C1342" s="75"/>
      <c r="D1342" s="75"/>
      <c r="E1342" s="75"/>
      <c r="F1342" s="75"/>
    </row>
    <row r="1343" spans="2:6">
      <c r="B1343" s="75"/>
      <c r="C1343" s="75"/>
      <c r="D1343" s="75"/>
      <c r="E1343" s="75"/>
      <c r="F1343" s="75"/>
    </row>
    <row r="1344" spans="2:6">
      <c r="B1344" s="75"/>
      <c r="C1344" s="75"/>
      <c r="D1344" s="75"/>
      <c r="E1344" s="75"/>
      <c r="F1344" s="75"/>
    </row>
    <row r="1345" spans="2:6">
      <c r="B1345" s="75"/>
      <c r="C1345" s="75"/>
      <c r="D1345" s="75"/>
      <c r="E1345" s="75"/>
      <c r="F1345" s="75"/>
    </row>
    <row r="1346" spans="2:6">
      <c r="B1346" s="75"/>
      <c r="C1346" s="75"/>
      <c r="D1346" s="75"/>
      <c r="E1346" s="75"/>
      <c r="F1346" s="75"/>
    </row>
    <row r="1347" spans="2:6">
      <c r="B1347" s="75"/>
      <c r="C1347" s="75"/>
      <c r="D1347" s="75"/>
      <c r="E1347" s="75"/>
      <c r="F1347" s="75"/>
    </row>
    <row r="1348" spans="2:6">
      <c r="B1348" s="75"/>
      <c r="C1348" s="75"/>
      <c r="D1348" s="75"/>
      <c r="E1348" s="75"/>
      <c r="F1348" s="75"/>
    </row>
    <row r="1349" spans="2:6">
      <c r="B1349" s="75"/>
      <c r="C1349" s="75"/>
      <c r="D1349" s="75"/>
      <c r="E1349" s="75"/>
      <c r="F1349" s="75"/>
    </row>
    <row r="1350" spans="2:6">
      <c r="B1350" s="75"/>
      <c r="C1350" s="75"/>
      <c r="D1350" s="75"/>
      <c r="E1350" s="75"/>
      <c r="F1350" s="75"/>
    </row>
    <row r="1351" spans="2:6">
      <c r="B1351" s="75"/>
      <c r="C1351" s="75"/>
      <c r="D1351" s="75"/>
      <c r="E1351" s="75"/>
      <c r="F1351" s="75"/>
    </row>
    <row r="1352" spans="2:6">
      <c r="B1352" s="75"/>
      <c r="C1352" s="75"/>
      <c r="D1352" s="75"/>
      <c r="E1352" s="75"/>
      <c r="F1352" s="75"/>
    </row>
    <row r="1353" spans="2:6">
      <c r="B1353" s="75"/>
      <c r="C1353" s="75"/>
      <c r="D1353" s="75"/>
      <c r="E1353" s="75"/>
      <c r="F1353" s="75"/>
    </row>
    <row r="1354" spans="2:6">
      <c r="B1354" s="75"/>
      <c r="C1354" s="75"/>
      <c r="D1354" s="75"/>
      <c r="E1354" s="75"/>
      <c r="F1354" s="75"/>
    </row>
    <row r="1355" spans="2:6">
      <c r="B1355" s="75"/>
      <c r="C1355" s="75"/>
      <c r="D1355" s="75"/>
      <c r="E1355" s="75"/>
      <c r="F1355" s="75"/>
    </row>
    <row r="1356" spans="2:6">
      <c r="B1356" s="75"/>
      <c r="C1356" s="75"/>
      <c r="D1356" s="75"/>
      <c r="E1356" s="75"/>
      <c r="F1356" s="75"/>
    </row>
    <row r="1357" spans="2:6">
      <c r="B1357" s="75"/>
      <c r="C1357" s="75"/>
      <c r="D1357" s="75"/>
      <c r="E1357" s="75"/>
      <c r="F1357" s="75"/>
    </row>
    <row r="1358" spans="2:6">
      <c r="B1358" s="75"/>
      <c r="C1358" s="75"/>
      <c r="D1358" s="75"/>
      <c r="E1358" s="75"/>
      <c r="F1358" s="75"/>
    </row>
    <row r="1359" spans="2:6">
      <c r="B1359" s="75"/>
      <c r="C1359" s="75"/>
      <c r="D1359" s="75"/>
      <c r="E1359" s="75"/>
      <c r="F1359" s="75"/>
    </row>
    <row r="1360" spans="2:6">
      <c r="B1360" s="75"/>
      <c r="C1360" s="75"/>
      <c r="D1360" s="75"/>
      <c r="E1360" s="75"/>
      <c r="F1360" s="75"/>
    </row>
    <row r="1361" spans="2:6">
      <c r="B1361" s="75"/>
      <c r="C1361" s="75"/>
      <c r="D1361" s="75"/>
      <c r="E1361" s="75"/>
      <c r="F1361" s="75"/>
    </row>
    <row r="1362" spans="2:6">
      <c r="B1362" s="75"/>
      <c r="C1362" s="75"/>
      <c r="D1362" s="75"/>
      <c r="E1362" s="75"/>
      <c r="F1362" s="75"/>
    </row>
    <row r="1363" spans="2:6">
      <c r="B1363" s="75"/>
      <c r="C1363" s="75"/>
      <c r="D1363" s="75"/>
      <c r="E1363" s="75"/>
      <c r="F1363" s="75"/>
    </row>
    <row r="1364" spans="2:6">
      <c r="B1364" s="75"/>
      <c r="C1364" s="75"/>
      <c r="D1364" s="75"/>
      <c r="E1364" s="75"/>
      <c r="F1364" s="75"/>
    </row>
    <row r="1365" spans="2:6">
      <c r="B1365" s="75"/>
      <c r="C1365" s="75"/>
      <c r="D1365" s="75"/>
      <c r="E1365" s="75"/>
      <c r="F1365" s="75"/>
    </row>
    <row r="1366" spans="2:6">
      <c r="B1366" s="75"/>
      <c r="C1366" s="75"/>
      <c r="D1366" s="75"/>
      <c r="E1366" s="75"/>
      <c r="F1366" s="75"/>
    </row>
    <row r="1367" spans="2:6">
      <c r="B1367" s="75"/>
      <c r="C1367" s="75"/>
      <c r="D1367" s="75"/>
      <c r="E1367" s="75"/>
      <c r="F1367" s="75"/>
    </row>
    <row r="1368" spans="2:6">
      <c r="B1368" s="75"/>
      <c r="C1368" s="75"/>
      <c r="D1368" s="75"/>
      <c r="E1368" s="75"/>
      <c r="F1368" s="75"/>
    </row>
    <row r="1369" spans="2:6">
      <c r="B1369" s="75"/>
      <c r="C1369" s="75"/>
      <c r="D1369" s="75"/>
      <c r="E1369" s="75"/>
      <c r="F1369" s="75"/>
    </row>
    <row r="1370" spans="2:6">
      <c r="B1370" s="75"/>
      <c r="C1370" s="75"/>
      <c r="D1370" s="75"/>
      <c r="E1370" s="75"/>
      <c r="F1370" s="75"/>
    </row>
    <row r="1371" spans="2:6">
      <c r="B1371" s="75"/>
      <c r="C1371" s="75"/>
      <c r="D1371" s="75"/>
      <c r="E1371" s="75"/>
      <c r="F1371" s="75"/>
    </row>
    <row r="1372" spans="2:6">
      <c r="B1372" s="75"/>
      <c r="C1372" s="75"/>
      <c r="D1372" s="75"/>
      <c r="E1372" s="75"/>
      <c r="F1372" s="75"/>
    </row>
    <row r="1373" spans="2:6">
      <c r="B1373" s="75"/>
      <c r="C1373" s="75"/>
      <c r="D1373" s="75"/>
      <c r="E1373" s="75"/>
      <c r="F1373" s="75"/>
    </row>
    <row r="1374" spans="2:6">
      <c r="B1374" s="75"/>
      <c r="C1374" s="75"/>
      <c r="D1374" s="75"/>
      <c r="E1374" s="75"/>
      <c r="F1374" s="75"/>
    </row>
    <row r="1375" spans="2:6">
      <c r="B1375" s="75"/>
      <c r="C1375" s="75"/>
      <c r="D1375" s="75"/>
      <c r="E1375" s="75"/>
      <c r="F1375" s="75"/>
    </row>
    <row r="1376" spans="2:6">
      <c r="B1376" s="75"/>
      <c r="C1376" s="75"/>
      <c r="D1376" s="75"/>
      <c r="E1376" s="75"/>
      <c r="F1376" s="75"/>
    </row>
    <row r="1377" spans="2:6">
      <c r="B1377" s="75"/>
      <c r="C1377" s="75"/>
      <c r="D1377" s="75"/>
      <c r="E1377" s="75"/>
      <c r="F1377" s="75"/>
    </row>
    <row r="1378" spans="2:6">
      <c r="B1378" s="75"/>
      <c r="C1378" s="75"/>
      <c r="D1378" s="75"/>
      <c r="E1378" s="75"/>
      <c r="F1378" s="75"/>
    </row>
    <row r="1379" spans="2:6">
      <c r="B1379" s="75"/>
      <c r="C1379" s="75"/>
      <c r="D1379" s="75"/>
      <c r="E1379" s="75"/>
      <c r="F1379" s="75"/>
    </row>
    <row r="1380" spans="2:6">
      <c r="B1380" s="75"/>
      <c r="C1380" s="75"/>
      <c r="D1380" s="75"/>
      <c r="E1380" s="75"/>
      <c r="F1380" s="75"/>
    </row>
    <row r="1381" spans="2:6">
      <c r="B1381" s="75"/>
      <c r="C1381" s="75"/>
      <c r="D1381" s="75"/>
      <c r="E1381" s="75"/>
      <c r="F1381" s="75"/>
    </row>
    <row r="1382" spans="2:6">
      <c r="B1382" s="75"/>
      <c r="C1382" s="75"/>
      <c r="D1382" s="75"/>
      <c r="E1382" s="75"/>
      <c r="F1382" s="75"/>
    </row>
    <row r="1383" spans="2:6">
      <c r="B1383" s="75"/>
      <c r="C1383" s="75"/>
      <c r="D1383" s="75"/>
      <c r="E1383" s="75"/>
      <c r="F1383" s="75"/>
    </row>
    <row r="1384" spans="2:6">
      <c r="B1384" s="75"/>
      <c r="C1384" s="75"/>
      <c r="D1384" s="75"/>
      <c r="E1384" s="75"/>
      <c r="F1384" s="75"/>
    </row>
    <row r="1385" spans="2:6">
      <c r="B1385" s="75"/>
      <c r="C1385" s="75"/>
      <c r="D1385" s="75"/>
      <c r="E1385" s="75"/>
      <c r="F1385" s="75"/>
    </row>
    <row r="1386" spans="2:6">
      <c r="B1386" s="75"/>
      <c r="C1386" s="75"/>
      <c r="D1386" s="75"/>
      <c r="E1386" s="75"/>
      <c r="F1386" s="75"/>
    </row>
    <row r="1387" spans="2:6">
      <c r="B1387" s="75"/>
      <c r="C1387" s="75"/>
      <c r="D1387" s="75"/>
      <c r="E1387" s="75"/>
      <c r="F1387" s="75"/>
    </row>
    <row r="1388" spans="2:6">
      <c r="B1388" s="75"/>
      <c r="C1388" s="75"/>
      <c r="D1388" s="75"/>
      <c r="E1388" s="75"/>
      <c r="F1388" s="75"/>
    </row>
    <row r="1389" spans="2:6">
      <c r="B1389" s="75"/>
      <c r="C1389" s="75"/>
      <c r="D1389" s="75"/>
      <c r="E1389" s="75"/>
      <c r="F1389" s="75"/>
    </row>
    <row r="1390" spans="2:6">
      <c r="B1390" s="75"/>
      <c r="C1390" s="75"/>
      <c r="D1390" s="75"/>
      <c r="E1390" s="75"/>
      <c r="F1390" s="75"/>
    </row>
    <row r="1391" spans="2:6">
      <c r="B1391" s="75"/>
      <c r="C1391" s="75"/>
      <c r="D1391" s="75"/>
      <c r="E1391" s="75"/>
      <c r="F1391" s="75"/>
    </row>
    <row r="1392" spans="2:6">
      <c r="B1392" s="75"/>
      <c r="C1392" s="75"/>
      <c r="D1392" s="75"/>
      <c r="E1392" s="75"/>
      <c r="F1392" s="75"/>
    </row>
    <row r="1393" spans="2:6">
      <c r="B1393" s="75"/>
      <c r="C1393" s="75"/>
      <c r="D1393" s="75"/>
      <c r="E1393" s="75"/>
      <c r="F1393" s="75"/>
    </row>
    <row r="1394" spans="2:6">
      <c r="B1394" s="75"/>
      <c r="C1394" s="75"/>
      <c r="D1394" s="75"/>
      <c r="E1394" s="75"/>
      <c r="F1394" s="75"/>
    </row>
    <row r="1395" spans="2:6">
      <c r="B1395" s="75"/>
      <c r="C1395" s="75"/>
      <c r="D1395" s="75"/>
      <c r="E1395" s="75"/>
      <c r="F1395" s="75"/>
    </row>
    <row r="1396" spans="2:6">
      <c r="B1396" s="75"/>
      <c r="C1396" s="75"/>
      <c r="D1396" s="75"/>
      <c r="E1396" s="75"/>
      <c r="F1396" s="75"/>
    </row>
    <row r="1397" spans="2:6">
      <c r="B1397" s="75"/>
      <c r="C1397" s="75"/>
      <c r="D1397" s="75"/>
      <c r="E1397" s="75"/>
      <c r="F1397" s="75"/>
    </row>
    <row r="1398" spans="2:6">
      <c r="B1398" s="75"/>
      <c r="C1398" s="75"/>
      <c r="D1398" s="75"/>
      <c r="E1398" s="75"/>
      <c r="F1398" s="75"/>
    </row>
    <row r="1399" spans="2:6">
      <c r="B1399" s="75"/>
      <c r="C1399" s="75"/>
      <c r="D1399" s="75"/>
      <c r="E1399" s="75"/>
      <c r="F1399" s="75"/>
    </row>
    <row r="1400" spans="2:6">
      <c r="B1400" s="75"/>
      <c r="C1400" s="75"/>
      <c r="D1400" s="75"/>
      <c r="E1400" s="75"/>
      <c r="F1400" s="75"/>
    </row>
    <row r="1401" spans="2:6">
      <c r="B1401" s="75"/>
      <c r="C1401" s="75"/>
      <c r="D1401" s="75"/>
      <c r="E1401" s="75"/>
      <c r="F1401" s="75"/>
    </row>
    <row r="1402" spans="2:6">
      <c r="B1402" s="75"/>
      <c r="C1402" s="75"/>
      <c r="D1402" s="75"/>
      <c r="E1402" s="75"/>
      <c r="F1402" s="75"/>
    </row>
    <row r="1403" spans="2:6">
      <c r="B1403" s="75"/>
      <c r="C1403" s="75"/>
      <c r="D1403" s="75"/>
      <c r="E1403" s="75"/>
      <c r="F1403" s="75"/>
    </row>
    <row r="1404" spans="2:6">
      <c r="B1404" s="75"/>
      <c r="C1404" s="75"/>
      <c r="D1404" s="75"/>
      <c r="E1404" s="75"/>
      <c r="F1404" s="75"/>
    </row>
    <row r="1405" spans="2:6">
      <c r="B1405" s="75"/>
      <c r="C1405" s="75"/>
      <c r="D1405" s="75"/>
      <c r="E1405" s="75"/>
      <c r="F1405" s="75"/>
    </row>
    <row r="1406" spans="2:6">
      <c r="B1406" s="75"/>
      <c r="C1406" s="75"/>
      <c r="D1406" s="75"/>
      <c r="E1406" s="75"/>
      <c r="F1406" s="75"/>
    </row>
    <row r="1407" spans="2:6">
      <c r="B1407" s="75"/>
      <c r="C1407" s="75"/>
      <c r="D1407" s="75"/>
      <c r="E1407" s="75"/>
      <c r="F1407" s="75"/>
    </row>
    <row r="1408" spans="2:6">
      <c r="B1408" s="75"/>
      <c r="C1408" s="75"/>
      <c r="D1408" s="75"/>
      <c r="E1408" s="75"/>
      <c r="F1408" s="75"/>
    </row>
    <row r="1409" spans="2:6">
      <c r="B1409" s="75"/>
      <c r="C1409" s="75"/>
      <c r="D1409" s="75"/>
      <c r="E1409" s="75"/>
      <c r="F1409" s="75"/>
    </row>
    <row r="1410" spans="2:6">
      <c r="B1410" s="75"/>
      <c r="C1410" s="75"/>
      <c r="D1410" s="75"/>
      <c r="E1410" s="75"/>
      <c r="F1410" s="75"/>
    </row>
    <row r="1411" spans="2:6">
      <c r="B1411" s="75"/>
      <c r="C1411" s="75"/>
      <c r="D1411" s="75"/>
      <c r="E1411" s="75"/>
      <c r="F1411" s="75"/>
    </row>
    <row r="1412" spans="2:6">
      <c r="B1412" s="75"/>
      <c r="C1412" s="75"/>
      <c r="D1412" s="75"/>
      <c r="E1412" s="75"/>
      <c r="F1412" s="75"/>
    </row>
    <row r="1413" spans="2:6">
      <c r="B1413" s="75"/>
      <c r="C1413" s="75"/>
      <c r="D1413" s="75"/>
      <c r="E1413" s="75"/>
      <c r="F1413" s="75"/>
    </row>
    <row r="1414" spans="2:6">
      <c r="B1414" s="75"/>
      <c r="C1414" s="75"/>
      <c r="D1414" s="75"/>
      <c r="E1414" s="75"/>
      <c r="F1414" s="75"/>
    </row>
    <row r="1415" spans="2:6">
      <c r="B1415" s="75"/>
      <c r="C1415" s="75"/>
      <c r="D1415" s="75"/>
      <c r="E1415" s="75"/>
      <c r="F1415" s="75"/>
    </row>
    <row r="1416" spans="2:6">
      <c r="B1416" s="75"/>
      <c r="C1416" s="75"/>
      <c r="D1416" s="75"/>
      <c r="E1416" s="75"/>
      <c r="F1416" s="75"/>
    </row>
    <row r="1417" spans="2:6">
      <c r="B1417" s="75"/>
      <c r="C1417" s="75"/>
      <c r="D1417" s="75"/>
      <c r="E1417" s="75"/>
      <c r="F1417" s="75"/>
    </row>
    <row r="1418" spans="2:6">
      <c r="B1418" s="75"/>
      <c r="C1418" s="75"/>
      <c r="D1418" s="75"/>
      <c r="E1418" s="75"/>
      <c r="F1418" s="75"/>
    </row>
    <row r="1419" spans="2:6">
      <c r="B1419" s="75"/>
      <c r="C1419" s="75"/>
      <c r="D1419" s="75"/>
      <c r="E1419" s="75"/>
      <c r="F1419" s="75"/>
    </row>
    <row r="1420" spans="2:6">
      <c r="B1420" s="75"/>
      <c r="C1420" s="75"/>
      <c r="D1420" s="75"/>
      <c r="E1420" s="75"/>
      <c r="F1420" s="75"/>
    </row>
    <row r="1421" spans="2:6">
      <c r="B1421" s="75"/>
      <c r="C1421" s="75"/>
      <c r="D1421" s="75"/>
      <c r="E1421" s="75"/>
      <c r="F1421" s="75"/>
    </row>
    <row r="1422" spans="2:6">
      <c r="B1422" s="75"/>
      <c r="C1422" s="75"/>
      <c r="D1422" s="75"/>
      <c r="E1422" s="75"/>
      <c r="F1422" s="75"/>
    </row>
    <row r="1423" spans="2:6">
      <c r="B1423" s="75"/>
      <c r="C1423" s="75"/>
      <c r="D1423" s="75"/>
      <c r="E1423" s="75"/>
      <c r="F1423" s="75"/>
    </row>
    <row r="1424" spans="2:6">
      <c r="B1424" s="75"/>
      <c r="C1424" s="75"/>
      <c r="D1424" s="75"/>
      <c r="E1424" s="75"/>
      <c r="F1424" s="75"/>
    </row>
    <row r="1425" spans="2:6">
      <c r="B1425" s="75"/>
      <c r="C1425" s="75"/>
      <c r="D1425" s="75"/>
      <c r="E1425" s="75"/>
      <c r="F1425" s="75"/>
    </row>
    <row r="1426" spans="2:6">
      <c r="B1426" s="75"/>
      <c r="C1426" s="75"/>
      <c r="D1426" s="75"/>
      <c r="E1426" s="75"/>
      <c r="F1426" s="75"/>
    </row>
    <row r="1427" spans="2:6">
      <c r="B1427" s="75"/>
      <c r="C1427" s="75"/>
      <c r="D1427" s="75"/>
      <c r="E1427" s="75"/>
      <c r="F1427" s="75"/>
    </row>
    <row r="1428" spans="2:6">
      <c r="B1428" s="75"/>
      <c r="C1428" s="75"/>
      <c r="D1428" s="75"/>
      <c r="E1428" s="75"/>
      <c r="F1428" s="75"/>
    </row>
    <row r="1429" spans="2:6">
      <c r="B1429" s="75"/>
      <c r="C1429" s="75"/>
      <c r="D1429" s="75"/>
      <c r="E1429" s="75"/>
      <c r="F1429" s="75"/>
    </row>
    <row r="1430" spans="2:6">
      <c r="B1430" s="75"/>
      <c r="C1430" s="75"/>
      <c r="D1430" s="75"/>
      <c r="E1430" s="75"/>
      <c r="F1430" s="75"/>
    </row>
    <row r="1431" spans="2:6">
      <c r="B1431" s="75"/>
      <c r="C1431" s="75"/>
      <c r="D1431" s="75"/>
      <c r="E1431" s="75"/>
      <c r="F1431" s="75"/>
    </row>
    <row r="1432" spans="2:6">
      <c r="B1432" s="75"/>
      <c r="C1432" s="75"/>
      <c r="D1432" s="75"/>
      <c r="E1432" s="75"/>
      <c r="F1432" s="75"/>
    </row>
    <row r="1433" spans="2:6">
      <c r="B1433" s="75"/>
      <c r="C1433" s="75"/>
      <c r="D1433" s="75"/>
      <c r="E1433" s="75"/>
      <c r="F1433" s="75"/>
    </row>
    <row r="1434" spans="2:6">
      <c r="B1434" s="75"/>
      <c r="C1434" s="75"/>
      <c r="D1434" s="75"/>
      <c r="E1434" s="75"/>
      <c r="F1434" s="75"/>
    </row>
    <row r="1435" spans="2:6">
      <c r="B1435" s="75"/>
      <c r="C1435" s="75"/>
      <c r="D1435" s="75"/>
      <c r="E1435" s="75"/>
      <c r="F1435" s="75"/>
    </row>
    <row r="1436" spans="2:6">
      <c r="B1436" s="75"/>
      <c r="C1436" s="75"/>
      <c r="D1436" s="75"/>
      <c r="E1436" s="75"/>
      <c r="F1436" s="75"/>
    </row>
    <row r="1437" spans="2:6">
      <c r="B1437" s="75"/>
      <c r="C1437" s="75"/>
      <c r="D1437" s="75"/>
      <c r="E1437" s="75"/>
      <c r="F1437" s="75"/>
    </row>
    <row r="1438" spans="2:6">
      <c r="B1438" s="75"/>
      <c r="C1438" s="75"/>
      <c r="D1438" s="75"/>
      <c r="E1438" s="75"/>
      <c r="F1438" s="75"/>
    </row>
    <row r="1439" spans="2:6">
      <c r="B1439" s="75"/>
      <c r="C1439" s="75"/>
      <c r="D1439" s="75"/>
      <c r="E1439" s="75"/>
      <c r="F1439" s="75"/>
    </row>
    <row r="1440" spans="2:6">
      <c r="B1440" s="75"/>
      <c r="C1440" s="75"/>
      <c r="D1440" s="75"/>
      <c r="E1440" s="75"/>
      <c r="F1440" s="75"/>
    </row>
    <row r="1441" spans="2:6">
      <c r="B1441" s="75"/>
      <c r="C1441" s="75"/>
      <c r="D1441" s="75"/>
      <c r="E1441" s="75"/>
      <c r="F1441" s="75"/>
    </row>
    <row r="1442" spans="2:6">
      <c r="B1442" s="75"/>
      <c r="C1442" s="75"/>
      <c r="D1442" s="75"/>
      <c r="E1442" s="75"/>
      <c r="F1442" s="75"/>
    </row>
    <row r="1443" spans="2:6">
      <c r="B1443" s="75"/>
      <c r="C1443" s="75"/>
      <c r="D1443" s="75"/>
      <c r="E1443" s="75"/>
      <c r="F1443" s="75"/>
    </row>
    <row r="1444" spans="2:6">
      <c r="B1444" s="75"/>
      <c r="C1444" s="75"/>
      <c r="D1444" s="75"/>
      <c r="E1444" s="75"/>
      <c r="F1444" s="75"/>
    </row>
    <row r="1445" spans="2:6">
      <c r="B1445" s="75"/>
      <c r="C1445" s="75"/>
      <c r="D1445" s="75"/>
      <c r="E1445" s="75"/>
      <c r="F1445" s="75"/>
    </row>
    <row r="1446" spans="2:6">
      <c r="B1446" s="75"/>
      <c r="C1446" s="75"/>
      <c r="D1446" s="75"/>
      <c r="E1446" s="75"/>
      <c r="F1446" s="75"/>
    </row>
    <row r="1447" spans="2:6">
      <c r="B1447" s="75"/>
      <c r="C1447" s="75"/>
      <c r="D1447" s="75"/>
      <c r="E1447" s="75"/>
      <c r="F1447" s="75"/>
    </row>
    <row r="1448" spans="2:6">
      <c r="B1448" s="75"/>
      <c r="C1448" s="75"/>
      <c r="D1448" s="75"/>
      <c r="E1448" s="75"/>
      <c r="F1448" s="75"/>
    </row>
    <row r="1449" spans="2:6">
      <c r="B1449" s="75"/>
      <c r="C1449" s="75"/>
      <c r="D1449" s="75"/>
      <c r="E1449" s="75"/>
      <c r="F1449" s="75"/>
    </row>
    <row r="1450" spans="2:6">
      <c r="B1450" s="75"/>
      <c r="C1450" s="75"/>
      <c r="D1450" s="75"/>
      <c r="E1450" s="75"/>
      <c r="F1450" s="75"/>
    </row>
    <row r="1451" spans="2:6">
      <c r="B1451" s="75"/>
      <c r="C1451" s="75"/>
      <c r="D1451" s="75"/>
      <c r="E1451" s="75"/>
      <c r="F1451" s="75"/>
    </row>
    <row r="1452" spans="2:6">
      <c r="B1452" s="75"/>
      <c r="C1452" s="75"/>
      <c r="D1452" s="75"/>
      <c r="E1452" s="75"/>
      <c r="F1452" s="75"/>
    </row>
    <row r="1453" spans="2:6">
      <c r="B1453" s="75"/>
      <c r="C1453" s="75"/>
      <c r="D1453" s="75"/>
      <c r="E1453" s="75"/>
      <c r="F1453" s="75"/>
    </row>
    <row r="1454" spans="2:6">
      <c r="B1454" s="75"/>
      <c r="C1454" s="75"/>
      <c r="D1454" s="75"/>
      <c r="E1454" s="75"/>
      <c r="F1454" s="75"/>
    </row>
    <row r="1455" spans="2:6">
      <c r="B1455" s="75"/>
      <c r="C1455" s="75"/>
      <c r="D1455" s="75"/>
      <c r="E1455" s="75"/>
      <c r="F1455" s="75"/>
    </row>
    <row r="1456" spans="2:6">
      <c r="B1456" s="75"/>
      <c r="C1456" s="75"/>
      <c r="D1456" s="75"/>
      <c r="E1456" s="75"/>
      <c r="F1456" s="75"/>
    </row>
    <row r="1457" spans="2:6">
      <c r="B1457" s="75"/>
      <c r="C1457" s="75"/>
      <c r="D1457" s="75"/>
      <c r="E1457" s="75"/>
      <c r="F1457" s="75"/>
    </row>
    <row r="1458" spans="2:6">
      <c r="B1458" s="75"/>
      <c r="C1458" s="75"/>
      <c r="D1458" s="75"/>
      <c r="E1458" s="75"/>
      <c r="F1458" s="75"/>
    </row>
    <row r="1459" spans="2:6">
      <c r="B1459" s="75"/>
      <c r="C1459" s="75"/>
      <c r="D1459" s="75"/>
      <c r="E1459" s="75"/>
      <c r="F1459" s="75"/>
    </row>
    <row r="1460" spans="2:6">
      <c r="B1460" s="75"/>
      <c r="C1460" s="75"/>
      <c r="D1460" s="75"/>
      <c r="E1460" s="75"/>
      <c r="F1460" s="75"/>
    </row>
    <row r="1461" spans="2:6">
      <c r="B1461" s="75"/>
      <c r="C1461" s="75"/>
      <c r="D1461" s="75"/>
      <c r="E1461" s="75"/>
      <c r="F1461" s="75"/>
    </row>
    <row r="1462" spans="2:6">
      <c r="B1462" s="75"/>
      <c r="C1462" s="75"/>
      <c r="D1462" s="75"/>
      <c r="E1462" s="75"/>
      <c r="F1462" s="75"/>
    </row>
    <row r="1463" spans="2:6">
      <c r="B1463" s="75"/>
      <c r="C1463" s="75"/>
      <c r="D1463" s="75"/>
      <c r="E1463" s="75"/>
      <c r="F1463" s="75"/>
    </row>
    <row r="1464" spans="2:6">
      <c r="B1464" s="75"/>
      <c r="C1464" s="75"/>
      <c r="D1464" s="75"/>
      <c r="E1464" s="75"/>
      <c r="F1464" s="75"/>
    </row>
    <row r="1465" spans="2:6">
      <c r="B1465" s="75"/>
      <c r="C1465" s="75"/>
      <c r="D1465" s="75"/>
      <c r="E1465" s="75"/>
      <c r="F1465" s="75"/>
    </row>
    <row r="1466" spans="2:6">
      <c r="B1466" s="75"/>
      <c r="C1466" s="75"/>
      <c r="D1466" s="75"/>
      <c r="E1466" s="75"/>
      <c r="F1466" s="75"/>
    </row>
    <row r="1467" spans="2:6">
      <c r="B1467" s="75"/>
      <c r="C1467" s="75"/>
      <c r="D1467" s="75"/>
      <c r="E1467" s="75"/>
      <c r="F1467" s="75"/>
    </row>
    <row r="1468" spans="2:6">
      <c r="B1468" s="75"/>
      <c r="C1468" s="75"/>
      <c r="D1468" s="75"/>
      <c r="E1468" s="75"/>
      <c r="F1468" s="75"/>
    </row>
    <row r="1469" spans="2:6">
      <c r="B1469" s="75"/>
      <c r="C1469" s="75"/>
      <c r="D1469" s="75"/>
      <c r="E1469" s="75"/>
      <c r="F1469" s="75"/>
    </row>
    <row r="1470" spans="2:6">
      <c r="B1470" s="75"/>
      <c r="C1470" s="75"/>
      <c r="D1470" s="75"/>
      <c r="E1470" s="75"/>
      <c r="F1470" s="75"/>
    </row>
    <row r="1471" spans="2:6">
      <c r="B1471" s="75"/>
      <c r="C1471" s="75"/>
      <c r="D1471" s="75"/>
      <c r="E1471" s="75"/>
      <c r="F1471" s="75"/>
    </row>
    <row r="1472" spans="2:6">
      <c r="B1472" s="75"/>
      <c r="C1472" s="75"/>
      <c r="D1472" s="75"/>
      <c r="E1472" s="75"/>
      <c r="F1472" s="75"/>
    </row>
    <row r="1473" spans="2:6">
      <c r="B1473" s="75"/>
      <c r="C1473" s="75"/>
      <c r="D1473" s="75"/>
      <c r="E1473" s="75"/>
      <c r="F1473" s="75"/>
    </row>
    <row r="1474" spans="2:6">
      <c r="B1474" s="75"/>
      <c r="C1474" s="75"/>
      <c r="D1474" s="75"/>
      <c r="E1474" s="75"/>
      <c r="F1474" s="75"/>
    </row>
    <row r="1475" spans="2:6">
      <c r="B1475" s="75"/>
      <c r="C1475" s="75"/>
      <c r="D1475" s="75"/>
      <c r="E1475" s="75"/>
      <c r="F1475" s="75"/>
    </row>
    <row r="1476" spans="2:6">
      <c r="B1476" s="75"/>
      <c r="C1476" s="75"/>
      <c r="D1476" s="75"/>
      <c r="E1476" s="75"/>
      <c r="F1476" s="75"/>
    </row>
    <row r="1477" spans="2:6">
      <c r="B1477" s="75"/>
      <c r="C1477" s="75"/>
      <c r="D1477" s="75"/>
      <c r="E1477" s="75"/>
      <c r="F1477" s="75"/>
    </row>
    <row r="1478" spans="2:6">
      <c r="B1478" s="75"/>
      <c r="C1478" s="75"/>
      <c r="D1478" s="75"/>
      <c r="E1478" s="75"/>
      <c r="F1478" s="75"/>
    </row>
    <row r="1479" spans="2:6">
      <c r="B1479" s="75"/>
      <c r="C1479" s="75"/>
      <c r="D1479" s="75"/>
      <c r="E1479" s="75"/>
      <c r="F1479" s="75"/>
    </row>
    <row r="1480" spans="2:6">
      <c r="B1480" s="75"/>
      <c r="C1480" s="75"/>
      <c r="D1480" s="75"/>
      <c r="E1480" s="75"/>
      <c r="F1480" s="75"/>
    </row>
    <row r="1481" spans="2:6">
      <c r="B1481" s="75"/>
      <c r="C1481" s="75"/>
      <c r="D1481" s="75"/>
      <c r="E1481" s="75"/>
      <c r="F1481" s="75"/>
    </row>
    <row r="1482" spans="2:6">
      <c r="B1482" s="75"/>
      <c r="C1482" s="75"/>
      <c r="D1482" s="75"/>
      <c r="E1482" s="75"/>
      <c r="F1482" s="75"/>
    </row>
    <row r="1483" spans="2:6">
      <c r="B1483" s="75"/>
      <c r="C1483" s="75"/>
      <c r="D1483" s="75"/>
      <c r="E1483" s="75"/>
      <c r="F1483" s="75"/>
    </row>
    <row r="1484" spans="2:6">
      <c r="B1484" s="75"/>
      <c r="C1484" s="75"/>
      <c r="D1484" s="75"/>
      <c r="E1484" s="75"/>
      <c r="F1484" s="75"/>
    </row>
    <row r="1485" spans="2:6">
      <c r="B1485" s="75"/>
      <c r="C1485" s="75"/>
      <c r="D1485" s="75"/>
      <c r="E1485" s="75"/>
      <c r="F1485" s="75"/>
    </row>
    <row r="1486" spans="2:6">
      <c r="B1486" s="75"/>
      <c r="C1486" s="75"/>
      <c r="D1486" s="75"/>
      <c r="E1486" s="75"/>
      <c r="F1486" s="75"/>
    </row>
    <row r="1487" spans="2:6">
      <c r="B1487" s="75"/>
      <c r="C1487" s="75"/>
      <c r="D1487" s="75"/>
      <c r="E1487" s="75"/>
      <c r="F1487" s="75"/>
    </row>
    <row r="1488" spans="2:6">
      <c r="B1488" s="75"/>
      <c r="C1488" s="75"/>
      <c r="D1488" s="75"/>
      <c r="E1488" s="75"/>
      <c r="F1488" s="75"/>
    </row>
    <row r="1489" spans="2:6">
      <c r="B1489" s="75"/>
      <c r="C1489" s="75"/>
      <c r="D1489" s="75"/>
      <c r="E1489" s="75"/>
      <c r="F1489" s="75"/>
    </row>
    <row r="1490" spans="2:6">
      <c r="B1490" s="75"/>
      <c r="C1490" s="75"/>
      <c r="D1490" s="75"/>
      <c r="E1490" s="75"/>
      <c r="F1490" s="75"/>
    </row>
    <row r="1491" spans="2:6">
      <c r="B1491" s="75"/>
      <c r="C1491" s="75"/>
      <c r="D1491" s="75"/>
      <c r="E1491" s="75"/>
      <c r="F1491" s="75"/>
    </row>
    <row r="1492" spans="2:6">
      <c r="B1492" s="75"/>
      <c r="C1492" s="75"/>
      <c r="D1492" s="75"/>
      <c r="E1492" s="75"/>
      <c r="F1492" s="75"/>
    </row>
    <row r="1493" spans="2:6">
      <c r="B1493" s="75"/>
      <c r="C1493" s="75"/>
      <c r="D1493" s="75"/>
      <c r="E1493" s="75"/>
      <c r="F1493" s="75"/>
    </row>
    <row r="1494" spans="2:6">
      <c r="B1494" s="75"/>
      <c r="C1494" s="75"/>
      <c r="D1494" s="75"/>
      <c r="E1494" s="75"/>
      <c r="F1494" s="75"/>
    </row>
    <row r="1495" spans="2:6">
      <c r="B1495" s="75"/>
      <c r="C1495" s="75"/>
      <c r="D1495" s="75"/>
      <c r="E1495" s="75"/>
      <c r="F1495" s="75"/>
    </row>
    <row r="1496" spans="2:6">
      <c r="B1496" s="75"/>
      <c r="C1496" s="75"/>
      <c r="D1496" s="75"/>
      <c r="E1496" s="75"/>
      <c r="F1496" s="75"/>
    </row>
    <row r="1497" spans="2:6">
      <c r="B1497" s="75"/>
      <c r="C1497" s="75"/>
      <c r="D1497" s="75"/>
      <c r="E1497" s="75"/>
      <c r="F1497" s="75"/>
    </row>
    <row r="1498" spans="2:6">
      <c r="B1498" s="75"/>
      <c r="C1498" s="75"/>
      <c r="D1498" s="75"/>
      <c r="E1498" s="75"/>
      <c r="F1498" s="75"/>
    </row>
    <row r="1499" spans="2:6">
      <c r="B1499" s="75"/>
      <c r="C1499" s="75"/>
      <c r="D1499" s="75"/>
      <c r="E1499" s="75"/>
      <c r="F1499" s="75"/>
    </row>
    <row r="1500" spans="2:6">
      <c r="B1500" s="75"/>
      <c r="C1500" s="75"/>
      <c r="D1500" s="75"/>
      <c r="E1500" s="75"/>
      <c r="F1500" s="75"/>
    </row>
    <row r="1501" spans="2:6">
      <c r="B1501" s="75"/>
      <c r="C1501" s="75"/>
      <c r="D1501" s="75"/>
      <c r="E1501" s="75"/>
      <c r="F1501" s="75"/>
    </row>
    <row r="1502" spans="2:6">
      <c r="B1502" s="75"/>
      <c r="C1502" s="75"/>
      <c r="D1502" s="75"/>
      <c r="E1502" s="75"/>
      <c r="F1502" s="75"/>
    </row>
    <row r="1503" spans="2:6">
      <c r="B1503" s="75"/>
      <c r="C1503" s="75"/>
      <c r="D1503" s="75"/>
      <c r="E1503" s="75"/>
      <c r="F1503" s="75"/>
    </row>
    <row r="1504" spans="2:6">
      <c r="B1504" s="75"/>
      <c r="C1504" s="75"/>
      <c r="D1504" s="75"/>
      <c r="E1504" s="75"/>
      <c r="F1504" s="75"/>
    </row>
    <row r="1505" spans="2:6">
      <c r="B1505" s="75"/>
      <c r="C1505" s="75"/>
      <c r="D1505" s="75"/>
      <c r="E1505" s="75"/>
      <c r="F1505" s="75"/>
    </row>
    <row r="1506" spans="2:6">
      <c r="B1506" s="75"/>
      <c r="C1506" s="75"/>
      <c r="D1506" s="75"/>
      <c r="E1506" s="75"/>
      <c r="F1506" s="75"/>
    </row>
    <row r="1507" spans="2:6">
      <c r="B1507" s="75"/>
      <c r="C1507" s="75"/>
      <c r="D1507" s="75"/>
      <c r="E1507" s="75"/>
      <c r="F1507" s="75"/>
    </row>
    <row r="1508" spans="2:6">
      <c r="B1508" s="75"/>
      <c r="C1508" s="75"/>
      <c r="D1508" s="75"/>
      <c r="E1508" s="75"/>
      <c r="F1508" s="75"/>
    </row>
    <row r="1509" spans="2:6">
      <c r="B1509" s="75"/>
      <c r="C1509" s="75"/>
      <c r="D1509" s="75"/>
      <c r="E1509" s="75"/>
      <c r="F1509" s="75"/>
    </row>
    <row r="1510" spans="2:6">
      <c r="B1510" s="75"/>
      <c r="C1510" s="75"/>
      <c r="D1510" s="75"/>
      <c r="E1510" s="75"/>
      <c r="F1510" s="75"/>
    </row>
    <row r="1511" spans="2:6">
      <c r="B1511" s="75"/>
      <c r="C1511" s="75"/>
      <c r="D1511" s="75"/>
      <c r="E1511" s="75"/>
      <c r="F1511" s="75"/>
    </row>
    <row r="1512" spans="2:6">
      <c r="B1512" s="75"/>
      <c r="C1512" s="75"/>
      <c r="D1512" s="75"/>
      <c r="E1512" s="75"/>
      <c r="F1512" s="75"/>
    </row>
    <row r="1513" spans="2:6">
      <c r="B1513" s="75"/>
      <c r="C1513" s="75"/>
      <c r="D1513" s="75"/>
      <c r="E1513" s="75"/>
      <c r="F1513" s="75"/>
    </row>
    <row r="1514" spans="2:6">
      <c r="B1514" s="75"/>
      <c r="C1514" s="75"/>
      <c r="D1514" s="75"/>
      <c r="E1514" s="75"/>
      <c r="F1514" s="75"/>
    </row>
    <row r="1515" spans="2:6">
      <c r="B1515" s="75"/>
      <c r="C1515" s="75"/>
      <c r="D1515" s="75"/>
      <c r="E1515" s="75"/>
      <c r="F1515" s="75"/>
    </row>
    <row r="1516" spans="2:6">
      <c r="B1516" s="75"/>
      <c r="C1516" s="75"/>
      <c r="D1516" s="75"/>
      <c r="E1516" s="75"/>
      <c r="F1516" s="75"/>
    </row>
    <row r="1517" spans="2:6">
      <c r="B1517" s="75"/>
      <c r="C1517" s="75"/>
      <c r="D1517" s="75"/>
      <c r="E1517" s="75"/>
      <c r="F1517" s="75"/>
    </row>
    <row r="1518" spans="2:6">
      <c r="B1518" s="75"/>
      <c r="C1518" s="75"/>
      <c r="D1518" s="75"/>
      <c r="E1518" s="75"/>
      <c r="F1518" s="75"/>
    </row>
    <row r="1519" spans="2:6">
      <c r="B1519" s="75"/>
      <c r="C1519" s="75"/>
      <c r="D1519" s="75"/>
      <c r="E1519" s="75"/>
      <c r="F1519" s="75"/>
    </row>
    <row r="1520" spans="2:6">
      <c r="B1520" s="75"/>
      <c r="C1520" s="75"/>
      <c r="D1520" s="75"/>
      <c r="E1520" s="75"/>
      <c r="F1520" s="75"/>
    </row>
    <row r="1521" spans="2:6">
      <c r="B1521" s="75"/>
      <c r="C1521" s="75"/>
      <c r="D1521" s="75"/>
      <c r="E1521" s="75"/>
      <c r="F1521" s="75"/>
    </row>
    <row r="1522" spans="2:6">
      <c r="B1522" s="75"/>
      <c r="C1522" s="75"/>
      <c r="D1522" s="75"/>
      <c r="E1522" s="75"/>
      <c r="F1522" s="75"/>
    </row>
    <row r="1523" spans="2:6">
      <c r="B1523" s="75"/>
      <c r="C1523" s="75"/>
      <c r="D1523" s="75"/>
      <c r="E1523" s="75"/>
      <c r="F1523" s="75"/>
    </row>
    <row r="1524" spans="2:6">
      <c r="B1524" s="75"/>
      <c r="C1524" s="75"/>
      <c r="D1524" s="75"/>
      <c r="E1524" s="75"/>
      <c r="F1524" s="75"/>
    </row>
    <row r="1525" spans="2:6">
      <c r="B1525" s="75"/>
      <c r="C1525" s="75"/>
      <c r="D1525" s="75"/>
      <c r="E1525" s="75"/>
      <c r="F1525" s="75"/>
    </row>
    <row r="1526" spans="2:6">
      <c r="B1526" s="75"/>
      <c r="C1526" s="75"/>
      <c r="D1526" s="75"/>
      <c r="E1526" s="75"/>
      <c r="F1526" s="75"/>
    </row>
    <row r="1527" spans="2:6">
      <c r="B1527" s="75"/>
      <c r="C1527" s="75"/>
      <c r="D1527" s="75"/>
      <c r="E1527" s="75"/>
      <c r="F1527" s="75"/>
    </row>
    <row r="1528" spans="2:6">
      <c r="B1528" s="75"/>
      <c r="C1528" s="75"/>
      <c r="D1528" s="75"/>
      <c r="E1528" s="75"/>
      <c r="F1528" s="75"/>
    </row>
    <row r="1529" spans="2:6">
      <c r="B1529" s="75"/>
      <c r="C1529" s="75"/>
      <c r="D1529" s="75"/>
      <c r="E1529" s="75"/>
      <c r="F1529" s="75"/>
    </row>
    <row r="1530" spans="2:6">
      <c r="B1530" s="75"/>
      <c r="C1530" s="75"/>
      <c r="D1530" s="75"/>
      <c r="E1530" s="75"/>
      <c r="F1530" s="75"/>
    </row>
    <row r="1531" spans="2:6">
      <c r="B1531" s="75"/>
      <c r="C1531" s="75"/>
      <c r="D1531" s="75"/>
      <c r="E1531" s="75"/>
      <c r="F1531" s="75"/>
    </row>
    <row r="1532" spans="2:6">
      <c r="B1532" s="75"/>
      <c r="C1532" s="75"/>
      <c r="D1532" s="75"/>
      <c r="E1532" s="75"/>
      <c r="F1532" s="75"/>
    </row>
    <row r="1533" spans="2:6">
      <c r="B1533" s="75"/>
      <c r="C1533" s="75"/>
      <c r="D1533" s="75"/>
      <c r="E1533" s="75"/>
      <c r="F1533" s="75"/>
    </row>
    <row r="1534" spans="2:6">
      <c r="B1534" s="75"/>
      <c r="C1534" s="75"/>
      <c r="D1534" s="75"/>
      <c r="E1534" s="75"/>
      <c r="F1534" s="75"/>
    </row>
    <row r="1535" spans="2:6">
      <c r="B1535" s="75"/>
      <c r="C1535" s="75"/>
      <c r="D1535" s="75"/>
      <c r="E1535" s="75"/>
      <c r="F1535" s="75"/>
    </row>
    <row r="1536" spans="2:6">
      <c r="B1536" s="75"/>
      <c r="C1536" s="75"/>
      <c r="D1536" s="75"/>
      <c r="E1536" s="75"/>
      <c r="F1536" s="75"/>
    </row>
    <row r="1537" spans="2:6">
      <c r="B1537" s="75"/>
      <c r="C1537" s="75"/>
      <c r="D1537" s="75"/>
      <c r="E1537" s="75"/>
      <c r="F1537" s="75"/>
    </row>
    <row r="1538" spans="2:6">
      <c r="B1538" s="75"/>
      <c r="C1538" s="75"/>
      <c r="D1538" s="75"/>
      <c r="E1538" s="75"/>
      <c r="F1538" s="75"/>
    </row>
    <row r="1539" spans="2:6">
      <c r="B1539" s="75"/>
      <c r="C1539" s="75"/>
      <c r="D1539" s="75"/>
      <c r="E1539" s="75"/>
      <c r="F1539" s="75"/>
    </row>
    <row r="1540" spans="2:6">
      <c r="B1540" s="75"/>
      <c r="C1540" s="75"/>
      <c r="D1540" s="75"/>
      <c r="E1540" s="75"/>
      <c r="F1540" s="75"/>
    </row>
    <row r="1541" spans="2:6">
      <c r="B1541" s="75"/>
      <c r="C1541" s="75"/>
      <c r="D1541" s="75"/>
      <c r="E1541" s="75"/>
      <c r="F1541" s="75"/>
    </row>
    <row r="1542" spans="2:6">
      <c r="B1542" s="75"/>
      <c r="C1542" s="75"/>
      <c r="D1542" s="75"/>
      <c r="E1542" s="75"/>
      <c r="F1542" s="75"/>
    </row>
    <row r="1543" spans="2:6">
      <c r="B1543" s="75"/>
      <c r="C1543" s="75"/>
      <c r="D1543" s="75"/>
      <c r="E1543" s="75"/>
      <c r="F1543" s="75"/>
    </row>
    <row r="1544" spans="2:6">
      <c r="B1544" s="75"/>
      <c r="C1544" s="75"/>
      <c r="D1544" s="75"/>
      <c r="E1544" s="75"/>
      <c r="F1544" s="75"/>
    </row>
    <row r="1545" spans="2:6">
      <c r="B1545" s="75"/>
      <c r="C1545" s="75"/>
      <c r="D1545" s="75"/>
      <c r="E1545" s="75"/>
      <c r="F1545" s="75"/>
    </row>
    <row r="1546" spans="2:6">
      <c r="B1546" s="75"/>
      <c r="C1546" s="75"/>
      <c r="D1546" s="75"/>
      <c r="E1546" s="75"/>
      <c r="F1546" s="75"/>
    </row>
    <row r="1547" spans="2:6">
      <c r="B1547" s="75"/>
      <c r="C1547" s="75"/>
      <c r="D1547" s="75"/>
      <c r="E1547" s="75"/>
      <c r="F1547" s="75"/>
    </row>
    <row r="1548" spans="2:6">
      <c r="B1548" s="75"/>
      <c r="C1548" s="75"/>
      <c r="D1548" s="75"/>
      <c r="E1548" s="75"/>
      <c r="F1548" s="75"/>
    </row>
    <row r="1549" spans="2:6">
      <c r="B1549" s="75"/>
      <c r="C1549" s="75"/>
      <c r="D1549" s="75"/>
      <c r="E1549" s="75"/>
      <c r="F1549" s="75"/>
    </row>
    <row r="1550" spans="2:6">
      <c r="B1550" s="75"/>
      <c r="C1550" s="75"/>
      <c r="D1550" s="75"/>
      <c r="E1550" s="75"/>
      <c r="F1550" s="75"/>
    </row>
    <row r="1551" spans="2:6">
      <c r="B1551" s="75"/>
      <c r="C1551" s="75"/>
      <c r="D1551" s="75"/>
      <c r="E1551" s="75"/>
      <c r="F1551" s="75"/>
    </row>
    <row r="1552" spans="2:6">
      <c r="B1552" s="75"/>
      <c r="C1552" s="75"/>
      <c r="D1552" s="75"/>
      <c r="E1552" s="75"/>
      <c r="F1552" s="75"/>
    </row>
    <row r="1553" spans="2:6">
      <c r="B1553" s="75"/>
      <c r="C1553" s="75"/>
      <c r="D1553" s="75"/>
      <c r="E1553" s="75"/>
      <c r="F1553" s="75"/>
    </row>
    <row r="1554" spans="2:6">
      <c r="B1554" s="75"/>
      <c r="C1554" s="75"/>
      <c r="D1554" s="75"/>
      <c r="E1554" s="75"/>
      <c r="F1554" s="75"/>
    </row>
    <row r="1555" spans="2:6">
      <c r="B1555" s="75"/>
      <c r="C1555" s="75"/>
      <c r="D1555" s="75"/>
      <c r="E1555" s="75"/>
      <c r="F1555" s="75"/>
    </row>
    <row r="1556" spans="2:6">
      <c r="B1556" s="75"/>
      <c r="C1556" s="75"/>
      <c r="D1556" s="75"/>
      <c r="E1556" s="75"/>
      <c r="F1556" s="75"/>
    </row>
    <row r="1557" spans="2:6">
      <c r="B1557" s="75"/>
      <c r="C1557" s="75"/>
      <c r="D1557" s="75"/>
      <c r="E1557" s="75"/>
      <c r="F1557" s="75"/>
    </row>
    <row r="1558" spans="2:6">
      <c r="B1558" s="75"/>
      <c r="C1558" s="75"/>
      <c r="D1558" s="75"/>
      <c r="E1558" s="75"/>
      <c r="F1558" s="75"/>
    </row>
    <row r="1559" spans="2:6">
      <c r="B1559" s="75"/>
      <c r="C1559" s="75"/>
      <c r="D1559" s="75"/>
      <c r="E1559" s="75"/>
      <c r="F1559" s="75"/>
    </row>
    <row r="1560" spans="2:6">
      <c r="B1560" s="75"/>
      <c r="C1560" s="75"/>
      <c r="D1560" s="75"/>
      <c r="E1560" s="75"/>
      <c r="F1560" s="75"/>
    </row>
    <row r="1561" spans="2:6">
      <c r="B1561" s="75"/>
      <c r="C1561" s="75"/>
      <c r="D1561" s="75"/>
      <c r="E1561" s="75"/>
      <c r="F1561" s="75"/>
    </row>
    <row r="1562" spans="2:6">
      <c r="B1562" s="75"/>
      <c r="C1562" s="75"/>
      <c r="D1562" s="75"/>
      <c r="E1562" s="75"/>
      <c r="F1562" s="75"/>
    </row>
    <row r="1563" spans="2:6">
      <c r="B1563" s="75"/>
      <c r="C1563" s="75"/>
      <c r="D1563" s="75"/>
      <c r="E1563" s="75"/>
      <c r="F1563" s="75"/>
    </row>
    <row r="1564" spans="2:6">
      <c r="B1564" s="75"/>
      <c r="C1564" s="75"/>
      <c r="D1564" s="75"/>
      <c r="E1564" s="75"/>
      <c r="F1564" s="75"/>
    </row>
    <row r="1565" spans="2:6">
      <c r="B1565" s="75"/>
      <c r="C1565" s="75"/>
      <c r="D1565" s="75"/>
      <c r="E1565" s="75"/>
      <c r="F1565" s="75"/>
    </row>
    <row r="1566" spans="2:6">
      <c r="B1566" s="75"/>
      <c r="C1566" s="75"/>
      <c r="D1566" s="75"/>
      <c r="E1566" s="75"/>
      <c r="F1566" s="75"/>
    </row>
    <row r="1567" spans="2:6">
      <c r="B1567" s="75"/>
      <c r="C1567" s="75"/>
      <c r="D1567" s="75"/>
      <c r="E1567" s="75"/>
      <c r="F1567" s="75"/>
    </row>
    <row r="1568" spans="2:6">
      <c r="B1568" s="75"/>
      <c r="C1568" s="75"/>
      <c r="D1568" s="75"/>
      <c r="E1568" s="75"/>
      <c r="F1568" s="75"/>
    </row>
    <row r="1569" spans="2:6">
      <c r="B1569" s="75"/>
      <c r="C1569" s="75"/>
      <c r="D1569" s="75"/>
      <c r="E1569" s="75"/>
      <c r="F1569" s="75"/>
    </row>
    <row r="1570" spans="2:6">
      <c r="B1570" s="75"/>
      <c r="C1570" s="75"/>
      <c r="D1570" s="75"/>
      <c r="E1570" s="75"/>
      <c r="F1570" s="75"/>
    </row>
    <row r="1571" spans="2:6">
      <c r="B1571" s="75"/>
      <c r="C1571" s="75"/>
      <c r="D1571" s="75"/>
      <c r="E1571" s="75"/>
      <c r="F1571" s="75"/>
    </row>
    <row r="1572" spans="2:6">
      <c r="B1572" s="75"/>
      <c r="C1572" s="75"/>
      <c r="D1572" s="75"/>
      <c r="E1572" s="75"/>
      <c r="F1572" s="75"/>
    </row>
    <row r="1573" spans="2:6">
      <c r="B1573" s="75"/>
      <c r="C1573" s="75"/>
      <c r="D1573" s="75"/>
      <c r="E1573" s="75"/>
      <c r="F1573" s="75"/>
    </row>
    <row r="1574" spans="2:6">
      <c r="B1574" s="75"/>
      <c r="C1574" s="75"/>
      <c r="D1574" s="75"/>
      <c r="E1574" s="75"/>
      <c r="F1574" s="75"/>
    </row>
    <row r="1575" spans="2:6">
      <c r="B1575" s="75"/>
      <c r="C1575" s="75"/>
      <c r="D1575" s="75"/>
      <c r="E1575" s="75"/>
      <c r="F1575" s="75"/>
    </row>
    <row r="1576" spans="2:6">
      <c r="B1576" s="75"/>
      <c r="C1576" s="75"/>
      <c r="D1576" s="75"/>
      <c r="E1576" s="75"/>
      <c r="F1576" s="75"/>
    </row>
    <row r="1577" spans="2:6">
      <c r="B1577" s="75"/>
      <c r="C1577" s="75"/>
      <c r="D1577" s="75"/>
      <c r="E1577" s="75"/>
      <c r="F1577" s="75"/>
    </row>
    <row r="1578" spans="2:6">
      <c r="B1578" s="75"/>
      <c r="C1578" s="75"/>
      <c r="D1578" s="75"/>
      <c r="E1578" s="75"/>
      <c r="F1578" s="75"/>
    </row>
    <row r="1579" spans="2:6">
      <c r="B1579" s="75"/>
      <c r="C1579" s="75"/>
      <c r="D1579" s="75"/>
      <c r="E1579" s="75"/>
      <c r="F1579" s="75"/>
    </row>
    <row r="1580" spans="2:6">
      <c r="B1580" s="75"/>
      <c r="C1580" s="75"/>
      <c r="D1580" s="75"/>
      <c r="E1580" s="75"/>
      <c r="F1580" s="75"/>
    </row>
    <row r="1581" spans="2:6">
      <c r="B1581" s="75"/>
      <c r="C1581" s="75"/>
      <c r="D1581" s="75"/>
      <c r="E1581" s="75"/>
      <c r="F1581" s="75"/>
    </row>
    <row r="1582" spans="2:6">
      <c r="B1582" s="75"/>
      <c r="C1582" s="75"/>
      <c r="D1582" s="75"/>
      <c r="E1582" s="75"/>
      <c r="F1582" s="75"/>
    </row>
    <row r="1583" spans="2:6">
      <c r="B1583" s="75"/>
      <c r="C1583" s="75"/>
      <c r="D1583" s="75"/>
      <c r="E1583" s="75"/>
      <c r="F1583" s="75"/>
    </row>
    <row r="1584" spans="2:6">
      <c r="B1584" s="75"/>
      <c r="C1584" s="75"/>
      <c r="D1584" s="75"/>
      <c r="E1584" s="75"/>
      <c r="F1584" s="75"/>
    </row>
    <row r="1585" spans="2:6">
      <c r="B1585" s="75"/>
      <c r="C1585" s="75"/>
      <c r="D1585" s="75"/>
      <c r="E1585" s="75"/>
      <c r="F1585" s="75"/>
    </row>
    <row r="1586" spans="2:6">
      <c r="B1586" s="75"/>
      <c r="C1586" s="75"/>
      <c r="D1586" s="75"/>
      <c r="E1586" s="75"/>
      <c r="F1586" s="75"/>
    </row>
    <row r="1587" spans="2:6">
      <c r="B1587" s="75"/>
      <c r="C1587" s="75"/>
      <c r="D1587" s="75"/>
      <c r="E1587" s="75"/>
      <c r="F1587" s="75"/>
    </row>
    <row r="1588" spans="2:6">
      <c r="B1588" s="75"/>
      <c r="C1588" s="75"/>
      <c r="D1588" s="75"/>
      <c r="E1588" s="75"/>
      <c r="F1588" s="75"/>
    </row>
    <row r="1589" spans="2:6">
      <c r="B1589" s="75"/>
      <c r="C1589" s="75"/>
      <c r="D1589" s="75"/>
      <c r="E1589" s="75"/>
      <c r="F1589" s="75"/>
    </row>
    <row r="1590" spans="2:6">
      <c r="B1590" s="75"/>
      <c r="C1590" s="75"/>
      <c r="D1590" s="75"/>
      <c r="E1590" s="75"/>
      <c r="F1590" s="75"/>
    </row>
    <row r="1591" spans="2:6">
      <c r="B1591" s="75"/>
      <c r="C1591" s="75"/>
      <c r="D1591" s="75"/>
      <c r="E1591" s="75"/>
      <c r="F1591" s="75"/>
    </row>
    <row r="1592" spans="2:6">
      <c r="B1592" s="75"/>
      <c r="C1592" s="75"/>
      <c r="D1592" s="75"/>
      <c r="E1592" s="75"/>
      <c r="F1592" s="75"/>
    </row>
    <row r="1593" spans="2:6">
      <c r="B1593" s="75"/>
      <c r="C1593" s="75"/>
      <c r="D1593" s="75"/>
      <c r="E1593" s="75"/>
      <c r="F1593" s="75"/>
    </row>
    <row r="1594" spans="2:6">
      <c r="B1594" s="75"/>
      <c r="C1594" s="75"/>
      <c r="D1594" s="75"/>
      <c r="E1594" s="75"/>
      <c r="F1594" s="75"/>
    </row>
    <row r="1595" spans="2:6">
      <c r="B1595" s="75"/>
      <c r="C1595" s="75"/>
      <c r="D1595" s="75"/>
      <c r="E1595" s="75"/>
      <c r="F1595" s="75"/>
    </row>
    <row r="1596" spans="2:6">
      <c r="B1596" s="75"/>
      <c r="C1596" s="75"/>
      <c r="D1596" s="75"/>
      <c r="E1596" s="75"/>
      <c r="F1596" s="75"/>
    </row>
    <row r="1597" spans="2:6">
      <c r="B1597" s="75"/>
      <c r="C1597" s="75"/>
      <c r="D1597" s="75"/>
      <c r="E1597" s="75"/>
      <c r="F1597" s="75"/>
    </row>
    <row r="1598" spans="2:6">
      <c r="B1598" s="75"/>
      <c r="C1598" s="75"/>
      <c r="D1598" s="75"/>
      <c r="E1598" s="75"/>
      <c r="F1598" s="75"/>
    </row>
    <row r="1599" spans="2:6">
      <c r="B1599" s="75"/>
      <c r="C1599" s="75"/>
      <c r="D1599" s="75"/>
      <c r="E1599" s="75"/>
      <c r="F1599" s="75"/>
    </row>
    <row r="1600" spans="2:6">
      <c r="B1600" s="75"/>
      <c r="C1600" s="75"/>
      <c r="D1600" s="75"/>
      <c r="E1600" s="75"/>
      <c r="F1600" s="75"/>
    </row>
    <row r="1601" spans="2:6">
      <c r="B1601" s="75"/>
      <c r="C1601" s="75"/>
      <c r="D1601" s="75"/>
      <c r="E1601" s="75"/>
      <c r="F1601" s="75"/>
    </row>
    <row r="1602" spans="2:6">
      <c r="B1602" s="75"/>
      <c r="C1602" s="75"/>
      <c r="D1602" s="75"/>
      <c r="E1602" s="75"/>
      <c r="F1602" s="75"/>
    </row>
    <row r="1603" spans="2:6">
      <c r="B1603" s="75"/>
      <c r="C1603" s="75"/>
      <c r="D1603" s="75"/>
      <c r="E1603" s="75"/>
      <c r="F1603" s="75"/>
    </row>
    <row r="1604" spans="2:6">
      <c r="B1604" s="75"/>
      <c r="C1604" s="75"/>
      <c r="D1604" s="75"/>
      <c r="E1604" s="75"/>
      <c r="F1604" s="75"/>
    </row>
    <row r="1605" spans="2:6">
      <c r="B1605" s="75"/>
      <c r="C1605" s="75"/>
      <c r="D1605" s="75"/>
      <c r="E1605" s="75"/>
      <c r="F1605" s="75"/>
    </row>
    <row r="1606" spans="2:6">
      <c r="B1606" s="75"/>
      <c r="C1606" s="75"/>
      <c r="D1606" s="75"/>
      <c r="E1606" s="75"/>
      <c r="F1606" s="75"/>
    </row>
    <row r="1607" spans="2:6">
      <c r="B1607" s="75"/>
      <c r="C1607" s="75"/>
      <c r="D1607" s="75"/>
      <c r="E1607" s="75"/>
      <c r="F1607" s="75"/>
    </row>
    <row r="1608" spans="2:6">
      <c r="B1608" s="75"/>
      <c r="C1608" s="75"/>
      <c r="D1608" s="75"/>
      <c r="E1608" s="75"/>
      <c r="F1608" s="75"/>
    </row>
    <row r="1609" spans="2:6">
      <c r="B1609" s="75"/>
      <c r="C1609" s="75"/>
      <c r="D1609" s="75"/>
      <c r="E1609" s="75"/>
      <c r="F1609" s="75"/>
    </row>
    <row r="1610" spans="2:6">
      <c r="B1610" s="75"/>
      <c r="C1610" s="75"/>
      <c r="D1610" s="75"/>
      <c r="E1610" s="75"/>
      <c r="F1610" s="75"/>
    </row>
    <row r="1611" spans="2:6">
      <c r="B1611" s="75"/>
      <c r="C1611" s="75"/>
      <c r="D1611" s="75"/>
      <c r="E1611" s="75"/>
      <c r="F1611" s="75"/>
    </row>
    <row r="1612" spans="2:6">
      <c r="B1612" s="75"/>
      <c r="C1612" s="75"/>
      <c r="D1612" s="75"/>
      <c r="E1612" s="75"/>
      <c r="F1612" s="75"/>
    </row>
    <row r="1613" spans="2:6">
      <c r="B1613" s="75"/>
      <c r="C1613" s="75"/>
      <c r="D1613" s="75"/>
      <c r="E1613" s="75"/>
      <c r="F1613" s="75"/>
    </row>
    <row r="1614" spans="2:6">
      <c r="B1614" s="75"/>
      <c r="C1614" s="75"/>
      <c r="D1614" s="75"/>
      <c r="E1614" s="75"/>
      <c r="F1614" s="75"/>
    </row>
    <row r="1615" spans="2:6">
      <c r="B1615" s="75"/>
      <c r="C1615" s="75"/>
      <c r="D1615" s="75"/>
      <c r="E1615" s="75"/>
      <c r="F1615" s="75"/>
    </row>
    <row r="1616" spans="2:6">
      <c r="B1616" s="75"/>
      <c r="C1616" s="75"/>
      <c r="D1616" s="75"/>
      <c r="E1616" s="75"/>
      <c r="F1616" s="75"/>
    </row>
    <row r="1617" spans="2:6">
      <c r="B1617" s="75"/>
      <c r="C1617" s="75"/>
      <c r="D1617" s="75"/>
      <c r="E1617" s="75"/>
      <c r="F1617" s="75"/>
    </row>
    <row r="1618" spans="2:6">
      <c r="B1618" s="75"/>
      <c r="C1618" s="75"/>
      <c r="D1618" s="75"/>
      <c r="E1618" s="75"/>
      <c r="F1618" s="75"/>
    </row>
    <row r="1619" spans="2:6">
      <c r="B1619" s="75"/>
      <c r="C1619" s="75"/>
      <c r="D1619" s="75"/>
      <c r="E1619" s="75"/>
      <c r="F1619" s="75"/>
    </row>
    <row r="1620" spans="2:6">
      <c r="B1620" s="75"/>
      <c r="C1620" s="75"/>
      <c r="D1620" s="75"/>
      <c r="E1620" s="75"/>
      <c r="F1620" s="75"/>
    </row>
    <row r="1621" spans="2:6">
      <c r="B1621" s="75"/>
      <c r="C1621" s="75"/>
      <c r="D1621" s="75"/>
      <c r="E1621" s="75"/>
      <c r="F1621" s="75"/>
    </row>
    <row r="1622" spans="2:6">
      <c r="B1622" s="75"/>
      <c r="C1622" s="75"/>
      <c r="D1622" s="75"/>
      <c r="E1622" s="75"/>
      <c r="F1622" s="75"/>
    </row>
    <row r="1623" spans="2:6">
      <c r="B1623" s="75"/>
      <c r="C1623" s="75"/>
      <c r="D1623" s="75"/>
      <c r="E1623" s="75"/>
      <c r="F1623" s="75"/>
    </row>
    <row r="1624" spans="2:6">
      <c r="B1624" s="75"/>
      <c r="C1624" s="75"/>
      <c r="D1624" s="75"/>
      <c r="E1624" s="75"/>
      <c r="F1624" s="75"/>
    </row>
    <row r="1625" spans="2:6">
      <c r="B1625" s="75"/>
      <c r="C1625" s="75"/>
      <c r="D1625" s="75"/>
      <c r="E1625" s="75"/>
      <c r="F1625" s="75"/>
    </row>
    <row r="1626" spans="2:6">
      <c r="B1626" s="75"/>
      <c r="C1626" s="75"/>
      <c r="D1626" s="75"/>
      <c r="E1626" s="75"/>
      <c r="F1626" s="75"/>
    </row>
    <row r="1627" spans="2:6">
      <c r="B1627" s="75"/>
      <c r="C1627" s="75"/>
      <c r="D1627" s="75"/>
      <c r="E1627" s="75"/>
      <c r="F1627" s="75"/>
    </row>
    <row r="1628" spans="2:6">
      <c r="B1628" s="75"/>
      <c r="C1628" s="75"/>
      <c r="D1628" s="75"/>
      <c r="E1628" s="75"/>
      <c r="F1628" s="75"/>
    </row>
    <row r="1629" spans="2:6">
      <c r="B1629" s="75"/>
      <c r="C1629" s="75"/>
      <c r="D1629" s="75"/>
      <c r="E1629" s="75"/>
      <c r="F1629" s="75"/>
    </row>
    <row r="1630" spans="2:6">
      <c r="B1630" s="75"/>
      <c r="C1630" s="75"/>
      <c r="D1630" s="75"/>
      <c r="E1630" s="75"/>
      <c r="F1630" s="75"/>
    </row>
    <row r="1631" spans="2:6">
      <c r="B1631" s="75"/>
      <c r="C1631" s="75"/>
      <c r="D1631" s="75"/>
      <c r="E1631" s="75"/>
      <c r="F1631" s="75"/>
    </row>
    <row r="1632" spans="2:6">
      <c r="B1632" s="75"/>
      <c r="C1632" s="75"/>
      <c r="D1632" s="75"/>
      <c r="E1632" s="75"/>
      <c r="F1632" s="75"/>
    </row>
    <row r="1633" spans="2:6">
      <c r="B1633" s="75"/>
      <c r="C1633" s="75"/>
      <c r="D1633" s="75"/>
      <c r="E1633" s="75"/>
      <c r="F1633" s="75"/>
    </row>
    <row r="1634" spans="2:6">
      <c r="B1634" s="75"/>
      <c r="C1634" s="75"/>
      <c r="D1634" s="75"/>
      <c r="E1634" s="75"/>
      <c r="F1634" s="75"/>
    </row>
    <row r="1635" spans="2:6">
      <c r="B1635" s="75"/>
      <c r="C1635" s="75"/>
      <c r="D1635" s="75"/>
      <c r="E1635" s="75"/>
      <c r="F1635" s="75"/>
    </row>
    <row r="1636" spans="2:6">
      <c r="B1636" s="75"/>
      <c r="C1636" s="75"/>
      <c r="D1636" s="75"/>
      <c r="E1636" s="75"/>
      <c r="F1636" s="75"/>
    </row>
    <row r="1637" spans="2:6">
      <c r="B1637" s="75"/>
      <c r="C1637" s="75"/>
      <c r="D1637" s="75"/>
      <c r="E1637" s="75"/>
      <c r="F1637" s="75"/>
    </row>
    <row r="1638" spans="2:6">
      <c r="B1638" s="75"/>
      <c r="C1638" s="75"/>
      <c r="D1638" s="75"/>
      <c r="E1638" s="75"/>
      <c r="F1638" s="75"/>
    </row>
    <row r="1639" spans="2:6">
      <c r="B1639" s="75"/>
      <c r="C1639" s="75"/>
      <c r="D1639" s="75"/>
      <c r="E1639" s="75"/>
      <c r="F1639" s="75"/>
    </row>
    <row r="1640" spans="2:6">
      <c r="B1640" s="75"/>
      <c r="C1640" s="75"/>
      <c r="D1640" s="75"/>
      <c r="E1640" s="75"/>
      <c r="F1640" s="75"/>
    </row>
    <row r="1641" spans="2:6">
      <c r="B1641" s="75"/>
      <c r="C1641" s="75"/>
      <c r="D1641" s="75"/>
      <c r="E1641" s="75"/>
      <c r="F1641" s="75"/>
    </row>
    <row r="1642" spans="2:6">
      <c r="B1642" s="75"/>
      <c r="C1642" s="75"/>
      <c r="D1642" s="75"/>
      <c r="E1642" s="75"/>
      <c r="F1642" s="75"/>
    </row>
    <row r="1643" spans="2:6">
      <c r="B1643" s="75"/>
      <c r="C1643" s="75"/>
      <c r="D1643" s="75"/>
      <c r="E1643" s="75"/>
      <c r="F1643" s="75"/>
    </row>
    <row r="1644" spans="2:6">
      <c r="B1644" s="75"/>
      <c r="C1644" s="75"/>
      <c r="D1644" s="75"/>
      <c r="E1644" s="75"/>
      <c r="F1644" s="75"/>
    </row>
    <row r="1645" spans="2:6">
      <c r="B1645" s="75"/>
      <c r="C1645" s="75"/>
      <c r="D1645" s="75"/>
      <c r="E1645" s="75"/>
      <c r="F1645" s="75"/>
    </row>
    <row r="1646" spans="2:6">
      <c r="B1646" s="75"/>
      <c r="C1646" s="75"/>
      <c r="D1646" s="75"/>
      <c r="E1646" s="75"/>
      <c r="F1646" s="75"/>
    </row>
    <row r="1647" spans="2:6">
      <c r="B1647" s="75"/>
      <c r="C1647" s="75"/>
      <c r="D1647" s="75"/>
      <c r="E1647" s="75"/>
      <c r="F1647" s="75"/>
    </row>
    <row r="1648" spans="2:6">
      <c r="B1648" s="75"/>
      <c r="C1648" s="75"/>
      <c r="D1648" s="75"/>
      <c r="E1648" s="75"/>
      <c r="F1648" s="75"/>
    </row>
    <row r="1649" spans="2:6">
      <c r="B1649" s="75"/>
      <c r="C1649" s="75"/>
      <c r="D1649" s="75"/>
      <c r="E1649" s="75"/>
      <c r="F1649" s="75"/>
    </row>
    <row r="1650" spans="2:6">
      <c r="B1650" s="75"/>
      <c r="C1650" s="75"/>
      <c r="D1650" s="75"/>
      <c r="E1650" s="75"/>
      <c r="F1650" s="75"/>
    </row>
    <row r="1651" spans="2:6">
      <c r="B1651" s="75"/>
      <c r="C1651" s="75"/>
      <c r="D1651" s="75"/>
      <c r="E1651" s="75"/>
      <c r="F1651" s="75"/>
    </row>
    <row r="1652" spans="2:6">
      <c r="B1652" s="75"/>
      <c r="C1652" s="75"/>
      <c r="D1652" s="75"/>
      <c r="E1652" s="75"/>
      <c r="F1652" s="75"/>
    </row>
    <row r="1653" spans="2:6">
      <c r="B1653" s="75"/>
      <c r="C1653" s="75"/>
      <c r="D1653" s="75"/>
      <c r="E1653" s="75"/>
      <c r="F1653" s="75"/>
    </row>
    <row r="1654" spans="2:6">
      <c r="B1654" s="75"/>
      <c r="C1654" s="75"/>
      <c r="D1654" s="75"/>
      <c r="E1654" s="75"/>
      <c r="F1654" s="75"/>
    </row>
    <row r="1655" spans="2:6">
      <c r="B1655" s="75"/>
      <c r="C1655" s="75"/>
      <c r="D1655" s="75"/>
      <c r="E1655" s="75"/>
      <c r="F1655" s="75"/>
    </row>
    <row r="1656" spans="2:6">
      <c r="B1656" s="75"/>
      <c r="C1656" s="75"/>
      <c r="D1656" s="75"/>
      <c r="E1656" s="75"/>
      <c r="F1656" s="75"/>
    </row>
    <row r="1657" spans="2:6">
      <c r="B1657" s="75"/>
      <c r="C1657" s="75"/>
      <c r="D1657" s="75"/>
      <c r="E1657" s="75"/>
      <c r="F1657" s="75"/>
    </row>
    <row r="1658" spans="2:6">
      <c r="B1658" s="75"/>
      <c r="C1658" s="75"/>
      <c r="D1658" s="75"/>
      <c r="E1658" s="75"/>
      <c r="F1658" s="75"/>
    </row>
    <row r="1659" spans="2:6">
      <c r="B1659" s="75"/>
      <c r="C1659" s="75"/>
      <c r="D1659" s="75"/>
      <c r="E1659" s="75"/>
      <c r="F1659" s="75"/>
    </row>
    <row r="1660" spans="2:6">
      <c r="B1660" s="75"/>
      <c r="C1660" s="75"/>
      <c r="D1660" s="75"/>
      <c r="E1660" s="75"/>
      <c r="F1660" s="75"/>
    </row>
    <row r="1661" spans="2:6">
      <c r="B1661" s="75"/>
      <c r="C1661" s="75"/>
      <c r="D1661" s="75"/>
      <c r="E1661" s="75"/>
      <c r="F1661" s="75"/>
    </row>
    <row r="1662" spans="2:6">
      <c r="B1662" s="75"/>
      <c r="C1662" s="75"/>
      <c r="D1662" s="75"/>
      <c r="E1662" s="75"/>
      <c r="F1662" s="75"/>
    </row>
    <row r="1663" spans="2:6">
      <c r="B1663" s="75"/>
      <c r="C1663" s="75"/>
      <c r="D1663" s="75"/>
      <c r="E1663" s="75"/>
      <c r="F1663" s="75"/>
    </row>
    <row r="1664" spans="2:6">
      <c r="B1664" s="75"/>
      <c r="C1664" s="75"/>
      <c r="D1664" s="75"/>
      <c r="E1664" s="75"/>
      <c r="F1664" s="75"/>
    </row>
    <row r="1665" spans="2:6">
      <c r="B1665" s="75"/>
      <c r="C1665" s="75"/>
      <c r="D1665" s="75"/>
      <c r="E1665" s="75"/>
      <c r="F1665" s="75"/>
    </row>
    <row r="1666" spans="2:6">
      <c r="B1666" s="75"/>
      <c r="C1666" s="75"/>
      <c r="D1666" s="75"/>
      <c r="E1666" s="75"/>
      <c r="F1666" s="75"/>
    </row>
    <row r="1667" spans="2:6">
      <c r="B1667" s="75"/>
      <c r="C1667" s="75"/>
      <c r="D1667" s="75"/>
      <c r="E1667" s="75"/>
      <c r="F1667" s="75"/>
    </row>
    <row r="1668" spans="2:6">
      <c r="B1668" s="75"/>
      <c r="C1668" s="75"/>
      <c r="D1668" s="75"/>
      <c r="E1668" s="75"/>
      <c r="F1668" s="75"/>
    </row>
    <row r="1669" spans="2:6">
      <c r="B1669" s="75"/>
      <c r="C1669" s="75"/>
      <c r="D1669" s="75"/>
      <c r="E1669" s="75"/>
      <c r="F1669" s="75"/>
    </row>
    <row r="1670" spans="2:6">
      <c r="B1670" s="75"/>
      <c r="C1670" s="75"/>
      <c r="D1670" s="75"/>
      <c r="E1670" s="75"/>
      <c r="F1670" s="75"/>
    </row>
    <row r="1671" spans="2:6">
      <c r="B1671" s="75"/>
      <c r="C1671" s="75"/>
      <c r="D1671" s="75"/>
      <c r="E1671" s="75"/>
      <c r="F1671" s="75"/>
    </row>
    <row r="1672" spans="2:6">
      <c r="B1672" s="75"/>
      <c r="C1672" s="75"/>
      <c r="D1672" s="75"/>
      <c r="E1672" s="75"/>
      <c r="F1672" s="75"/>
    </row>
    <row r="1673" spans="2:6">
      <c r="B1673" s="75"/>
      <c r="C1673" s="75"/>
      <c r="D1673" s="75"/>
      <c r="E1673" s="75"/>
      <c r="F1673" s="75"/>
    </row>
    <row r="1674" spans="2:6">
      <c r="B1674" s="75"/>
      <c r="C1674" s="75"/>
      <c r="D1674" s="75"/>
      <c r="E1674" s="75"/>
      <c r="F1674" s="75"/>
    </row>
    <row r="1675" spans="2:6">
      <c r="B1675" s="75"/>
      <c r="C1675" s="75"/>
      <c r="D1675" s="75"/>
      <c r="E1675" s="75"/>
      <c r="F1675" s="75"/>
    </row>
    <row r="1676" spans="2:6">
      <c r="B1676" s="75"/>
      <c r="C1676" s="75"/>
      <c r="D1676" s="75"/>
      <c r="E1676" s="75"/>
      <c r="F1676" s="75"/>
    </row>
    <row r="1677" spans="2:6">
      <c r="B1677" s="75"/>
      <c r="C1677" s="75"/>
      <c r="D1677" s="75"/>
      <c r="E1677" s="75"/>
      <c r="F1677" s="75"/>
    </row>
    <row r="1678" spans="2:6">
      <c r="B1678" s="75"/>
      <c r="C1678" s="75"/>
      <c r="D1678" s="75"/>
      <c r="E1678" s="75"/>
      <c r="F1678" s="75"/>
    </row>
    <row r="1679" spans="2:6">
      <c r="B1679" s="75"/>
      <c r="C1679" s="75"/>
      <c r="D1679" s="75"/>
      <c r="E1679" s="75"/>
      <c r="F1679" s="75"/>
    </row>
    <row r="1680" spans="2:6">
      <c r="B1680" s="75"/>
      <c r="C1680" s="75"/>
      <c r="D1680" s="75"/>
      <c r="E1680" s="75"/>
      <c r="F1680" s="75"/>
    </row>
    <row r="1681" spans="2:6">
      <c r="B1681" s="75"/>
      <c r="C1681" s="75"/>
      <c r="D1681" s="75"/>
      <c r="E1681" s="75"/>
      <c r="F1681" s="75"/>
    </row>
    <row r="1682" spans="2:6">
      <c r="B1682" s="75"/>
      <c r="C1682" s="75"/>
      <c r="D1682" s="75"/>
      <c r="E1682" s="75"/>
      <c r="F1682" s="75"/>
    </row>
    <row r="1683" spans="2:6">
      <c r="B1683" s="75"/>
      <c r="C1683" s="75"/>
      <c r="D1683" s="75"/>
      <c r="E1683" s="75"/>
      <c r="F1683" s="75"/>
    </row>
    <row r="1684" spans="2:6">
      <c r="B1684" s="75"/>
      <c r="C1684" s="75"/>
      <c r="D1684" s="75"/>
      <c r="E1684" s="75"/>
      <c r="F1684" s="75"/>
    </row>
    <row r="1685" spans="2:6">
      <c r="B1685" s="75"/>
      <c r="C1685" s="75"/>
      <c r="D1685" s="75"/>
      <c r="E1685" s="75"/>
      <c r="F1685" s="75"/>
    </row>
    <row r="1686" spans="2:6">
      <c r="B1686" s="75"/>
      <c r="C1686" s="75"/>
      <c r="D1686" s="75"/>
      <c r="E1686" s="75"/>
      <c r="F1686" s="75"/>
    </row>
    <row r="1687" spans="2:6">
      <c r="B1687" s="75"/>
      <c r="C1687" s="75"/>
      <c r="D1687" s="75"/>
      <c r="E1687" s="75"/>
      <c r="F1687" s="75"/>
    </row>
    <row r="1688" spans="2:6">
      <c r="B1688" s="75"/>
      <c r="C1688" s="75"/>
      <c r="D1688" s="75"/>
      <c r="E1688" s="75"/>
      <c r="F1688" s="75"/>
    </row>
    <row r="1689" spans="2:6">
      <c r="B1689" s="75"/>
      <c r="C1689" s="75"/>
      <c r="D1689" s="75"/>
      <c r="E1689" s="75"/>
      <c r="F1689" s="75"/>
    </row>
    <row r="1690" spans="2:6">
      <c r="B1690" s="75"/>
      <c r="C1690" s="75"/>
      <c r="D1690" s="75"/>
      <c r="E1690" s="75"/>
      <c r="F1690" s="75"/>
    </row>
    <row r="1691" spans="2:6">
      <c r="B1691" s="75"/>
      <c r="C1691" s="75"/>
      <c r="D1691" s="75"/>
      <c r="E1691" s="75"/>
      <c r="F1691" s="75"/>
    </row>
    <row r="1692" spans="2:6">
      <c r="B1692" s="75"/>
      <c r="C1692" s="75"/>
      <c r="D1692" s="75"/>
      <c r="E1692" s="75"/>
      <c r="F1692" s="75"/>
    </row>
    <row r="1693" spans="2:6">
      <c r="B1693" s="75"/>
      <c r="C1693" s="75"/>
      <c r="D1693" s="75"/>
      <c r="E1693" s="75"/>
      <c r="F1693" s="75"/>
    </row>
    <row r="1694" spans="2:6">
      <c r="B1694" s="75"/>
      <c r="C1694" s="75"/>
      <c r="D1694" s="75"/>
      <c r="E1694" s="75"/>
      <c r="F1694" s="75"/>
    </row>
    <row r="1695" spans="2:6">
      <c r="B1695" s="75"/>
      <c r="C1695" s="75"/>
      <c r="D1695" s="75"/>
      <c r="E1695" s="75"/>
      <c r="F1695" s="75"/>
    </row>
    <row r="1696" spans="2:6">
      <c r="B1696" s="75"/>
      <c r="C1696" s="75"/>
      <c r="D1696" s="75"/>
      <c r="E1696" s="75"/>
      <c r="F1696" s="75"/>
    </row>
    <row r="1697" spans="2:6">
      <c r="B1697" s="75"/>
      <c r="C1697" s="75"/>
      <c r="D1697" s="75"/>
      <c r="E1697" s="75"/>
      <c r="F1697" s="75"/>
    </row>
    <row r="1698" spans="2:6">
      <c r="B1698" s="75"/>
      <c r="C1698" s="75"/>
      <c r="D1698" s="75"/>
      <c r="E1698" s="75"/>
      <c r="F1698" s="75"/>
    </row>
    <row r="1699" spans="2:6">
      <c r="B1699" s="75"/>
      <c r="C1699" s="75"/>
      <c r="D1699" s="75"/>
      <c r="E1699" s="75"/>
      <c r="F1699" s="75"/>
    </row>
    <row r="1700" spans="2:6">
      <c r="B1700" s="75"/>
      <c r="C1700" s="75"/>
      <c r="D1700" s="75"/>
      <c r="E1700" s="75"/>
      <c r="F1700" s="75"/>
    </row>
    <row r="1701" spans="2:6">
      <c r="B1701" s="75"/>
      <c r="C1701" s="75"/>
      <c r="D1701" s="75"/>
      <c r="E1701" s="75"/>
      <c r="F1701" s="75"/>
    </row>
    <row r="1702" spans="2:6">
      <c r="B1702" s="75"/>
      <c r="C1702" s="75"/>
      <c r="D1702" s="75"/>
      <c r="E1702" s="75"/>
      <c r="F1702" s="75"/>
    </row>
    <row r="1703" spans="2:6">
      <c r="B1703" s="75"/>
      <c r="C1703" s="75"/>
      <c r="D1703" s="75"/>
      <c r="E1703" s="75"/>
      <c r="F1703" s="75"/>
    </row>
    <row r="1704" spans="2:6">
      <c r="B1704" s="75"/>
      <c r="C1704" s="75"/>
      <c r="D1704" s="75"/>
      <c r="E1704" s="75"/>
      <c r="F1704" s="75"/>
    </row>
    <row r="1705" spans="2:6">
      <c r="B1705" s="75"/>
      <c r="C1705" s="75"/>
      <c r="D1705" s="75"/>
      <c r="E1705" s="75"/>
      <c r="F1705" s="75"/>
    </row>
    <row r="1706" spans="2:6">
      <c r="B1706" s="75"/>
      <c r="C1706" s="75"/>
      <c r="D1706" s="75"/>
      <c r="E1706" s="75"/>
      <c r="F1706" s="75"/>
    </row>
    <row r="1707" spans="2:6">
      <c r="B1707" s="75"/>
      <c r="C1707" s="75"/>
      <c r="D1707" s="75"/>
      <c r="E1707" s="75"/>
      <c r="F1707" s="75"/>
    </row>
    <row r="1708" spans="2:6">
      <c r="B1708" s="75"/>
      <c r="C1708" s="75"/>
      <c r="D1708" s="75"/>
      <c r="E1708" s="75"/>
      <c r="F1708" s="75"/>
    </row>
    <row r="1709" spans="2:6">
      <c r="B1709" s="75"/>
      <c r="C1709" s="75"/>
      <c r="D1709" s="75"/>
      <c r="E1709" s="75"/>
      <c r="F1709" s="75"/>
    </row>
    <row r="1710" spans="2:6">
      <c r="B1710" s="75"/>
      <c r="C1710" s="75"/>
      <c r="D1710" s="75"/>
      <c r="E1710" s="75"/>
      <c r="F1710" s="75"/>
    </row>
    <row r="1711" spans="2:6">
      <c r="B1711" s="75"/>
      <c r="C1711" s="75"/>
      <c r="D1711" s="75"/>
      <c r="E1711" s="75"/>
      <c r="F1711" s="75"/>
    </row>
    <row r="1712" spans="2:6">
      <c r="B1712" s="75"/>
      <c r="C1712" s="75"/>
      <c r="D1712" s="75"/>
      <c r="E1712" s="75"/>
      <c r="F1712" s="75"/>
    </row>
    <row r="1713" spans="2:6">
      <c r="B1713" s="75"/>
      <c r="C1713" s="75"/>
      <c r="D1713" s="75"/>
      <c r="E1713" s="75"/>
      <c r="F1713" s="75"/>
    </row>
    <row r="1714" spans="2:6">
      <c r="B1714" s="75"/>
      <c r="C1714" s="75"/>
      <c r="D1714" s="75"/>
      <c r="E1714" s="75"/>
      <c r="F1714" s="75"/>
    </row>
    <row r="1715" spans="2:6">
      <c r="B1715" s="75"/>
      <c r="C1715" s="75"/>
      <c r="D1715" s="75"/>
      <c r="E1715" s="75"/>
      <c r="F1715" s="75"/>
    </row>
    <row r="1716" spans="2:6">
      <c r="B1716" s="75"/>
      <c r="C1716" s="75"/>
      <c r="D1716" s="75"/>
      <c r="E1716" s="75"/>
      <c r="F1716" s="75"/>
    </row>
    <row r="1717" spans="2:6">
      <c r="B1717" s="75"/>
      <c r="C1717" s="75"/>
      <c r="D1717" s="75"/>
      <c r="E1717" s="75"/>
      <c r="F1717" s="75"/>
    </row>
    <row r="1718" spans="2:6">
      <c r="B1718" s="75"/>
      <c r="C1718" s="75"/>
      <c r="D1718" s="75"/>
      <c r="E1718" s="75"/>
      <c r="F1718" s="75"/>
    </row>
    <row r="1719" spans="2:6">
      <c r="B1719" s="75"/>
      <c r="C1719" s="75"/>
      <c r="D1719" s="75"/>
      <c r="E1719" s="75"/>
      <c r="F1719" s="75"/>
    </row>
    <row r="1720" spans="2:6">
      <c r="B1720" s="75"/>
      <c r="C1720" s="75"/>
      <c r="D1720" s="75"/>
      <c r="E1720" s="75"/>
      <c r="F1720" s="75"/>
    </row>
    <row r="1721" spans="2:6">
      <c r="B1721" s="75"/>
      <c r="C1721" s="75"/>
      <c r="D1721" s="75"/>
      <c r="E1721" s="75"/>
      <c r="F1721" s="75"/>
    </row>
    <row r="1722" spans="2:6">
      <c r="B1722" s="75"/>
      <c r="C1722" s="75"/>
      <c r="D1722" s="75"/>
      <c r="E1722" s="75"/>
      <c r="F1722" s="75"/>
    </row>
    <row r="1723" spans="2:6">
      <c r="B1723" s="75"/>
      <c r="C1723" s="75"/>
      <c r="D1723" s="75"/>
      <c r="E1723" s="75"/>
      <c r="F1723" s="75"/>
    </row>
    <row r="1724" spans="2:6">
      <c r="B1724" s="75"/>
      <c r="C1724" s="75"/>
      <c r="D1724" s="75"/>
      <c r="E1724" s="75"/>
      <c r="F1724" s="75"/>
    </row>
    <row r="1725" spans="2:6">
      <c r="B1725" s="75"/>
      <c r="C1725" s="75"/>
      <c r="D1725" s="75"/>
      <c r="E1725" s="75"/>
      <c r="F1725" s="75"/>
    </row>
    <row r="1726" spans="2:6">
      <c r="B1726" s="75"/>
      <c r="C1726" s="75"/>
      <c r="D1726" s="75"/>
      <c r="E1726" s="75"/>
      <c r="F1726" s="75"/>
    </row>
    <row r="1727" spans="2:6">
      <c r="B1727" s="75"/>
      <c r="C1727" s="75"/>
      <c r="D1727" s="75"/>
      <c r="E1727" s="75"/>
      <c r="F1727" s="75"/>
    </row>
    <row r="1728" spans="2:6">
      <c r="B1728" s="75"/>
      <c r="C1728" s="75"/>
      <c r="D1728" s="75"/>
      <c r="E1728" s="75"/>
      <c r="F1728" s="75"/>
    </row>
    <row r="1729" spans="2:6">
      <c r="B1729" s="75"/>
      <c r="C1729" s="75"/>
      <c r="D1729" s="75"/>
      <c r="E1729" s="75"/>
      <c r="F1729" s="75"/>
    </row>
    <row r="1730" spans="2:6">
      <c r="B1730" s="75"/>
      <c r="C1730" s="75"/>
      <c r="D1730" s="75"/>
      <c r="E1730" s="75"/>
      <c r="F1730" s="75"/>
    </row>
    <row r="1731" spans="2:6">
      <c r="B1731" s="75"/>
      <c r="C1731" s="75"/>
      <c r="D1731" s="75"/>
      <c r="E1731" s="75"/>
      <c r="F1731" s="75"/>
    </row>
    <row r="1732" spans="2:6">
      <c r="B1732" s="75"/>
      <c r="C1732" s="75"/>
      <c r="D1732" s="75"/>
      <c r="E1732" s="75"/>
      <c r="F1732" s="75"/>
    </row>
    <row r="1733" spans="2:6">
      <c r="B1733" s="75"/>
      <c r="C1733" s="75"/>
      <c r="D1733" s="75"/>
      <c r="E1733" s="75"/>
      <c r="F1733" s="75"/>
    </row>
    <row r="1734" spans="2:6">
      <c r="B1734" s="75"/>
      <c r="C1734" s="75"/>
      <c r="D1734" s="75"/>
      <c r="E1734" s="75"/>
      <c r="F1734" s="75"/>
    </row>
    <row r="1735" spans="2:6">
      <c r="B1735" s="75"/>
      <c r="C1735" s="75"/>
      <c r="D1735" s="75"/>
      <c r="E1735" s="75"/>
      <c r="F1735" s="75"/>
    </row>
    <row r="1736" spans="2:6">
      <c r="B1736" s="75"/>
      <c r="C1736" s="75"/>
      <c r="D1736" s="75"/>
      <c r="E1736" s="75"/>
      <c r="F1736" s="75"/>
    </row>
    <row r="1737" spans="2:6">
      <c r="B1737" s="75"/>
      <c r="C1737" s="75"/>
      <c r="D1737" s="75"/>
      <c r="E1737" s="75"/>
      <c r="F1737" s="75"/>
    </row>
    <row r="1738" spans="2:6">
      <c r="B1738" s="75"/>
      <c r="C1738" s="75"/>
      <c r="D1738" s="75"/>
      <c r="E1738" s="75"/>
      <c r="F1738" s="75"/>
    </row>
    <row r="1739" spans="2:6">
      <c r="B1739" s="75"/>
      <c r="C1739" s="75"/>
      <c r="D1739" s="75"/>
      <c r="E1739" s="75"/>
      <c r="F1739" s="75"/>
    </row>
    <row r="1740" spans="2:6">
      <c r="B1740" s="75"/>
      <c r="C1740" s="75"/>
      <c r="D1740" s="75"/>
      <c r="E1740" s="75"/>
      <c r="F1740" s="75"/>
    </row>
    <row r="1741" spans="2:6">
      <c r="B1741" s="75"/>
      <c r="C1741" s="75"/>
      <c r="D1741" s="75"/>
      <c r="E1741" s="75"/>
      <c r="F1741" s="75"/>
    </row>
    <row r="1742" spans="2:6">
      <c r="B1742" s="75"/>
      <c r="C1742" s="75"/>
      <c r="D1742" s="75"/>
      <c r="E1742" s="75"/>
      <c r="F1742" s="75"/>
    </row>
    <row r="1743" spans="2:6">
      <c r="B1743" s="75"/>
      <c r="C1743" s="75"/>
      <c r="D1743" s="75"/>
      <c r="E1743" s="75"/>
      <c r="F1743" s="75"/>
    </row>
    <row r="1744" spans="2:6">
      <c r="B1744" s="75"/>
      <c r="C1744" s="75"/>
      <c r="D1744" s="75"/>
      <c r="E1744" s="75"/>
      <c r="F1744" s="75"/>
    </row>
    <row r="1745" spans="2:6">
      <c r="B1745" s="75"/>
      <c r="C1745" s="75"/>
      <c r="D1745" s="75"/>
      <c r="E1745" s="75"/>
      <c r="F1745" s="75"/>
    </row>
    <row r="1746" spans="2:6">
      <c r="B1746" s="75"/>
      <c r="C1746" s="75"/>
      <c r="D1746" s="75"/>
      <c r="E1746" s="75"/>
      <c r="F1746" s="75"/>
    </row>
    <row r="1747" spans="2:6">
      <c r="B1747" s="75"/>
      <c r="C1747" s="75"/>
      <c r="D1747" s="75"/>
      <c r="E1747" s="75"/>
      <c r="F1747" s="75"/>
    </row>
    <row r="1748" spans="2:6">
      <c r="B1748" s="75"/>
      <c r="C1748" s="75"/>
      <c r="D1748" s="75"/>
      <c r="E1748" s="75"/>
      <c r="F1748" s="75"/>
    </row>
    <row r="1749" spans="2:6">
      <c r="B1749" s="75"/>
      <c r="C1749" s="75"/>
      <c r="D1749" s="75"/>
      <c r="E1749" s="75"/>
      <c r="F1749" s="75"/>
    </row>
    <row r="1750" spans="2:6">
      <c r="B1750" s="75"/>
      <c r="C1750" s="75"/>
      <c r="D1750" s="75"/>
      <c r="E1750" s="75"/>
      <c r="F1750" s="75"/>
    </row>
    <row r="1751" spans="2:6">
      <c r="B1751" s="75"/>
      <c r="C1751" s="75"/>
      <c r="D1751" s="75"/>
      <c r="E1751" s="75"/>
      <c r="F1751" s="75"/>
    </row>
    <row r="1752" spans="2:6">
      <c r="B1752" s="75"/>
      <c r="C1752" s="75"/>
      <c r="D1752" s="75"/>
      <c r="E1752" s="75"/>
      <c r="F1752" s="75"/>
    </row>
    <row r="1753" spans="2:6">
      <c r="B1753" s="75"/>
      <c r="C1753" s="75"/>
      <c r="D1753" s="75"/>
      <c r="E1753" s="75"/>
      <c r="F1753" s="75"/>
    </row>
    <row r="1754" spans="2:6">
      <c r="B1754" s="75"/>
      <c r="C1754" s="75"/>
      <c r="D1754" s="75"/>
      <c r="E1754" s="75"/>
      <c r="F1754" s="75"/>
    </row>
    <row r="1755" spans="2:6">
      <c r="B1755" s="75"/>
      <c r="C1755" s="75"/>
      <c r="D1755" s="75"/>
      <c r="E1755" s="75"/>
      <c r="F1755" s="75"/>
    </row>
    <row r="1756" spans="2:6">
      <c r="B1756" s="75"/>
      <c r="C1756" s="75"/>
      <c r="D1756" s="75"/>
      <c r="E1756" s="75"/>
      <c r="F1756" s="75"/>
    </row>
    <row r="1757" spans="2:6">
      <c r="B1757" s="75"/>
      <c r="C1757" s="75"/>
      <c r="D1757" s="75"/>
      <c r="E1757" s="75"/>
      <c r="F1757" s="75"/>
    </row>
    <row r="1758" spans="2:6">
      <c r="B1758" s="75"/>
      <c r="C1758" s="75"/>
      <c r="D1758" s="75"/>
      <c r="E1758" s="75"/>
      <c r="F1758" s="75"/>
    </row>
    <row r="1759" spans="2:6">
      <c r="B1759" s="75"/>
      <c r="C1759" s="75"/>
      <c r="D1759" s="75"/>
      <c r="E1759" s="75"/>
      <c r="F1759" s="75"/>
    </row>
    <row r="1760" spans="2:6">
      <c r="B1760" s="75"/>
      <c r="C1760" s="75"/>
      <c r="D1760" s="75"/>
      <c r="E1760" s="75"/>
      <c r="F1760" s="75"/>
    </row>
    <row r="1761" spans="2:6">
      <c r="B1761" s="75"/>
      <c r="C1761" s="75"/>
      <c r="D1761" s="75"/>
      <c r="E1761" s="75"/>
      <c r="F1761" s="75"/>
    </row>
    <row r="1762" spans="2:6">
      <c r="B1762" s="75"/>
      <c r="C1762" s="75"/>
      <c r="D1762" s="75"/>
      <c r="E1762" s="75"/>
      <c r="F1762" s="75"/>
    </row>
    <row r="1763" spans="2:6">
      <c r="B1763" s="75"/>
      <c r="C1763" s="75"/>
      <c r="D1763" s="75"/>
      <c r="E1763" s="75"/>
      <c r="F1763" s="75"/>
    </row>
    <row r="1764" spans="2:6">
      <c r="B1764" s="75"/>
      <c r="C1764" s="75"/>
      <c r="D1764" s="75"/>
      <c r="E1764" s="75"/>
      <c r="F1764" s="75"/>
    </row>
    <row r="1765" spans="2:6">
      <c r="B1765" s="75"/>
      <c r="C1765" s="75"/>
      <c r="D1765" s="75"/>
      <c r="E1765" s="75"/>
      <c r="F1765" s="75"/>
    </row>
    <row r="1766" spans="2:6">
      <c r="B1766" s="75"/>
      <c r="C1766" s="75"/>
      <c r="D1766" s="75"/>
      <c r="E1766" s="75"/>
      <c r="F1766" s="75"/>
    </row>
    <row r="1767" spans="2:6">
      <c r="B1767" s="75"/>
      <c r="C1767" s="75"/>
      <c r="D1767" s="75"/>
      <c r="E1767" s="75"/>
      <c r="F1767" s="75"/>
    </row>
    <row r="1768" spans="2:6">
      <c r="B1768" s="75"/>
      <c r="C1768" s="75"/>
      <c r="D1768" s="75"/>
      <c r="E1768" s="75"/>
      <c r="F1768" s="75"/>
    </row>
    <row r="1769" spans="2:6">
      <c r="B1769" s="75"/>
      <c r="C1769" s="75"/>
      <c r="D1769" s="75"/>
      <c r="E1769" s="75"/>
      <c r="F1769" s="75"/>
    </row>
    <row r="1770" spans="2:6">
      <c r="B1770" s="75"/>
      <c r="C1770" s="75"/>
      <c r="D1770" s="75"/>
      <c r="E1770" s="75"/>
      <c r="F1770" s="75"/>
    </row>
    <row r="1771" spans="2:6">
      <c r="B1771" s="75"/>
      <c r="C1771" s="75"/>
      <c r="D1771" s="75"/>
      <c r="E1771" s="75"/>
      <c r="F1771" s="75"/>
    </row>
    <row r="1772" spans="2:6">
      <c r="B1772" s="75"/>
      <c r="C1772" s="75"/>
      <c r="D1772" s="75"/>
      <c r="E1772" s="75"/>
      <c r="F1772" s="75"/>
    </row>
    <row r="1773" spans="2:6">
      <c r="B1773" s="75"/>
      <c r="C1773" s="75"/>
      <c r="D1773" s="75"/>
      <c r="E1773" s="75"/>
      <c r="F1773" s="75"/>
    </row>
    <row r="1774" spans="2:6">
      <c r="B1774" s="75"/>
      <c r="C1774" s="75"/>
      <c r="D1774" s="75"/>
      <c r="E1774" s="75"/>
      <c r="F1774" s="75"/>
    </row>
    <row r="1775" spans="2:6">
      <c r="B1775" s="75"/>
      <c r="C1775" s="75"/>
      <c r="D1775" s="75"/>
      <c r="E1775" s="75"/>
      <c r="F1775" s="75"/>
    </row>
    <row r="1776" spans="2:6">
      <c r="B1776" s="75"/>
      <c r="C1776" s="75"/>
      <c r="D1776" s="75"/>
      <c r="E1776" s="75"/>
      <c r="F1776" s="75"/>
    </row>
    <row r="1777" spans="2:6">
      <c r="B1777" s="75"/>
      <c r="C1777" s="75"/>
      <c r="D1777" s="75"/>
      <c r="E1777" s="75"/>
      <c r="F1777" s="75"/>
    </row>
    <row r="1778" spans="2:6">
      <c r="B1778" s="75"/>
      <c r="C1778" s="75"/>
      <c r="D1778" s="75"/>
      <c r="E1778" s="75"/>
      <c r="F1778" s="75"/>
    </row>
    <row r="1779" spans="2:6">
      <c r="B1779" s="75"/>
      <c r="C1779" s="75"/>
      <c r="D1779" s="75"/>
      <c r="E1779" s="75"/>
      <c r="F1779" s="75"/>
    </row>
    <row r="1780" spans="2:6">
      <c r="B1780" s="75"/>
      <c r="C1780" s="75"/>
      <c r="D1780" s="75"/>
      <c r="E1780" s="75"/>
      <c r="F1780" s="75"/>
    </row>
    <row r="1781" spans="2:6">
      <c r="B1781" s="75"/>
      <c r="C1781" s="75"/>
      <c r="D1781" s="75"/>
      <c r="E1781" s="75"/>
      <c r="F1781" s="75"/>
    </row>
    <row r="1782" spans="2:6">
      <c r="B1782" s="75"/>
      <c r="C1782" s="75"/>
      <c r="D1782" s="75"/>
      <c r="E1782" s="75"/>
      <c r="F1782" s="75"/>
    </row>
    <row r="1783" spans="2:6">
      <c r="B1783" s="75"/>
      <c r="C1783" s="75"/>
      <c r="D1783" s="75"/>
      <c r="E1783" s="75"/>
      <c r="F1783" s="75"/>
    </row>
    <row r="1784" spans="2:6">
      <c r="B1784" s="75"/>
      <c r="C1784" s="75"/>
      <c r="D1784" s="75"/>
      <c r="E1784" s="75"/>
      <c r="F1784" s="75"/>
    </row>
    <row r="1785" spans="2:6">
      <c r="B1785" s="75"/>
      <c r="C1785" s="75"/>
      <c r="D1785" s="75"/>
      <c r="E1785" s="75"/>
      <c r="F1785" s="75"/>
    </row>
    <row r="1786" spans="2:6">
      <c r="B1786" s="75"/>
      <c r="C1786" s="75"/>
      <c r="D1786" s="75"/>
      <c r="E1786" s="75"/>
      <c r="F1786" s="75"/>
    </row>
    <row r="1787" spans="2:6">
      <c r="B1787" s="75"/>
      <c r="C1787" s="75"/>
      <c r="D1787" s="75"/>
      <c r="E1787" s="75"/>
      <c r="F1787" s="75"/>
    </row>
    <row r="1788" spans="2:6">
      <c r="B1788" s="75"/>
      <c r="C1788" s="75"/>
      <c r="D1788" s="75"/>
      <c r="E1788" s="75"/>
      <c r="F1788" s="75"/>
    </row>
    <row r="1789" spans="2:6">
      <c r="B1789" s="75"/>
      <c r="C1789" s="75"/>
      <c r="D1789" s="75"/>
      <c r="E1789" s="75"/>
      <c r="F1789" s="75"/>
    </row>
    <row r="1790" spans="2:6">
      <c r="B1790" s="75"/>
      <c r="C1790" s="75"/>
      <c r="D1790" s="75"/>
      <c r="E1790" s="75"/>
      <c r="F1790" s="75"/>
    </row>
    <row r="1791" spans="2:6">
      <c r="B1791" s="75"/>
      <c r="C1791" s="75"/>
      <c r="D1791" s="75"/>
      <c r="E1791" s="75"/>
      <c r="F1791" s="75"/>
    </row>
    <row r="1792" spans="2:6">
      <c r="B1792" s="75"/>
      <c r="C1792" s="75"/>
      <c r="D1792" s="75"/>
      <c r="E1792" s="75"/>
      <c r="F1792" s="75"/>
    </row>
    <row r="1793" spans="2:6">
      <c r="B1793" s="75"/>
      <c r="C1793" s="75"/>
      <c r="D1793" s="75"/>
      <c r="E1793" s="75"/>
      <c r="F1793" s="75"/>
    </row>
    <row r="1794" spans="2:6">
      <c r="B1794" s="75"/>
      <c r="C1794" s="75"/>
      <c r="D1794" s="75"/>
      <c r="E1794" s="75"/>
      <c r="F1794" s="75"/>
    </row>
    <row r="1795" spans="2:6">
      <c r="B1795" s="75"/>
      <c r="C1795" s="75"/>
      <c r="D1795" s="75"/>
      <c r="E1795" s="75"/>
      <c r="F1795" s="75"/>
    </row>
    <row r="1796" spans="2:6">
      <c r="B1796" s="75"/>
      <c r="C1796" s="75"/>
      <c r="D1796" s="75"/>
      <c r="E1796" s="75"/>
      <c r="F1796" s="75"/>
    </row>
    <row r="1797" spans="2:6">
      <c r="B1797" s="75"/>
      <c r="C1797" s="75"/>
      <c r="D1797" s="75"/>
      <c r="E1797" s="75"/>
      <c r="F1797" s="75"/>
    </row>
    <row r="1798" spans="2:6">
      <c r="B1798" s="75"/>
      <c r="C1798" s="75"/>
      <c r="D1798" s="75"/>
      <c r="E1798" s="75"/>
      <c r="F1798" s="75"/>
    </row>
    <row r="1799" spans="2:6">
      <c r="B1799" s="75"/>
      <c r="C1799" s="75"/>
      <c r="D1799" s="75"/>
      <c r="E1799" s="75"/>
      <c r="F1799" s="75"/>
    </row>
    <row r="1800" spans="2:6">
      <c r="B1800" s="75"/>
      <c r="C1800" s="75"/>
      <c r="D1800" s="75"/>
      <c r="E1800" s="75"/>
      <c r="F1800" s="75"/>
    </row>
    <row r="1801" spans="2:6">
      <c r="B1801" s="75"/>
      <c r="C1801" s="75"/>
      <c r="D1801" s="75"/>
      <c r="E1801" s="75"/>
      <c r="F1801" s="75"/>
    </row>
    <row r="1802" spans="2:6">
      <c r="B1802" s="75"/>
      <c r="C1802" s="75"/>
      <c r="D1802" s="75"/>
      <c r="E1802" s="75"/>
      <c r="F1802" s="75"/>
    </row>
    <row r="1803" spans="2:6">
      <c r="B1803" s="75"/>
      <c r="C1803" s="75"/>
      <c r="D1803" s="75"/>
      <c r="E1803" s="75"/>
      <c r="F1803" s="75"/>
    </row>
    <row r="1804" spans="2:6">
      <c r="B1804" s="75"/>
      <c r="C1804" s="75"/>
      <c r="D1804" s="75"/>
      <c r="E1804" s="75"/>
      <c r="F1804" s="75"/>
    </row>
    <row r="1805" spans="2:6">
      <c r="B1805" s="75"/>
      <c r="C1805" s="75"/>
      <c r="D1805" s="75"/>
      <c r="E1805" s="75"/>
      <c r="F1805" s="75"/>
    </row>
    <row r="1806" spans="2:6">
      <c r="B1806" s="75"/>
      <c r="C1806" s="75"/>
      <c r="D1806" s="75"/>
      <c r="E1806" s="75"/>
      <c r="F1806" s="75"/>
    </row>
    <row r="1807" spans="2:6">
      <c r="B1807" s="75"/>
      <c r="C1807" s="75"/>
      <c r="D1807" s="75"/>
      <c r="E1807" s="75"/>
      <c r="F1807" s="75"/>
    </row>
    <row r="1808" spans="2:6">
      <c r="B1808" s="75"/>
      <c r="C1808" s="75"/>
      <c r="D1808" s="75"/>
      <c r="E1808" s="75"/>
      <c r="F1808" s="75"/>
    </row>
    <row r="1809" spans="2:6">
      <c r="B1809" s="75"/>
      <c r="C1809" s="75"/>
      <c r="D1809" s="75"/>
      <c r="E1809" s="75"/>
      <c r="F1809" s="75"/>
    </row>
    <row r="1810" spans="2:6">
      <c r="B1810" s="75"/>
      <c r="C1810" s="75"/>
      <c r="D1810" s="75"/>
      <c r="E1810" s="75"/>
      <c r="F1810" s="75"/>
    </row>
    <row r="1811" spans="2:6">
      <c r="B1811" s="75"/>
      <c r="C1811" s="75"/>
      <c r="D1811" s="75"/>
      <c r="E1811" s="75"/>
      <c r="F1811" s="75"/>
    </row>
    <row r="1812" spans="2:6">
      <c r="B1812" s="75"/>
      <c r="C1812" s="75"/>
      <c r="D1812" s="75"/>
      <c r="E1812" s="75"/>
      <c r="F1812" s="75"/>
    </row>
    <row r="1813" spans="2:6">
      <c r="B1813" s="75"/>
      <c r="C1813" s="75"/>
      <c r="D1813" s="75"/>
      <c r="E1813" s="75"/>
      <c r="F1813" s="75"/>
    </row>
    <row r="1814" spans="2:6">
      <c r="B1814" s="75"/>
      <c r="C1814" s="75"/>
      <c r="D1814" s="75"/>
      <c r="E1814" s="75"/>
      <c r="F1814" s="75"/>
    </row>
    <row r="1815" spans="2:6">
      <c r="B1815" s="75"/>
      <c r="C1815" s="75"/>
      <c r="D1815" s="75"/>
      <c r="E1815" s="75"/>
      <c r="F1815" s="75"/>
    </row>
    <row r="1816" spans="2:6">
      <c r="B1816" s="75"/>
      <c r="C1816" s="75"/>
      <c r="D1816" s="75"/>
      <c r="E1816" s="75"/>
      <c r="F1816" s="75"/>
    </row>
    <row r="1817" spans="2:6">
      <c r="B1817" s="75"/>
      <c r="C1817" s="75"/>
      <c r="D1817" s="75"/>
      <c r="E1817" s="75"/>
      <c r="F1817" s="75"/>
    </row>
    <row r="1818" spans="2:6">
      <c r="B1818" s="75"/>
      <c r="C1818" s="75"/>
      <c r="D1818" s="75"/>
      <c r="E1818" s="75"/>
      <c r="F1818" s="75"/>
    </row>
    <row r="1819" spans="2:6">
      <c r="B1819" s="75"/>
      <c r="C1819" s="75"/>
      <c r="D1819" s="75"/>
      <c r="E1819" s="75"/>
      <c r="F1819" s="75"/>
    </row>
    <row r="1820" spans="2:6">
      <c r="B1820" s="75"/>
      <c r="C1820" s="75"/>
      <c r="D1820" s="75"/>
      <c r="E1820" s="75"/>
      <c r="F1820" s="75"/>
    </row>
    <row r="1821" spans="2:6">
      <c r="B1821" s="75"/>
      <c r="C1821" s="75"/>
      <c r="D1821" s="75"/>
      <c r="E1821" s="75"/>
      <c r="F1821" s="75"/>
    </row>
    <row r="1822" spans="2:6">
      <c r="B1822" s="75"/>
      <c r="C1822" s="75"/>
      <c r="D1822" s="75"/>
      <c r="E1822" s="75"/>
      <c r="F1822" s="75"/>
    </row>
    <row r="1823" spans="2:6">
      <c r="B1823" s="75"/>
      <c r="C1823" s="75"/>
      <c r="D1823" s="75"/>
      <c r="E1823" s="75"/>
      <c r="F1823" s="75"/>
    </row>
    <row r="1824" spans="2:6">
      <c r="B1824" s="75"/>
      <c r="C1824" s="75"/>
      <c r="D1824" s="75"/>
      <c r="E1824" s="75"/>
      <c r="F1824" s="75"/>
    </row>
    <row r="1825" spans="2:6">
      <c r="B1825" s="75"/>
      <c r="C1825" s="75"/>
      <c r="D1825" s="75"/>
      <c r="E1825" s="75"/>
      <c r="F1825" s="75"/>
    </row>
    <row r="1826" spans="2:6">
      <c r="B1826" s="75"/>
      <c r="C1826" s="75"/>
      <c r="D1826" s="75"/>
      <c r="E1826" s="75"/>
      <c r="F1826" s="75"/>
    </row>
    <row r="1827" spans="2:6">
      <c r="B1827" s="75"/>
      <c r="C1827" s="75"/>
      <c r="D1827" s="75"/>
      <c r="E1827" s="75"/>
      <c r="F1827" s="75"/>
    </row>
    <row r="1828" spans="2:6">
      <c r="B1828" s="75"/>
      <c r="C1828" s="75"/>
      <c r="D1828" s="75"/>
      <c r="E1828" s="75"/>
      <c r="F1828" s="75"/>
    </row>
    <row r="1829" spans="2:6">
      <c r="B1829" s="75"/>
      <c r="C1829" s="75"/>
      <c r="D1829" s="75"/>
      <c r="E1829" s="75"/>
      <c r="F1829" s="75"/>
    </row>
    <row r="1830" spans="2:6">
      <c r="B1830" s="75"/>
      <c r="C1830" s="75"/>
      <c r="D1830" s="75"/>
      <c r="E1830" s="75"/>
      <c r="F1830" s="75"/>
    </row>
    <row r="1831" spans="2:6">
      <c r="B1831" s="75"/>
      <c r="C1831" s="75"/>
      <c r="D1831" s="75"/>
      <c r="E1831" s="75"/>
      <c r="F1831" s="75"/>
    </row>
    <row r="1832" spans="2:6">
      <c r="B1832" s="75"/>
      <c r="C1832" s="75"/>
      <c r="D1832" s="75"/>
      <c r="E1832" s="75"/>
      <c r="F1832" s="75"/>
    </row>
    <row r="1833" spans="2:6">
      <c r="B1833" s="75"/>
      <c r="C1833" s="75"/>
      <c r="D1833" s="75"/>
      <c r="E1833" s="75"/>
      <c r="F1833" s="75"/>
    </row>
    <row r="1834" spans="2:6">
      <c r="B1834" s="75"/>
      <c r="C1834" s="75"/>
      <c r="D1834" s="75"/>
      <c r="E1834" s="75"/>
      <c r="F1834" s="75"/>
    </row>
    <row r="1835" spans="2:6">
      <c r="B1835" s="75"/>
      <c r="C1835" s="75"/>
      <c r="D1835" s="75"/>
      <c r="E1835" s="75"/>
      <c r="F1835" s="75"/>
    </row>
    <row r="1836" spans="2:6">
      <c r="B1836" s="75"/>
      <c r="C1836" s="75"/>
      <c r="D1836" s="75"/>
      <c r="E1836" s="75"/>
      <c r="F1836" s="75"/>
    </row>
    <row r="1837" spans="2:6">
      <c r="B1837" s="75"/>
      <c r="C1837" s="75"/>
      <c r="D1837" s="75"/>
      <c r="E1837" s="75"/>
      <c r="F1837" s="75"/>
    </row>
    <row r="1838" spans="2:6">
      <c r="B1838" s="75"/>
      <c r="C1838" s="75"/>
      <c r="D1838" s="75"/>
      <c r="E1838" s="75"/>
      <c r="F1838" s="75"/>
    </row>
    <row r="1839" spans="2:6">
      <c r="B1839" s="75"/>
      <c r="C1839" s="75"/>
      <c r="D1839" s="75"/>
      <c r="E1839" s="75"/>
      <c r="F1839" s="75"/>
    </row>
    <row r="1840" spans="2:6">
      <c r="B1840" s="75"/>
      <c r="C1840" s="75"/>
      <c r="D1840" s="75"/>
      <c r="E1840" s="75"/>
      <c r="F1840" s="75"/>
    </row>
    <row r="1841" spans="2:6">
      <c r="B1841" s="75"/>
      <c r="C1841" s="75"/>
      <c r="D1841" s="75"/>
      <c r="E1841" s="75"/>
      <c r="F1841" s="75"/>
    </row>
    <row r="1842" spans="2:6">
      <c r="B1842" s="75"/>
      <c r="C1842" s="75"/>
      <c r="D1842" s="75"/>
      <c r="E1842" s="75"/>
      <c r="F1842" s="75"/>
    </row>
    <row r="1843" spans="2:6">
      <c r="B1843" s="75"/>
      <c r="C1843" s="75"/>
      <c r="D1843" s="75"/>
      <c r="E1843" s="75"/>
      <c r="F1843" s="75"/>
    </row>
    <row r="1844" spans="2:6">
      <c r="B1844" s="75"/>
      <c r="C1844" s="75"/>
      <c r="D1844" s="75"/>
      <c r="E1844" s="75"/>
      <c r="F1844" s="75"/>
    </row>
    <row r="1845" spans="2:6">
      <c r="B1845" s="75"/>
      <c r="C1845" s="75"/>
      <c r="D1845" s="75"/>
      <c r="E1845" s="75"/>
      <c r="F1845" s="75"/>
    </row>
    <row r="1846" spans="2:6">
      <c r="B1846" s="75"/>
      <c r="C1846" s="75"/>
      <c r="D1846" s="75"/>
      <c r="E1846" s="75"/>
      <c r="F1846" s="75"/>
    </row>
    <row r="1847" spans="2:6">
      <c r="B1847" s="75"/>
      <c r="C1847" s="75"/>
      <c r="D1847" s="75"/>
      <c r="E1847" s="75"/>
      <c r="F1847" s="75"/>
    </row>
    <row r="1848" spans="2:6">
      <c r="B1848" s="75"/>
      <c r="C1848" s="75"/>
      <c r="D1848" s="75"/>
      <c r="E1848" s="75"/>
      <c r="F1848" s="75"/>
    </row>
    <row r="1849" spans="2:6">
      <c r="B1849" s="75"/>
      <c r="C1849" s="75"/>
      <c r="D1849" s="75"/>
      <c r="E1849" s="75"/>
      <c r="F1849" s="75"/>
    </row>
    <row r="1850" spans="2:6">
      <c r="B1850" s="75"/>
      <c r="C1850" s="75"/>
      <c r="D1850" s="75"/>
      <c r="E1850" s="75"/>
      <c r="F1850" s="75"/>
    </row>
    <row r="1851" spans="2:6">
      <c r="B1851" s="75"/>
      <c r="C1851" s="75"/>
      <c r="D1851" s="75"/>
      <c r="E1851" s="75"/>
      <c r="F1851" s="75"/>
    </row>
    <row r="1852" spans="2:6">
      <c r="B1852" s="75"/>
      <c r="C1852" s="75"/>
      <c r="D1852" s="75"/>
      <c r="E1852" s="75"/>
      <c r="F1852" s="75"/>
    </row>
    <row r="1853" spans="2:6">
      <c r="B1853" s="75"/>
      <c r="C1853" s="75"/>
      <c r="D1853" s="75"/>
      <c r="E1853" s="75"/>
      <c r="F1853" s="75"/>
    </row>
    <row r="1854" spans="2:6">
      <c r="B1854" s="75"/>
      <c r="C1854" s="75"/>
      <c r="D1854" s="75"/>
      <c r="E1854" s="75"/>
      <c r="F1854" s="75"/>
    </row>
    <row r="1855" spans="2:6">
      <c r="B1855" s="75"/>
      <c r="C1855" s="75"/>
      <c r="D1855" s="75"/>
      <c r="E1855" s="75"/>
      <c r="F1855" s="75"/>
    </row>
    <row r="1856" spans="2:6">
      <c r="B1856" s="75"/>
      <c r="C1856" s="75"/>
      <c r="D1856" s="75"/>
      <c r="E1856" s="75"/>
      <c r="F1856" s="75"/>
    </row>
    <row r="1857" spans="2:6">
      <c r="B1857" s="75"/>
      <c r="C1857" s="75"/>
      <c r="D1857" s="75"/>
      <c r="E1857" s="75"/>
      <c r="F1857" s="75"/>
    </row>
    <row r="1858" spans="2:6">
      <c r="B1858" s="75"/>
      <c r="C1858" s="75"/>
      <c r="D1858" s="75"/>
      <c r="E1858" s="75"/>
      <c r="F1858" s="75"/>
    </row>
    <row r="1859" spans="2:6">
      <c r="B1859" s="75"/>
      <c r="C1859" s="75"/>
      <c r="D1859" s="75"/>
      <c r="E1859" s="75"/>
      <c r="F1859" s="75"/>
    </row>
    <row r="1860" spans="2:6">
      <c r="B1860" s="75"/>
      <c r="C1860" s="75"/>
      <c r="D1860" s="75"/>
      <c r="E1860" s="75"/>
      <c r="F1860" s="75"/>
    </row>
    <row r="1861" spans="2:6">
      <c r="B1861" s="75"/>
      <c r="C1861" s="75"/>
      <c r="D1861" s="75"/>
      <c r="E1861" s="75"/>
      <c r="F1861" s="75"/>
    </row>
    <row r="1862" spans="2:6">
      <c r="B1862" s="75"/>
      <c r="C1862" s="75"/>
      <c r="D1862" s="75"/>
      <c r="E1862" s="75"/>
      <c r="F1862" s="75"/>
    </row>
    <row r="1863" spans="2:6">
      <c r="B1863" s="75"/>
      <c r="C1863" s="75"/>
      <c r="D1863" s="75"/>
      <c r="E1863" s="75"/>
      <c r="F1863" s="75"/>
    </row>
    <row r="1864" spans="2:6">
      <c r="B1864" s="75"/>
      <c r="C1864" s="75"/>
      <c r="D1864" s="75"/>
      <c r="E1864" s="75"/>
      <c r="F1864" s="75"/>
    </row>
    <row r="1865" spans="2:6">
      <c r="B1865" s="75"/>
      <c r="C1865" s="75"/>
      <c r="D1865" s="75"/>
      <c r="E1865" s="75"/>
      <c r="F1865" s="75"/>
    </row>
    <row r="1866" spans="2:6">
      <c r="B1866" s="75"/>
      <c r="C1866" s="75"/>
      <c r="D1866" s="75"/>
      <c r="E1866" s="75"/>
      <c r="F1866" s="75"/>
    </row>
    <row r="1867" spans="2:6">
      <c r="B1867" s="75"/>
      <c r="C1867" s="75"/>
      <c r="D1867" s="75"/>
      <c r="E1867" s="75"/>
      <c r="F1867" s="75"/>
    </row>
    <row r="1868" spans="2:6">
      <c r="B1868" s="75"/>
      <c r="C1868" s="75"/>
      <c r="D1868" s="75"/>
      <c r="E1868" s="75"/>
      <c r="F1868" s="75"/>
    </row>
    <row r="1869" spans="2:6">
      <c r="B1869" s="75"/>
      <c r="C1869" s="75"/>
      <c r="D1869" s="75"/>
      <c r="E1869" s="75"/>
      <c r="F1869" s="75"/>
    </row>
    <row r="1870" spans="2:6">
      <c r="B1870" s="75"/>
      <c r="C1870" s="75"/>
      <c r="D1870" s="75"/>
      <c r="E1870" s="75"/>
      <c r="F1870" s="75"/>
    </row>
    <row r="1871" spans="2:6">
      <c r="B1871" s="75"/>
      <c r="C1871" s="75"/>
      <c r="D1871" s="75"/>
      <c r="E1871" s="75"/>
      <c r="F1871" s="75"/>
    </row>
    <row r="1872" spans="2:6">
      <c r="B1872" s="75"/>
      <c r="C1872" s="75"/>
      <c r="D1872" s="75"/>
      <c r="E1872" s="75"/>
      <c r="F1872" s="75"/>
    </row>
    <row r="1873" spans="2:6">
      <c r="B1873" s="75"/>
      <c r="C1873" s="75"/>
      <c r="D1873" s="75"/>
      <c r="E1873" s="75"/>
      <c r="F1873" s="75"/>
    </row>
    <row r="1874" spans="2:6">
      <c r="B1874" s="75"/>
      <c r="C1874" s="75"/>
      <c r="D1874" s="75"/>
      <c r="E1874" s="75"/>
      <c r="F1874" s="75"/>
    </row>
    <row r="1875" spans="2:6">
      <c r="B1875" s="75"/>
      <c r="C1875" s="75"/>
      <c r="D1875" s="75"/>
      <c r="E1875" s="75"/>
      <c r="F1875" s="75"/>
    </row>
    <row r="1876" spans="2:6">
      <c r="B1876" s="75"/>
      <c r="C1876" s="75"/>
      <c r="D1876" s="75"/>
      <c r="E1876" s="75"/>
      <c r="F1876" s="75"/>
    </row>
    <row r="1877" spans="2:6">
      <c r="B1877" s="75"/>
      <c r="C1877" s="75"/>
      <c r="D1877" s="75"/>
      <c r="E1877" s="75"/>
      <c r="F1877" s="75"/>
    </row>
    <row r="1878" spans="2:6">
      <c r="B1878" s="75"/>
      <c r="C1878" s="75"/>
      <c r="D1878" s="75"/>
      <c r="E1878" s="75"/>
      <c r="F1878" s="75"/>
    </row>
    <row r="1879" spans="2:6">
      <c r="B1879" s="75"/>
      <c r="C1879" s="75"/>
      <c r="D1879" s="75"/>
      <c r="E1879" s="75"/>
      <c r="F1879" s="75"/>
    </row>
    <row r="1880" spans="2:6">
      <c r="B1880" s="75"/>
      <c r="C1880" s="75"/>
      <c r="D1880" s="75"/>
      <c r="E1880" s="75"/>
      <c r="F1880" s="75"/>
    </row>
    <row r="1881" spans="2:6">
      <c r="B1881" s="75"/>
      <c r="C1881" s="75"/>
      <c r="D1881" s="75"/>
      <c r="E1881" s="75"/>
      <c r="F1881" s="75"/>
    </row>
    <row r="1882" spans="2:6">
      <c r="B1882" s="75"/>
      <c r="C1882" s="75"/>
      <c r="D1882" s="75"/>
      <c r="E1882" s="75"/>
      <c r="F1882" s="75"/>
    </row>
    <row r="1883" spans="2:6">
      <c r="B1883" s="75"/>
      <c r="C1883" s="75"/>
      <c r="D1883" s="75"/>
      <c r="E1883" s="75"/>
      <c r="F1883" s="75"/>
    </row>
    <row r="1884" spans="2:6">
      <c r="B1884" s="75"/>
      <c r="C1884" s="75"/>
      <c r="D1884" s="75"/>
      <c r="E1884" s="75"/>
      <c r="F1884" s="75"/>
    </row>
    <row r="1885" spans="2:6">
      <c r="B1885" s="75"/>
      <c r="C1885" s="75"/>
      <c r="D1885" s="75"/>
      <c r="E1885" s="75"/>
      <c r="F1885" s="75"/>
    </row>
    <row r="1886" spans="2:6">
      <c r="B1886" s="75"/>
      <c r="C1886" s="75"/>
      <c r="D1886" s="75"/>
      <c r="E1886" s="75"/>
      <c r="F1886" s="75"/>
    </row>
    <row r="1887" spans="2:6">
      <c r="B1887" s="75"/>
      <c r="C1887" s="75"/>
      <c r="D1887" s="75"/>
      <c r="E1887" s="75"/>
      <c r="F1887" s="75"/>
    </row>
    <row r="1888" spans="2:6">
      <c r="B1888" s="75"/>
      <c r="C1888" s="75"/>
      <c r="D1888" s="75"/>
      <c r="E1888" s="75"/>
      <c r="F1888" s="75"/>
    </row>
    <row r="1889" spans="2:6">
      <c r="B1889" s="75"/>
      <c r="C1889" s="75"/>
      <c r="D1889" s="75"/>
      <c r="E1889" s="75"/>
      <c r="F1889" s="75"/>
    </row>
    <row r="1890" spans="2:6">
      <c r="B1890" s="75"/>
      <c r="C1890" s="75"/>
      <c r="D1890" s="75"/>
      <c r="E1890" s="75"/>
      <c r="F1890" s="75"/>
    </row>
    <row r="1891" spans="2:6">
      <c r="B1891" s="75"/>
      <c r="C1891" s="75"/>
      <c r="D1891" s="75"/>
      <c r="E1891" s="75"/>
      <c r="F1891" s="75"/>
    </row>
    <row r="1892" spans="2:6">
      <c r="B1892" s="75"/>
      <c r="C1892" s="75"/>
      <c r="D1892" s="75"/>
      <c r="E1892" s="75"/>
      <c r="F1892" s="75"/>
    </row>
    <row r="1893" spans="2:6">
      <c r="B1893" s="75"/>
      <c r="C1893" s="75"/>
      <c r="D1893" s="75"/>
      <c r="E1893" s="75"/>
      <c r="F1893" s="75"/>
    </row>
    <row r="1894" spans="2:6">
      <c r="B1894" s="75"/>
      <c r="C1894" s="75"/>
      <c r="D1894" s="75"/>
      <c r="E1894" s="75"/>
      <c r="F1894" s="75"/>
    </row>
    <row r="1895" spans="2:6">
      <c r="B1895" s="75"/>
      <c r="C1895" s="75"/>
      <c r="D1895" s="75"/>
      <c r="E1895" s="75"/>
      <c r="F1895" s="75"/>
    </row>
    <row r="1896" spans="2:6">
      <c r="B1896" s="75"/>
      <c r="C1896" s="75"/>
      <c r="D1896" s="75"/>
      <c r="E1896" s="75"/>
      <c r="F1896" s="75"/>
    </row>
    <row r="1897" spans="2:6">
      <c r="B1897" s="75"/>
      <c r="C1897" s="75"/>
      <c r="D1897" s="75"/>
      <c r="E1897" s="75"/>
      <c r="F1897" s="75"/>
    </row>
    <row r="1898" spans="2:6">
      <c r="B1898" s="75"/>
      <c r="C1898" s="75"/>
      <c r="D1898" s="75"/>
      <c r="E1898" s="75"/>
      <c r="F1898" s="75"/>
    </row>
    <row r="1899" spans="2:6">
      <c r="B1899" s="75"/>
      <c r="C1899" s="75"/>
      <c r="D1899" s="75"/>
      <c r="E1899" s="75"/>
      <c r="F1899" s="75"/>
    </row>
    <row r="1900" spans="2:6">
      <c r="B1900" s="75"/>
      <c r="C1900" s="75"/>
      <c r="D1900" s="75"/>
      <c r="E1900" s="75"/>
      <c r="F1900" s="75"/>
    </row>
    <row r="1901" spans="2:6">
      <c r="B1901" s="75"/>
      <c r="C1901" s="75"/>
      <c r="D1901" s="75"/>
      <c r="E1901" s="75"/>
      <c r="F1901" s="75"/>
    </row>
    <row r="1902" spans="2:6">
      <c r="B1902" s="75"/>
      <c r="C1902" s="75"/>
      <c r="D1902" s="75"/>
      <c r="E1902" s="75"/>
      <c r="F1902" s="75"/>
    </row>
    <row r="1903" spans="2:6">
      <c r="B1903" s="75"/>
      <c r="C1903" s="75"/>
      <c r="D1903" s="75"/>
      <c r="E1903" s="75"/>
      <c r="F1903" s="75"/>
    </row>
    <row r="1904" spans="2:6">
      <c r="B1904" s="75"/>
      <c r="C1904" s="75"/>
      <c r="D1904" s="75"/>
      <c r="E1904" s="75"/>
      <c r="F1904" s="75"/>
    </row>
    <row r="1905" spans="2:6">
      <c r="B1905" s="75"/>
      <c r="C1905" s="75"/>
      <c r="D1905" s="75"/>
      <c r="E1905" s="75"/>
      <c r="F1905" s="75"/>
    </row>
    <row r="1906" spans="2:6">
      <c r="B1906" s="75"/>
      <c r="C1906" s="75"/>
      <c r="D1906" s="75"/>
      <c r="E1906" s="75"/>
      <c r="F1906" s="75"/>
    </row>
    <row r="1907" spans="2:6">
      <c r="B1907" s="75"/>
      <c r="C1907" s="75"/>
      <c r="D1907" s="75"/>
      <c r="E1907" s="75"/>
      <c r="F1907" s="75"/>
    </row>
    <row r="1908" spans="2:6">
      <c r="B1908" s="75"/>
      <c r="C1908" s="75"/>
      <c r="D1908" s="75"/>
      <c r="E1908" s="75"/>
      <c r="F1908" s="75"/>
    </row>
    <row r="1909" spans="2:6">
      <c r="B1909" s="75"/>
      <c r="C1909" s="75"/>
      <c r="D1909" s="75"/>
      <c r="E1909" s="75"/>
      <c r="F1909" s="75"/>
    </row>
    <row r="1910" spans="2:6">
      <c r="B1910" s="75"/>
      <c r="C1910" s="75"/>
      <c r="D1910" s="75"/>
      <c r="E1910" s="75"/>
      <c r="F1910" s="75"/>
    </row>
    <row r="1911" spans="2:6">
      <c r="B1911" s="75"/>
      <c r="C1911" s="75"/>
      <c r="D1911" s="75"/>
      <c r="E1911" s="75"/>
      <c r="F1911" s="75"/>
    </row>
    <row r="1912" spans="2:6">
      <c r="B1912" s="75"/>
      <c r="C1912" s="75"/>
      <c r="D1912" s="75"/>
      <c r="E1912" s="75"/>
      <c r="F1912" s="75"/>
    </row>
    <row r="1913" spans="2:6">
      <c r="B1913" s="75"/>
      <c r="C1913" s="75"/>
      <c r="D1913" s="75"/>
      <c r="E1913" s="75"/>
      <c r="F1913" s="75"/>
    </row>
    <row r="1914" spans="2:6">
      <c r="B1914" s="75"/>
      <c r="C1914" s="75"/>
      <c r="D1914" s="75"/>
      <c r="E1914" s="75"/>
      <c r="F1914" s="75"/>
    </row>
    <row r="1915" spans="2:6">
      <c r="B1915" s="75"/>
      <c r="C1915" s="75"/>
      <c r="D1915" s="75"/>
      <c r="E1915" s="75"/>
      <c r="F1915" s="75"/>
    </row>
    <row r="1916" spans="2:6">
      <c r="B1916" s="75"/>
      <c r="C1916" s="75"/>
      <c r="D1916" s="75"/>
      <c r="E1916" s="75"/>
      <c r="F1916" s="75"/>
    </row>
    <row r="1917" spans="2:6">
      <c r="B1917" s="75"/>
      <c r="C1917" s="75"/>
      <c r="D1917" s="75"/>
      <c r="E1917" s="75"/>
      <c r="F1917" s="75"/>
    </row>
    <row r="1918" spans="2:6">
      <c r="B1918" s="75"/>
      <c r="C1918" s="75"/>
      <c r="D1918" s="75"/>
      <c r="E1918" s="75"/>
      <c r="F1918" s="75"/>
    </row>
    <row r="1919" spans="2:6">
      <c r="B1919" s="75"/>
      <c r="C1919" s="75"/>
      <c r="D1919" s="75"/>
      <c r="E1919" s="75"/>
      <c r="F1919" s="75"/>
    </row>
    <row r="1920" spans="2:6">
      <c r="B1920" s="75"/>
      <c r="C1920" s="75"/>
      <c r="D1920" s="75"/>
      <c r="E1920" s="75"/>
      <c r="F1920" s="75"/>
    </row>
    <row r="1921" spans="2:6">
      <c r="B1921" s="75"/>
      <c r="C1921" s="75"/>
      <c r="D1921" s="75"/>
      <c r="E1921" s="75"/>
      <c r="F1921" s="75"/>
    </row>
    <row r="1922" spans="2:6">
      <c r="B1922" s="75"/>
      <c r="C1922" s="75"/>
      <c r="D1922" s="75"/>
      <c r="E1922" s="75"/>
      <c r="F1922" s="75"/>
    </row>
    <row r="1923" spans="2:6">
      <c r="B1923" s="75"/>
      <c r="C1923" s="75"/>
      <c r="D1923" s="75"/>
      <c r="E1923" s="75"/>
      <c r="F1923" s="75"/>
    </row>
    <row r="1924" spans="2:6">
      <c r="B1924" s="75"/>
      <c r="C1924" s="75"/>
      <c r="D1924" s="75"/>
      <c r="E1924" s="75"/>
      <c r="F1924" s="75"/>
    </row>
    <row r="1925" spans="2:6">
      <c r="B1925" s="75"/>
      <c r="C1925" s="75"/>
      <c r="D1925" s="75"/>
      <c r="E1925" s="75"/>
      <c r="F1925" s="75"/>
    </row>
    <row r="1926" spans="2:6">
      <c r="B1926" s="75"/>
      <c r="C1926" s="75"/>
      <c r="D1926" s="75"/>
      <c r="E1926" s="75"/>
      <c r="F1926" s="75"/>
    </row>
    <row r="1927" spans="2:6">
      <c r="B1927" s="75"/>
      <c r="C1927" s="75"/>
      <c r="D1927" s="75"/>
      <c r="E1927" s="75"/>
      <c r="F1927" s="75"/>
    </row>
    <row r="1928" spans="2:6">
      <c r="B1928" s="75"/>
      <c r="C1928" s="75"/>
      <c r="D1928" s="75"/>
      <c r="E1928" s="75"/>
      <c r="F1928" s="75"/>
    </row>
    <row r="1929" spans="2:6">
      <c r="B1929" s="75"/>
      <c r="C1929" s="75"/>
      <c r="D1929" s="75"/>
      <c r="E1929" s="75"/>
      <c r="F1929" s="75"/>
    </row>
    <row r="1930" spans="2:6">
      <c r="B1930" s="75"/>
      <c r="C1930" s="75"/>
      <c r="D1930" s="75"/>
      <c r="E1930" s="75"/>
      <c r="F1930" s="75"/>
    </row>
    <row r="1931" spans="2:6">
      <c r="B1931" s="75"/>
      <c r="C1931" s="75"/>
      <c r="D1931" s="75"/>
      <c r="E1931" s="75"/>
      <c r="F1931" s="75"/>
    </row>
    <row r="1932" spans="2:6">
      <c r="B1932" s="75"/>
      <c r="C1932" s="75"/>
      <c r="D1932" s="75"/>
      <c r="E1932" s="75"/>
      <c r="F1932" s="75"/>
    </row>
    <row r="1933" spans="2:6">
      <c r="B1933" s="75"/>
      <c r="C1933" s="75"/>
      <c r="D1933" s="75"/>
      <c r="E1933" s="75"/>
      <c r="F1933" s="75"/>
    </row>
    <row r="1934" spans="2:6">
      <c r="B1934" s="75"/>
      <c r="C1934" s="75"/>
      <c r="D1934" s="75"/>
      <c r="E1934" s="75"/>
      <c r="F1934" s="75"/>
    </row>
    <row r="1935" spans="2:6">
      <c r="B1935" s="75"/>
      <c r="C1935" s="75"/>
      <c r="D1935" s="75"/>
      <c r="E1935" s="75"/>
      <c r="F1935" s="75"/>
    </row>
    <row r="1936" spans="2:6">
      <c r="B1936" s="75"/>
      <c r="C1936" s="75"/>
      <c r="D1936" s="75"/>
      <c r="E1936" s="75"/>
      <c r="F1936" s="75"/>
    </row>
    <row r="1937" spans="2:6">
      <c r="B1937" s="75"/>
      <c r="C1937" s="75"/>
      <c r="D1937" s="75"/>
      <c r="E1937" s="75"/>
      <c r="F1937" s="75"/>
    </row>
    <row r="1938" spans="2:6">
      <c r="B1938" s="75"/>
      <c r="C1938" s="75"/>
      <c r="D1938" s="75"/>
      <c r="E1938" s="75"/>
      <c r="F1938" s="75"/>
    </row>
    <row r="1939" spans="2:6">
      <c r="B1939" s="75"/>
      <c r="C1939" s="75"/>
      <c r="D1939" s="75"/>
      <c r="E1939" s="75"/>
      <c r="F1939" s="75"/>
    </row>
    <row r="1940" spans="2:6">
      <c r="B1940" s="75"/>
      <c r="C1940" s="75"/>
      <c r="D1940" s="75"/>
      <c r="E1940" s="75"/>
      <c r="F1940" s="75"/>
    </row>
    <row r="1941" spans="2:6">
      <c r="B1941" s="75"/>
      <c r="C1941" s="75"/>
      <c r="D1941" s="75"/>
      <c r="E1941" s="75"/>
      <c r="F1941" s="75"/>
    </row>
    <row r="1942" spans="2:6">
      <c r="B1942" s="75"/>
      <c r="C1942" s="75"/>
      <c r="D1942" s="75"/>
      <c r="E1942" s="75"/>
      <c r="F1942" s="75"/>
    </row>
    <row r="1943" spans="2:6">
      <c r="B1943" s="75"/>
      <c r="C1943" s="75"/>
      <c r="D1943" s="75"/>
      <c r="E1943" s="75"/>
      <c r="F1943" s="75"/>
    </row>
    <row r="1944" spans="2:6">
      <c r="B1944" s="75"/>
      <c r="C1944" s="75"/>
      <c r="D1944" s="75"/>
      <c r="E1944" s="75"/>
      <c r="F1944" s="75"/>
    </row>
    <row r="1945" spans="2:6">
      <c r="B1945" s="75"/>
      <c r="C1945" s="75"/>
      <c r="D1945" s="75"/>
      <c r="E1945" s="75"/>
      <c r="F1945" s="75"/>
    </row>
    <row r="1946" spans="2:6">
      <c r="B1946" s="75"/>
      <c r="C1946" s="75"/>
      <c r="D1946" s="75"/>
      <c r="E1946" s="75"/>
      <c r="F1946" s="75"/>
    </row>
    <row r="1947" spans="2:6">
      <c r="B1947" s="75"/>
      <c r="C1947" s="75"/>
      <c r="D1947" s="75"/>
      <c r="E1947" s="75"/>
      <c r="F1947" s="75"/>
    </row>
    <row r="1948" spans="2:6">
      <c r="B1948" s="75"/>
      <c r="C1948" s="75"/>
      <c r="D1948" s="75"/>
      <c r="E1948" s="75"/>
      <c r="F1948" s="75"/>
    </row>
    <row r="1949" spans="2:6">
      <c r="B1949" s="75"/>
      <c r="C1949" s="75"/>
      <c r="D1949" s="75"/>
      <c r="E1949" s="75"/>
      <c r="F1949" s="75"/>
    </row>
    <row r="1950" spans="2:6">
      <c r="B1950" s="75"/>
      <c r="C1950" s="75"/>
      <c r="D1950" s="75"/>
      <c r="E1950" s="75"/>
      <c r="F1950" s="75"/>
    </row>
    <row r="1951" spans="2:6">
      <c r="B1951" s="75"/>
      <c r="C1951" s="75"/>
      <c r="D1951" s="75"/>
      <c r="E1951" s="75"/>
      <c r="F1951" s="75"/>
    </row>
    <row r="1952" spans="2:6">
      <c r="B1952" s="75"/>
      <c r="C1952" s="75"/>
      <c r="D1952" s="75"/>
      <c r="E1952" s="75"/>
      <c r="F1952" s="75"/>
    </row>
    <row r="1953" spans="2:6">
      <c r="B1953" s="75"/>
      <c r="C1953" s="75"/>
      <c r="D1953" s="75"/>
      <c r="E1953" s="75"/>
      <c r="F1953" s="75"/>
    </row>
    <row r="1954" spans="2:6">
      <c r="B1954" s="75"/>
      <c r="C1954" s="75"/>
      <c r="D1954" s="75"/>
      <c r="E1954" s="75"/>
      <c r="F1954" s="75"/>
    </row>
    <row r="1955" spans="2:6">
      <c r="B1955" s="75"/>
      <c r="C1955" s="75"/>
      <c r="D1955" s="75"/>
      <c r="E1955" s="75"/>
      <c r="F1955" s="75"/>
    </row>
    <row r="1956" spans="2:6">
      <c r="B1956" s="75"/>
      <c r="C1956" s="75"/>
      <c r="D1956" s="75"/>
      <c r="E1956" s="75"/>
      <c r="F1956" s="75"/>
    </row>
    <row r="1957" spans="2:6">
      <c r="B1957" s="75"/>
      <c r="C1957" s="75"/>
      <c r="D1957" s="75"/>
      <c r="E1957" s="75"/>
      <c r="F1957" s="75"/>
    </row>
    <row r="1958" spans="2:6">
      <c r="B1958" s="75"/>
      <c r="C1958" s="75"/>
      <c r="D1958" s="75"/>
      <c r="E1958" s="75"/>
      <c r="F1958" s="75"/>
    </row>
    <row r="1959" spans="2:6">
      <c r="B1959" s="75"/>
      <c r="C1959" s="75"/>
      <c r="D1959" s="75"/>
      <c r="E1959" s="75"/>
      <c r="F1959" s="75"/>
    </row>
    <row r="1960" spans="2:6">
      <c r="B1960" s="75"/>
      <c r="C1960" s="75"/>
      <c r="D1960" s="75"/>
      <c r="E1960" s="75"/>
      <c r="F1960" s="75"/>
    </row>
    <row r="1961" spans="2:6">
      <c r="B1961" s="75"/>
      <c r="C1961" s="75"/>
      <c r="D1961" s="75"/>
      <c r="E1961" s="75"/>
      <c r="F1961" s="75"/>
    </row>
    <row r="1962" spans="2:6">
      <c r="B1962" s="75"/>
      <c r="C1962" s="75"/>
      <c r="D1962" s="75"/>
      <c r="E1962" s="75"/>
      <c r="F1962" s="75"/>
    </row>
    <row r="1963" spans="2:6">
      <c r="B1963" s="75"/>
      <c r="C1963" s="75"/>
      <c r="D1963" s="75"/>
      <c r="E1963" s="75"/>
      <c r="F1963" s="75"/>
    </row>
    <row r="1964" spans="2:6">
      <c r="B1964" s="75"/>
      <c r="C1964" s="75"/>
      <c r="D1964" s="75"/>
      <c r="E1964" s="75"/>
      <c r="F1964" s="75"/>
    </row>
    <row r="1965" spans="2:6">
      <c r="B1965" s="75"/>
      <c r="C1965" s="75"/>
      <c r="D1965" s="75"/>
      <c r="E1965" s="75"/>
      <c r="F1965" s="75"/>
    </row>
    <row r="1966" spans="2:6">
      <c r="B1966" s="75"/>
      <c r="C1966" s="75"/>
      <c r="D1966" s="75"/>
      <c r="E1966" s="75"/>
      <c r="F1966" s="75"/>
    </row>
    <row r="1967" spans="2:6">
      <c r="B1967" s="75"/>
      <c r="C1967" s="75"/>
      <c r="D1967" s="75"/>
      <c r="E1967" s="75"/>
      <c r="F1967" s="75"/>
    </row>
    <row r="1968" spans="2:6">
      <c r="B1968" s="75"/>
      <c r="C1968" s="75"/>
      <c r="D1968" s="75"/>
      <c r="E1968" s="75"/>
      <c r="F1968" s="75"/>
    </row>
    <row r="1969" spans="2:6">
      <c r="B1969" s="75"/>
      <c r="C1969" s="75"/>
      <c r="D1969" s="75"/>
      <c r="E1969" s="75"/>
      <c r="F1969" s="75"/>
    </row>
    <row r="1970" spans="2:6">
      <c r="B1970" s="75"/>
      <c r="C1970" s="75"/>
      <c r="D1970" s="75"/>
      <c r="E1970" s="75"/>
      <c r="F1970" s="75"/>
    </row>
    <row r="1971" spans="2:6">
      <c r="B1971" s="75"/>
      <c r="C1971" s="75"/>
      <c r="D1971" s="75"/>
      <c r="E1971" s="75"/>
      <c r="F1971" s="75"/>
    </row>
    <row r="1972" spans="2:6">
      <c r="B1972" s="75"/>
      <c r="C1972" s="75"/>
      <c r="D1972" s="75"/>
      <c r="E1972" s="75"/>
      <c r="F1972" s="75"/>
    </row>
    <row r="1973" spans="2:6">
      <c r="B1973" s="75"/>
      <c r="C1973" s="75"/>
      <c r="D1973" s="75"/>
      <c r="E1973" s="75"/>
      <c r="F1973" s="75"/>
    </row>
    <row r="1974" spans="2:6">
      <c r="B1974" s="75"/>
      <c r="C1974" s="75"/>
      <c r="D1974" s="75"/>
      <c r="E1974" s="75"/>
      <c r="F1974" s="75"/>
    </row>
    <row r="1975" spans="2:6">
      <c r="B1975" s="75"/>
      <c r="C1975" s="75"/>
      <c r="D1975" s="75"/>
      <c r="E1975" s="75"/>
      <c r="F1975" s="75"/>
    </row>
    <row r="1976" spans="2:6">
      <c r="B1976" s="75"/>
      <c r="C1976" s="75"/>
      <c r="D1976" s="75"/>
      <c r="E1976" s="75"/>
      <c r="F1976" s="75"/>
    </row>
    <row r="1977" spans="2:6">
      <c r="B1977" s="75"/>
      <c r="C1977" s="75"/>
      <c r="D1977" s="75"/>
      <c r="E1977" s="75"/>
      <c r="F1977" s="75"/>
    </row>
    <row r="1978" spans="2:6">
      <c r="B1978" s="75"/>
      <c r="C1978" s="75"/>
      <c r="D1978" s="75"/>
      <c r="E1978" s="75"/>
      <c r="F1978" s="75"/>
    </row>
    <row r="1979" spans="2:6">
      <c r="B1979" s="75"/>
      <c r="C1979" s="75"/>
      <c r="D1979" s="75"/>
      <c r="E1979" s="75"/>
      <c r="F1979" s="75"/>
    </row>
    <row r="1980" spans="2:6">
      <c r="B1980" s="75"/>
      <c r="C1980" s="75"/>
      <c r="D1980" s="75"/>
      <c r="E1980" s="75"/>
      <c r="F1980" s="75"/>
    </row>
    <row r="1981" spans="2:6">
      <c r="B1981" s="75"/>
      <c r="C1981" s="75"/>
      <c r="D1981" s="75"/>
      <c r="E1981" s="75"/>
      <c r="F1981" s="75"/>
    </row>
    <row r="1982" spans="2:6">
      <c r="B1982" s="75"/>
      <c r="C1982" s="75"/>
      <c r="D1982" s="75"/>
      <c r="E1982" s="75"/>
      <c r="F1982" s="75"/>
    </row>
    <row r="1983" spans="2:6">
      <c r="B1983" s="75"/>
      <c r="C1983" s="75"/>
      <c r="D1983" s="75"/>
      <c r="E1983" s="75"/>
      <c r="F1983" s="75"/>
    </row>
    <row r="1984" spans="2:6">
      <c r="B1984" s="75"/>
      <c r="C1984" s="75"/>
      <c r="D1984" s="75"/>
      <c r="E1984" s="75"/>
      <c r="F1984" s="75"/>
    </row>
    <row r="1985" spans="2:6">
      <c r="B1985" s="75"/>
      <c r="C1985" s="75"/>
      <c r="D1985" s="75"/>
      <c r="E1985" s="75"/>
      <c r="F1985" s="75"/>
    </row>
    <row r="1986" spans="2:6">
      <c r="B1986" s="75"/>
      <c r="C1986" s="75"/>
      <c r="D1986" s="75"/>
      <c r="E1986" s="75"/>
      <c r="F1986" s="75"/>
    </row>
    <row r="1987" spans="2:6">
      <c r="B1987" s="75"/>
      <c r="C1987" s="75"/>
      <c r="D1987" s="75"/>
      <c r="E1987" s="75"/>
      <c r="F1987" s="75"/>
    </row>
    <row r="1988" spans="2:6">
      <c r="B1988" s="75"/>
      <c r="C1988" s="75"/>
      <c r="D1988" s="75"/>
      <c r="E1988" s="75"/>
      <c r="F1988" s="75"/>
    </row>
    <row r="1989" spans="2:6">
      <c r="B1989" s="75"/>
      <c r="C1989" s="75"/>
      <c r="D1989" s="75"/>
      <c r="E1989" s="75"/>
      <c r="F1989" s="75"/>
    </row>
    <row r="1990" spans="2:6">
      <c r="B1990" s="75"/>
      <c r="C1990" s="75"/>
      <c r="D1990" s="75"/>
      <c r="E1990" s="75"/>
      <c r="F1990" s="75"/>
    </row>
    <row r="1991" spans="2:6">
      <c r="B1991" s="75"/>
      <c r="C1991" s="75"/>
      <c r="D1991" s="75"/>
      <c r="E1991" s="75"/>
      <c r="F1991" s="75"/>
    </row>
    <row r="1992" spans="2:6">
      <c r="B1992" s="75"/>
      <c r="C1992" s="75"/>
      <c r="D1992" s="75"/>
      <c r="E1992" s="75"/>
      <c r="F1992" s="75"/>
    </row>
    <row r="1993" spans="2:6">
      <c r="B1993" s="75"/>
      <c r="C1993" s="75"/>
      <c r="D1993" s="75"/>
      <c r="E1993" s="75"/>
      <c r="F1993" s="75"/>
    </row>
    <row r="1994" spans="2:6">
      <c r="B1994" s="75"/>
      <c r="C1994" s="75"/>
      <c r="D1994" s="75"/>
      <c r="E1994" s="75"/>
      <c r="F1994" s="75"/>
    </row>
    <row r="1995" spans="2:6">
      <c r="B1995" s="75"/>
      <c r="C1995" s="75"/>
      <c r="D1995" s="75"/>
      <c r="E1995" s="75"/>
      <c r="F1995" s="75"/>
    </row>
    <row r="1996" spans="2:6">
      <c r="B1996" s="75"/>
      <c r="C1996" s="75"/>
      <c r="D1996" s="75"/>
      <c r="E1996" s="75"/>
      <c r="F1996" s="75"/>
    </row>
    <row r="1997" spans="2:6">
      <c r="B1997" s="75"/>
      <c r="C1997" s="75"/>
      <c r="D1997" s="75"/>
      <c r="E1997" s="75"/>
      <c r="F1997" s="75"/>
    </row>
    <row r="1998" spans="2:6">
      <c r="B1998" s="75"/>
      <c r="C1998" s="75"/>
      <c r="D1998" s="75"/>
      <c r="E1998" s="75"/>
      <c r="F1998" s="75"/>
    </row>
    <row r="1999" spans="2:6">
      <c r="B1999" s="75"/>
      <c r="C1999" s="75"/>
      <c r="D1999" s="75"/>
      <c r="E1999" s="75"/>
      <c r="F1999" s="75"/>
    </row>
    <row r="2000" spans="2:6">
      <c r="B2000" s="75"/>
      <c r="C2000" s="75"/>
      <c r="D2000" s="75"/>
      <c r="E2000" s="75"/>
      <c r="F2000" s="75"/>
    </row>
    <row r="2001" spans="2:6">
      <c r="B2001" s="75"/>
      <c r="C2001" s="75"/>
      <c r="D2001" s="75"/>
      <c r="E2001" s="75"/>
      <c r="F2001" s="75"/>
    </row>
    <row r="2002" spans="2:6">
      <c r="B2002" s="75"/>
      <c r="C2002" s="75"/>
      <c r="D2002" s="75"/>
      <c r="E2002" s="75"/>
      <c r="F2002" s="75"/>
    </row>
    <row r="2003" spans="2:6">
      <c r="B2003" s="75"/>
      <c r="C2003" s="75"/>
      <c r="D2003" s="75"/>
      <c r="E2003" s="75"/>
      <c r="F2003" s="75"/>
    </row>
    <row r="2004" spans="2:6">
      <c r="B2004" s="75"/>
      <c r="C2004" s="75"/>
      <c r="D2004" s="75"/>
      <c r="E2004" s="75"/>
      <c r="F2004" s="75"/>
    </row>
    <row r="2005" spans="2:6">
      <c r="B2005" s="75"/>
      <c r="C2005" s="75"/>
      <c r="D2005" s="75"/>
      <c r="E2005" s="75"/>
      <c r="F2005" s="75"/>
    </row>
    <row r="2006" spans="2:6">
      <c r="B2006" s="75"/>
      <c r="C2006" s="75"/>
      <c r="D2006" s="75"/>
      <c r="E2006" s="75"/>
      <c r="F2006" s="75"/>
    </row>
    <row r="2007" spans="2:6">
      <c r="B2007" s="75"/>
      <c r="C2007" s="75"/>
      <c r="D2007" s="75"/>
      <c r="E2007" s="75"/>
      <c r="F2007" s="75"/>
    </row>
    <row r="2008" spans="2:6">
      <c r="B2008" s="75"/>
      <c r="C2008" s="75"/>
      <c r="D2008" s="75"/>
      <c r="E2008" s="75"/>
      <c r="F2008" s="75"/>
    </row>
    <row r="2009" spans="2:6">
      <c r="B2009" s="75"/>
      <c r="C2009" s="75"/>
      <c r="D2009" s="75"/>
      <c r="E2009" s="75"/>
      <c r="F2009" s="75"/>
    </row>
    <row r="2010" spans="2:6">
      <c r="B2010" s="75"/>
      <c r="C2010" s="75"/>
      <c r="D2010" s="75"/>
      <c r="E2010" s="75"/>
      <c r="F2010" s="75"/>
    </row>
    <row r="2011" spans="2:6">
      <c r="B2011" s="75"/>
      <c r="C2011" s="75"/>
      <c r="D2011" s="75"/>
      <c r="E2011" s="75"/>
      <c r="F2011" s="75"/>
    </row>
    <row r="2012" spans="2:6">
      <c r="B2012" s="75"/>
      <c r="C2012" s="75"/>
      <c r="D2012" s="75"/>
      <c r="E2012" s="75"/>
      <c r="F2012" s="75"/>
    </row>
    <row r="2013" spans="2:6">
      <c r="B2013" s="75"/>
      <c r="C2013" s="75"/>
      <c r="D2013" s="75"/>
      <c r="E2013" s="75"/>
      <c r="F2013" s="75"/>
    </row>
    <row r="2014" spans="2:6">
      <c r="B2014" s="75"/>
      <c r="C2014" s="75"/>
      <c r="D2014" s="75"/>
      <c r="E2014" s="75"/>
      <c r="F2014" s="75"/>
    </row>
    <row r="2015" spans="2:6">
      <c r="B2015" s="75"/>
      <c r="C2015" s="75"/>
      <c r="D2015" s="75"/>
      <c r="E2015" s="75"/>
      <c r="F2015" s="75"/>
    </row>
    <row r="2016" spans="2:6">
      <c r="B2016" s="75"/>
      <c r="C2016" s="75"/>
      <c r="D2016" s="75"/>
      <c r="E2016" s="75"/>
      <c r="F2016" s="75"/>
    </row>
    <row r="2017" spans="2:6">
      <c r="B2017" s="75"/>
      <c r="C2017" s="75"/>
      <c r="D2017" s="75"/>
      <c r="E2017" s="75"/>
      <c r="F2017" s="75"/>
    </row>
    <row r="2018" spans="2:6">
      <c r="B2018" s="75"/>
      <c r="C2018" s="75"/>
      <c r="D2018" s="75"/>
      <c r="E2018" s="75"/>
      <c r="F2018" s="75"/>
    </row>
    <row r="2019" spans="2:6">
      <c r="B2019" s="75"/>
      <c r="C2019" s="75"/>
      <c r="D2019" s="75"/>
      <c r="E2019" s="75"/>
      <c r="F2019" s="75"/>
    </row>
    <row r="2020" spans="2:6">
      <c r="B2020" s="75"/>
      <c r="C2020" s="75"/>
      <c r="D2020" s="75"/>
      <c r="E2020" s="75"/>
      <c r="F2020" s="75"/>
    </row>
    <row r="2021" spans="2:6">
      <c r="B2021" s="75"/>
      <c r="C2021" s="75"/>
      <c r="D2021" s="75"/>
      <c r="E2021" s="75"/>
      <c r="F2021" s="75"/>
    </row>
    <row r="2022" spans="2:6">
      <c r="B2022" s="75"/>
      <c r="C2022" s="75"/>
      <c r="D2022" s="75"/>
      <c r="E2022" s="75"/>
      <c r="F2022" s="75"/>
    </row>
    <row r="2023" spans="2:6">
      <c r="B2023" s="75"/>
      <c r="C2023" s="75"/>
      <c r="D2023" s="75"/>
      <c r="E2023" s="75"/>
      <c r="F2023" s="75"/>
    </row>
    <row r="2024" spans="2:6">
      <c r="B2024" s="75"/>
      <c r="C2024" s="75"/>
      <c r="D2024" s="75"/>
      <c r="E2024" s="75"/>
      <c r="F2024" s="75"/>
    </row>
    <row r="2025" spans="2:6">
      <c r="B2025" s="75"/>
      <c r="C2025" s="75"/>
      <c r="D2025" s="75"/>
      <c r="E2025" s="75"/>
      <c r="F2025" s="75"/>
    </row>
    <row r="2026" spans="2:6">
      <c r="B2026" s="75"/>
      <c r="C2026" s="75"/>
      <c r="D2026" s="75"/>
      <c r="E2026" s="75"/>
      <c r="F2026" s="75"/>
    </row>
    <row r="2027" spans="2:6">
      <c r="B2027" s="75"/>
      <c r="C2027" s="75"/>
      <c r="D2027" s="75"/>
      <c r="E2027" s="75"/>
      <c r="F2027" s="75"/>
    </row>
    <row r="2028" spans="2:6">
      <c r="B2028" s="75"/>
      <c r="C2028" s="75"/>
      <c r="D2028" s="75"/>
      <c r="E2028" s="75"/>
      <c r="F2028" s="75"/>
    </row>
    <row r="2029" spans="2:6">
      <c r="B2029" s="75"/>
      <c r="C2029" s="75"/>
      <c r="D2029" s="75"/>
      <c r="E2029" s="75"/>
      <c r="F2029" s="75"/>
    </row>
    <row r="2030" spans="2:6">
      <c r="B2030" s="75"/>
      <c r="C2030" s="75"/>
      <c r="D2030" s="75"/>
      <c r="E2030" s="75"/>
      <c r="F2030" s="75"/>
    </row>
    <row r="2031" spans="2:6">
      <c r="B2031" s="75"/>
      <c r="C2031" s="75"/>
      <c r="D2031" s="75"/>
      <c r="E2031" s="75"/>
      <c r="F2031" s="75"/>
    </row>
    <row r="2032" spans="2:6">
      <c r="B2032" s="75"/>
      <c r="C2032" s="75"/>
      <c r="D2032" s="75"/>
      <c r="E2032" s="75"/>
      <c r="F2032" s="75"/>
    </row>
    <row r="2033" spans="2:6">
      <c r="B2033" s="75"/>
      <c r="C2033" s="75"/>
      <c r="D2033" s="75"/>
      <c r="E2033" s="75"/>
      <c r="F2033" s="75"/>
    </row>
    <row r="2034" spans="2:6">
      <c r="B2034" s="75"/>
      <c r="C2034" s="75"/>
      <c r="D2034" s="75"/>
      <c r="E2034" s="75"/>
      <c r="F2034" s="75"/>
    </row>
    <row r="2035" spans="2:6">
      <c r="B2035" s="75"/>
      <c r="C2035" s="75"/>
      <c r="D2035" s="75"/>
      <c r="E2035" s="75"/>
      <c r="F2035" s="75"/>
    </row>
    <row r="2036" spans="2:6">
      <c r="B2036" s="75"/>
      <c r="C2036" s="75"/>
      <c r="D2036" s="75"/>
      <c r="E2036" s="75"/>
      <c r="F2036" s="75"/>
    </row>
    <row r="2037" spans="2:6">
      <c r="B2037" s="75"/>
      <c r="C2037" s="75"/>
      <c r="D2037" s="75"/>
      <c r="E2037" s="75"/>
      <c r="F2037" s="75"/>
    </row>
    <row r="2038" spans="2:6">
      <c r="B2038" s="75"/>
      <c r="C2038" s="75"/>
      <c r="D2038" s="75"/>
      <c r="E2038" s="75"/>
      <c r="F2038" s="75"/>
    </row>
    <row r="2039" spans="2:6">
      <c r="B2039" s="75"/>
      <c r="C2039" s="75"/>
      <c r="D2039" s="75"/>
      <c r="E2039" s="75"/>
      <c r="F2039" s="75"/>
    </row>
    <row r="2040" spans="2:6">
      <c r="B2040" s="75"/>
      <c r="C2040" s="75"/>
      <c r="D2040" s="75"/>
      <c r="E2040" s="75"/>
      <c r="F2040" s="75"/>
    </row>
    <row r="2041" spans="2:6">
      <c r="B2041" s="75"/>
      <c r="C2041" s="75"/>
      <c r="D2041" s="75"/>
      <c r="E2041" s="75"/>
      <c r="F2041" s="75"/>
    </row>
    <row r="2042" spans="2:6">
      <c r="B2042" s="75"/>
      <c r="C2042" s="75"/>
      <c r="D2042" s="75"/>
      <c r="E2042" s="75"/>
      <c r="F2042" s="75"/>
    </row>
    <row r="2043" spans="2:6">
      <c r="B2043" s="75"/>
      <c r="C2043" s="75"/>
      <c r="D2043" s="75"/>
      <c r="E2043" s="75"/>
      <c r="F2043" s="75"/>
    </row>
    <row r="2044" spans="2:6">
      <c r="B2044" s="75"/>
      <c r="C2044" s="75"/>
      <c r="D2044" s="75"/>
      <c r="E2044" s="75"/>
      <c r="F2044" s="75"/>
    </row>
    <row r="2045" spans="2:6">
      <c r="B2045" s="75"/>
      <c r="C2045" s="75"/>
      <c r="D2045" s="75"/>
      <c r="E2045" s="75"/>
      <c r="F2045" s="75"/>
    </row>
    <row r="2046" spans="2:6">
      <c r="B2046" s="75"/>
      <c r="C2046" s="75"/>
      <c r="D2046" s="75"/>
      <c r="E2046" s="75"/>
      <c r="F2046" s="75"/>
    </row>
    <row r="2047" spans="2:6">
      <c r="B2047" s="75"/>
      <c r="C2047" s="75"/>
      <c r="D2047" s="75"/>
      <c r="E2047" s="75"/>
      <c r="F2047" s="75"/>
    </row>
    <row r="2048" spans="2:6">
      <c r="B2048" s="75"/>
      <c r="C2048" s="75"/>
      <c r="D2048" s="75"/>
      <c r="E2048" s="75"/>
      <c r="F2048" s="75"/>
    </row>
    <row r="2049" spans="2:6">
      <c r="B2049" s="75"/>
      <c r="C2049" s="75"/>
      <c r="D2049" s="75"/>
      <c r="E2049" s="75"/>
      <c r="F2049" s="75"/>
    </row>
    <row r="2050" spans="2:6">
      <c r="B2050" s="75"/>
      <c r="C2050" s="75"/>
      <c r="D2050" s="75"/>
      <c r="E2050" s="75"/>
      <c r="F2050" s="75"/>
    </row>
    <row r="2051" spans="2:6">
      <c r="B2051" s="75"/>
      <c r="C2051" s="75"/>
      <c r="D2051" s="75"/>
      <c r="E2051" s="75"/>
      <c r="F2051" s="75"/>
    </row>
    <row r="2052" spans="2:6">
      <c r="B2052" s="75"/>
      <c r="C2052" s="75"/>
      <c r="D2052" s="75"/>
      <c r="E2052" s="75"/>
      <c r="F2052" s="75"/>
    </row>
    <row r="2053" spans="2:6">
      <c r="B2053" s="75"/>
      <c r="C2053" s="75"/>
      <c r="D2053" s="75"/>
      <c r="E2053" s="75"/>
      <c r="F2053" s="75"/>
    </row>
    <row r="2054" spans="2:6">
      <c r="B2054" s="75"/>
      <c r="C2054" s="75"/>
      <c r="D2054" s="75"/>
      <c r="E2054" s="75"/>
      <c r="F2054" s="75"/>
    </row>
    <row r="2055" spans="2:6">
      <c r="B2055" s="75"/>
      <c r="C2055" s="75"/>
      <c r="D2055" s="75"/>
      <c r="E2055" s="75"/>
      <c r="F2055" s="75"/>
    </row>
    <row r="2056" spans="2:6">
      <c r="B2056" s="75"/>
      <c r="C2056" s="75"/>
      <c r="D2056" s="75"/>
      <c r="E2056" s="75"/>
      <c r="F2056" s="75"/>
    </row>
    <row r="2057" spans="2:6">
      <c r="B2057" s="75"/>
      <c r="C2057" s="75"/>
      <c r="D2057" s="75"/>
      <c r="E2057" s="75"/>
      <c r="F2057" s="75"/>
    </row>
    <row r="2058" spans="2:6">
      <c r="B2058" s="75"/>
      <c r="C2058" s="75"/>
      <c r="D2058" s="75"/>
      <c r="E2058" s="75"/>
      <c r="F2058" s="75"/>
    </row>
    <row r="2059" spans="2:6">
      <c r="B2059" s="75"/>
      <c r="C2059" s="75"/>
      <c r="D2059" s="75"/>
      <c r="E2059" s="75"/>
      <c r="F2059" s="75"/>
    </row>
    <row r="2060" spans="2:6">
      <c r="B2060" s="75"/>
      <c r="C2060" s="75"/>
      <c r="D2060" s="75"/>
      <c r="E2060" s="75"/>
      <c r="F2060" s="75"/>
    </row>
    <row r="2061" spans="2:6">
      <c r="B2061" s="75"/>
      <c r="C2061" s="75"/>
      <c r="D2061" s="75"/>
      <c r="E2061" s="75"/>
      <c r="F2061" s="75"/>
    </row>
    <row r="2062" spans="2:6">
      <c r="B2062" s="75"/>
      <c r="C2062" s="75"/>
      <c r="D2062" s="75"/>
      <c r="E2062" s="75"/>
      <c r="F2062" s="75"/>
    </row>
    <row r="2063" spans="2:6">
      <c r="B2063" s="75"/>
      <c r="C2063" s="75"/>
      <c r="D2063" s="75"/>
      <c r="E2063" s="75"/>
      <c r="F2063" s="75"/>
    </row>
    <row r="2064" spans="2:6">
      <c r="B2064" s="75"/>
      <c r="C2064" s="75"/>
      <c r="D2064" s="75"/>
      <c r="E2064" s="75"/>
      <c r="F2064" s="75"/>
    </row>
    <row r="2065" spans="2:6">
      <c r="B2065" s="75"/>
      <c r="C2065" s="75"/>
      <c r="D2065" s="75"/>
      <c r="E2065" s="75"/>
      <c r="F2065" s="75"/>
    </row>
    <row r="2066" spans="2:6">
      <c r="B2066" s="75"/>
      <c r="C2066" s="75"/>
      <c r="D2066" s="75"/>
      <c r="E2066" s="75"/>
      <c r="F2066" s="75"/>
    </row>
    <row r="2067" spans="2:6">
      <c r="B2067" s="75"/>
      <c r="C2067" s="75"/>
      <c r="D2067" s="75"/>
      <c r="E2067" s="75"/>
      <c r="F2067" s="75"/>
    </row>
    <row r="2068" spans="2:6">
      <c r="B2068" s="75"/>
      <c r="C2068" s="75"/>
      <c r="D2068" s="75"/>
      <c r="E2068" s="75"/>
      <c r="F2068" s="75"/>
    </row>
    <row r="2069" spans="2:6">
      <c r="B2069" s="75"/>
      <c r="C2069" s="75"/>
      <c r="D2069" s="75"/>
      <c r="E2069" s="75"/>
      <c r="F2069" s="75"/>
    </row>
    <row r="2070" spans="2:6">
      <c r="B2070" s="75"/>
      <c r="C2070" s="75"/>
      <c r="D2070" s="75"/>
      <c r="E2070" s="75"/>
      <c r="F2070" s="75"/>
    </row>
    <row r="2071" spans="2:6">
      <c r="B2071" s="75"/>
      <c r="C2071" s="75"/>
      <c r="D2071" s="75"/>
      <c r="E2071" s="75"/>
      <c r="F2071" s="75"/>
    </row>
    <row r="2072" spans="2:6">
      <c r="B2072" s="75"/>
      <c r="C2072" s="75"/>
      <c r="D2072" s="75"/>
      <c r="E2072" s="75"/>
      <c r="F2072" s="75"/>
    </row>
    <row r="2073" spans="2:6">
      <c r="B2073" s="75"/>
      <c r="C2073" s="75"/>
      <c r="D2073" s="75"/>
      <c r="E2073" s="75"/>
      <c r="F2073" s="75"/>
    </row>
    <row r="2074" spans="2:6">
      <c r="B2074" s="75"/>
      <c r="C2074" s="75"/>
      <c r="D2074" s="75"/>
      <c r="E2074" s="75"/>
      <c r="F2074" s="75"/>
    </row>
    <row r="2075" spans="2:6">
      <c r="B2075" s="75"/>
      <c r="C2075" s="75"/>
      <c r="D2075" s="75"/>
      <c r="E2075" s="75"/>
      <c r="F2075" s="75"/>
    </row>
    <row r="2076" spans="2:6">
      <c r="B2076" s="75"/>
      <c r="C2076" s="75"/>
      <c r="D2076" s="75"/>
      <c r="E2076" s="75"/>
      <c r="F2076" s="75"/>
    </row>
    <row r="2077" spans="2:6">
      <c r="B2077" s="75"/>
      <c r="C2077" s="75"/>
      <c r="D2077" s="75"/>
      <c r="E2077" s="75"/>
      <c r="F2077" s="75"/>
    </row>
    <row r="2078" spans="2:6">
      <c r="B2078" s="75"/>
      <c r="C2078" s="75"/>
      <c r="D2078" s="75"/>
      <c r="E2078" s="75"/>
      <c r="F2078" s="75"/>
    </row>
    <row r="2079" spans="2:6">
      <c r="B2079" s="75"/>
      <c r="C2079" s="75"/>
      <c r="D2079" s="75"/>
      <c r="E2079" s="75"/>
      <c r="F2079" s="75"/>
    </row>
    <row r="2080" spans="2:6">
      <c r="B2080" s="75"/>
      <c r="C2080" s="75"/>
      <c r="D2080" s="75"/>
      <c r="E2080" s="75"/>
      <c r="F2080" s="75"/>
    </row>
    <row r="2081" spans="2:6">
      <c r="B2081" s="75"/>
      <c r="C2081" s="75"/>
      <c r="D2081" s="75"/>
      <c r="E2081" s="75"/>
      <c r="F2081" s="75"/>
    </row>
    <row r="2082" spans="2:6">
      <c r="B2082" s="75"/>
      <c r="C2082" s="75"/>
      <c r="D2082" s="75"/>
      <c r="E2082" s="75"/>
      <c r="F2082" s="75"/>
    </row>
    <row r="2083" spans="2:6">
      <c r="B2083" s="75"/>
      <c r="C2083" s="75"/>
      <c r="D2083" s="75"/>
      <c r="E2083" s="75"/>
      <c r="F2083" s="75"/>
    </row>
    <row r="2084" spans="2:6">
      <c r="B2084" s="75"/>
      <c r="C2084" s="75"/>
      <c r="D2084" s="75"/>
      <c r="E2084" s="75"/>
      <c r="F2084" s="75"/>
    </row>
    <row r="2085" spans="2:6">
      <c r="B2085" s="75"/>
      <c r="C2085" s="75"/>
      <c r="D2085" s="75"/>
      <c r="E2085" s="75"/>
      <c r="F2085" s="75"/>
    </row>
    <row r="2086" spans="2:6">
      <c r="B2086" s="75"/>
      <c r="C2086" s="75"/>
      <c r="D2086" s="75"/>
      <c r="E2086" s="75"/>
      <c r="F2086" s="75"/>
    </row>
    <row r="2087" spans="2:6">
      <c r="B2087" s="75"/>
      <c r="C2087" s="75"/>
      <c r="D2087" s="75"/>
      <c r="E2087" s="75"/>
      <c r="F2087" s="75"/>
    </row>
    <row r="2088" spans="2:6">
      <c r="B2088" s="75"/>
      <c r="C2088" s="75"/>
      <c r="D2088" s="75"/>
      <c r="E2088" s="75"/>
      <c r="F2088" s="75"/>
    </row>
    <row r="2089" spans="2:6">
      <c r="B2089" s="75"/>
      <c r="C2089" s="75"/>
      <c r="D2089" s="75"/>
      <c r="E2089" s="75"/>
      <c r="F2089" s="75"/>
    </row>
    <row r="2090" spans="2:6">
      <c r="B2090" s="75"/>
      <c r="C2090" s="75"/>
      <c r="D2090" s="75"/>
      <c r="E2090" s="75"/>
      <c r="F2090" s="75"/>
    </row>
    <row r="2091" spans="2:6">
      <c r="B2091" s="75"/>
      <c r="C2091" s="75"/>
      <c r="D2091" s="75"/>
      <c r="E2091" s="75"/>
      <c r="F2091" s="75"/>
    </row>
    <row r="2092" spans="2:6">
      <c r="B2092" s="75"/>
      <c r="C2092" s="75"/>
      <c r="D2092" s="75"/>
      <c r="E2092" s="75"/>
      <c r="F2092" s="75"/>
    </row>
    <row r="2093" spans="2:6">
      <c r="B2093" s="75"/>
      <c r="C2093" s="75"/>
      <c r="D2093" s="75"/>
      <c r="E2093" s="75"/>
      <c r="F2093" s="75"/>
    </row>
    <row r="2094" spans="2:6">
      <c r="B2094" s="75"/>
      <c r="C2094" s="75"/>
      <c r="D2094" s="75"/>
      <c r="E2094" s="75"/>
      <c r="F2094" s="75"/>
    </row>
    <row r="2095" spans="2:6">
      <c r="B2095" s="75"/>
      <c r="C2095" s="75"/>
      <c r="D2095" s="75"/>
      <c r="E2095" s="75"/>
      <c r="F2095" s="75"/>
    </row>
    <row r="2096" spans="2:6">
      <c r="B2096" s="75"/>
      <c r="C2096" s="75"/>
      <c r="D2096" s="75"/>
      <c r="E2096" s="75"/>
      <c r="F2096" s="75"/>
    </row>
    <row r="2097" spans="2:6">
      <c r="B2097" s="75"/>
      <c r="C2097" s="75"/>
      <c r="D2097" s="75"/>
      <c r="E2097" s="75"/>
      <c r="F2097" s="75"/>
    </row>
    <row r="2098" spans="2:6">
      <c r="B2098" s="75"/>
      <c r="C2098" s="75"/>
      <c r="D2098" s="75"/>
      <c r="E2098" s="75"/>
      <c r="F2098" s="75"/>
    </row>
    <row r="2099" spans="2:6">
      <c r="B2099" s="75"/>
      <c r="C2099" s="75"/>
      <c r="D2099" s="75"/>
      <c r="E2099" s="75"/>
      <c r="F2099" s="75"/>
    </row>
    <row r="2100" spans="2:6">
      <c r="B2100" s="75"/>
      <c r="C2100" s="75"/>
      <c r="D2100" s="75"/>
      <c r="E2100" s="75"/>
      <c r="F2100" s="75"/>
    </row>
    <row r="2101" spans="2:6">
      <c r="B2101" s="75"/>
      <c r="C2101" s="75"/>
      <c r="D2101" s="75"/>
      <c r="E2101" s="75"/>
      <c r="F2101" s="75"/>
    </row>
    <row r="2102" spans="2:6">
      <c r="B2102" s="75"/>
      <c r="C2102" s="75"/>
      <c r="D2102" s="75"/>
      <c r="E2102" s="75"/>
      <c r="F2102" s="75"/>
    </row>
    <row r="2103" spans="2:6">
      <c r="B2103" s="75"/>
      <c r="C2103" s="75"/>
      <c r="D2103" s="75"/>
      <c r="E2103" s="75"/>
      <c r="F2103" s="75"/>
    </row>
    <row r="2104" spans="2:6">
      <c r="B2104" s="75"/>
      <c r="C2104" s="75"/>
      <c r="D2104" s="75"/>
      <c r="E2104" s="75"/>
      <c r="F2104" s="75"/>
    </row>
    <row r="2105" spans="2:6">
      <c r="B2105" s="75"/>
      <c r="C2105" s="75"/>
      <c r="D2105" s="75"/>
      <c r="E2105" s="75"/>
      <c r="F2105" s="75"/>
    </row>
    <row r="2106" spans="2:6">
      <c r="B2106" s="75"/>
      <c r="C2106" s="75"/>
      <c r="D2106" s="75"/>
      <c r="E2106" s="75"/>
      <c r="F2106" s="75"/>
    </row>
    <row r="2107" spans="2:6">
      <c r="B2107" s="75"/>
      <c r="C2107" s="75"/>
      <c r="D2107" s="75"/>
      <c r="E2107" s="75"/>
      <c r="F2107" s="75"/>
    </row>
    <row r="2108" spans="2:6">
      <c r="B2108" s="75"/>
      <c r="C2108" s="75"/>
      <c r="D2108" s="75"/>
      <c r="E2108" s="75"/>
      <c r="F2108" s="75"/>
    </row>
    <row r="2109" spans="2:6">
      <c r="B2109" s="75"/>
      <c r="C2109" s="75"/>
      <c r="D2109" s="75"/>
      <c r="E2109" s="75"/>
      <c r="F2109" s="75"/>
    </row>
    <row r="2110" spans="2:6">
      <c r="B2110" s="75"/>
      <c r="C2110" s="75"/>
      <c r="D2110" s="75"/>
      <c r="E2110" s="75"/>
      <c r="F2110" s="75"/>
    </row>
    <row r="2111" spans="2:6">
      <c r="B2111" s="75"/>
      <c r="C2111" s="75"/>
      <c r="D2111" s="75"/>
      <c r="E2111" s="75"/>
      <c r="F2111" s="75"/>
    </row>
    <row r="2112" spans="2:6">
      <c r="B2112" s="75"/>
      <c r="C2112" s="75"/>
      <c r="D2112" s="75"/>
      <c r="E2112" s="75"/>
      <c r="F2112" s="75"/>
    </row>
    <row r="2113" spans="2:6">
      <c r="B2113" s="75"/>
      <c r="C2113" s="75"/>
      <c r="D2113" s="75"/>
      <c r="E2113" s="75"/>
      <c r="F2113" s="75"/>
    </row>
    <row r="2114" spans="2:6">
      <c r="B2114" s="75"/>
      <c r="C2114" s="75"/>
      <c r="D2114" s="75"/>
      <c r="E2114" s="75"/>
      <c r="F2114" s="75"/>
    </row>
    <row r="2115" spans="2:6">
      <c r="B2115" s="75"/>
      <c r="C2115" s="75"/>
      <c r="D2115" s="75"/>
      <c r="E2115" s="75"/>
      <c r="F2115" s="75"/>
    </row>
    <row r="2116" spans="2:6">
      <c r="B2116" s="75"/>
      <c r="C2116" s="75"/>
      <c r="D2116" s="75"/>
      <c r="E2116" s="75"/>
      <c r="F2116" s="75"/>
    </row>
    <row r="2117" spans="2:6">
      <c r="B2117" s="75"/>
      <c r="C2117" s="75"/>
      <c r="D2117" s="75"/>
      <c r="E2117" s="75"/>
      <c r="F2117" s="75"/>
    </row>
    <row r="2118" spans="2:6">
      <c r="B2118" s="75"/>
      <c r="C2118" s="75"/>
      <c r="D2118" s="75"/>
      <c r="E2118" s="75"/>
      <c r="F2118" s="75"/>
    </row>
    <row r="2119" spans="2:6">
      <c r="B2119" s="75"/>
      <c r="C2119" s="75"/>
      <c r="D2119" s="75"/>
      <c r="E2119" s="75"/>
      <c r="F2119" s="75"/>
    </row>
    <row r="2120" spans="2:6">
      <c r="B2120" s="75"/>
      <c r="C2120" s="75"/>
      <c r="D2120" s="75"/>
      <c r="E2120" s="75"/>
      <c r="F2120" s="75"/>
    </row>
    <row r="2121" spans="2:6">
      <c r="B2121" s="75"/>
      <c r="C2121" s="75"/>
      <c r="D2121" s="75"/>
      <c r="E2121" s="75"/>
      <c r="F2121" s="75"/>
    </row>
    <row r="2122" spans="2:6">
      <c r="B2122" s="75"/>
      <c r="C2122" s="75"/>
      <c r="D2122" s="75"/>
      <c r="E2122" s="75"/>
      <c r="F2122" s="75"/>
    </row>
    <row r="2123" spans="2:6">
      <c r="B2123" s="75"/>
      <c r="C2123" s="75"/>
      <c r="D2123" s="75"/>
      <c r="E2123" s="75"/>
      <c r="F2123" s="75"/>
    </row>
    <row r="2124" spans="2:6">
      <c r="B2124" s="75"/>
      <c r="C2124" s="75"/>
      <c r="D2124" s="75"/>
      <c r="E2124" s="75"/>
      <c r="F2124" s="75"/>
    </row>
    <row r="2125" spans="2:6">
      <c r="B2125" s="75"/>
      <c r="C2125" s="75"/>
      <c r="D2125" s="75"/>
      <c r="E2125" s="75"/>
      <c r="F2125" s="75"/>
    </row>
    <row r="2126" spans="2:6">
      <c r="B2126" s="75"/>
      <c r="C2126" s="75"/>
      <c r="D2126" s="75"/>
      <c r="E2126" s="75"/>
      <c r="F2126" s="75"/>
    </row>
    <row r="2127" spans="2:6">
      <c r="B2127" s="75"/>
      <c r="C2127" s="75"/>
      <c r="D2127" s="75"/>
      <c r="E2127" s="75"/>
      <c r="F2127" s="75"/>
    </row>
    <row r="2128" spans="2:6">
      <c r="B2128" s="75"/>
      <c r="C2128" s="75"/>
      <c r="D2128" s="75"/>
      <c r="E2128" s="75"/>
      <c r="F2128" s="75"/>
    </row>
    <row r="2129" spans="2:6">
      <c r="B2129" s="75"/>
      <c r="C2129" s="75"/>
      <c r="D2129" s="75"/>
      <c r="E2129" s="75"/>
      <c r="F2129" s="75"/>
    </row>
    <row r="2130" spans="2:6">
      <c r="B2130" s="75"/>
      <c r="C2130" s="75"/>
      <c r="D2130" s="75"/>
      <c r="E2130" s="75"/>
      <c r="F2130" s="75"/>
    </row>
    <row r="2131" spans="2:6">
      <c r="B2131" s="75"/>
      <c r="C2131" s="75"/>
      <c r="D2131" s="75"/>
      <c r="E2131" s="75"/>
      <c r="F2131" s="75"/>
    </row>
    <row r="2132" spans="2:6">
      <c r="B2132" s="75"/>
      <c r="C2132" s="75"/>
      <c r="D2132" s="75"/>
      <c r="E2132" s="75"/>
      <c r="F2132" s="75"/>
    </row>
    <row r="2133" spans="2:6">
      <c r="B2133" s="75"/>
      <c r="C2133" s="75"/>
      <c r="D2133" s="75"/>
      <c r="E2133" s="75"/>
      <c r="F2133" s="75"/>
    </row>
    <row r="2134" spans="2:6">
      <c r="B2134" s="75"/>
      <c r="C2134" s="75"/>
      <c r="D2134" s="75"/>
      <c r="E2134" s="75"/>
      <c r="F2134" s="75"/>
    </row>
    <row r="2135" spans="2:6">
      <c r="B2135" s="75"/>
      <c r="C2135" s="75"/>
      <c r="D2135" s="75"/>
      <c r="E2135" s="75"/>
      <c r="F2135" s="75"/>
    </row>
    <row r="2136" spans="2:6">
      <c r="B2136" s="75"/>
      <c r="C2136" s="75"/>
      <c r="D2136" s="75"/>
      <c r="E2136" s="75"/>
      <c r="F2136" s="75"/>
    </row>
    <row r="2137" spans="2:6">
      <c r="B2137" s="75"/>
      <c r="C2137" s="75"/>
      <c r="D2137" s="75"/>
      <c r="E2137" s="75"/>
      <c r="F2137" s="75"/>
    </row>
    <row r="2138" spans="2:6">
      <c r="B2138" s="75"/>
      <c r="C2138" s="75"/>
      <c r="D2138" s="75"/>
      <c r="E2138" s="75"/>
      <c r="F2138" s="75"/>
    </row>
    <row r="2139" spans="2:6">
      <c r="B2139" s="75"/>
      <c r="C2139" s="75"/>
      <c r="D2139" s="75"/>
      <c r="E2139" s="75"/>
      <c r="F2139" s="75"/>
    </row>
    <row r="2140" spans="2:6">
      <c r="B2140" s="75"/>
      <c r="C2140" s="75"/>
      <c r="D2140" s="75"/>
      <c r="E2140" s="75"/>
      <c r="F2140" s="75"/>
    </row>
    <row r="2141" spans="2:6">
      <c r="B2141" s="75"/>
      <c r="C2141" s="75"/>
      <c r="D2141" s="75"/>
      <c r="E2141" s="75"/>
      <c r="F2141" s="75"/>
    </row>
    <row r="2142" spans="2:6">
      <c r="B2142" s="75"/>
      <c r="C2142" s="75"/>
      <c r="D2142" s="75"/>
      <c r="E2142" s="75"/>
      <c r="F2142" s="75"/>
    </row>
    <row r="2143" spans="2:6">
      <c r="B2143" s="75"/>
      <c r="C2143" s="75"/>
      <c r="D2143" s="75"/>
      <c r="E2143" s="75"/>
      <c r="F2143" s="75"/>
    </row>
    <row r="2144" spans="2:6">
      <c r="B2144" s="75"/>
      <c r="C2144" s="75"/>
      <c r="D2144" s="75"/>
      <c r="E2144" s="75"/>
      <c r="F2144" s="75"/>
    </row>
    <row r="2145" spans="2:6">
      <c r="B2145" s="75"/>
      <c r="C2145" s="75"/>
      <c r="D2145" s="75"/>
      <c r="E2145" s="75"/>
      <c r="F2145" s="75"/>
    </row>
    <row r="2146" spans="2:6">
      <c r="B2146" s="75"/>
      <c r="C2146" s="75"/>
      <c r="D2146" s="75"/>
      <c r="E2146" s="75"/>
      <c r="F2146" s="75"/>
    </row>
    <row r="2147" spans="2:6">
      <c r="B2147" s="75"/>
      <c r="C2147" s="75"/>
      <c r="D2147" s="75"/>
      <c r="E2147" s="75"/>
      <c r="F2147" s="75"/>
    </row>
    <row r="2148" spans="2:6">
      <c r="B2148" s="75"/>
      <c r="C2148" s="75"/>
      <c r="D2148" s="75"/>
      <c r="E2148" s="75"/>
      <c r="F2148" s="75"/>
    </row>
    <row r="2149" spans="2:6">
      <c r="B2149" s="75"/>
      <c r="C2149" s="75"/>
      <c r="D2149" s="75"/>
      <c r="E2149" s="75"/>
      <c r="F2149" s="75"/>
    </row>
    <row r="2150" spans="2:6">
      <c r="B2150" s="75"/>
      <c r="C2150" s="75"/>
      <c r="D2150" s="75"/>
      <c r="E2150" s="75"/>
      <c r="F2150" s="75"/>
    </row>
    <row r="2151" spans="2:6">
      <c r="B2151" s="75"/>
      <c r="C2151" s="75"/>
      <c r="D2151" s="75"/>
      <c r="E2151" s="75"/>
      <c r="F2151" s="75"/>
    </row>
    <row r="2152" spans="2:6">
      <c r="B2152" s="75"/>
      <c r="C2152" s="75"/>
      <c r="D2152" s="75"/>
      <c r="E2152" s="75"/>
      <c r="F2152" s="75"/>
    </row>
    <row r="2153" spans="2:6">
      <c r="B2153" s="75"/>
      <c r="C2153" s="75"/>
      <c r="D2153" s="75"/>
      <c r="E2153" s="75"/>
      <c r="F2153" s="75"/>
    </row>
    <row r="2154" spans="2:6">
      <c r="B2154" s="75"/>
      <c r="C2154" s="75"/>
      <c r="D2154" s="75"/>
      <c r="E2154" s="75"/>
      <c r="F2154" s="75"/>
    </row>
    <row r="2155" spans="2:6">
      <c r="B2155" s="75"/>
      <c r="C2155" s="75"/>
      <c r="D2155" s="75"/>
      <c r="E2155" s="75"/>
      <c r="F2155" s="75"/>
    </row>
    <row r="2156" spans="2:6">
      <c r="B2156" s="75"/>
      <c r="C2156" s="75"/>
      <c r="D2156" s="75"/>
      <c r="E2156" s="75"/>
      <c r="F2156" s="75"/>
    </row>
    <row r="2157" spans="2:6">
      <c r="B2157" s="75"/>
      <c r="C2157" s="75"/>
      <c r="D2157" s="75"/>
      <c r="E2157" s="75"/>
      <c r="F2157" s="75"/>
    </row>
    <row r="2158" spans="2:6">
      <c r="B2158" s="75"/>
      <c r="C2158" s="75"/>
      <c r="D2158" s="75"/>
      <c r="E2158" s="75"/>
      <c r="F2158" s="75"/>
    </row>
    <row r="2159" spans="2:6">
      <c r="B2159" s="75"/>
      <c r="C2159" s="75"/>
      <c r="D2159" s="75"/>
      <c r="E2159" s="75"/>
      <c r="F2159" s="75"/>
    </row>
    <row r="2160" spans="2:6">
      <c r="B2160" s="75"/>
      <c r="C2160" s="75"/>
      <c r="D2160" s="75"/>
      <c r="E2160" s="75"/>
      <c r="F2160" s="75"/>
    </row>
    <row r="2161" spans="2:6">
      <c r="B2161" s="75"/>
      <c r="C2161" s="75"/>
      <c r="D2161" s="75"/>
      <c r="E2161" s="75"/>
      <c r="F2161" s="75"/>
    </row>
    <row r="2162" spans="2:6">
      <c r="B2162" s="75"/>
      <c r="C2162" s="75"/>
      <c r="D2162" s="75"/>
      <c r="E2162" s="75"/>
      <c r="F2162" s="75"/>
    </row>
    <row r="2163" spans="2:6">
      <c r="B2163" s="75"/>
      <c r="C2163" s="75"/>
      <c r="D2163" s="75"/>
      <c r="E2163" s="75"/>
      <c r="F2163" s="75"/>
    </row>
    <row r="2164" spans="2:6">
      <c r="B2164" s="75"/>
      <c r="C2164" s="75"/>
      <c r="D2164" s="75"/>
      <c r="E2164" s="75"/>
      <c r="F2164" s="75"/>
    </row>
    <row r="2165" spans="2:6">
      <c r="B2165" s="75"/>
      <c r="C2165" s="75"/>
      <c r="D2165" s="75"/>
      <c r="E2165" s="75"/>
      <c r="F2165" s="75"/>
    </row>
    <row r="2166" spans="2:6">
      <c r="B2166" s="75"/>
      <c r="C2166" s="75"/>
      <c r="D2166" s="75"/>
      <c r="E2166" s="75"/>
      <c r="F2166" s="75"/>
    </row>
    <row r="2167" spans="2:6">
      <c r="B2167" s="75"/>
      <c r="C2167" s="75"/>
      <c r="D2167" s="75"/>
      <c r="E2167" s="75"/>
      <c r="F2167" s="75"/>
    </row>
    <row r="2168" spans="2:6">
      <c r="B2168" s="75"/>
      <c r="C2168" s="75"/>
      <c r="D2168" s="75"/>
      <c r="E2168" s="75"/>
      <c r="F2168" s="75"/>
    </row>
    <row r="2169" spans="2:6">
      <c r="B2169" s="75"/>
      <c r="C2169" s="75"/>
      <c r="D2169" s="75"/>
      <c r="E2169" s="75"/>
      <c r="F2169" s="75"/>
    </row>
    <row r="2170" spans="2:6">
      <c r="B2170" s="75"/>
      <c r="C2170" s="75"/>
      <c r="D2170" s="75"/>
      <c r="E2170" s="75"/>
      <c r="F2170" s="75"/>
    </row>
    <row r="2171" spans="2:6">
      <c r="B2171" s="75"/>
      <c r="C2171" s="75"/>
      <c r="D2171" s="75"/>
      <c r="E2171" s="75"/>
      <c r="F2171" s="75"/>
    </row>
    <row r="2172" spans="2:6">
      <c r="B2172" s="75"/>
      <c r="C2172" s="75"/>
      <c r="D2172" s="75"/>
      <c r="E2172" s="75"/>
      <c r="F2172" s="75"/>
    </row>
    <row r="2173" spans="2:6">
      <c r="B2173" s="75"/>
      <c r="C2173" s="75"/>
      <c r="D2173" s="75"/>
      <c r="E2173" s="75"/>
      <c r="F2173" s="75"/>
    </row>
    <row r="2174" spans="2:6">
      <c r="B2174" s="75"/>
      <c r="C2174" s="75"/>
      <c r="D2174" s="75"/>
      <c r="E2174" s="75"/>
      <c r="F2174" s="75"/>
    </row>
    <row r="2175" spans="2:6">
      <c r="B2175" s="75"/>
      <c r="C2175" s="75"/>
      <c r="D2175" s="75"/>
      <c r="E2175" s="75"/>
      <c r="F2175" s="75"/>
    </row>
    <row r="2176" spans="2:6">
      <c r="B2176" s="75"/>
      <c r="C2176" s="75"/>
      <c r="D2176" s="75"/>
      <c r="E2176" s="75"/>
      <c r="F2176" s="75"/>
    </row>
    <row r="2177" spans="2:6">
      <c r="B2177" s="75"/>
      <c r="C2177" s="75"/>
      <c r="D2177" s="75"/>
      <c r="E2177" s="75"/>
      <c r="F2177" s="75"/>
    </row>
    <row r="2178" spans="2:6">
      <c r="B2178" s="75"/>
      <c r="C2178" s="75"/>
      <c r="D2178" s="75"/>
      <c r="E2178" s="75"/>
      <c r="F2178" s="75"/>
    </row>
    <row r="2179" spans="2:6">
      <c r="B2179" s="75"/>
      <c r="C2179" s="75"/>
      <c r="D2179" s="75"/>
      <c r="E2179" s="75"/>
      <c r="F2179" s="75"/>
    </row>
    <row r="2180" spans="2:6">
      <c r="B2180" s="75"/>
      <c r="C2180" s="75"/>
      <c r="D2180" s="75"/>
      <c r="E2180" s="75"/>
      <c r="F2180" s="75"/>
    </row>
    <row r="2181" spans="2:6">
      <c r="B2181" s="75"/>
      <c r="C2181" s="75"/>
      <c r="D2181" s="75"/>
      <c r="E2181" s="75"/>
      <c r="F2181" s="75"/>
    </row>
    <row r="2182" spans="2:6">
      <c r="B2182" s="75"/>
      <c r="C2182" s="75"/>
      <c r="D2182" s="75"/>
      <c r="E2182" s="75"/>
      <c r="F2182" s="75"/>
    </row>
    <row r="2183" spans="2:6">
      <c r="B2183" s="75"/>
      <c r="C2183" s="75"/>
      <c r="D2183" s="75"/>
      <c r="E2183" s="75"/>
      <c r="F2183" s="75"/>
    </row>
    <row r="2184" spans="2:6">
      <c r="B2184" s="75"/>
      <c r="C2184" s="75"/>
      <c r="D2184" s="75"/>
      <c r="E2184" s="75"/>
      <c r="F2184" s="75"/>
    </row>
    <row r="2185" spans="2:6">
      <c r="B2185" s="75"/>
      <c r="C2185" s="75"/>
      <c r="D2185" s="75"/>
      <c r="E2185" s="75"/>
      <c r="F2185" s="75"/>
    </row>
    <row r="2186" spans="2:6">
      <c r="B2186" s="75"/>
      <c r="C2186" s="75"/>
      <c r="D2186" s="75"/>
      <c r="E2186" s="75"/>
      <c r="F2186" s="75"/>
    </row>
    <row r="2187" spans="2:6">
      <c r="B2187" s="75"/>
      <c r="C2187" s="75"/>
      <c r="D2187" s="75"/>
      <c r="E2187" s="75"/>
      <c r="F2187" s="75"/>
    </row>
    <row r="2188" spans="2:6">
      <c r="B2188" s="75"/>
      <c r="C2188" s="75"/>
      <c r="D2188" s="75"/>
      <c r="E2188" s="75"/>
      <c r="F2188" s="75"/>
    </row>
    <row r="2189" spans="2:6">
      <c r="B2189" s="75"/>
      <c r="C2189" s="75"/>
      <c r="D2189" s="75"/>
      <c r="E2189" s="75"/>
      <c r="F2189" s="75"/>
    </row>
    <row r="2190" spans="2:6">
      <c r="B2190" s="75"/>
      <c r="C2190" s="75"/>
      <c r="D2190" s="75"/>
      <c r="E2190" s="75"/>
      <c r="F2190" s="75"/>
    </row>
    <row r="2191" spans="2:6">
      <c r="B2191" s="75"/>
      <c r="C2191" s="75"/>
      <c r="D2191" s="75"/>
      <c r="E2191" s="75"/>
      <c r="F2191" s="75"/>
    </row>
    <row r="2192" spans="2:6">
      <c r="B2192" s="75"/>
      <c r="C2192" s="75"/>
      <c r="D2192" s="75"/>
      <c r="E2192" s="75"/>
      <c r="F2192" s="75"/>
    </row>
    <row r="2193" spans="2:6">
      <c r="B2193" s="75"/>
      <c r="C2193" s="75"/>
      <c r="D2193" s="75"/>
      <c r="E2193" s="75"/>
      <c r="F2193" s="75"/>
    </row>
    <row r="2194" spans="2:6">
      <c r="B2194" s="75"/>
      <c r="C2194" s="75"/>
      <c r="D2194" s="75"/>
      <c r="E2194" s="75"/>
      <c r="F2194" s="75"/>
    </row>
    <row r="2195" spans="2:6">
      <c r="B2195" s="75"/>
      <c r="C2195" s="75"/>
      <c r="D2195" s="75"/>
      <c r="E2195" s="75"/>
      <c r="F2195" s="75"/>
    </row>
    <row r="2196" spans="2:6">
      <c r="B2196" s="75"/>
      <c r="C2196" s="75"/>
      <c r="D2196" s="75"/>
      <c r="E2196" s="75"/>
      <c r="F2196" s="75"/>
    </row>
    <row r="2197" spans="2:6">
      <c r="B2197" s="75"/>
      <c r="C2197" s="75"/>
      <c r="D2197" s="75"/>
      <c r="E2197" s="75"/>
      <c r="F2197" s="75"/>
    </row>
    <row r="2198" spans="2:6">
      <c r="B2198" s="75"/>
      <c r="C2198" s="75"/>
      <c r="D2198" s="75"/>
      <c r="E2198" s="75"/>
      <c r="F2198" s="75"/>
    </row>
    <row r="2199" spans="2:6">
      <c r="B2199" s="75"/>
      <c r="C2199" s="75"/>
      <c r="D2199" s="75"/>
      <c r="E2199" s="75"/>
      <c r="F2199" s="75"/>
    </row>
    <row r="2200" spans="2:6">
      <c r="B2200" s="75"/>
      <c r="C2200" s="75"/>
      <c r="D2200" s="75"/>
      <c r="E2200" s="75"/>
      <c r="F2200" s="75"/>
    </row>
    <row r="2201" spans="2:6">
      <c r="B2201" s="75"/>
      <c r="C2201" s="75"/>
      <c r="D2201" s="75"/>
      <c r="E2201" s="75"/>
      <c r="F2201" s="75"/>
    </row>
    <row r="2202" spans="2:6">
      <c r="B2202" s="75"/>
      <c r="C2202" s="75"/>
      <c r="D2202" s="75"/>
      <c r="E2202" s="75"/>
      <c r="F2202" s="75"/>
    </row>
    <row r="2203" spans="2:6">
      <c r="B2203" s="75"/>
      <c r="C2203" s="75"/>
      <c r="D2203" s="75"/>
      <c r="E2203" s="75"/>
      <c r="F2203" s="75"/>
    </row>
    <row r="2204" spans="2:6">
      <c r="B2204" s="75"/>
      <c r="C2204" s="75"/>
      <c r="D2204" s="75"/>
      <c r="E2204" s="75"/>
      <c r="F2204" s="75"/>
    </row>
    <row r="2205" spans="2:6">
      <c r="B2205" s="75"/>
      <c r="C2205" s="75"/>
      <c r="D2205" s="75"/>
      <c r="E2205" s="75"/>
      <c r="F2205" s="75"/>
    </row>
    <row r="2206" spans="2:6">
      <c r="B2206" s="75"/>
      <c r="C2206" s="75"/>
      <c r="D2206" s="75"/>
      <c r="E2206" s="75"/>
      <c r="F2206" s="75"/>
    </row>
    <row r="2207" spans="2:6">
      <c r="B2207" s="75"/>
      <c r="C2207" s="75"/>
      <c r="D2207" s="75"/>
      <c r="E2207" s="75"/>
      <c r="F2207" s="75"/>
    </row>
    <row r="2208" spans="2:6">
      <c r="B2208" s="75"/>
      <c r="C2208" s="75"/>
      <c r="D2208" s="75"/>
      <c r="E2208" s="75"/>
      <c r="F2208" s="75"/>
    </row>
    <row r="2209" spans="2:6">
      <c r="B2209" s="75"/>
      <c r="C2209" s="75"/>
      <c r="D2209" s="75"/>
      <c r="E2209" s="75"/>
      <c r="F2209" s="75"/>
    </row>
    <row r="2210" spans="2:6">
      <c r="B2210" s="75"/>
      <c r="C2210" s="75"/>
      <c r="D2210" s="75"/>
      <c r="E2210" s="75"/>
      <c r="F2210" s="75"/>
    </row>
    <row r="2211" spans="2:6">
      <c r="B2211" s="75"/>
      <c r="C2211" s="75"/>
      <c r="D2211" s="75"/>
      <c r="E2211" s="75"/>
      <c r="F2211" s="75"/>
    </row>
    <row r="2212" spans="2:6">
      <c r="B2212" s="75"/>
      <c r="C2212" s="75"/>
      <c r="D2212" s="75"/>
      <c r="E2212" s="75"/>
      <c r="F2212" s="75"/>
    </row>
    <row r="2213" spans="2:6">
      <c r="B2213" s="75"/>
      <c r="C2213" s="75"/>
      <c r="D2213" s="75"/>
      <c r="E2213" s="75"/>
      <c r="F2213" s="75"/>
    </row>
    <row r="2214" spans="2:6">
      <c r="B2214" s="75"/>
      <c r="C2214" s="75"/>
      <c r="D2214" s="75"/>
      <c r="E2214" s="75"/>
      <c r="F2214" s="75"/>
    </row>
    <row r="2215" spans="2:6">
      <c r="B2215" s="75"/>
      <c r="C2215" s="75"/>
      <c r="D2215" s="75"/>
      <c r="E2215" s="75"/>
      <c r="F2215" s="75"/>
    </row>
    <row r="2216" spans="2:6">
      <c r="B2216" s="75"/>
      <c r="C2216" s="75"/>
      <c r="D2216" s="75"/>
      <c r="E2216" s="75"/>
      <c r="F2216" s="75"/>
    </row>
    <row r="2217" spans="2:6">
      <c r="B2217" s="75"/>
      <c r="C2217" s="75"/>
      <c r="D2217" s="75"/>
      <c r="E2217" s="75"/>
      <c r="F2217" s="75"/>
    </row>
    <row r="2218" spans="2:6">
      <c r="B2218" s="75"/>
      <c r="C2218" s="75"/>
      <c r="D2218" s="75"/>
      <c r="E2218" s="75"/>
      <c r="F2218" s="75"/>
    </row>
    <row r="2219" spans="2:6">
      <c r="B2219" s="75"/>
      <c r="C2219" s="75"/>
      <c r="D2219" s="75"/>
      <c r="E2219" s="75"/>
      <c r="F2219" s="75"/>
    </row>
    <row r="2220" spans="2:6">
      <c r="B2220" s="75"/>
      <c r="C2220" s="75"/>
      <c r="D2220" s="75"/>
      <c r="E2220" s="75"/>
      <c r="F2220" s="75"/>
    </row>
    <row r="2221" spans="2:6">
      <c r="B2221" s="75"/>
      <c r="C2221" s="75"/>
      <c r="D2221" s="75"/>
      <c r="E2221" s="75"/>
      <c r="F2221" s="75"/>
    </row>
    <row r="2222" spans="2:6">
      <c r="B2222" s="75"/>
      <c r="C2222" s="75"/>
      <c r="D2222" s="75"/>
      <c r="E2222" s="75"/>
      <c r="F2222" s="75"/>
    </row>
    <row r="2223" spans="2:6">
      <c r="B2223" s="75"/>
      <c r="C2223" s="75"/>
      <c r="D2223" s="75"/>
      <c r="E2223" s="75"/>
      <c r="F2223" s="75"/>
    </row>
    <row r="2224" spans="2:6">
      <c r="B2224" s="75"/>
      <c r="C2224" s="75"/>
      <c r="D2224" s="75"/>
      <c r="E2224" s="75"/>
      <c r="F2224" s="75"/>
    </row>
    <row r="2225" spans="2:6">
      <c r="B2225" s="75"/>
      <c r="C2225" s="75"/>
      <c r="D2225" s="75"/>
      <c r="E2225" s="75"/>
      <c r="F2225" s="75"/>
    </row>
    <row r="2226" spans="2:6">
      <c r="B2226" s="75"/>
      <c r="C2226" s="75"/>
      <c r="D2226" s="75"/>
      <c r="E2226" s="75"/>
      <c r="F2226" s="75"/>
    </row>
    <row r="2227" spans="2:6">
      <c r="B2227" s="75"/>
      <c r="C2227" s="75"/>
      <c r="D2227" s="75"/>
      <c r="E2227" s="75"/>
      <c r="F2227" s="75"/>
    </row>
    <row r="2228" spans="2:6">
      <c r="B2228" s="75"/>
      <c r="C2228" s="75"/>
      <c r="D2228" s="75"/>
      <c r="E2228" s="75"/>
      <c r="F2228" s="75"/>
    </row>
    <row r="2229" spans="2:6">
      <c r="B2229" s="75"/>
      <c r="C2229" s="75"/>
      <c r="D2229" s="75"/>
      <c r="E2229" s="75"/>
      <c r="F2229" s="75"/>
    </row>
    <row r="2230" spans="2:6">
      <c r="B2230" s="75"/>
      <c r="C2230" s="75"/>
      <c r="D2230" s="75"/>
      <c r="E2230" s="75"/>
      <c r="F2230" s="75"/>
    </row>
    <row r="2231" spans="2:6">
      <c r="B2231" s="75"/>
      <c r="C2231" s="75"/>
      <c r="D2231" s="75"/>
      <c r="E2231" s="75"/>
      <c r="F2231" s="75"/>
    </row>
    <row r="2232" spans="2:6">
      <c r="B2232" s="75"/>
      <c r="C2232" s="75"/>
      <c r="D2232" s="75"/>
      <c r="E2232" s="75"/>
      <c r="F2232" s="75"/>
    </row>
    <row r="2233" spans="2:6">
      <c r="B2233" s="75"/>
      <c r="C2233" s="75"/>
      <c r="D2233" s="75"/>
      <c r="E2233" s="75"/>
      <c r="F2233" s="75"/>
    </row>
    <row r="2234" spans="2:6">
      <c r="B2234" s="75"/>
      <c r="C2234" s="75"/>
      <c r="D2234" s="75"/>
      <c r="E2234" s="75"/>
      <c r="F2234" s="75"/>
    </row>
    <row r="2235" spans="2:6">
      <c r="B2235" s="75"/>
      <c r="C2235" s="75"/>
      <c r="D2235" s="75"/>
      <c r="E2235" s="75"/>
      <c r="F2235" s="75"/>
    </row>
    <row r="2236" spans="2:6">
      <c r="B2236" s="75"/>
      <c r="C2236" s="75"/>
      <c r="D2236" s="75"/>
      <c r="E2236" s="75"/>
      <c r="F2236" s="75"/>
    </row>
    <row r="2237" spans="2:6">
      <c r="B2237" s="75"/>
      <c r="C2237" s="75"/>
      <c r="D2237" s="75"/>
      <c r="E2237" s="75"/>
      <c r="F2237" s="75"/>
    </row>
    <row r="2238" spans="2:6">
      <c r="B2238" s="75"/>
      <c r="C2238" s="75"/>
      <c r="D2238" s="75"/>
      <c r="E2238" s="75"/>
      <c r="F2238" s="75"/>
    </row>
    <row r="2239" spans="2:6">
      <c r="B2239" s="75"/>
      <c r="C2239" s="75"/>
      <c r="D2239" s="75"/>
      <c r="E2239" s="75"/>
      <c r="F2239" s="75"/>
    </row>
    <row r="2240" spans="2:6">
      <c r="B2240" s="75"/>
      <c r="C2240" s="75"/>
      <c r="D2240" s="75"/>
      <c r="E2240" s="75"/>
      <c r="F2240" s="75"/>
    </row>
    <row r="2241" spans="2:6">
      <c r="B2241" s="75"/>
      <c r="C2241" s="75"/>
      <c r="D2241" s="75"/>
      <c r="E2241" s="75"/>
      <c r="F2241" s="75"/>
    </row>
    <row r="2242" spans="2:6">
      <c r="B2242" s="75"/>
      <c r="C2242" s="75"/>
      <c r="D2242" s="75"/>
      <c r="E2242" s="75"/>
      <c r="F2242" s="75"/>
    </row>
    <row r="2243" spans="2:6">
      <c r="B2243" s="75"/>
      <c r="C2243" s="75"/>
      <c r="D2243" s="75"/>
      <c r="E2243" s="75"/>
      <c r="F2243" s="75"/>
    </row>
    <row r="2244" spans="2:6">
      <c r="B2244" s="75"/>
      <c r="C2244" s="75"/>
      <c r="D2244" s="75"/>
      <c r="E2244" s="75"/>
      <c r="F2244" s="75"/>
    </row>
    <row r="2245" spans="2:6">
      <c r="B2245" s="75"/>
      <c r="C2245" s="75"/>
      <c r="D2245" s="75"/>
      <c r="E2245" s="75"/>
      <c r="F2245" s="75"/>
    </row>
    <row r="2246" spans="2:6">
      <c r="B2246" s="75"/>
      <c r="C2246" s="75"/>
      <c r="D2246" s="75"/>
      <c r="E2246" s="75"/>
      <c r="F2246" s="75"/>
    </row>
    <row r="2247" spans="2:6">
      <c r="B2247" s="75"/>
      <c r="C2247" s="75"/>
      <c r="D2247" s="75"/>
      <c r="E2247" s="75"/>
      <c r="F2247" s="75"/>
    </row>
    <row r="2248" spans="2:6">
      <c r="B2248" s="75"/>
      <c r="C2248" s="75"/>
      <c r="D2248" s="75"/>
      <c r="E2248" s="75"/>
      <c r="F2248" s="75"/>
    </row>
    <row r="2249" spans="2:6">
      <c r="B2249" s="75"/>
      <c r="C2249" s="75"/>
      <c r="D2249" s="75"/>
      <c r="E2249" s="75"/>
      <c r="F2249" s="75"/>
    </row>
    <row r="2250" spans="2:6">
      <c r="B2250" s="75"/>
      <c r="C2250" s="75"/>
      <c r="D2250" s="75"/>
      <c r="E2250" s="75"/>
      <c r="F2250" s="75"/>
    </row>
    <row r="2251" spans="2:6">
      <c r="B2251" s="75"/>
      <c r="C2251" s="75"/>
      <c r="D2251" s="75"/>
      <c r="E2251" s="75"/>
      <c r="F2251" s="75"/>
    </row>
    <row r="2252" spans="2:6">
      <c r="B2252" s="75"/>
      <c r="C2252" s="75"/>
      <c r="D2252" s="75"/>
      <c r="E2252" s="75"/>
      <c r="F2252" s="75"/>
    </row>
    <row r="2253" spans="2:6">
      <c r="B2253" s="75"/>
      <c r="C2253" s="75"/>
      <c r="D2253" s="75"/>
      <c r="E2253" s="75"/>
      <c r="F2253" s="75"/>
    </row>
    <row r="2254" spans="2:6">
      <c r="B2254" s="75"/>
      <c r="C2254" s="75"/>
      <c r="D2254" s="75"/>
      <c r="E2254" s="75"/>
      <c r="F2254" s="75"/>
    </row>
    <row r="2255" spans="2:6">
      <c r="B2255" s="75"/>
      <c r="C2255" s="75"/>
      <c r="D2255" s="75"/>
      <c r="E2255" s="75"/>
      <c r="F2255" s="75"/>
    </row>
    <row r="2256" spans="2:6">
      <c r="B2256" s="75"/>
      <c r="C2256" s="75"/>
      <c r="D2256" s="75"/>
      <c r="E2256" s="75"/>
      <c r="F2256" s="75"/>
    </row>
    <row r="2257" spans="2:6">
      <c r="B2257" s="75"/>
      <c r="C2257" s="75"/>
      <c r="D2257" s="75"/>
      <c r="E2257" s="75"/>
      <c r="F2257" s="75"/>
    </row>
    <row r="2258" spans="2:6">
      <c r="B2258" s="75"/>
      <c r="C2258" s="75"/>
      <c r="D2258" s="75"/>
      <c r="E2258" s="75"/>
      <c r="F2258" s="75"/>
    </row>
    <row r="2259" spans="2:6">
      <c r="B2259" s="75"/>
      <c r="C2259" s="75"/>
      <c r="D2259" s="75"/>
      <c r="E2259" s="75"/>
      <c r="F2259" s="75"/>
    </row>
    <row r="2260" spans="2:6">
      <c r="B2260" s="75"/>
      <c r="C2260" s="75"/>
      <c r="D2260" s="75"/>
      <c r="E2260" s="75"/>
      <c r="F2260" s="75"/>
    </row>
    <row r="2261" spans="2:6">
      <c r="B2261" s="75"/>
      <c r="C2261" s="75"/>
      <c r="D2261" s="75"/>
      <c r="E2261" s="75"/>
      <c r="F2261" s="75"/>
    </row>
    <row r="2262" spans="2:6">
      <c r="B2262" s="75"/>
      <c r="C2262" s="75"/>
      <c r="D2262" s="75"/>
      <c r="E2262" s="75"/>
      <c r="F2262" s="75"/>
    </row>
    <row r="2263" spans="2:6">
      <c r="B2263" s="75"/>
      <c r="C2263" s="75"/>
      <c r="D2263" s="75"/>
      <c r="E2263" s="75"/>
      <c r="F2263" s="75"/>
    </row>
    <row r="2264" spans="2:6">
      <c r="B2264" s="75"/>
      <c r="C2264" s="75"/>
      <c r="D2264" s="75"/>
      <c r="E2264" s="75"/>
      <c r="F2264" s="75"/>
    </row>
    <row r="2265" spans="2:6">
      <c r="B2265" s="75"/>
      <c r="C2265" s="75"/>
      <c r="D2265" s="75"/>
      <c r="E2265" s="75"/>
      <c r="F2265" s="75"/>
    </row>
    <row r="2266" spans="2:6">
      <c r="B2266" s="75"/>
      <c r="C2266" s="75"/>
      <c r="D2266" s="75"/>
      <c r="E2266" s="75"/>
      <c r="F2266" s="75"/>
    </row>
    <row r="2267" spans="2:6">
      <c r="B2267" s="75"/>
      <c r="C2267" s="75"/>
      <c r="D2267" s="75"/>
      <c r="E2267" s="75"/>
      <c r="F2267" s="75"/>
    </row>
    <row r="2268" spans="2:6">
      <c r="B2268" s="75"/>
      <c r="C2268" s="75"/>
      <c r="D2268" s="75"/>
      <c r="E2268" s="75"/>
      <c r="F2268" s="75"/>
    </row>
    <row r="2269" spans="2:6">
      <c r="B2269" s="75"/>
      <c r="C2269" s="75"/>
      <c r="D2269" s="75"/>
      <c r="E2269" s="75"/>
      <c r="F2269" s="75"/>
    </row>
    <row r="2270" spans="2:6">
      <c r="B2270" s="75"/>
      <c r="C2270" s="75"/>
      <c r="D2270" s="75"/>
      <c r="E2270" s="75"/>
      <c r="F2270" s="75"/>
    </row>
    <row r="2271" spans="2:6">
      <c r="B2271" s="75"/>
      <c r="C2271" s="75"/>
      <c r="D2271" s="75"/>
      <c r="E2271" s="75"/>
      <c r="F2271" s="75"/>
    </row>
    <row r="2272" spans="2:6">
      <c r="B2272" s="75"/>
      <c r="C2272" s="75"/>
      <c r="D2272" s="75"/>
      <c r="E2272" s="75"/>
      <c r="F2272" s="75"/>
    </row>
    <row r="2273" spans="2:6">
      <c r="B2273" s="75"/>
      <c r="C2273" s="75"/>
      <c r="D2273" s="75"/>
      <c r="E2273" s="75"/>
      <c r="F2273" s="75"/>
    </row>
    <row r="2274" spans="2:6">
      <c r="B2274" s="75"/>
      <c r="C2274" s="75"/>
      <c r="D2274" s="75"/>
      <c r="E2274" s="75"/>
      <c r="F2274" s="75"/>
    </row>
    <row r="2275" spans="2:6">
      <c r="B2275" s="75"/>
      <c r="C2275" s="75"/>
      <c r="D2275" s="75"/>
      <c r="E2275" s="75"/>
      <c r="F2275" s="75"/>
    </row>
    <row r="2276" spans="2:6">
      <c r="B2276" s="75"/>
      <c r="C2276" s="75"/>
      <c r="D2276" s="75"/>
      <c r="E2276" s="75"/>
      <c r="F2276" s="75"/>
    </row>
    <row r="2277" spans="2:6">
      <c r="B2277" s="75"/>
      <c r="C2277" s="75"/>
      <c r="D2277" s="75"/>
      <c r="E2277" s="75"/>
      <c r="F2277" s="75"/>
    </row>
    <row r="2278" spans="2:6">
      <c r="B2278" s="75"/>
      <c r="C2278" s="75"/>
      <c r="D2278" s="75"/>
      <c r="E2278" s="75"/>
      <c r="F2278" s="75"/>
    </row>
    <row r="2279" spans="2:6">
      <c r="B2279" s="75"/>
      <c r="C2279" s="75"/>
      <c r="D2279" s="75"/>
      <c r="E2279" s="75"/>
      <c r="F2279" s="75"/>
    </row>
    <row r="2280" spans="2:6">
      <c r="B2280" s="75"/>
      <c r="C2280" s="75"/>
      <c r="D2280" s="75"/>
      <c r="E2280" s="75"/>
      <c r="F2280" s="75"/>
    </row>
    <row r="2281" spans="2:6">
      <c r="B2281" s="75"/>
      <c r="C2281" s="75"/>
      <c r="D2281" s="75"/>
      <c r="E2281" s="75"/>
      <c r="F2281" s="75"/>
    </row>
    <row r="2282" spans="2:6">
      <c r="B2282" s="75"/>
      <c r="C2282" s="75"/>
      <c r="D2282" s="75"/>
      <c r="E2282" s="75"/>
      <c r="F2282" s="75"/>
    </row>
    <row r="2283" spans="2:6">
      <c r="B2283" s="75"/>
      <c r="C2283" s="75"/>
      <c r="D2283" s="75"/>
      <c r="E2283" s="75"/>
      <c r="F2283" s="75"/>
    </row>
    <row r="2284" spans="2:6">
      <c r="B2284" s="75"/>
      <c r="C2284" s="75"/>
      <c r="D2284" s="75"/>
      <c r="E2284" s="75"/>
      <c r="F2284" s="75"/>
    </row>
    <row r="2285" spans="2:6">
      <c r="B2285" s="75"/>
      <c r="C2285" s="75"/>
      <c r="D2285" s="75"/>
      <c r="E2285" s="75"/>
      <c r="F2285" s="75"/>
    </row>
    <row r="2286" spans="2:6">
      <c r="B2286" s="75"/>
      <c r="C2286" s="75"/>
      <c r="D2286" s="75"/>
      <c r="E2286" s="75"/>
      <c r="F2286" s="75"/>
    </row>
    <row r="2287" spans="2:6">
      <c r="B2287" s="75"/>
      <c r="C2287" s="75"/>
      <c r="D2287" s="75"/>
      <c r="E2287" s="75"/>
      <c r="F2287" s="75"/>
    </row>
    <row r="2288" spans="2:6">
      <c r="B2288" s="75"/>
      <c r="C2288" s="75"/>
      <c r="D2288" s="75"/>
      <c r="E2288" s="75"/>
      <c r="F2288" s="75"/>
    </row>
    <row r="2289" spans="2:6">
      <c r="B2289" s="75"/>
      <c r="C2289" s="75"/>
      <c r="D2289" s="75"/>
      <c r="E2289" s="75"/>
      <c r="F2289" s="75"/>
    </row>
    <row r="2290" spans="2:6">
      <c r="B2290" s="75"/>
      <c r="C2290" s="75"/>
      <c r="D2290" s="75"/>
      <c r="E2290" s="75"/>
      <c r="F2290" s="75"/>
    </row>
    <row r="2291" spans="2:6">
      <c r="B2291" s="75"/>
      <c r="C2291" s="75"/>
      <c r="D2291" s="75"/>
      <c r="E2291" s="75"/>
      <c r="F2291" s="75"/>
    </row>
    <row r="2292" spans="2:6">
      <c r="B2292" s="75"/>
      <c r="C2292" s="75"/>
      <c r="D2292" s="75"/>
      <c r="E2292" s="75"/>
      <c r="F2292" s="75"/>
    </row>
    <row r="2293" spans="2:6">
      <c r="B2293" s="75"/>
      <c r="C2293" s="75"/>
      <c r="D2293" s="75"/>
      <c r="E2293" s="75"/>
      <c r="F2293" s="75"/>
    </row>
    <row r="2294" spans="2:6">
      <c r="B2294" s="75"/>
      <c r="C2294" s="75"/>
      <c r="D2294" s="75"/>
      <c r="E2294" s="75"/>
      <c r="F2294" s="75"/>
    </row>
    <row r="2295" spans="2:6">
      <c r="B2295" s="75"/>
      <c r="C2295" s="75"/>
      <c r="D2295" s="75"/>
      <c r="E2295" s="75"/>
      <c r="F2295" s="75"/>
    </row>
    <row r="2296" spans="2:6">
      <c r="B2296" s="75"/>
      <c r="C2296" s="75"/>
      <c r="D2296" s="75"/>
      <c r="E2296" s="75"/>
      <c r="F2296" s="75"/>
    </row>
    <row r="2297" spans="2:6">
      <c r="B2297" s="75"/>
      <c r="C2297" s="75"/>
      <c r="D2297" s="75"/>
      <c r="E2297" s="75"/>
      <c r="F2297" s="75"/>
    </row>
    <row r="2298" spans="2:6">
      <c r="B2298" s="75"/>
      <c r="C2298" s="75"/>
      <c r="D2298" s="75"/>
      <c r="E2298" s="75"/>
      <c r="F2298" s="75"/>
    </row>
    <row r="2299" spans="2:6">
      <c r="B2299" s="75"/>
      <c r="C2299" s="75"/>
      <c r="D2299" s="75"/>
      <c r="E2299" s="75"/>
      <c r="F2299" s="75"/>
    </row>
    <row r="2300" spans="2:6">
      <c r="B2300" s="75"/>
      <c r="C2300" s="75"/>
      <c r="D2300" s="75"/>
      <c r="E2300" s="75"/>
      <c r="F2300" s="75"/>
    </row>
    <row r="2301" spans="2:6">
      <c r="B2301" s="75"/>
      <c r="C2301" s="75"/>
      <c r="D2301" s="75"/>
      <c r="E2301" s="75"/>
      <c r="F2301" s="75"/>
    </row>
    <row r="2302" spans="2:6">
      <c r="B2302" s="75"/>
      <c r="C2302" s="75"/>
      <c r="D2302" s="75"/>
      <c r="E2302" s="75"/>
      <c r="F2302" s="75"/>
    </row>
    <row r="2303" spans="2:6">
      <c r="B2303" s="75"/>
      <c r="C2303" s="75"/>
      <c r="D2303" s="75"/>
      <c r="E2303" s="75"/>
      <c r="F2303" s="75"/>
    </row>
    <row r="2304" spans="2:6">
      <c r="B2304" s="75"/>
      <c r="C2304" s="75"/>
      <c r="D2304" s="75"/>
      <c r="E2304" s="75"/>
      <c r="F2304" s="75"/>
    </row>
    <row r="2305" spans="2:6">
      <c r="B2305" s="75"/>
      <c r="C2305" s="75"/>
      <c r="D2305" s="75"/>
      <c r="E2305" s="75"/>
      <c r="F2305" s="75"/>
    </row>
    <row r="2306" spans="2:6">
      <c r="B2306" s="75"/>
      <c r="C2306" s="75"/>
      <c r="D2306" s="75"/>
      <c r="E2306" s="75"/>
      <c r="F2306" s="75"/>
    </row>
    <row r="2307" spans="2:6">
      <c r="B2307" s="75"/>
      <c r="C2307" s="75"/>
      <c r="D2307" s="75"/>
      <c r="E2307" s="75"/>
      <c r="F2307" s="75"/>
    </row>
    <row r="2308" spans="2:6">
      <c r="B2308" s="75"/>
      <c r="C2308" s="75"/>
      <c r="D2308" s="75"/>
      <c r="E2308" s="75"/>
      <c r="F2308" s="75"/>
    </row>
    <row r="2309" spans="2:6">
      <c r="B2309" s="75"/>
      <c r="C2309" s="75"/>
      <c r="D2309" s="75"/>
      <c r="E2309" s="75"/>
      <c r="F2309" s="75"/>
    </row>
    <row r="2310" spans="2:6">
      <c r="B2310" s="75"/>
      <c r="C2310" s="75"/>
      <c r="D2310" s="75"/>
      <c r="E2310" s="75"/>
      <c r="F2310" s="75"/>
    </row>
    <row r="2311" spans="2:6">
      <c r="B2311" s="75"/>
      <c r="C2311" s="75"/>
      <c r="D2311" s="75"/>
      <c r="E2311" s="75"/>
      <c r="F2311" s="75"/>
    </row>
    <row r="2312" spans="2:6">
      <c r="B2312" s="75"/>
      <c r="C2312" s="75"/>
      <c r="D2312" s="75"/>
      <c r="E2312" s="75"/>
      <c r="F2312" s="75"/>
    </row>
    <row r="2313" spans="2:6">
      <c r="B2313" s="75"/>
      <c r="C2313" s="75"/>
      <c r="D2313" s="75"/>
      <c r="E2313" s="75"/>
      <c r="F2313" s="75"/>
    </row>
    <row r="2314" spans="2:6">
      <c r="B2314" s="75"/>
      <c r="C2314" s="75"/>
      <c r="D2314" s="75"/>
      <c r="E2314" s="75"/>
      <c r="F2314" s="75"/>
    </row>
    <row r="2315" spans="2:6">
      <c r="B2315" s="75"/>
      <c r="C2315" s="75"/>
      <c r="D2315" s="75"/>
      <c r="E2315" s="75"/>
      <c r="F2315" s="75"/>
    </row>
    <row r="2316" spans="2:6">
      <c r="B2316" s="75"/>
      <c r="C2316" s="75"/>
      <c r="D2316" s="75"/>
      <c r="E2316" s="75"/>
      <c r="F2316" s="75"/>
    </row>
    <row r="2317" spans="2:6">
      <c r="B2317" s="75"/>
      <c r="C2317" s="75"/>
      <c r="D2317" s="75"/>
      <c r="E2317" s="75"/>
      <c r="F2317" s="75"/>
    </row>
    <row r="2318" spans="2:6">
      <c r="B2318" s="75"/>
      <c r="C2318" s="75"/>
      <c r="D2318" s="75"/>
      <c r="E2318" s="75"/>
      <c r="F2318" s="75"/>
    </row>
    <row r="2319" spans="2:6">
      <c r="B2319" s="75"/>
      <c r="C2319" s="75"/>
      <c r="D2319" s="75"/>
      <c r="E2319" s="75"/>
      <c r="F2319" s="75"/>
    </row>
    <row r="2320" spans="2:6">
      <c r="B2320" s="75"/>
      <c r="C2320" s="75"/>
      <c r="D2320" s="75"/>
      <c r="E2320" s="75"/>
      <c r="F2320" s="75"/>
    </row>
    <row r="2321" spans="2:6">
      <c r="B2321" s="75"/>
      <c r="C2321" s="75"/>
      <c r="D2321" s="75"/>
      <c r="E2321" s="75"/>
      <c r="F2321" s="75"/>
    </row>
    <row r="2322" spans="2:6">
      <c r="B2322" s="75"/>
      <c r="C2322" s="75"/>
      <c r="D2322" s="75"/>
      <c r="E2322" s="75"/>
      <c r="F2322" s="75"/>
    </row>
    <row r="2323" spans="2:6">
      <c r="B2323" s="75"/>
      <c r="C2323" s="75"/>
      <c r="D2323" s="75"/>
      <c r="E2323" s="75"/>
      <c r="F2323" s="75"/>
    </row>
    <row r="2324" spans="2:6">
      <c r="B2324" s="75"/>
      <c r="C2324" s="75"/>
      <c r="D2324" s="75"/>
      <c r="E2324" s="75"/>
      <c r="F2324" s="75"/>
    </row>
    <row r="2325" spans="2:6">
      <c r="B2325" s="75"/>
      <c r="C2325" s="75"/>
      <c r="D2325" s="75"/>
      <c r="E2325" s="75"/>
      <c r="F2325" s="75"/>
    </row>
    <row r="2326" spans="2:6">
      <c r="B2326" s="75"/>
      <c r="C2326" s="75"/>
      <c r="D2326" s="75"/>
      <c r="E2326" s="75"/>
      <c r="F2326" s="75"/>
    </row>
    <row r="2327" spans="2:6">
      <c r="B2327" s="75"/>
      <c r="C2327" s="75"/>
      <c r="D2327" s="75"/>
      <c r="E2327" s="75"/>
      <c r="F2327" s="75"/>
    </row>
    <row r="2328" spans="2:6">
      <c r="B2328" s="75"/>
      <c r="C2328" s="75"/>
      <c r="D2328" s="75"/>
      <c r="E2328" s="75"/>
      <c r="F2328" s="75"/>
    </row>
    <row r="2329" spans="2:6">
      <c r="B2329" s="75"/>
      <c r="C2329" s="75"/>
      <c r="D2329" s="75"/>
      <c r="E2329" s="75"/>
      <c r="F2329" s="75"/>
    </row>
    <row r="2330" spans="2:6">
      <c r="B2330" s="75"/>
      <c r="C2330" s="75"/>
      <c r="D2330" s="75"/>
      <c r="E2330" s="75"/>
      <c r="F2330" s="75"/>
    </row>
    <row r="2331" spans="2:6">
      <c r="B2331" s="75"/>
      <c r="C2331" s="75"/>
      <c r="D2331" s="75"/>
      <c r="E2331" s="75"/>
      <c r="F2331" s="75"/>
    </row>
    <row r="2332" spans="2:6">
      <c r="B2332" s="75"/>
      <c r="C2332" s="75"/>
      <c r="D2332" s="75"/>
      <c r="E2332" s="75"/>
      <c r="F2332" s="75"/>
    </row>
    <row r="2333" spans="2:6">
      <c r="B2333" s="75"/>
      <c r="C2333" s="75"/>
      <c r="D2333" s="75"/>
      <c r="E2333" s="75"/>
      <c r="F2333" s="75"/>
    </row>
    <row r="2334" spans="2:6">
      <c r="B2334" s="75"/>
      <c r="C2334" s="75"/>
      <c r="D2334" s="75"/>
      <c r="E2334" s="75"/>
      <c r="F2334" s="75"/>
    </row>
    <row r="2335" spans="2:6">
      <c r="B2335" s="75"/>
      <c r="C2335" s="75"/>
      <c r="D2335" s="75"/>
      <c r="E2335" s="75"/>
      <c r="F2335" s="75"/>
    </row>
    <row r="2336" spans="2:6">
      <c r="B2336" s="75"/>
      <c r="C2336" s="75"/>
      <c r="D2336" s="75"/>
      <c r="E2336" s="75"/>
      <c r="F2336" s="75"/>
    </row>
    <row r="2337" spans="2:6">
      <c r="B2337" s="75"/>
      <c r="C2337" s="75"/>
      <c r="D2337" s="75"/>
      <c r="E2337" s="75"/>
      <c r="F2337" s="75"/>
    </row>
    <row r="2338" spans="2:6">
      <c r="B2338" s="75"/>
      <c r="C2338" s="75"/>
      <c r="D2338" s="75"/>
      <c r="E2338" s="75"/>
      <c r="F2338" s="75"/>
    </row>
    <row r="2339" spans="2:6">
      <c r="B2339" s="75"/>
      <c r="C2339" s="75"/>
      <c r="D2339" s="75"/>
      <c r="E2339" s="75"/>
      <c r="F2339" s="75"/>
    </row>
    <row r="2340" spans="2:6">
      <c r="B2340" s="75"/>
      <c r="C2340" s="75"/>
      <c r="D2340" s="75"/>
      <c r="E2340" s="75"/>
      <c r="F2340" s="75"/>
    </row>
    <row r="2341" spans="2:6">
      <c r="B2341" s="75"/>
      <c r="C2341" s="75"/>
      <c r="D2341" s="75"/>
      <c r="E2341" s="75"/>
      <c r="F2341" s="75"/>
    </row>
    <row r="2342" spans="2:6">
      <c r="B2342" s="75"/>
      <c r="C2342" s="75"/>
      <c r="D2342" s="75"/>
      <c r="E2342" s="75"/>
      <c r="F2342" s="75"/>
    </row>
    <row r="2343" spans="2:6">
      <c r="B2343" s="75"/>
      <c r="C2343" s="75"/>
      <c r="D2343" s="75"/>
      <c r="E2343" s="75"/>
      <c r="F2343" s="75"/>
    </row>
    <row r="2344" spans="2:6">
      <c r="B2344" s="75"/>
      <c r="C2344" s="75"/>
      <c r="D2344" s="75"/>
      <c r="E2344" s="75"/>
      <c r="F2344" s="75"/>
    </row>
    <row r="2345" spans="2:6">
      <c r="B2345" s="75"/>
      <c r="C2345" s="75"/>
      <c r="D2345" s="75"/>
      <c r="E2345" s="75"/>
      <c r="F2345" s="75"/>
    </row>
    <row r="2346" spans="2:6">
      <c r="B2346" s="75"/>
      <c r="C2346" s="75"/>
      <c r="D2346" s="75"/>
      <c r="E2346" s="75"/>
      <c r="F2346" s="75"/>
    </row>
    <row r="2347" spans="2:6">
      <c r="B2347" s="75"/>
      <c r="C2347" s="75"/>
      <c r="D2347" s="75"/>
      <c r="E2347" s="75"/>
      <c r="F2347" s="75"/>
    </row>
    <row r="2348" spans="2:6">
      <c r="B2348" s="75"/>
      <c r="C2348" s="75"/>
      <c r="D2348" s="75"/>
      <c r="E2348" s="75"/>
      <c r="F2348" s="75"/>
    </row>
    <row r="2349" spans="2:6">
      <c r="B2349" s="75"/>
      <c r="C2349" s="75"/>
      <c r="D2349" s="75"/>
      <c r="E2349" s="75"/>
      <c r="F2349" s="75"/>
    </row>
    <row r="2350" spans="2:6">
      <c r="B2350" s="75"/>
      <c r="C2350" s="75"/>
      <c r="D2350" s="75"/>
      <c r="E2350" s="75"/>
      <c r="F2350" s="75"/>
    </row>
    <row r="2351" spans="2:6">
      <c r="B2351" s="75"/>
      <c r="C2351" s="75"/>
      <c r="D2351" s="75"/>
      <c r="E2351" s="75"/>
      <c r="F2351" s="75"/>
    </row>
    <row r="2352" spans="2:6">
      <c r="B2352" s="75"/>
      <c r="C2352" s="75"/>
      <c r="D2352" s="75"/>
      <c r="E2352" s="75"/>
      <c r="F2352" s="75"/>
    </row>
    <row r="2353" spans="2:6">
      <c r="B2353" s="75"/>
      <c r="C2353" s="75"/>
      <c r="D2353" s="75"/>
      <c r="E2353" s="75"/>
      <c r="F2353" s="75"/>
    </row>
    <row r="2354" spans="2:6">
      <c r="B2354" s="75"/>
      <c r="C2354" s="75"/>
      <c r="D2354" s="75"/>
      <c r="E2354" s="75"/>
      <c r="F2354" s="75"/>
    </row>
    <row r="2355" spans="2:6">
      <c r="B2355" s="75"/>
      <c r="C2355" s="75"/>
      <c r="D2355" s="75"/>
      <c r="E2355" s="75"/>
      <c r="F2355" s="75"/>
    </row>
    <row r="2356" spans="2:6">
      <c r="B2356" s="75"/>
      <c r="C2356" s="75"/>
      <c r="D2356" s="75"/>
      <c r="E2356" s="75"/>
      <c r="F2356" s="75"/>
    </row>
    <row r="2357" spans="2:6">
      <c r="B2357" s="75"/>
      <c r="C2357" s="75"/>
      <c r="D2357" s="75"/>
      <c r="E2357" s="75"/>
      <c r="F2357" s="75"/>
    </row>
    <row r="2358" spans="2:6">
      <c r="B2358" s="75"/>
      <c r="C2358" s="75"/>
      <c r="D2358" s="75"/>
      <c r="E2358" s="75"/>
      <c r="F2358" s="75"/>
    </row>
    <row r="2359" spans="2:6">
      <c r="B2359" s="75"/>
      <c r="C2359" s="75"/>
      <c r="D2359" s="75"/>
      <c r="E2359" s="75"/>
      <c r="F2359" s="75"/>
    </row>
    <row r="2360" spans="2:6">
      <c r="B2360" s="75"/>
      <c r="C2360" s="75"/>
      <c r="D2360" s="75"/>
      <c r="E2360" s="75"/>
      <c r="F2360" s="75"/>
    </row>
    <row r="2361" spans="2:6">
      <c r="B2361" s="75"/>
      <c r="C2361" s="75"/>
      <c r="D2361" s="75"/>
      <c r="E2361" s="75"/>
      <c r="F2361" s="75"/>
    </row>
    <row r="2362" spans="2:6">
      <c r="B2362" s="75"/>
      <c r="C2362" s="75"/>
      <c r="D2362" s="75"/>
      <c r="E2362" s="75"/>
      <c r="F2362" s="75"/>
    </row>
    <row r="2363" spans="2:6">
      <c r="B2363" s="75"/>
      <c r="C2363" s="75"/>
      <c r="D2363" s="75"/>
      <c r="E2363" s="75"/>
      <c r="F2363" s="75"/>
    </row>
    <row r="2364" spans="2:6">
      <c r="B2364" s="75"/>
      <c r="C2364" s="75"/>
      <c r="D2364" s="75"/>
      <c r="E2364" s="75"/>
      <c r="F2364" s="75"/>
    </row>
    <row r="2365" spans="2:6">
      <c r="B2365" s="75"/>
      <c r="C2365" s="75"/>
      <c r="D2365" s="75"/>
      <c r="E2365" s="75"/>
      <c r="F2365" s="75"/>
    </row>
    <row r="2366" spans="2:6">
      <c r="B2366" s="75"/>
      <c r="C2366" s="75"/>
      <c r="D2366" s="75"/>
      <c r="E2366" s="75"/>
      <c r="F2366" s="75"/>
    </row>
    <row r="2367" spans="2:6">
      <c r="B2367" s="75"/>
      <c r="C2367" s="75"/>
      <c r="D2367" s="75"/>
      <c r="E2367" s="75"/>
      <c r="F2367" s="75"/>
    </row>
    <row r="2368" spans="2:6">
      <c r="B2368" s="75"/>
      <c r="C2368" s="75"/>
      <c r="D2368" s="75"/>
      <c r="E2368" s="75"/>
      <c r="F2368" s="75"/>
    </row>
    <row r="2369" spans="2:6">
      <c r="B2369" s="75"/>
      <c r="C2369" s="75"/>
      <c r="D2369" s="75"/>
      <c r="E2369" s="75"/>
      <c r="F2369" s="75"/>
    </row>
    <row r="2370" spans="2:6">
      <c r="B2370" s="75"/>
      <c r="C2370" s="75"/>
      <c r="D2370" s="75"/>
      <c r="E2370" s="75"/>
      <c r="F2370" s="75"/>
    </row>
    <row r="2371" spans="2:6">
      <c r="B2371" s="75"/>
      <c r="C2371" s="75"/>
      <c r="D2371" s="75"/>
      <c r="E2371" s="75"/>
      <c r="F2371" s="75"/>
    </row>
    <row r="2372" spans="2:6">
      <c r="B2372" s="75"/>
      <c r="C2372" s="75"/>
      <c r="D2372" s="75"/>
      <c r="E2372" s="75"/>
      <c r="F2372" s="75"/>
    </row>
    <row r="2373" spans="2:6">
      <c r="B2373" s="75"/>
      <c r="C2373" s="75"/>
      <c r="D2373" s="75"/>
      <c r="E2373" s="75"/>
      <c r="F2373" s="75"/>
    </row>
    <row r="2374" spans="2:6">
      <c r="B2374" s="75"/>
      <c r="C2374" s="75"/>
      <c r="D2374" s="75"/>
      <c r="E2374" s="75"/>
      <c r="F2374" s="75"/>
    </row>
    <row r="2375" spans="2:6">
      <c r="B2375" s="75"/>
      <c r="C2375" s="75"/>
      <c r="D2375" s="75"/>
      <c r="E2375" s="75"/>
      <c r="F2375" s="75"/>
    </row>
    <row r="2376" spans="2:6">
      <c r="B2376" s="75"/>
      <c r="C2376" s="75"/>
      <c r="D2376" s="75"/>
      <c r="E2376" s="75"/>
      <c r="F2376" s="75"/>
    </row>
    <row r="2377" spans="2:6">
      <c r="B2377" s="75"/>
      <c r="C2377" s="75"/>
      <c r="D2377" s="75"/>
      <c r="E2377" s="75"/>
      <c r="F2377" s="75"/>
    </row>
    <row r="2378" spans="2:6">
      <c r="B2378" s="75"/>
      <c r="C2378" s="75"/>
      <c r="D2378" s="75"/>
      <c r="E2378" s="75"/>
      <c r="F2378" s="75"/>
    </row>
    <row r="2379" spans="2:6">
      <c r="B2379" s="75"/>
      <c r="C2379" s="75"/>
      <c r="D2379" s="75"/>
      <c r="E2379" s="75"/>
      <c r="F2379" s="75"/>
    </row>
    <row r="2380" spans="2:6">
      <c r="B2380" s="75"/>
      <c r="C2380" s="75"/>
      <c r="D2380" s="75"/>
      <c r="E2380" s="75"/>
      <c r="F2380" s="75"/>
    </row>
    <row r="2381" spans="2:6">
      <c r="B2381" s="75"/>
      <c r="C2381" s="75"/>
      <c r="D2381" s="75"/>
      <c r="E2381" s="75"/>
      <c r="F2381" s="75"/>
    </row>
    <row r="2382" spans="2:6">
      <c r="B2382" s="75"/>
      <c r="C2382" s="75"/>
      <c r="D2382" s="75"/>
      <c r="E2382" s="75"/>
      <c r="F2382" s="75"/>
    </row>
    <row r="2383" spans="2:6">
      <c r="B2383" s="75"/>
      <c r="C2383" s="75"/>
      <c r="D2383" s="75"/>
      <c r="E2383" s="75"/>
      <c r="F2383" s="75"/>
    </row>
    <row r="2384" spans="2:6">
      <c r="B2384" s="75"/>
      <c r="C2384" s="75"/>
      <c r="D2384" s="75"/>
      <c r="E2384" s="75"/>
      <c r="F2384" s="75"/>
    </row>
    <row r="2385" spans="2:6">
      <c r="B2385" s="75"/>
      <c r="C2385" s="75"/>
      <c r="D2385" s="75"/>
      <c r="E2385" s="75"/>
      <c r="F2385" s="75"/>
    </row>
    <row r="2386" spans="2:6">
      <c r="B2386" s="75"/>
      <c r="C2386" s="75"/>
      <c r="D2386" s="75"/>
      <c r="E2386" s="75"/>
      <c r="F2386" s="75"/>
    </row>
    <row r="2387" spans="2:6">
      <c r="B2387" s="75"/>
      <c r="C2387" s="75"/>
      <c r="D2387" s="75"/>
      <c r="E2387" s="75"/>
      <c r="F2387" s="75"/>
    </row>
    <row r="2388" spans="2:6">
      <c r="B2388" s="75"/>
      <c r="C2388" s="75"/>
      <c r="D2388" s="75"/>
      <c r="E2388" s="75"/>
      <c r="F2388" s="75"/>
    </row>
    <row r="2389" spans="2:6">
      <c r="B2389" s="75"/>
      <c r="C2389" s="75"/>
      <c r="D2389" s="75"/>
      <c r="E2389" s="75"/>
      <c r="F2389" s="75"/>
    </row>
    <row r="2390" spans="2:6">
      <c r="B2390" s="75"/>
      <c r="C2390" s="75"/>
      <c r="D2390" s="75"/>
      <c r="E2390" s="75"/>
      <c r="F2390" s="75"/>
    </row>
    <row r="2391" spans="2:6">
      <c r="B2391" s="75"/>
      <c r="C2391" s="75"/>
      <c r="D2391" s="75"/>
      <c r="E2391" s="75"/>
      <c r="F2391" s="75"/>
    </row>
    <row r="2392" spans="2:6">
      <c r="B2392" s="75"/>
      <c r="C2392" s="75"/>
      <c r="D2392" s="75"/>
      <c r="E2392" s="75"/>
      <c r="F2392" s="75"/>
    </row>
    <row r="2393" spans="2:6">
      <c r="B2393" s="75"/>
      <c r="C2393" s="75"/>
      <c r="D2393" s="75"/>
      <c r="E2393" s="75"/>
      <c r="F2393" s="75"/>
    </row>
    <row r="2394" spans="2:6">
      <c r="B2394" s="75"/>
      <c r="C2394" s="75"/>
      <c r="D2394" s="75"/>
      <c r="E2394" s="75"/>
      <c r="F2394" s="75"/>
    </row>
    <row r="2395" spans="2:6">
      <c r="B2395" s="75"/>
      <c r="C2395" s="75"/>
      <c r="D2395" s="75"/>
      <c r="E2395" s="75"/>
      <c r="F2395" s="75"/>
    </row>
    <row r="2396" spans="2:6">
      <c r="B2396" s="75"/>
      <c r="C2396" s="75"/>
      <c r="D2396" s="75"/>
      <c r="E2396" s="75"/>
      <c r="F2396" s="75"/>
    </row>
    <row r="2397" spans="2:6">
      <c r="B2397" s="75"/>
      <c r="C2397" s="75"/>
      <c r="D2397" s="75"/>
      <c r="E2397" s="75"/>
      <c r="F2397" s="75"/>
    </row>
    <row r="2398" spans="2:6">
      <c r="B2398" s="75"/>
      <c r="C2398" s="75"/>
      <c r="D2398" s="75"/>
      <c r="E2398" s="75"/>
      <c r="F2398" s="75"/>
    </row>
    <row r="2399" spans="2:6">
      <c r="B2399" s="75"/>
      <c r="C2399" s="75"/>
      <c r="D2399" s="75"/>
      <c r="E2399" s="75"/>
      <c r="F2399" s="75"/>
    </row>
    <row r="2400" spans="2:6">
      <c r="B2400" s="75"/>
      <c r="C2400" s="75"/>
      <c r="D2400" s="75"/>
      <c r="E2400" s="75"/>
      <c r="F2400" s="75"/>
    </row>
    <row r="2401" spans="2:6">
      <c r="B2401" s="75"/>
      <c r="C2401" s="75"/>
      <c r="D2401" s="75"/>
      <c r="E2401" s="75"/>
      <c r="F2401" s="75"/>
    </row>
    <row r="2402" spans="2:6">
      <c r="B2402" s="75"/>
      <c r="C2402" s="75"/>
      <c r="D2402" s="75"/>
      <c r="E2402" s="75"/>
      <c r="F2402" s="75"/>
    </row>
    <row r="2403" spans="2:6">
      <c r="B2403" s="75"/>
      <c r="C2403" s="75"/>
      <c r="D2403" s="75"/>
      <c r="E2403" s="75"/>
      <c r="F2403" s="75"/>
    </row>
    <row r="2404" spans="2:6">
      <c r="B2404" s="75"/>
      <c r="C2404" s="75"/>
      <c r="D2404" s="75"/>
      <c r="E2404" s="75"/>
      <c r="F2404" s="75"/>
    </row>
    <row r="2405" spans="2:6">
      <c r="B2405" s="75"/>
      <c r="C2405" s="75"/>
      <c r="D2405" s="75"/>
      <c r="E2405" s="75"/>
      <c r="F2405" s="75"/>
    </row>
    <row r="2406" spans="2:6">
      <c r="B2406" s="75"/>
      <c r="C2406" s="75"/>
      <c r="D2406" s="75"/>
      <c r="E2406" s="75"/>
      <c r="F2406" s="75"/>
    </row>
    <row r="2407" spans="2:6">
      <c r="B2407" s="75"/>
      <c r="C2407" s="75"/>
      <c r="D2407" s="75"/>
      <c r="E2407" s="75"/>
      <c r="F2407" s="75"/>
    </row>
    <row r="2408" spans="2:6">
      <c r="B2408" s="75"/>
      <c r="C2408" s="75"/>
      <c r="D2408" s="75"/>
      <c r="E2408" s="75"/>
      <c r="F2408" s="75"/>
    </row>
    <row r="2409" spans="2:6">
      <c r="B2409" s="75"/>
      <c r="C2409" s="75"/>
      <c r="D2409" s="75"/>
      <c r="E2409" s="75"/>
      <c r="F2409" s="75"/>
    </row>
    <row r="2410" spans="2:6">
      <c r="B2410" s="75"/>
      <c r="C2410" s="75"/>
      <c r="D2410" s="75"/>
      <c r="E2410" s="75"/>
      <c r="F2410" s="75"/>
    </row>
    <row r="2411" spans="2:6">
      <c r="B2411" s="75"/>
      <c r="C2411" s="75"/>
      <c r="D2411" s="75"/>
      <c r="E2411" s="75"/>
      <c r="F2411" s="75"/>
    </row>
    <row r="2412" spans="2:6">
      <c r="B2412" s="75"/>
      <c r="C2412" s="75"/>
      <c r="D2412" s="75"/>
      <c r="E2412" s="75"/>
      <c r="F2412" s="75"/>
    </row>
    <row r="2413" spans="2:6">
      <c r="B2413" s="75"/>
      <c r="C2413" s="75"/>
      <c r="D2413" s="75"/>
      <c r="E2413" s="75"/>
      <c r="F2413" s="75"/>
    </row>
    <row r="2414" spans="2:6">
      <c r="B2414" s="75"/>
      <c r="C2414" s="75"/>
      <c r="D2414" s="75"/>
      <c r="E2414" s="75"/>
      <c r="F2414" s="75"/>
    </row>
    <row r="2415" spans="2:6">
      <c r="B2415" s="75"/>
      <c r="C2415" s="75"/>
      <c r="D2415" s="75"/>
      <c r="E2415" s="75"/>
      <c r="F2415" s="75"/>
    </row>
    <row r="2416" spans="2:6">
      <c r="B2416" s="75"/>
      <c r="C2416" s="75"/>
      <c r="D2416" s="75"/>
      <c r="E2416" s="75"/>
      <c r="F2416" s="75"/>
    </row>
    <row r="2417" spans="2:6">
      <c r="B2417" s="75"/>
      <c r="C2417" s="75"/>
      <c r="D2417" s="75"/>
      <c r="E2417" s="75"/>
      <c r="F2417" s="75"/>
    </row>
    <row r="2418" spans="2:6">
      <c r="B2418" s="75"/>
      <c r="C2418" s="75"/>
      <c r="D2418" s="75"/>
      <c r="E2418" s="75"/>
      <c r="F2418" s="75"/>
    </row>
    <row r="2419" spans="2:6">
      <c r="B2419" s="75"/>
      <c r="C2419" s="75"/>
      <c r="D2419" s="75"/>
      <c r="E2419" s="75"/>
      <c r="F2419" s="75"/>
    </row>
    <row r="2420" spans="2:6">
      <c r="B2420" s="75"/>
      <c r="C2420" s="75"/>
      <c r="D2420" s="75"/>
      <c r="E2420" s="75"/>
      <c r="F2420" s="75"/>
    </row>
    <row r="2421" spans="2:6">
      <c r="B2421" s="75"/>
      <c r="C2421" s="75"/>
      <c r="D2421" s="75"/>
      <c r="E2421" s="75"/>
      <c r="F2421" s="75"/>
    </row>
    <row r="2422" spans="2:6">
      <c r="B2422" s="75"/>
      <c r="C2422" s="75"/>
      <c r="D2422" s="75"/>
      <c r="E2422" s="75"/>
      <c r="F2422" s="75"/>
    </row>
    <row r="2423" spans="2:6">
      <c r="B2423" s="75"/>
      <c r="C2423" s="75"/>
      <c r="D2423" s="75"/>
      <c r="E2423" s="75"/>
      <c r="F2423" s="75"/>
    </row>
    <row r="2424" spans="2:6">
      <c r="B2424" s="75"/>
      <c r="C2424" s="75"/>
      <c r="D2424" s="75"/>
      <c r="E2424" s="75"/>
      <c r="F2424" s="75"/>
    </row>
    <row r="2425" spans="2:6">
      <c r="B2425" s="75"/>
      <c r="C2425" s="75"/>
      <c r="D2425" s="75"/>
      <c r="E2425" s="75"/>
      <c r="F2425" s="75"/>
    </row>
    <row r="2426" spans="2:6">
      <c r="B2426" s="75"/>
      <c r="C2426" s="75"/>
      <c r="D2426" s="75"/>
      <c r="E2426" s="75"/>
      <c r="F2426" s="75"/>
    </row>
    <row r="2427" spans="2:6">
      <c r="B2427" s="75"/>
      <c r="C2427" s="75"/>
      <c r="D2427" s="75"/>
      <c r="E2427" s="75"/>
      <c r="F2427" s="75"/>
    </row>
    <row r="2428" spans="2:6">
      <c r="B2428" s="75"/>
      <c r="C2428" s="75"/>
      <c r="D2428" s="75"/>
      <c r="E2428" s="75"/>
      <c r="F2428" s="75"/>
    </row>
    <row r="2429" spans="2:6">
      <c r="B2429" s="75"/>
      <c r="C2429" s="75"/>
      <c r="D2429" s="75"/>
      <c r="E2429" s="75"/>
      <c r="F2429" s="75"/>
    </row>
    <row r="2430" spans="2:6">
      <c r="B2430" s="75"/>
      <c r="C2430" s="75"/>
      <c r="D2430" s="75"/>
      <c r="E2430" s="75"/>
      <c r="F2430" s="75"/>
    </row>
    <row r="2431" spans="2:6">
      <c r="B2431" s="75"/>
      <c r="C2431" s="75"/>
      <c r="D2431" s="75"/>
      <c r="E2431" s="75"/>
      <c r="F2431" s="75"/>
    </row>
    <row r="2432" spans="2:6">
      <c r="B2432" s="75"/>
      <c r="C2432" s="75"/>
      <c r="D2432" s="75"/>
      <c r="E2432" s="75"/>
      <c r="F2432" s="75"/>
    </row>
    <row r="2433" spans="2:6">
      <c r="B2433" s="75"/>
      <c r="C2433" s="75"/>
      <c r="D2433" s="75"/>
      <c r="E2433" s="75"/>
      <c r="F2433" s="75"/>
    </row>
    <row r="2434" spans="2:6">
      <c r="B2434" s="75"/>
      <c r="C2434" s="75"/>
      <c r="D2434" s="75"/>
      <c r="E2434" s="75"/>
      <c r="F2434" s="75"/>
    </row>
    <row r="2435" spans="2:6">
      <c r="B2435" s="75"/>
      <c r="C2435" s="75"/>
      <c r="D2435" s="75"/>
      <c r="E2435" s="75"/>
      <c r="F2435" s="75"/>
    </row>
    <row r="2436" spans="2:6">
      <c r="B2436" s="75"/>
      <c r="C2436" s="75"/>
      <c r="D2436" s="75"/>
      <c r="E2436" s="75"/>
      <c r="F2436" s="75"/>
    </row>
    <row r="2437" spans="2:6">
      <c r="B2437" s="75"/>
      <c r="C2437" s="75"/>
      <c r="D2437" s="75"/>
      <c r="E2437" s="75"/>
      <c r="F2437" s="75"/>
    </row>
    <row r="2438" spans="2:6">
      <c r="B2438" s="75"/>
      <c r="C2438" s="75"/>
      <c r="D2438" s="75"/>
      <c r="E2438" s="75"/>
      <c r="F2438" s="75"/>
    </row>
    <row r="2439" spans="2:6">
      <c r="B2439" s="75"/>
      <c r="C2439" s="75"/>
      <c r="D2439" s="75"/>
      <c r="E2439" s="75"/>
      <c r="F2439" s="75"/>
    </row>
    <row r="2440" spans="2:6">
      <c r="B2440" s="75"/>
      <c r="C2440" s="75"/>
      <c r="D2440" s="75"/>
      <c r="E2440" s="75"/>
      <c r="F2440" s="75"/>
    </row>
    <row r="2441" spans="2:6">
      <c r="B2441" s="75"/>
      <c r="C2441" s="75"/>
      <c r="D2441" s="75"/>
      <c r="E2441" s="75"/>
      <c r="F2441" s="75"/>
    </row>
    <row r="2442" spans="2:6">
      <c r="B2442" s="75"/>
      <c r="C2442" s="75"/>
      <c r="D2442" s="75"/>
      <c r="E2442" s="75"/>
      <c r="F2442" s="75"/>
    </row>
    <row r="2443" spans="2:6">
      <c r="B2443" s="75"/>
      <c r="C2443" s="75"/>
      <c r="D2443" s="75"/>
      <c r="E2443" s="75"/>
      <c r="F2443" s="75"/>
    </row>
    <row r="2444" spans="2:6">
      <c r="B2444" s="75"/>
      <c r="C2444" s="75"/>
      <c r="D2444" s="75"/>
      <c r="E2444" s="75"/>
      <c r="F2444" s="75"/>
    </row>
    <row r="2445" spans="2:6">
      <c r="B2445" s="75"/>
      <c r="C2445" s="75"/>
      <c r="D2445" s="75"/>
      <c r="E2445" s="75"/>
      <c r="F2445" s="75"/>
    </row>
    <row r="2446" spans="2:6">
      <c r="B2446" s="75"/>
      <c r="C2446" s="75"/>
      <c r="D2446" s="75"/>
      <c r="E2446" s="75"/>
      <c r="F2446" s="75"/>
    </row>
    <row r="2447" spans="2:6">
      <c r="B2447" s="75"/>
      <c r="C2447" s="75"/>
      <c r="D2447" s="75"/>
      <c r="E2447" s="75"/>
      <c r="F2447" s="75"/>
    </row>
    <row r="2448" spans="2:6">
      <c r="B2448" s="75"/>
      <c r="C2448" s="75"/>
      <c r="D2448" s="75"/>
      <c r="E2448" s="75"/>
      <c r="F2448" s="75"/>
    </row>
    <row r="2449" spans="2:6">
      <c r="B2449" s="75"/>
      <c r="C2449" s="75"/>
      <c r="D2449" s="75"/>
      <c r="E2449" s="75"/>
      <c r="F2449" s="75"/>
    </row>
    <row r="2450" spans="2:6">
      <c r="B2450" s="75"/>
      <c r="C2450" s="75"/>
      <c r="D2450" s="75"/>
      <c r="E2450" s="75"/>
      <c r="F2450" s="75"/>
    </row>
    <row r="2451" spans="2:6">
      <c r="B2451" s="75"/>
      <c r="C2451" s="75"/>
      <c r="D2451" s="75"/>
      <c r="E2451" s="75"/>
      <c r="F2451" s="75"/>
    </row>
    <row r="2452" spans="2:6">
      <c r="B2452" s="75"/>
      <c r="C2452" s="75"/>
      <c r="D2452" s="75"/>
      <c r="E2452" s="75"/>
      <c r="F2452" s="75"/>
    </row>
    <row r="2453" spans="2:6">
      <c r="B2453" s="75"/>
      <c r="C2453" s="75"/>
      <c r="D2453" s="75"/>
      <c r="E2453" s="75"/>
      <c r="F2453" s="75"/>
    </row>
    <row r="2454" spans="2:6">
      <c r="B2454" s="75"/>
      <c r="C2454" s="75"/>
      <c r="D2454" s="75"/>
      <c r="E2454" s="75"/>
      <c r="F2454" s="75"/>
    </row>
    <row r="2455" spans="2:6">
      <c r="B2455" s="75"/>
      <c r="C2455" s="75"/>
      <c r="D2455" s="75"/>
      <c r="E2455" s="75"/>
      <c r="F2455" s="75"/>
    </row>
    <row r="2456" spans="2:6">
      <c r="B2456" s="75"/>
      <c r="C2456" s="75"/>
      <c r="D2456" s="75"/>
      <c r="E2456" s="75"/>
      <c r="F2456" s="75"/>
    </row>
    <row r="2457" spans="2:6">
      <c r="B2457" s="75"/>
      <c r="C2457" s="75"/>
      <c r="D2457" s="75"/>
      <c r="E2457" s="75"/>
      <c r="F2457" s="75"/>
    </row>
    <row r="2458" spans="2:6">
      <c r="B2458" s="75"/>
      <c r="C2458" s="75"/>
      <c r="D2458" s="75"/>
      <c r="E2458" s="75"/>
      <c r="F2458" s="75"/>
    </row>
    <row r="2459" spans="2:6">
      <c r="B2459" s="75"/>
      <c r="C2459" s="75"/>
      <c r="D2459" s="75"/>
      <c r="E2459" s="75"/>
      <c r="F2459" s="75"/>
    </row>
    <row r="2460" spans="2:6">
      <c r="B2460" s="75"/>
      <c r="C2460" s="75"/>
      <c r="D2460" s="75"/>
      <c r="E2460" s="75"/>
      <c r="F2460" s="75"/>
    </row>
    <row r="2461" spans="2:6">
      <c r="B2461" s="75"/>
      <c r="C2461" s="75"/>
      <c r="D2461" s="75"/>
      <c r="E2461" s="75"/>
      <c r="F2461" s="75"/>
    </row>
    <row r="2462" spans="2:6">
      <c r="B2462" s="75"/>
      <c r="C2462" s="75"/>
      <c r="D2462" s="75"/>
      <c r="E2462" s="75"/>
      <c r="F2462" s="75"/>
    </row>
    <row r="2463" spans="2:6">
      <c r="B2463" s="75"/>
      <c r="C2463" s="75"/>
      <c r="D2463" s="75"/>
      <c r="E2463" s="75"/>
      <c r="F2463" s="75"/>
    </row>
    <row r="2464" spans="2:6">
      <c r="B2464" s="75"/>
      <c r="C2464" s="75"/>
      <c r="D2464" s="75"/>
      <c r="E2464" s="75"/>
      <c r="F2464" s="75"/>
    </row>
    <row r="2465" spans="2:6">
      <c r="B2465" s="75"/>
      <c r="C2465" s="75"/>
      <c r="D2465" s="75"/>
      <c r="E2465" s="75"/>
      <c r="F2465" s="75"/>
    </row>
    <row r="2466" spans="2:6">
      <c r="B2466" s="75"/>
      <c r="C2466" s="75"/>
      <c r="D2466" s="75"/>
      <c r="E2466" s="75"/>
      <c r="F2466" s="75"/>
    </row>
    <row r="2467" spans="2:6">
      <c r="B2467" s="75"/>
      <c r="C2467" s="75"/>
      <c r="D2467" s="75"/>
      <c r="E2467" s="75"/>
      <c r="F2467" s="75"/>
    </row>
    <row r="2468" spans="2:6">
      <c r="B2468" s="75"/>
      <c r="C2468" s="75"/>
      <c r="D2468" s="75"/>
      <c r="E2468" s="75"/>
      <c r="F2468" s="75"/>
    </row>
    <row r="2469" spans="2:6">
      <c r="B2469" s="75"/>
      <c r="C2469" s="75"/>
      <c r="D2469" s="75"/>
      <c r="E2469" s="75"/>
      <c r="F2469" s="75"/>
    </row>
    <row r="2470" spans="2:6">
      <c r="B2470" s="75"/>
      <c r="C2470" s="75"/>
      <c r="D2470" s="75"/>
      <c r="E2470" s="75"/>
      <c r="F2470" s="75"/>
    </row>
    <row r="2471" spans="2:6">
      <c r="B2471" s="75"/>
      <c r="C2471" s="75"/>
      <c r="D2471" s="75"/>
      <c r="E2471" s="75"/>
      <c r="F2471" s="75"/>
    </row>
    <row r="2472" spans="2:6">
      <c r="B2472" s="75"/>
      <c r="C2472" s="75"/>
      <c r="D2472" s="75"/>
      <c r="E2472" s="75"/>
      <c r="F2472" s="75"/>
    </row>
    <row r="2473" spans="2:6">
      <c r="B2473" s="75"/>
      <c r="C2473" s="75"/>
      <c r="D2473" s="75"/>
      <c r="E2473" s="75"/>
      <c r="F2473" s="75"/>
    </row>
    <row r="2474" spans="2:6">
      <c r="B2474" s="75"/>
      <c r="C2474" s="75"/>
      <c r="D2474" s="75"/>
      <c r="E2474" s="75"/>
      <c r="F2474" s="75"/>
    </row>
    <row r="2475" spans="2:6">
      <c r="B2475" s="75"/>
      <c r="C2475" s="75"/>
      <c r="D2475" s="75"/>
      <c r="E2475" s="75"/>
      <c r="F2475" s="75"/>
    </row>
    <row r="2476" spans="2:6">
      <c r="B2476" s="75"/>
      <c r="C2476" s="75"/>
      <c r="D2476" s="75"/>
      <c r="E2476" s="75"/>
      <c r="F2476" s="75"/>
    </row>
    <row r="2477" spans="2:6">
      <c r="B2477" s="75"/>
      <c r="C2477" s="75"/>
      <c r="D2477" s="75"/>
      <c r="E2477" s="75"/>
      <c r="F2477" s="75"/>
    </row>
    <row r="2478" spans="2:6">
      <c r="B2478" s="75"/>
      <c r="C2478" s="75"/>
      <c r="D2478" s="75"/>
      <c r="E2478" s="75"/>
      <c r="F2478" s="75"/>
    </row>
    <row r="2479" spans="2:6">
      <c r="B2479" s="75"/>
      <c r="C2479" s="75"/>
      <c r="D2479" s="75"/>
      <c r="E2479" s="75"/>
      <c r="F2479" s="75"/>
    </row>
    <row r="2480" spans="2:6">
      <c r="B2480" s="75"/>
      <c r="C2480" s="75"/>
      <c r="D2480" s="75"/>
      <c r="E2480" s="75"/>
      <c r="F2480" s="75"/>
    </row>
    <row r="2481" spans="2:6">
      <c r="B2481" s="75"/>
      <c r="C2481" s="75"/>
      <c r="D2481" s="75"/>
      <c r="E2481" s="75"/>
      <c r="F2481" s="75"/>
    </row>
    <row r="2482" spans="2:6">
      <c r="B2482" s="75"/>
      <c r="C2482" s="75"/>
      <c r="D2482" s="75"/>
      <c r="E2482" s="75"/>
      <c r="F2482" s="75"/>
    </row>
    <row r="2483" spans="2:6">
      <c r="B2483" s="75"/>
      <c r="C2483" s="75"/>
      <c r="D2483" s="75"/>
      <c r="E2483" s="75"/>
      <c r="F2483" s="75"/>
    </row>
    <row r="2484" spans="2:6">
      <c r="B2484" s="75"/>
      <c r="C2484" s="75"/>
      <c r="D2484" s="75"/>
      <c r="E2484" s="75"/>
      <c r="F2484" s="75"/>
    </row>
    <row r="2485" spans="2:6">
      <c r="B2485" s="75"/>
      <c r="C2485" s="75"/>
      <c r="D2485" s="75"/>
      <c r="E2485" s="75"/>
      <c r="F2485" s="75"/>
    </row>
    <row r="2486" spans="2:6">
      <c r="B2486" s="75"/>
      <c r="C2486" s="75"/>
      <c r="D2486" s="75"/>
      <c r="E2486" s="75"/>
      <c r="F2486" s="75"/>
    </row>
    <row r="2487" spans="2:6">
      <c r="B2487" s="75"/>
      <c r="C2487" s="75"/>
      <c r="D2487" s="75"/>
      <c r="E2487" s="75"/>
      <c r="F2487" s="75"/>
    </row>
    <row r="2488" spans="2:6">
      <c r="B2488" s="75"/>
      <c r="C2488" s="75"/>
      <c r="D2488" s="75"/>
      <c r="E2488" s="75"/>
      <c r="F2488" s="75"/>
    </row>
    <row r="2489" spans="2:6">
      <c r="B2489" s="75"/>
      <c r="C2489" s="75"/>
      <c r="D2489" s="75"/>
      <c r="E2489" s="75"/>
      <c r="F2489" s="75"/>
    </row>
    <row r="2490" spans="2:6">
      <c r="B2490" s="75"/>
      <c r="C2490" s="75"/>
      <c r="D2490" s="75"/>
      <c r="E2490" s="75"/>
      <c r="F2490" s="75"/>
    </row>
    <row r="2491" spans="2:6">
      <c r="B2491" s="75"/>
      <c r="C2491" s="75"/>
      <c r="D2491" s="75"/>
      <c r="E2491" s="75"/>
      <c r="F2491" s="75"/>
    </row>
    <row r="2492" spans="2:6">
      <c r="B2492" s="75"/>
      <c r="C2492" s="75"/>
      <c r="D2492" s="75"/>
      <c r="E2492" s="75"/>
      <c r="F2492" s="75"/>
    </row>
    <row r="2493" spans="2:6">
      <c r="B2493" s="75"/>
      <c r="C2493" s="75"/>
      <c r="D2493" s="75"/>
      <c r="E2493" s="75"/>
      <c r="F2493" s="75"/>
    </row>
    <row r="2494" spans="2:6">
      <c r="B2494" s="75"/>
      <c r="C2494" s="75"/>
      <c r="D2494" s="75"/>
      <c r="E2494" s="75"/>
      <c r="F2494" s="75"/>
    </row>
    <row r="2495" spans="2:6">
      <c r="B2495" s="75"/>
      <c r="C2495" s="75"/>
      <c r="D2495" s="75"/>
      <c r="E2495" s="75"/>
      <c r="F2495" s="75"/>
    </row>
    <row r="2496" spans="2:6">
      <c r="B2496" s="75"/>
      <c r="C2496" s="75"/>
      <c r="D2496" s="75"/>
      <c r="E2496" s="75"/>
      <c r="F2496" s="75"/>
    </row>
    <row r="2497" spans="2:6">
      <c r="B2497" s="75"/>
      <c r="C2497" s="75"/>
      <c r="D2497" s="75"/>
      <c r="E2497" s="75"/>
      <c r="F2497" s="75"/>
    </row>
    <row r="2498" spans="2:6">
      <c r="B2498" s="75"/>
      <c r="C2498" s="75"/>
      <c r="D2498" s="75"/>
      <c r="E2498" s="75"/>
      <c r="F2498" s="75"/>
    </row>
    <row r="2499" spans="2:6">
      <c r="B2499" s="75"/>
      <c r="C2499" s="75"/>
      <c r="D2499" s="75"/>
      <c r="E2499" s="75"/>
      <c r="F2499" s="75"/>
    </row>
    <row r="2500" spans="2:6">
      <c r="B2500" s="75"/>
      <c r="C2500" s="75"/>
      <c r="D2500" s="75"/>
      <c r="E2500" s="75"/>
      <c r="F2500" s="75"/>
    </row>
    <row r="2501" spans="2:6">
      <c r="B2501" s="75"/>
      <c r="C2501" s="75"/>
      <c r="D2501" s="75"/>
      <c r="E2501" s="75"/>
      <c r="F2501" s="75"/>
    </row>
    <row r="2502" spans="2:6">
      <c r="B2502" s="75"/>
      <c r="C2502" s="75"/>
      <c r="D2502" s="75"/>
      <c r="E2502" s="75"/>
      <c r="F2502" s="75"/>
    </row>
    <row r="2503" spans="2:6">
      <c r="B2503" s="75"/>
      <c r="C2503" s="75"/>
      <c r="D2503" s="75"/>
      <c r="E2503" s="75"/>
      <c r="F2503" s="75"/>
    </row>
    <row r="2504" spans="2:6">
      <c r="B2504" s="75"/>
      <c r="C2504" s="75"/>
      <c r="D2504" s="75"/>
      <c r="E2504" s="75"/>
      <c r="F2504" s="75"/>
    </row>
    <row r="2505" spans="2:6">
      <c r="B2505" s="75"/>
      <c r="C2505" s="75"/>
      <c r="D2505" s="75"/>
      <c r="E2505" s="75"/>
      <c r="F2505" s="75"/>
    </row>
    <row r="2506" spans="2:6">
      <c r="B2506" s="75"/>
      <c r="C2506" s="75"/>
      <c r="D2506" s="75"/>
      <c r="E2506" s="75"/>
      <c r="F2506" s="75"/>
    </row>
    <row r="2507" spans="2:6">
      <c r="B2507" s="75"/>
      <c r="C2507" s="75"/>
      <c r="D2507" s="75"/>
      <c r="E2507" s="75"/>
      <c r="F2507" s="75"/>
    </row>
    <row r="2508" spans="2:6">
      <c r="B2508" s="75"/>
      <c r="C2508" s="75"/>
      <c r="D2508" s="75"/>
      <c r="E2508" s="75"/>
      <c r="F2508" s="75"/>
    </row>
    <row r="2509" spans="2:6">
      <c r="B2509" s="75"/>
      <c r="C2509" s="75"/>
      <c r="D2509" s="75"/>
      <c r="E2509" s="75"/>
      <c r="F2509" s="75"/>
    </row>
    <row r="2510" spans="2:6">
      <c r="B2510" s="75"/>
      <c r="C2510" s="75"/>
      <c r="D2510" s="75"/>
      <c r="E2510" s="75"/>
      <c r="F2510" s="75"/>
    </row>
    <row r="2511" spans="2:6">
      <c r="B2511" s="75"/>
      <c r="C2511" s="75"/>
      <c r="D2511" s="75"/>
      <c r="E2511" s="75"/>
      <c r="F2511" s="75"/>
    </row>
    <row r="2512" spans="2:6">
      <c r="B2512" s="75"/>
      <c r="C2512" s="75"/>
      <c r="D2512" s="75"/>
      <c r="E2512" s="75"/>
      <c r="F2512" s="75"/>
    </row>
    <row r="2513" spans="2:6">
      <c r="B2513" s="75"/>
      <c r="C2513" s="75"/>
      <c r="D2513" s="75"/>
      <c r="E2513" s="75"/>
      <c r="F2513" s="75"/>
    </row>
    <row r="2514" spans="2:6">
      <c r="B2514" s="75"/>
      <c r="C2514" s="75"/>
      <c r="D2514" s="75"/>
      <c r="E2514" s="75"/>
      <c r="F2514" s="75"/>
    </row>
    <row r="2515" spans="2:6">
      <c r="B2515" s="75"/>
      <c r="C2515" s="75"/>
      <c r="D2515" s="75"/>
      <c r="E2515" s="75"/>
      <c r="F2515" s="75"/>
    </row>
    <row r="2516" spans="2:6">
      <c r="B2516" s="75"/>
      <c r="C2516" s="75"/>
      <c r="D2516" s="75"/>
      <c r="E2516" s="75"/>
      <c r="F2516" s="75"/>
    </row>
    <row r="2517" spans="2:6">
      <c r="B2517" s="75"/>
      <c r="C2517" s="75"/>
      <c r="D2517" s="75"/>
      <c r="E2517" s="75"/>
      <c r="F2517" s="75"/>
    </row>
    <row r="2518" spans="2:6">
      <c r="B2518" s="75"/>
      <c r="C2518" s="75"/>
      <c r="D2518" s="75"/>
      <c r="E2518" s="75"/>
      <c r="F2518" s="75"/>
    </row>
    <row r="2519" spans="2:6">
      <c r="B2519" s="75"/>
      <c r="C2519" s="75"/>
      <c r="D2519" s="75"/>
      <c r="E2519" s="75"/>
      <c r="F2519" s="75"/>
    </row>
    <row r="2520" spans="2:6">
      <c r="B2520" s="75"/>
      <c r="C2520" s="75"/>
      <c r="D2520" s="75"/>
      <c r="E2520" s="75"/>
      <c r="F2520" s="75"/>
    </row>
    <row r="2521" spans="2:6">
      <c r="B2521" s="75"/>
      <c r="C2521" s="75"/>
      <c r="D2521" s="75"/>
      <c r="E2521" s="75"/>
      <c r="F2521" s="75"/>
    </row>
    <row r="2522" spans="2:6">
      <c r="B2522" s="75"/>
      <c r="C2522" s="75"/>
      <c r="D2522" s="75"/>
      <c r="E2522" s="75"/>
      <c r="F2522" s="75"/>
    </row>
    <row r="2523" spans="2:6">
      <c r="B2523" s="75"/>
      <c r="C2523" s="75"/>
      <c r="D2523" s="75"/>
      <c r="E2523" s="75"/>
      <c r="F2523" s="75"/>
    </row>
    <row r="2524" spans="2:6">
      <c r="B2524" s="75"/>
      <c r="C2524" s="75"/>
      <c r="D2524" s="75"/>
      <c r="E2524" s="75"/>
      <c r="F2524" s="75"/>
    </row>
    <row r="2525" spans="2:6">
      <c r="B2525" s="75"/>
      <c r="C2525" s="75"/>
      <c r="D2525" s="75"/>
      <c r="E2525" s="75"/>
      <c r="F2525" s="75"/>
    </row>
    <row r="2526" spans="2:6">
      <c r="B2526" s="75"/>
      <c r="C2526" s="75"/>
      <c r="D2526" s="75"/>
      <c r="E2526" s="75"/>
      <c r="F2526" s="75"/>
    </row>
    <row r="2527" spans="2:6">
      <c r="B2527" s="75"/>
      <c r="C2527" s="75"/>
      <c r="D2527" s="75"/>
      <c r="E2527" s="75"/>
      <c r="F2527" s="75"/>
    </row>
    <row r="2528" spans="2:6">
      <c r="B2528" s="75"/>
      <c r="C2528" s="75"/>
      <c r="D2528" s="75"/>
      <c r="E2528" s="75"/>
      <c r="F2528" s="75"/>
    </row>
    <row r="2529" spans="2:6">
      <c r="B2529" s="75"/>
      <c r="C2529" s="75"/>
      <c r="D2529" s="75"/>
      <c r="E2529" s="75"/>
      <c r="F2529" s="75"/>
    </row>
    <row r="2530" spans="2:6">
      <c r="B2530" s="75"/>
      <c r="C2530" s="75"/>
      <c r="D2530" s="75"/>
      <c r="E2530" s="75"/>
      <c r="F2530" s="75"/>
    </row>
    <row r="2531" spans="2:6">
      <c r="B2531" s="75"/>
      <c r="C2531" s="75"/>
      <c r="D2531" s="75"/>
      <c r="E2531" s="75"/>
      <c r="F2531" s="75"/>
    </row>
    <row r="2532" spans="2:6">
      <c r="B2532" s="75"/>
      <c r="C2532" s="75"/>
      <c r="D2532" s="75"/>
      <c r="E2532" s="75"/>
      <c r="F2532" s="75"/>
    </row>
    <row r="2533" spans="2:6">
      <c r="B2533" s="75"/>
      <c r="C2533" s="75"/>
      <c r="D2533" s="75"/>
      <c r="E2533" s="75"/>
      <c r="F2533" s="75"/>
    </row>
    <row r="2534" spans="2:6">
      <c r="B2534" s="75"/>
      <c r="C2534" s="75"/>
      <c r="D2534" s="75"/>
      <c r="E2534" s="75"/>
      <c r="F2534" s="75"/>
    </row>
    <row r="2535" spans="2:6">
      <c r="B2535" s="75"/>
      <c r="C2535" s="75"/>
      <c r="D2535" s="75"/>
      <c r="E2535" s="75"/>
      <c r="F2535" s="75"/>
    </row>
    <row r="2536" spans="2:6">
      <c r="B2536" s="75"/>
      <c r="C2536" s="75"/>
      <c r="D2536" s="75"/>
      <c r="E2536" s="75"/>
      <c r="F2536" s="75"/>
    </row>
    <row r="2537" spans="2:6">
      <c r="B2537" s="75"/>
      <c r="C2537" s="75"/>
      <c r="D2537" s="75"/>
      <c r="E2537" s="75"/>
      <c r="F2537" s="75"/>
    </row>
    <row r="2538" spans="2:6">
      <c r="B2538" s="75"/>
      <c r="C2538" s="75"/>
      <c r="D2538" s="75"/>
      <c r="E2538" s="75"/>
      <c r="F2538" s="75"/>
    </row>
    <row r="2539" spans="2:6">
      <c r="B2539" s="75"/>
      <c r="C2539" s="75"/>
      <c r="D2539" s="75"/>
      <c r="E2539" s="75"/>
      <c r="F2539" s="75"/>
    </row>
    <row r="2540" spans="2:6">
      <c r="B2540" s="75"/>
      <c r="C2540" s="75"/>
      <c r="D2540" s="75"/>
      <c r="E2540" s="75"/>
      <c r="F2540" s="75"/>
    </row>
    <row r="2541" spans="2:6">
      <c r="B2541" s="75"/>
      <c r="C2541" s="75"/>
      <c r="D2541" s="75"/>
      <c r="E2541" s="75"/>
      <c r="F2541" s="75"/>
    </row>
    <row r="2542" spans="2:6">
      <c r="B2542" s="75"/>
      <c r="C2542" s="75"/>
      <c r="D2542" s="75"/>
      <c r="E2542" s="75"/>
      <c r="F2542" s="75"/>
    </row>
    <row r="2543" spans="2:6">
      <c r="B2543" s="75"/>
      <c r="C2543" s="75"/>
      <c r="D2543" s="75"/>
      <c r="E2543" s="75"/>
      <c r="F2543" s="75"/>
    </row>
    <row r="2544" spans="2:6">
      <c r="B2544" s="75"/>
      <c r="C2544" s="75"/>
      <c r="D2544" s="75"/>
      <c r="E2544" s="75"/>
      <c r="F2544" s="75"/>
    </row>
    <row r="2545" spans="2:6">
      <c r="B2545" s="75"/>
      <c r="C2545" s="75"/>
      <c r="D2545" s="75"/>
      <c r="E2545" s="75"/>
      <c r="F2545" s="75"/>
    </row>
    <row r="2546" spans="2:6">
      <c r="B2546" s="75"/>
      <c r="C2546" s="75"/>
      <c r="D2546" s="75"/>
      <c r="E2546" s="75"/>
      <c r="F2546" s="75"/>
    </row>
    <row r="2547" spans="2:6">
      <c r="B2547" s="75"/>
      <c r="C2547" s="75"/>
      <c r="D2547" s="75"/>
      <c r="E2547" s="75"/>
      <c r="F2547" s="75"/>
    </row>
    <row r="2548" spans="2:6">
      <c r="B2548" s="75"/>
      <c r="C2548" s="75"/>
      <c r="D2548" s="75"/>
      <c r="E2548" s="75"/>
      <c r="F2548" s="75"/>
    </row>
    <row r="2549" spans="2:6">
      <c r="B2549" s="75"/>
      <c r="C2549" s="75"/>
      <c r="D2549" s="75"/>
      <c r="E2549" s="75"/>
      <c r="F2549" s="75"/>
    </row>
    <row r="2550" spans="2:6">
      <c r="B2550" s="75"/>
      <c r="C2550" s="75"/>
      <c r="D2550" s="75"/>
      <c r="E2550" s="75"/>
      <c r="F2550" s="75"/>
    </row>
    <row r="2551" spans="2:6">
      <c r="B2551" s="75"/>
      <c r="C2551" s="75"/>
      <c r="D2551" s="75"/>
      <c r="E2551" s="75"/>
      <c r="F2551" s="75"/>
    </row>
    <row r="2552" spans="2:6">
      <c r="B2552" s="75"/>
      <c r="C2552" s="75"/>
      <c r="D2552" s="75"/>
      <c r="E2552" s="75"/>
      <c r="F2552" s="75"/>
    </row>
    <row r="2553" spans="2:6">
      <c r="B2553" s="75"/>
      <c r="C2553" s="75"/>
      <c r="D2553" s="75"/>
      <c r="E2553" s="75"/>
      <c r="F2553" s="75"/>
    </row>
    <row r="2554" spans="2:6">
      <c r="B2554" s="75"/>
      <c r="C2554" s="75"/>
      <c r="D2554" s="75"/>
      <c r="E2554" s="75"/>
      <c r="F2554" s="75"/>
    </row>
    <row r="2555" spans="2:6">
      <c r="B2555" s="75"/>
      <c r="C2555" s="75"/>
      <c r="D2555" s="75"/>
      <c r="E2555" s="75"/>
      <c r="F2555" s="75"/>
    </row>
    <row r="2556" spans="2:6">
      <c r="B2556" s="75"/>
      <c r="C2556" s="75"/>
      <c r="D2556" s="75"/>
      <c r="E2556" s="75"/>
      <c r="F2556" s="75"/>
    </row>
    <row r="2557" spans="2:6">
      <c r="B2557" s="75"/>
      <c r="C2557" s="75"/>
      <c r="D2557" s="75"/>
      <c r="E2557" s="75"/>
      <c r="F2557" s="75"/>
    </row>
    <row r="2558" spans="2:6">
      <c r="B2558" s="75"/>
      <c r="C2558" s="75"/>
      <c r="D2558" s="75"/>
      <c r="E2558" s="75"/>
      <c r="F2558" s="75"/>
    </row>
    <row r="2559" spans="2:6">
      <c r="B2559" s="75"/>
      <c r="C2559" s="75"/>
      <c r="D2559" s="75"/>
      <c r="E2559" s="75"/>
      <c r="F2559" s="75"/>
    </row>
    <row r="2560" spans="2:6">
      <c r="B2560" s="75"/>
      <c r="C2560" s="75"/>
      <c r="D2560" s="75"/>
      <c r="E2560" s="75"/>
      <c r="F2560" s="75"/>
    </row>
    <row r="2561" spans="2:6">
      <c r="B2561" s="75"/>
      <c r="C2561" s="75"/>
      <c r="D2561" s="75"/>
      <c r="E2561" s="75"/>
      <c r="F2561" s="75"/>
    </row>
    <row r="2562" spans="2:6">
      <c r="B2562" s="75"/>
      <c r="C2562" s="75"/>
      <c r="D2562" s="75"/>
      <c r="E2562" s="75"/>
      <c r="F2562" s="75"/>
    </row>
    <row r="2563" spans="2:6">
      <c r="B2563" s="75"/>
      <c r="C2563" s="75"/>
      <c r="D2563" s="75"/>
      <c r="E2563" s="75"/>
      <c r="F2563" s="75"/>
    </row>
    <row r="2564" spans="2:6">
      <c r="B2564" s="75"/>
      <c r="C2564" s="75"/>
      <c r="D2564" s="75"/>
      <c r="E2564" s="75"/>
      <c r="F2564" s="75"/>
    </row>
    <row r="2565" spans="2:6">
      <c r="B2565" s="75"/>
      <c r="C2565" s="75"/>
      <c r="D2565" s="75"/>
      <c r="E2565" s="75"/>
      <c r="F2565" s="75"/>
    </row>
    <row r="2566" spans="2:6">
      <c r="B2566" s="75"/>
      <c r="C2566" s="75"/>
      <c r="D2566" s="75"/>
      <c r="E2566" s="75"/>
      <c r="F2566" s="75"/>
    </row>
    <row r="2567" spans="2:6">
      <c r="B2567" s="75"/>
      <c r="C2567" s="75"/>
      <c r="D2567" s="75"/>
      <c r="E2567" s="75"/>
      <c r="F2567" s="75"/>
    </row>
    <row r="2568" spans="2:6">
      <c r="B2568" s="75"/>
      <c r="C2568" s="75"/>
      <c r="D2568" s="75"/>
      <c r="E2568" s="75"/>
      <c r="F2568" s="75"/>
    </row>
    <row r="2569" spans="2:6">
      <c r="B2569" s="75"/>
      <c r="C2569" s="75"/>
      <c r="D2569" s="75"/>
      <c r="E2569" s="75"/>
      <c r="F2569" s="75"/>
    </row>
    <row r="2570" spans="2:6">
      <c r="B2570" s="75"/>
      <c r="C2570" s="75"/>
      <c r="D2570" s="75"/>
      <c r="E2570" s="75"/>
      <c r="F2570" s="75"/>
    </row>
    <row r="2571" spans="2:6">
      <c r="B2571" s="75"/>
      <c r="C2571" s="75"/>
      <c r="D2571" s="75"/>
      <c r="E2571" s="75"/>
      <c r="F2571" s="75"/>
    </row>
    <row r="2572" spans="2:6">
      <c r="B2572" s="75"/>
      <c r="C2572" s="75"/>
      <c r="D2572" s="75"/>
      <c r="E2572" s="75"/>
      <c r="F2572" s="75"/>
    </row>
    <row r="2573" spans="2:6">
      <c r="B2573" s="75"/>
      <c r="C2573" s="75"/>
      <c r="D2573" s="75"/>
      <c r="E2573" s="75"/>
      <c r="F2573" s="75"/>
    </row>
    <row r="2574" spans="2:6">
      <c r="B2574" s="75"/>
      <c r="C2574" s="75"/>
      <c r="D2574" s="75"/>
      <c r="E2574" s="75"/>
      <c r="F2574" s="75"/>
    </row>
    <row r="2575" spans="2:6">
      <c r="B2575" s="75"/>
      <c r="C2575" s="75"/>
      <c r="D2575" s="75"/>
      <c r="E2575" s="75"/>
      <c r="F2575" s="75"/>
    </row>
    <row r="2576" spans="2:6">
      <c r="B2576" s="75"/>
      <c r="C2576" s="75"/>
      <c r="D2576" s="75"/>
      <c r="E2576" s="75"/>
      <c r="F2576" s="75"/>
    </row>
    <row r="2577" spans="2:6">
      <c r="B2577" s="75"/>
      <c r="C2577" s="75"/>
      <c r="D2577" s="75"/>
      <c r="E2577" s="75"/>
      <c r="F2577" s="75"/>
    </row>
    <row r="2578" spans="2:6">
      <c r="B2578" s="75"/>
      <c r="C2578" s="75"/>
      <c r="D2578" s="75"/>
      <c r="E2578" s="75"/>
      <c r="F2578" s="75"/>
    </row>
    <row r="2579" spans="2:6">
      <c r="B2579" s="75"/>
      <c r="C2579" s="75"/>
      <c r="D2579" s="75"/>
      <c r="E2579" s="75"/>
      <c r="F2579" s="75"/>
    </row>
    <row r="2580" spans="2:6">
      <c r="B2580" s="75"/>
      <c r="C2580" s="75"/>
      <c r="D2580" s="75"/>
      <c r="E2580" s="75"/>
      <c r="F2580" s="75"/>
    </row>
    <row r="2581" spans="2:6">
      <c r="B2581" s="75"/>
      <c r="C2581" s="75"/>
      <c r="D2581" s="75"/>
      <c r="E2581" s="75"/>
      <c r="F2581" s="75"/>
    </row>
    <row r="2582" spans="2:6">
      <c r="B2582" s="75"/>
      <c r="C2582" s="75"/>
      <c r="D2582" s="75"/>
      <c r="E2582" s="75"/>
      <c r="F2582" s="75"/>
    </row>
    <row r="2583" spans="2:6">
      <c r="B2583" s="75"/>
      <c r="C2583" s="75"/>
      <c r="D2583" s="75"/>
      <c r="E2583" s="75"/>
      <c r="F2583" s="75"/>
    </row>
    <row r="2584" spans="2:6">
      <c r="B2584" s="75"/>
      <c r="C2584" s="75"/>
      <c r="D2584" s="75"/>
      <c r="E2584" s="75"/>
      <c r="F2584" s="75"/>
    </row>
    <row r="2585" spans="2:6">
      <c r="B2585" s="75"/>
      <c r="C2585" s="75"/>
      <c r="D2585" s="75"/>
      <c r="E2585" s="75"/>
      <c r="F2585" s="75"/>
    </row>
    <row r="2586" spans="2:6">
      <c r="B2586" s="75"/>
      <c r="C2586" s="75"/>
      <c r="D2586" s="75"/>
      <c r="E2586" s="75"/>
      <c r="F2586" s="75"/>
    </row>
    <row r="2587" spans="2:6">
      <c r="B2587" s="75"/>
      <c r="C2587" s="75"/>
      <c r="D2587" s="75"/>
      <c r="E2587" s="75"/>
      <c r="F2587" s="75"/>
    </row>
    <row r="2588" spans="2:6">
      <c r="B2588" s="75"/>
      <c r="C2588" s="75"/>
      <c r="D2588" s="75"/>
      <c r="E2588" s="75"/>
      <c r="F2588" s="75"/>
    </row>
    <row r="2589" spans="2:6">
      <c r="B2589" s="75"/>
      <c r="C2589" s="75"/>
      <c r="D2589" s="75"/>
      <c r="E2589" s="75"/>
      <c r="F2589" s="75"/>
    </row>
    <row r="2590" spans="2:6">
      <c r="B2590" s="75"/>
      <c r="C2590" s="75"/>
      <c r="D2590" s="75"/>
      <c r="E2590" s="75"/>
      <c r="F2590" s="75"/>
    </row>
    <row r="2591" spans="2:6">
      <c r="B2591" s="75"/>
      <c r="C2591" s="75"/>
      <c r="D2591" s="75"/>
      <c r="E2591" s="75"/>
      <c r="F2591" s="75"/>
    </row>
    <row r="2592" spans="2:6">
      <c r="B2592" s="75"/>
      <c r="C2592" s="75"/>
      <c r="D2592" s="75"/>
      <c r="E2592" s="75"/>
      <c r="F2592" s="75"/>
    </row>
    <row r="2593" spans="2:6">
      <c r="B2593" s="75"/>
      <c r="C2593" s="75"/>
      <c r="D2593" s="75"/>
      <c r="E2593" s="75"/>
      <c r="F2593" s="75"/>
    </row>
    <row r="2594" spans="2:6">
      <c r="B2594" s="75"/>
      <c r="C2594" s="75"/>
      <c r="D2594" s="75"/>
      <c r="E2594" s="75"/>
      <c r="F2594" s="75"/>
    </row>
    <row r="2595" spans="2:6">
      <c r="B2595" s="75"/>
      <c r="C2595" s="75"/>
      <c r="D2595" s="75"/>
      <c r="E2595" s="75"/>
      <c r="F2595" s="75"/>
    </row>
    <row r="2596" spans="2:6">
      <c r="B2596" s="75"/>
      <c r="C2596" s="75"/>
      <c r="D2596" s="75"/>
      <c r="E2596" s="75"/>
      <c r="F2596" s="75"/>
    </row>
    <row r="2597" spans="2:6">
      <c r="B2597" s="75"/>
      <c r="C2597" s="75"/>
      <c r="D2597" s="75"/>
      <c r="E2597" s="75"/>
      <c r="F2597" s="75"/>
    </row>
    <row r="2598" spans="2:6">
      <c r="B2598" s="75"/>
      <c r="C2598" s="75"/>
      <c r="D2598" s="75"/>
      <c r="E2598" s="75"/>
      <c r="F2598" s="75"/>
    </row>
    <row r="2599" spans="2:6">
      <c r="B2599" s="75"/>
      <c r="C2599" s="75"/>
      <c r="D2599" s="75"/>
      <c r="E2599" s="75"/>
      <c r="F2599" s="75"/>
    </row>
    <row r="2600" spans="2:6">
      <c r="B2600" s="75"/>
      <c r="C2600" s="75"/>
      <c r="D2600" s="75"/>
      <c r="E2600" s="75"/>
      <c r="F2600" s="75"/>
    </row>
    <row r="2601" spans="2:6">
      <c r="B2601" s="75"/>
      <c r="C2601" s="75"/>
      <c r="D2601" s="75"/>
      <c r="E2601" s="75"/>
      <c r="F2601" s="75"/>
    </row>
    <row r="2602" spans="2:6">
      <c r="B2602" s="75"/>
      <c r="C2602" s="75"/>
      <c r="D2602" s="75"/>
      <c r="E2602" s="75"/>
      <c r="F2602" s="75"/>
    </row>
    <row r="2603" spans="2:6">
      <c r="B2603" s="75"/>
      <c r="C2603" s="75"/>
      <c r="D2603" s="75"/>
      <c r="E2603" s="75"/>
      <c r="F2603" s="75"/>
    </row>
    <row r="2604" spans="2:6">
      <c r="B2604" s="75"/>
      <c r="C2604" s="75"/>
      <c r="D2604" s="75"/>
      <c r="E2604" s="75"/>
      <c r="F2604" s="75"/>
    </row>
    <row r="2605" spans="2:6">
      <c r="B2605" s="75"/>
      <c r="C2605" s="75"/>
      <c r="D2605" s="75"/>
      <c r="E2605" s="75"/>
      <c r="F2605" s="75"/>
    </row>
    <row r="2606" spans="2:6">
      <c r="B2606" s="75"/>
      <c r="C2606" s="75"/>
      <c r="D2606" s="75"/>
      <c r="E2606" s="75"/>
      <c r="F2606" s="75"/>
    </row>
    <row r="2607" spans="2:6">
      <c r="B2607" s="75"/>
      <c r="C2607" s="75"/>
      <c r="D2607" s="75"/>
      <c r="E2607" s="75"/>
      <c r="F2607" s="75"/>
    </row>
    <row r="2608" spans="2:6">
      <c r="B2608" s="75"/>
      <c r="C2608" s="75"/>
      <c r="D2608" s="75"/>
      <c r="E2608" s="75"/>
      <c r="F2608" s="75"/>
    </row>
    <row r="2609" spans="2:6">
      <c r="B2609" s="75"/>
      <c r="C2609" s="75"/>
      <c r="D2609" s="75"/>
      <c r="E2609" s="75"/>
      <c r="F2609" s="75"/>
    </row>
    <row r="2610" spans="2:6">
      <c r="B2610" s="75"/>
      <c r="C2610" s="75"/>
      <c r="D2610" s="75"/>
      <c r="E2610" s="75"/>
      <c r="F2610" s="75"/>
    </row>
    <row r="2611" spans="2:6">
      <c r="B2611" s="75"/>
      <c r="C2611" s="75"/>
      <c r="D2611" s="75"/>
      <c r="E2611" s="75"/>
      <c r="F2611" s="75"/>
    </row>
    <row r="2612" spans="2:6">
      <c r="B2612" s="75"/>
      <c r="C2612" s="75"/>
      <c r="D2612" s="75"/>
      <c r="E2612" s="75"/>
      <c r="F2612" s="75"/>
    </row>
    <row r="2613" spans="2:6">
      <c r="B2613" s="75"/>
      <c r="C2613" s="75"/>
      <c r="D2613" s="75"/>
      <c r="E2613" s="75"/>
      <c r="F2613" s="75"/>
    </row>
    <row r="2614" spans="2:6">
      <c r="B2614" s="75"/>
      <c r="C2614" s="75"/>
      <c r="D2614" s="75"/>
      <c r="E2614" s="75"/>
      <c r="F2614" s="75"/>
    </row>
    <row r="2615" spans="2:6">
      <c r="B2615" s="75"/>
      <c r="C2615" s="75"/>
      <c r="D2615" s="75"/>
      <c r="E2615" s="75"/>
      <c r="F2615" s="75"/>
    </row>
    <row r="2616" spans="2:6">
      <c r="B2616" s="75"/>
      <c r="C2616" s="75"/>
      <c r="D2616" s="75"/>
      <c r="E2616" s="75"/>
      <c r="F2616" s="75"/>
    </row>
    <row r="2617" spans="2:6">
      <c r="B2617" s="75"/>
      <c r="C2617" s="75"/>
      <c r="D2617" s="75"/>
      <c r="E2617" s="75"/>
      <c r="F2617" s="75"/>
    </row>
    <row r="2618" spans="2:6">
      <c r="B2618" s="75"/>
      <c r="C2618" s="75"/>
      <c r="D2618" s="75"/>
      <c r="E2618" s="75"/>
      <c r="F2618" s="75"/>
    </row>
    <row r="2619" spans="2:6">
      <c r="B2619" s="75"/>
      <c r="C2619" s="75"/>
      <c r="D2619" s="75"/>
      <c r="E2619" s="75"/>
      <c r="F2619" s="75"/>
    </row>
    <row r="2620" spans="2:6">
      <c r="B2620" s="75"/>
      <c r="C2620" s="75"/>
      <c r="D2620" s="75"/>
      <c r="E2620" s="75"/>
      <c r="F2620" s="75"/>
    </row>
    <row r="2621" spans="2:6">
      <c r="B2621" s="75"/>
      <c r="C2621" s="75"/>
      <c r="D2621" s="75"/>
      <c r="E2621" s="75"/>
      <c r="F2621" s="75"/>
    </row>
    <row r="2622" spans="2:6">
      <c r="B2622" s="75"/>
      <c r="C2622" s="75"/>
      <c r="D2622" s="75"/>
      <c r="E2622" s="75"/>
      <c r="F2622" s="75"/>
    </row>
    <row r="2623" spans="2:6">
      <c r="B2623" s="75"/>
      <c r="C2623" s="75"/>
      <c r="D2623" s="75"/>
      <c r="E2623" s="75"/>
      <c r="F2623" s="75"/>
    </row>
    <row r="2624" spans="2:6">
      <c r="B2624" s="75"/>
      <c r="C2624" s="75"/>
      <c r="D2624" s="75"/>
      <c r="E2624" s="75"/>
      <c r="F2624" s="75"/>
    </row>
    <row r="2625" spans="2:6">
      <c r="B2625" s="75"/>
      <c r="C2625" s="75"/>
      <c r="D2625" s="75"/>
      <c r="E2625" s="75"/>
      <c r="F2625" s="75"/>
    </row>
    <row r="2626" spans="2:6">
      <c r="B2626" s="75"/>
      <c r="C2626" s="75"/>
      <c r="D2626" s="75"/>
      <c r="E2626" s="75"/>
      <c r="F2626" s="75"/>
    </row>
    <row r="2627" spans="2:6">
      <c r="B2627" s="75"/>
      <c r="C2627" s="75"/>
      <c r="D2627" s="75"/>
      <c r="E2627" s="75"/>
      <c r="F2627" s="75"/>
    </row>
    <row r="2628" spans="2:6">
      <c r="B2628" s="75"/>
      <c r="C2628" s="75"/>
      <c r="D2628" s="75"/>
      <c r="E2628" s="75"/>
      <c r="F2628" s="75"/>
    </row>
    <row r="2629" spans="2:6">
      <c r="B2629" s="75"/>
      <c r="C2629" s="75"/>
      <c r="D2629" s="75"/>
      <c r="E2629" s="75"/>
      <c r="F2629" s="75"/>
    </row>
    <row r="2630" spans="2:6">
      <c r="B2630" s="75"/>
      <c r="C2630" s="75"/>
      <c r="D2630" s="75"/>
      <c r="E2630" s="75"/>
      <c r="F2630" s="75"/>
    </row>
    <row r="2631" spans="2:6">
      <c r="B2631" s="75"/>
      <c r="C2631" s="75"/>
      <c r="D2631" s="75"/>
      <c r="E2631" s="75"/>
      <c r="F2631" s="75"/>
    </row>
    <row r="2632" spans="2:6">
      <c r="B2632" s="75"/>
      <c r="C2632" s="75"/>
      <c r="D2632" s="75"/>
      <c r="E2632" s="75"/>
      <c r="F2632" s="75"/>
    </row>
    <row r="2633" spans="2:6">
      <c r="B2633" s="75"/>
      <c r="C2633" s="75"/>
      <c r="D2633" s="75"/>
      <c r="E2633" s="75"/>
      <c r="F2633" s="75"/>
    </row>
    <row r="2634" spans="2:6">
      <c r="B2634" s="75"/>
      <c r="C2634" s="75"/>
      <c r="D2634" s="75"/>
      <c r="E2634" s="75"/>
      <c r="F2634" s="75"/>
    </row>
    <row r="2635" spans="2:6">
      <c r="B2635" s="75"/>
      <c r="C2635" s="75"/>
      <c r="D2635" s="75"/>
      <c r="E2635" s="75"/>
      <c r="F2635" s="75"/>
    </row>
    <row r="2636" spans="2:6">
      <c r="B2636" s="75"/>
      <c r="C2636" s="75"/>
      <c r="D2636" s="75"/>
      <c r="E2636" s="75"/>
      <c r="F2636" s="75"/>
    </row>
    <row r="2637" spans="2:6">
      <c r="B2637" s="75"/>
      <c r="C2637" s="75"/>
      <c r="D2637" s="75"/>
      <c r="E2637" s="75"/>
      <c r="F2637" s="75"/>
    </row>
    <row r="2638" spans="2:6">
      <c r="B2638" s="75"/>
      <c r="C2638" s="75"/>
      <c r="D2638" s="75"/>
      <c r="E2638" s="75"/>
      <c r="F2638" s="75"/>
    </row>
    <row r="2639" spans="2:6">
      <c r="B2639" s="75"/>
      <c r="C2639" s="75"/>
      <c r="D2639" s="75"/>
      <c r="E2639" s="75"/>
      <c r="F2639" s="75"/>
    </row>
    <row r="2640" spans="2:6">
      <c r="B2640" s="75"/>
      <c r="C2640" s="75"/>
      <c r="D2640" s="75"/>
      <c r="E2640" s="75"/>
      <c r="F2640" s="75"/>
    </row>
    <row r="2641" spans="2:6">
      <c r="B2641" s="75"/>
      <c r="C2641" s="75"/>
      <c r="D2641" s="75"/>
      <c r="E2641" s="75"/>
      <c r="F2641" s="75"/>
    </row>
    <row r="2642" spans="2:6">
      <c r="B2642" s="75"/>
      <c r="C2642" s="75"/>
      <c r="D2642" s="75"/>
      <c r="E2642" s="75"/>
      <c r="F2642" s="75"/>
    </row>
    <row r="2643" spans="2:6">
      <c r="B2643" s="75"/>
      <c r="C2643" s="75"/>
      <c r="D2643" s="75"/>
      <c r="E2643" s="75"/>
      <c r="F2643" s="75"/>
    </row>
    <row r="2644" spans="2:6">
      <c r="B2644" s="75"/>
      <c r="C2644" s="75"/>
      <c r="D2644" s="75"/>
      <c r="E2644" s="75"/>
      <c r="F2644" s="75"/>
    </row>
    <row r="2645" spans="2:6">
      <c r="B2645" s="75"/>
      <c r="C2645" s="75"/>
      <c r="D2645" s="75"/>
      <c r="E2645" s="75"/>
      <c r="F2645" s="75"/>
    </row>
    <row r="2646" spans="2:6">
      <c r="B2646" s="75"/>
      <c r="C2646" s="75"/>
      <c r="D2646" s="75"/>
      <c r="E2646" s="75"/>
      <c r="F2646" s="75"/>
    </row>
    <row r="2647" spans="2:6">
      <c r="B2647" s="75"/>
      <c r="C2647" s="75"/>
      <c r="D2647" s="75"/>
      <c r="E2647" s="75"/>
      <c r="F2647" s="75"/>
    </row>
    <row r="2648" spans="2:6">
      <c r="B2648" s="75"/>
      <c r="C2648" s="75"/>
      <c r="D2648" s="75"/>
      <c r="E2648" s="75"/>
      <c r="F2648" s="75"/>
    </row>
    <row r="2649" spans="2:6">
      <c r="B2649" s="75"/>
      <c r="C2649" s="75"/>
      <c r="D2649" s="75"/>
      <c r="E2649" s="75"/>
      <c r="F2649" s="75"/>
    </row>
    <row r="2650" spans="2:6">
      <c r="B2650" s="75"/>
      <c r="C2650" s="75"/>
      <c r="D2650" s="75"/>
      <c r="E2650" s="75"/>
      <c r="F2650" s="75"/>
    </row>
    <row r="2651" spans="2:6">
      <c r="B2651" s="75"/>
      <c r="C2651" s="75"/>
      <c r="D2651" s="75"/>
      <c r="E2651" s="75"/>
      <c r="F2651" s="75"/>
    </row>
    <row r="2652" spans="2:6">
      <c r="B2652" s="75"/>
      <c r="C2652" s="75"/>
      <c r="D2652" s="75"/>
      <c r="E2652" s="75"/>
      <c r="F2652" s="75"/>
    </row>
    <row r="2653" spans="2:6">
      <c r="B2653" s="75"/>
      <c r="C2653" s="75"/>
      <c r="D2653" s="75"/>
      <c r="E2653" s="75"/>
      <c r="F2653" s="75"/>
    </row>
    <row r="2654" spans="2:6">
      <c r="B2654" s="75"/>
      <c r="C2654" s="75"/>
      <c r="D2654" s="75"/>
      <c r="E2654" s="75"/>
      <c r="F2654" s="75"/>
    </row>
    <row r="2655" spans="2:6">
      <c r="B2655" s="75"/>
      <c r="C2655" s="75"/>
      <c r="D2655" s="75"/>
      <c r="E2655" s="75"/>
      <c r="F2655" s="75"/>
    </row>
    <row r="2656" spans="2:6">
      <c r="B2656" s="75"/>
      <c r="C2656" s="75"/>
      <c r="D2656" s="75"/>
      <c r="E2656" s="75"/>
      <c r="F2656" s="75"/>
    </row>
    <row r="2657" spans="2:6">
      <c r="B2657" s="75"/>
      <c r="C2657" s="75"/>
      <c r="D2657" s="75"/>
      <c r="E2657" s="75"/>
      <c r="F2657" s="75"/>
    </row>
    <row r="2658" spans="2:6">
      <c r="B2658" s="75"/>
      <c r="C2658" s="75"/>
      <c r="D2658" s="75"/>
      <c r="E2658" s="75"/>
      <c r="F2658" s="75"/>
    </row>
    <row r="2659" spans="2:6">
      <c r="B2659" s="75"/>
      <c r="C2659" s="75"/>
      <c r="D2659" s="75"/>
      <c r="E2659" s="75"/>
      <c r="F2659" s="75"/>
    </row>
    <row r="2660" spans="2:6">
      <c r="B2660" s="75"/>
      <c r="C2660" s="75"/>
      <c r="D2660" s="75"/>
      <c r="E2660" s="75"/>
      <c r="F2660" s="75"/>
    </row>
    <row r="2661" spans="2:6">
      <c r="B2661" s="75"/>
      <c r="C2661" s="75"/>
      <c r="D2661" s="75"/>
      <c r="E2661" s="75"/>
      <c r="F2661" s="75"/>
    </row>
    <row r="2662" spans="2:6">
      <c r="B2662" s="75"/>
      <c r="C2662" s="75"/>
      <c r="D2662" s="75"/>
      <c r="E2662" s="75"/>
      <c r="F2662" s="75"/>
    </row>
    <row r="2663" spans="2:6">
      <c r="B2663" s="75"/>
      <c r="C2663" s="75"/>
      <c r="D2663" s="75"/>
      <c r="E2663" s="75"/>
      <c r="F2663" s="75"/>
    </row>
    <row r="2664" spans="2:6">
      <c r="B2664" s="75"/>
      <c r="C2664" s="75"/>
      <c r="D2664" s="75"/>
      <c r="E2664" s="75"/>
      <c r="F2664" s="75"/>
    </row>
    <row r="2665" spans="2:6">
      <c r="B2665" s="75"/>
      <c r="C2665" s="75"/>
      <c r="D2665" s="75"/>
      <c r="E2665" s="75"/>
      <c r="F2665" s="75"/>
    </row>
    <row r="2666" spans="2:6">
      <c r="B2666" s="75"/>
      <c r="C2666" s="75"/>
      <c r="D2666" s="75"/>
      <c r="E2666" s="75"/>
      <c r="F2666" s="75"/>
    </row>
    <row r="2667" spans="2:6">
      <c r="B2667" s="75"/>
      <c r="C2667" s="75"/>
      <c r="D2667" s="75"/>
      <c r="E2667" s="75"/>
      <c r="F2667" s="75"/>
    </row>
    <row r="2668" spans="2:6">
      <c r="B2668" s="75"/>
      <c r="C2668" s="75"/>
      <c r="D2668" s="75"/>
      <c r="E2668" s="75"/>
      <c r="F2668" s="75"/>
    </row>
    <row r="2669" spans="2:6">
      <c r="B2669" s="75"/>
      <c r="C2669" s="75"/>
      <c r="D2669" s="75"/>
      <c r="E2669" s="75"/>
      <c r="F2669" s="75"/>
    </row>
    <row r="2670" spans="2:6">
      <c r="B2670" s="75"/>
      <c r="C2670" s="75"/>
      <c r="D2670" s="75"/>
      <c r="E2670" s="75"/>
      <c r="F2670" s="75"/>
    </row>
    <row r="2671" spans="2:6">
      <c r="B2671" s="75"/>
      <c r="C2671" s="75"/>
      <c r="D2671" s="75"/>
      <c r="E2671" s="75"/>
      <c r="F2671" s="75"/>
    </row>
    <row r="2672" spans="2:6">
      <c r="B2672" s="75"/>
      <c r="C2672" s="75"/>
      <c r="D2672" s="75"/>
      <c r="E2672" s="75"/>
      <c r="F2672" s="75"/>
    </row>
    <row r="2673" spans="2:6">
      <c r="B2673" s="75"/>
      <c r="C2673" s="75"/>
      <c r="D2673" s="75"/>
      <c r="E2673" s="75"/>
      <c r="F2673" s="75"/>
    </row>
    <row r="2674" spans="2:6">
      <c r="B2674" s="75"/>
      <c r="C2674" s="75"/>
      <c r="D2674" s="75"/>
      <c r="E2674" s="75"/>
      <c r="F2674" s="75"/>
    </row>
    <row r="2675" spans="2:6">
      <c r="B2675" s="75"/>
      <c r="C2675" s="75"/>
      <c r="D2675" s="75"/>
      <c r="E2675" s="75"/>
      <c r="F2675" s="75"/>
    </row>
    <row r="2676" spans="2:6">
      <c r="B2676" s="75"/>
      <c r="C2676" s="75"/>
      <c r="D2676" s="75"/>
      <c r="E2676" s="75"/>
      <c r="F2676" s="75"/>
    </row>
    <row r="2677" spans="2:6">
      <c r="B2677" s="75"/>
      <c r="C2677" s="75"/>
      <c r="D2677" s="75"/>
      <c r="E2677" s="75"/>
      <c r="F2677" s="75"/>
    </row>
    <row r="2678" spans="2:6">
      <c r="B2678" s="75"/>
      <c r="C2678" s="75"/>
      <c r="D2678" s="75"/>
      <c r="E2678" s="75"/>
      <c r="F2678" s="75"/>
    </row>
    <row r="2679" spans="2:6">
      <c r="B2679" s="75"/>
      <c r="C2679" s="75"/>
      <c r="D2679" s="75"/>
      <c r="E2679" s="75"/>
      <c r="F2679" s="75"/>
    </row>
    <row r="2680" spans="2:6">
      <c r="B2680" s="75"/>
      <c r="C2680" s="75"/>
      <c r="D2680" s="75"/>
      <c r="E2680" s="75"/>
      <c r="F2680" s="75"/>
    </row>
    <row r="2681" spans="2:6">
      <c r="B2681" s="75"/>
      <c r="C2681" s="75"/>
      <c r="D2681" s="75"/>
      <c r="E2681" s="75"/>
      <c r="F2681" s="75"/>
    </row>
    <row r="2682" spans="2:6">
      <c r="B2682" s="75"/>
      <c r="C2682" s="75"/>
      <c r="D2682" s="75"/>
      <c r="E2682" s="75"/>
      <c r="F2682" s="75"/>
    </row>
    <row r="2683" spans="2:6">
      <c r="B2683" s="75"/>
      <c r="C2683" s="75"/>
      <c r="D2683" s="75"/>
      <c r="E2683" s="75"/>
      <c r="F2683" s="75"/>
    </row>
    <row r="2684" spans="2:6">
      <c r="B2684" s="75"/>
      <c r="C2684" s="75"/>
      <c r="D2684" s="75"/>
      <c r="E2684" s="75"/>
      <c r="F2684" s="75"/>
    </row>
    <row r="2685" spans="2:6">
      <c r="B2685" s="75"/>
      <c r="C2685" s="75"/>
      <c r="D2685" s="75"/>
      <c r="E2685" s="75"/>
      <c r="F2685" s="75"/>
    </row>
    <row r="2686" spans="2:6">
      <c r="B2686" s="75"/>
      <c r="C2686" s="75"/>
      <c r="D2686" s="75"/>
      <c r="E2686" s="75"/>
      <c r="F2686" s="75"/>
    </row>
    <row r="2687" spans="2:6">
      <c r="B2687" s="75"/>
      <c r="C2687" s="75"/>
      <c r="D2687" s="75"/>
      <c r="E2687" s="75"/>
      <c r="F2687" s="75"/>
    </row>
    <row r="2688" spans="2:6">
      <c r="B2688" s="75"/>
      <c r="C2688" s="75"/>
      <c r="D2688" s="75"/>
      <c r="E2688" s="75"/>
      <c r="F2688" s="75"/>
    </row>
    <row r="2689" spans="2:6">
      <c r="B2689" s="75"/>
      <c r="C2689" s="75"/>
      <c r="D2689" s="75"/>
      <c r="E2689" s="75"/>
      <c r="F2689" s="75"/>
    </row>
    <row r="2690" spans="2:6">
      <c r="B2690" s="75"/>
      <c r="C2690" s="75"/>
      <c r="D2690" s="75"/>
      <c r="E2690" s="75"/>
      <c r="F2690" s="75"/>
    </row>
    <row r="2691" spans="2:6">
      <c r="B2691" s="75"/>
      <c r="C2691" s="75"/>
      <c r="D2691" s="75"/>
      <c r="E2691" s="75"/>
      <c r="F2691" s="75"/>
    </row>
    <row r="2692" spans="2:6">
      <c r="B2692" s="75"/>
      <c r="C2692" s="75"/>
      <c r="D2692" s="75"/>
      <c r="E2692" s="75"/>
      <c r="F2692" s="75"/>
    </row>
    <row r="2693" spans="2:6">
      <c r="B2693" s="75"/>
      <c r="C2693" s="75"/>
      <c r="D2693" s="75"/>
      <c r="E2693" s="75"/>
      <c r="F2693" s="75"/>
    </row>
    <row r="2694" spans="2:6">
      <c r="B2694" s="75"/>
      <c r="C2694" s="75"/>
      <c r="D2694" s="75"/>
      <c r="E2694" s="75"/>
      <c r="F2694" s="75"/>
    </row>
    <row r="2695" spans="2:6">
      <c r="B2695" s="75"/>
      <c r="C2695" s="75"/>
      <c r="D2695" s="75"/>
      <c r="E2695" s="75"/>
      <c r="F2695" s="75"/>
    </row>
    <row r="2696" spans="2:6">
      <c r="B2696" s="75"/>
      <c r="C2696" s="75"/>
      <c r="D2696" s="75"/>
      <c r="E2696" s="75"/>
      <c r="F2696" s="75"/>
    </row>
    <row r="2697" spans="2:6">
      <c r="B2697" s="75"/>
      <c r="C2697" s="75"/>
      <c r="D2697" s="75"/>
      <c r="E2697" s="75"/>
      <c r="F2697" s="75"/>
    </row>
    <row r="2698" spans="2:6">
      <c r="B2698" s="75"/>
      <c r="C2698" s="75"/>
      <c r="D2698" s="75"/>
      <c r="E2698" s="75"/>
      <c r="F2698" s="75"/>
    </row>
    <row r="2699" spans="2:6">
      <c r="B2699" s="75"/>
      <c r="C2699" s="75"/>
      <c r="D2699" s="75"/>
      <c r="E2699" s="75"/>
      <c r="F2699" s="75"/>
    </row>
    <row r="2700" spans="2:6">
      <c r="B2700" s="75"/>
      <c r="C2700" s="75"/>
      <c r="D2700" s="75"/>
      <c r="E2700" s="75"/>
      <c r="F2700" s="75"/>
    </row>
    <row r="2701" spans="2:6">
      <c r="B2701" s="75"/>
      <c r="C2701" s="75"/>
      <c r="D2701" s="75"/>
      <c r="E2701" s="75"/>
      <c r="F2701" s="75"/>
    </row>
    <row r="2702" spans="2:6">
      <c r="B2702" s="75"/>
      <c r="C2702" s="75"/>
      <c r="D2702" s="75"/>
      <c r="E2702" s="75"/>
      <c r="F2702" s="75"/>
    </row>
    <row r="2703" spans="2:6">
      <c r="B2703" s="75"/>
      <c r="C2703" s="75"/>
      <c r="D2703" s="75"/>
      <c r="E2703" s="75"/>
      <c r="F2703" s="75"/>
    </row>
    <row r="2704" spans="2:6">
      <c r="B2704" s="75"/>
      <c r="C2704" s="75"/>
      <c r="D2704" s="75"/>
      <c r="E2704" s="75"/>
      <c r="F2704" s="75"/>
    </row>
    <row r="2705" spans="2:6">
      <c r="B2705" s="75"/>
      <c r="C2705" s="75"/>
      <c r="D2705" s="75"/>
      <c r="E2705" s="75"/>
      <c r="F2705" s="75"/>
    </row>
    <row r="2706" spans="2:6">
      <c r="B2706" s="75"/>
      <c r="C2706" s="75"/>
      <c r="D2706" s="75"/>
      <c r="E2706" s="75"/>
      <c r="F2706" s="75"/>
    </row>
    <row r="2707" spans="2:6">
      <c r="B2707" s="75"/>
      <c r="C2707" s="75"/>
      <c r="D2707" s="75"/>
      <c r="E2707" s="75"/>
      <c r="F2707" s="75"/>
    </row>
    <row r="2708" spans="2:6">
      <c r="B2708" s="75"/>
      <c r="C2708" s="75"/>
      <c r="D2708" s="75"/>
      <c r="E2708" s="75"/>
      <c r="F2708" s="75"/>
    </row>
    <row r="2709" spans="2:6">
      <c r="B2709" s="75"/>
      <c r="C2709" s="75"/>
      <c r="D2709" s="75"/>
      <c r="E2709" s="75"/>
      <c r="F2709" s="75"/>
    </row>
    <row r="2710" spans="2:6">
      <c r="B2710" s="75"/>
      <c r="C2710" s="75"/>
      <c r="D2710" s="75"/>
      <c r="E2710" s="75"/>
      <c r="F2710" s="75"/>
    </row>
    <row r="2711" spans="2:6">
      <c r="B2711" s="75"/>
      <c r="C2711" s="75"/>
      <c r="D2711" s="75"/>
      <c r="E2711" s="75"/>
      <c r="F2711" s="75"/>
    </row>
    <row r="2712" spans="2:6">
      <c r="B2712" s="75"/>
      <c r="C2712" s="75"/>
      <c r="D2712" s="75"/>
      <c r="E2712" s="75"/>
      <c r="F2712" s="75"/>
    </row>
    <row r="2713" spans="2:6">
      <c r="B2713" s="75"/>
      <c r="C2713" s="75"/>
      <c r="D2713" s="75"/>
      <c r="E2713" s="75"/>
      <c r="F2713" s="75"/>
    </row>
    <row r="2714" spans="2:6">
      <c r="B2714" s="75"/>
      <c r="C2714" s="75"/>
      <c r="D2714" s="75"/>
      <c r="E2714" s="75"/>
      <c r="F2714" s="75"/>
    </row>
    <row r="2715" spans="2:6">
      <c r="B2715" s="75"/>
      <c r="C2715" s="75"/>
      <c r="D2715" s="75"/>
      <c r="E2715" s="75"/>
      <c r="F2715" s="75"/>
    </row>
    <row r="2716" spans="2:6">
      <c r="B2716" s="75"/>
      <c r="C2716" s="75"/>
      <c r="D2716" s="75"/>
      <c r="E2716" s="75"/>
      <c r="F2716" s="75"/>
    </row>
    <row r="2717" spans="2:6">
      <c r="B2717" s="75"/>
      <c r="C2717" s="75"/>
      <c r="D2717" s="75"/>
      <c r="E2717" s="75"/>
      <c r="F2717" s="75"/>
    </row>
    <row r="2718" spans="2:6">
      <c r="B2718" s="75"/>
      <c r="C2718" s="75"/>
      <c r="D2718" s="75"/>
      <c r="E2718" s="75"/>
      <c r="F2718" s="75"/>
    </row>
    <row r="2719" spans="2:6">
      <c r="B2719" s="75"/>
      <c r="C2719" s="75"/>
      <c r="D2719" s="75"/>
      <c r="E2719" s="75"/>
      <c r="F2719" s="75"/>
    </row>
    <row r="2720" spans="2:6">
      <c r="B2720" s="75"/>
      <c r="C2720" s="75"/>
      <c r="D2720" s="75"/>
      <c r="E2720" s="75"/>
      <c r="F2720" s="75"/>
    </row>
    <row r="2721" spans="2:6">
      <c r="B2721" s="75"/>
      <c r="C2721" s="75"/>
      <c r="D2721" s="75"/>
      <c r="E2721" s="75"/>
      <c r="F2721" s="75"/>
    </row>
    <row r="2722" spans="2:6">
      <c r="B2722" s="75"/>
      <c r="C2722" s="75"/>
      <c r="D2722" s="75"/>
      <c r="E2722" s="75"/>
      <c r="F2722" s="75"/>
    </row>
    <row r="2723" spans="2:6">
      <c r="B2723" s="75"/>
      <c r="C2723" s="75"/>
      <c r="D2723" s="75"/>
      <c r="E2723" s="75"/>
      <c r="F2723" s="75"/>
    </row>
    <row r="2724" spans="2:6">
      <c r="B2724" s="75"/>
      <c r="C2724" s="75"/>
      <c r="D2724" s="75"/>
      <c r="E2724" s="75"/>
      <c r="F2724" s="75"/>
    </row>
    <row r="2725" spans="2:6">
      <c r="B2725" s="75"/>
      <c r="C2725" s="75"/>
      <c r="D2725" s="75"/>
      <c r="E2725" s="75"/>
      <c r="F2725" s="75"/>
    </row>
    <row r="2726" spans="2:6">
      <c r="B2726" s="75"/>
      <c r="C2726" s="75"/>
      <c r="D2726" s="75"/>
      <c r="E2726" s="75"/>
      <c r="F2726" s="75"/>
    </row>
    <row r="2727" spans="2:6">
      <c r="B2727" s="75"/>
      <c r="C2727" s="75"/>
      <c r="D2727" s="75"/>
      <c r="E2727" s="75"/>
      <c r="F2727" s="75"/>
    </row>
    <row r="2728" spans="2:6">
      <c r="B2728" s="75"/>
      <c r="C2728" s="75"/>
      <c r="D2728" s="75"/>
      <c r="E2728" s="75"/>
      <c r="F2728" s="75"/>
    </row>
    <row r="2729" spans="2:6">
      <c r="B2729" s="75"/>
      <c r="C2729" s="75"/>
      <c r="D2729" s="75"/>
      <c r="E2729" s="75"/>
      <c r="F2729" s="75"/>
    </row>
    <row r="2730" spans="2:6">
      <c r="B2730" s="75"/>
      <c r="C2730" s="75"/>
      <c r="D2730" s="75"/>
      <c r="E2730" s="75"/>
      <c r="F2730" s="75"/>
    </row>
    <row r="2731" spans="2:6">
      <c r="B2731" s="75"/>
      <c r="C2731" s="75"/>
      <c r="D2731" s="75"/>
      <c r="E2731" s="75"/>
      <c r="F2731" s="75"/>
    </row>
    <row r="2732" spans="2:6">
      <c r="B2732" s="75"/>
      <c r="C2732" s="75"/>
      <c r="D2732" s="75"/>
      <c r="E2732" s="75"/>
      <c r="F2732" s="75"/>
    </row>
    <row r="2733" spans="2:6">
      <c r="B2733" s="75"/>
      <c r="C2733" s="75"/>
      <c r="D2733" s="75"/>
      <c r="E2733" s="75"/>
      <c r="F2733" s="75"/>
    </row>
    <row r="2734" spans="2:6">
      <c r="B2734" s="75"/>
      <c r="C2734" s="75"/>
      <c r="D2734" s="75"/>
      <c r="E2734" s="75"/>
      <c r="F2734" s="75"/>
    </row>
    <row r="2735" spans="2:6">
      <c r="B2735" s="75"/>
      <c r="C2735" s="75"/>
      <c r="D2735" s="75"/>
      <c r="E2735" s="75"/>
      <c r="F2735" s="75"/>
    </row>
    <row r="2736" spans="2:6">
      <c r="B2736" s="75"/>
      <c r="C2736" s="75"/>
      <c r="D2736" s="75"/>
      <c r="E2736" s="75"/>
      <c r="F2736" s="75"/>
    </row>
    <row r="2737" spans="2:6">
      <c r="B2737" s="75"/>
      <c r="C2737" s="75"/>
      <c r="D2737" s="75"/>
      <c r="E2737" s="75"/>
      <c r="F2737" s="75"/>
    </row>
    <row r="2738" spans="2:6">
      <c r="B2738" s="75"/>
      <c r="C2738" s="75"/>
      <c r="D2738" s="75"/>
      <c r="E2738" s="75"/>
      <c r="F2738" s="75"/>
    </row>
    <row r="2739" spans="2:6">
      <c r="B2739" s="75"/>
      <c r="C2739" s="75"/>
      <c r="D2739" s="75"/>
      <c r="E2739" s="75"/>
      <c r="F2739" s="75"/>
    </row>
    <row r="2740" spans="2:6">
      <c r="B2740" s="75"/>
      <c r="C2740" s="75"/>
      <c r="D2740" s="75"/>
      <c r="E2740" s="75"/>
      <c r="F2740" s="75"/>
    </row>
    <row r="2741" spans="2:6">
      <c r="B2741" s="75"/>
      <c r="C2741" s="75"/>
      <c r="D2741" s="75"/>
      <c r="E2741" s="75"/>
      <c r="F2741" s="75"/>
    </row>
    <row r="2742" spans="2:6">
      <c r="B2742" s="75"/>
      <c r="C2742" s="75"/>
      <c r="D2742" s="75"/>
      <c r="E2742" s="75"/>
      <c r="F2742" s="75"/>
    </row>
    <row r="2743" spans="2:6">
      <c r="B2743" s="75"/>
      <c r="C2743" s="75"/>
      <c r="D2743" s="75"/>
      <c r="E2743" s="75"/>
      <c r="F2743" s="75"/>
    </row>
    <row r="2744" spans="2:6">
      <c r="B2744" s="75"/>
      <c r="C2744" s="75"/>
      <c r="D2744" s="75"/>
      <c r="E2744" s="75"/>
      <c r="F2744" s="75"/>
    </row>
    <row r="2745" spans="2:6">
      <c r="B2745" s="75"/>
      <c r="C2745" s="75"/>
      <c r="D2745" s="75"/>
      <c r="E2745" s="75"/>
      <c r="F2745" s="75"/>
    </row>
    <row r="2746" spans="2:6">
      <c r="B2746" s="75"/>
      <c r="C2746" s="75"/>
      <c r="D2746" s="75"/>
      <c r="E2746" s="75"/>
      <c r="F2746" s="75"/>
    </row>
    <row r="2747" spans="2:6">
      <c r="B2747" s="75"/>
      <c r="C2747" s="75"/>
      <c r="D2747" s="75"/>
      <c r="E2747" s="75"/>
      <c r="F2747" s="75"/>
    </row>
    <row r="2748" spans="2:6">
      <c r="B2748" s="75"/>
      <c r="C2748" s="75"/>
      <c r="D2748" s="75"/>
      <c r="E2748" s="75"/>
      <c r="F2748" s="75"/>
    </row>
    <row r="2749" spans="2:6">
      <c r="B2749" s="75"/>
      <c r="C2749" s="75"/>
      <c r="D2749" s="75"/>
      <c r="E2749" s="75"/>
      <c r="F2749" s="75"/>
    </row>
    <row r="2750" spans="2:6">
      <c r="B2750" s="75"/>
      <c r="C2750" s="75"/>
      <c r="D2750" s="75"/>
      <c r="E2750" s="75"/>
      <c r="F2750" s="75"/>
    </row>
    <row r="2751" spans="2:6">
      <c r="B2751" s="75"/>
      <c r="C2751" s="75"/>
      <c r="D2751" s="75"/>
      <c r="E2751" s="75"/>
      <c r="F2751" s="75"/>
    </row>
    <row r="2752" spans="2:6">
      <c r="B2752" s="75"/>
      <c r="C2752" s="75"/>
      <c r="D2752" s="75"/>
      <c r="E2752" s="75"/>
      <c r="F2752" s="75"/>
    </row>
    <row r="2753" spans="2:6">
      <c r="B2753" s="75"/>
      <c r="C2753" s="75"/>
      <c r="D2753" s="75"/>
      <c r="E2753" s="75"/>
      <c r="F2753" s="75"/>
    </row>
    <row r="2754" spans="2:6">
      <c r="B2754" s="75"/>
      <c r="C2754" s="75"/>
      <c r="D2754" s="75"/>
      <c r="E2754" s="75"/>
      <c r="F2754" s="75"/>
    </row>
    <row r="2755" spans="2:6">
      <c r="B2755" s="75"/>
      <c r="C2755" s="75"/>
      <c r="D2755" s="75"/>
      <c r="E2755" s="75"/>
      <c r="F2755" s="75"/>
    </row>
    <row r="2756" spans="2:6">
      <c r="B2756" s="75"/>
      <c r="C2756" s="75"/>
      <c r="D2756" s="75"/>
      <c r="E2756" s="75"/>
      <c r="F2756" s="75"/>
    </row>
    <row r="2757" spans="2:6">
      <c r="B2757" s="75"/>
      <c r="C2757" s="75"/>
      <c r="D2757" s="75"/>
      <c r="E2757" s="75"/>
      <c r="F2757" s="75"/>
    </row>
    <row r="2758" spans="2:6">
      <c r="B2758" s="75"/>
      <c r="C2758" s="75"/>
      <c r="D2758" s="75"/>
      <c r="E2758" s="75"/>
      <c r="F2758" s="75"/>
    </row>
    <row r="2759" spans="2:6">
      <c r="B2759" s="75"/>
      <c r="C2759" s="75"/>
      <c r="D2759" s="75"/>
      <c r="E2759" s="75"/>
      <c r="F2759" s="75"/>
    </row>
    <row r="2760" spans="2:6">
      <c r="B2760" s="75"/>
      <c r="C2760" s="75"/>
      <c r="D2760" s="75"/>
      <c r="E2760" s="75"/>
      <c r="F2760" s="75"/>
    </row>
    <row r="2761" spans="2:6">
      <c r="B2761" s="75"/>
      <c r="C2761" s="75"/>
      <c r="D2761" s="75"/>
      <c r="E2761" s="75"/>
      <c r="F2761" s="75"/>
    </row>
    <row r="2762" spans="2:6">
      <c r="B2762" s="75"/>
      <c r="C2762" s="75"/>
      <c r="D2762" s="75"/>
      <c r="E2762" s="75"/>
      <c r="F2762" s="75"/>
    </row>
    <row r="2763" spans="2:6">
      <c r="B2763" s="75"/>
      <c r="C2763" s="75"/>
      <c r="D2763" s="75"/>
      <c r="E2763" s="75"/>
      <c r="F2763" s="75"/>
    </row>
    <row r="2764" spans="2:6">
      <c r="B2764" s="75"/>
      <c r="C2764" s="75"/>
      <c r="D2764" s="75"/>
      <c r="E2764" s="75"/>
      <c r="F2764" s="75"/>
    </row>
    <row r="2765" spans="2:6">
      <c r="B2765" s="75"/>
      <c r="C2765" s="75"/>
      <c r="D2765" s="75"/>
      <c r="E2765" s="75"/>
      <c r="F2765" s="75"/>
    </row>
    <row r="2766" spans="2:6">
      <c r="B2766" s="75"/>
      <c r="C2766" s="75"/>
      <c r="D2766" s="75"/>
      <c r="E2766" s="75"/>
      <c r="F2766" s="75"/>
    </row>
    <row r="2767" spans="2:6">
      <c r="B2767" s="75"/>
      <c r="C2767" s="75"/>
      <c r="D2767" s="75"/>
      <c r="E2767" s="75"/>
      <c r="F2767" s="75"/>
    </row>
    <row r="2768" spans="2:6">
      <c r="B2768" s="75"/>
      <c r="C2768" s="75"/>
      <c r="D2768" s="75"/>
      <c r="E2768" s="75"/>
      <c r="F2768" s="75"/>
    </row>
    <row r="2769" spans="2:6">
      <c r="B2769" s="75"/>
      <c r="C2769" s="75"/>
      <c r="D2769" s="75"/>
      <c r="E2769" s="75"/>
      <c r="F2769" s="75"/>
    </row>
    <row r="2770" spans="2:6">
      <c r="B2770" s="75"/>
      <c r="C2770" s="75"/>
      <c r="D2770" s="75"/>
      <c r="E2770" s="75"/>
      <c r="F2770" s="75"/>
    </row>
    <row r="2771" spans="2:6">
      <c r="B2771" s="75"/>
      <c r="C2771" s="75"/>
      <c r="D2771" s="75"/>
      <c r="E2771" s="75"/>
      <c r="F2771" s="75"/>
    </row>
    <row r="2772" spans="2:6">
      <c r="B2772" s="75"/>
      <c r="C2772" s="75"/>
      <c r="D2772" s="75"/>
      <c r="E2772" s="75"/>
      <c r="F2772" s="75"/>
    </row>
    <row r="2773" spans="2:6">
      <c r="B2773" s="75"/>
      <c r="C2773" s="75"/>
      <c r="D2773" s="75"/>
      <c r="E2773" s="75"/>
      <c r="F2773" s="75"/>
    </row>
    <row r="2774" spans="2:6">
      <c r="B2774" s="75"/>
      <c r="C2774" s="75"/>
      <c r="D2774" s="75"/>
      <c r="E2774" s="75"/>
      <c r="F2774" s="75"/>
    </row>
    <row r="2775" spans="2:6">
      <c r="B2775" s="75"/>
      <c r="C2775" s="75"/>
      <c r="D2775" s="75"/>
      <c r="E2775" s="75"/>
      <c r="F2775" s="75"/>
    </row>
    <row r="2776" spans="2:6">
      <c r="B2776" s="75"/>
      <c r="C2776" s="75"/>
      <c r="D2776" s="75"/>
      <c r="E2776" s="75"/>
      <c r="F2776" s="75"/>
    </row>
    <row r="2777" spans="2:6">
      <c r="B2777" s="75"/>
      <c r="C2777" s="75"/>
      <c r="D2777" s="75"/>
      <c r="E2777" s="75"/>
      <c r="F2777" s="75"/>
    </row>
    <row r="2778" spans="2:6">
      <c r="B2778" s="75"/>
      <c r="C2778" s="75"/>
      <c r="D2778" s="75"/>
      <c r="E2778" s="75"/>
      <c r="F2778" s="75"/>
    </row>
    <row r="2779" spans="2:6">
      <c r="B2779" s="75"/>
      <c r="C2779" s="75"/>
      <c r="D2779" s="75"/>
      <c r="E2779" s="75"/>
      <c r="F2779" s="75"/>
    </row>
    <row r="2780" spans="2:6">
      <c r="B2780" s="75"/>
      <c r="C2780" s="75"/>
      <c r="D2780" s="75"/>
      <c r="E2780" s="75"/>
      <c r="F2780" s="75"/>
    </row>
    <row r="2781" spans="2:6">
      <c r="B2781" s="75"/>
      <c r="C2781" s="75"/>
      <c r="D2781" s="75"/>
      <c r="E2781" s="75"/>
      <c r="F2781" s="75"/>
    </row>
    <row r="2782" spans="2:6">
      <c r="B2782" s="75"/>
      <c r="C2782" s="75"/>
      <c r="D2782" s="75"/>
      <c r="E2782" s="75"/>
      <c r="F2782" s="75"/>
    </row>
    <row r="2783" spans="2:6">
      <c r="B2783" s="75"/>
      <c r="C2783" s="75"/>
      <c r="D2783" s="75"/>
      <c r="E2783" s="75"/>
      <c r="F2783" s="75"/>
    </row>
    <row r="2784" spans="2:6">
      <c r="B2784" s="75"/>
      <c r="C2784" s="75"/>
      <c r="D2784" s="75"/>
      <c r="E2784" s="75"/>
      <c r="F2784" s="75"/>
    </row>
    <row r="2785" spans="2:6">
      <c r="B2785" s="75"/>
      <c r="C2785" s="75"/>
      <c r="D2785" s="75"/>
      <c r="E2785" s="75"/>
      <c r="F2785" s="75"/>
    </row>
    <row r="2786" spans="2:6">
      <c r="B2786" s="75"/>
      <c r="C2786" s="75"/>
      <c r="D2786" s="75"/>
      <c r="E2786" s="75"/>
      <c r="F2786" s="75"/>
    </row>
    <row r="2787" spans="2:6">
      <c r="B2787" s="75"/>
      <c r="C2787" s="75"/>
      <c r="D2787" s="75"/>
      <c r="E2787" s="75"/>
      <c r="F2787" s="75"/>
    </row>
    <row r="2788" spans="2:6">
      <c r="B2788" s="75"/>
      <c r="C2788" s="75"/>
      <c r="D2788" s="75"/>
      <c r="E2788" s="75"/>
      <c r="F2788" s="75"/>
    </row>
    <row r="2789" spans="2:6">
      <c r="B2789" s="75"/>
      <c r="C2789" s="75"/>
      <c r="D2789" s="75"/>
      <c r="E2789" s="75"/>
      <c r="F2789" s="75"/>
    </row>
    <row r="2790" spans="2:6">
      <c r="B2790" s="75"/>
      <c r="C2790" s="75"/>
      <c r="D2790" s="75"/>
      <c r="E2790" s="75"/>
      <c r="F2790" s="75"/>
    </row>
    <row r="2791" spans="2:6">
      <c r="B2791" s="75"/>
      <c r="C2791" s="75"/>
      <c r="D2791" s="75"/>
      <c r="E2791" s="75"/>
      <c r="F2791" s="75"/>
    </row>
    <row r="2792" spans="2:6">
      <c r="B2792" s="75"/>
      <c r="C2792" s="75"/>
      <c r="D2792" s="75"/>
      <c r="E2792" s="75"/>
      <c r="F2792" s="75"/>
    </row>
    <row r="2793" spans="2:6">
      <c r="B2793" s="75"/>
      <c r="C2793" s="75"/>
      <c r="D2793" s="75"/>
      <c r="E2793" s="75"/>
      <c r="F2793" s="75"/>
    </row>
    <row r="2794" spans="2:6">
      <c r="B2794" s="75"/>
      <c r="C2794" s="75"/>
      <c r="D2794" s="75"/>
      <c r="E2794" s="75"/>
      <c r="F2794" s="75"/>
    </row>
    <row r="2795" spans="2:6">
      <c r="B2795" s="75"/>
      <c r="C2795" s="75"/>
      <c r="D2795" s="75"/>
      <c r="E2795" s="75"/>
      <c r="F2795" s="75"/>
    </row>
    <row r="2796" spans="2:6">
      <c r="B2796" s="75"/>
      <c r="C2796" s="75"/>
      <c r="D2796" s="75"/>
      <c r="E2796" s="75"/>
      <c r="F2796" s="75"/>
    </row>
    <row r="2797" spans="2:6">
      <c r="B2797" s="75"/>
      <c r="C2797" s="75"/>
      <c r="D2797" s="75"/>
      <c r="E2797" s="75"/>
      <c r="F2797" s="75"/>
    </row>
    <row r="2798" spans="2:6">
      <c r="B2798" s="75"/>
      <c r="C2798" s="75"/>
      <c r="D2798" s="75"/>
      <c r="E2798" s="75"/>
      <c r="F2798" s="75"/>
    </row>
    <row r="2799" spans="2:6">
      <c r="B2799" s="75"/>
      <c r="C2799" s="75"/>
      <c r="D2799" s="75"/>
      <c r="E2799" s="75"/>
      <c r="F2799" s="75"/>
    </row>
    <row r="2800" spans="2:6">
      <c r="B2800" s="75"/>
      <c r="C2800" s="75"/>
      <c r="D2800" s="75"/>
      <c r="E2800" s="75"/>
      <c r="F2800" s="75"/>
    </row>
    <row r="2801" spans="2:6">
      <c r="B2801" s="75"/>
      <c r="C2801" s="75"/>
      <c r="D2801" s="75"/>
      <c r="E2801" s="75"/>
      <c r="F2801" s="75"/>
    </row>
    <row r="2802" spans="2:6">
      <c r="B2802" s="75"/>
      <c r="C2802" s="75"/>
      <c r="D2802" s="75"/>
      <c r="E2802" s="75"/>
      <c r="F2802" s="75"/>
    </row>
    <row r="2803" spans="2:6">
      <c r="B2803" s="75"/>
      <c r="C2803" s="75"/>
      <c r="D2803" s="75"/>
      <c r="E2803" s="75"/>
      <c r="F2803" s="75"/>
    </row>
    <row r="2804" spans="2:6">
      <c r="B2804" s="75"/>
      <c r="C2804" s="75"/>
      <c r="D2804" s="75"/>
      <c r="E2804" s="75"/>
      <c r="F2804" s="75"/>
    </row>
    <row r="2805" spans="2:6">
      <c r="B2805" s="75"/>
      <c r="C2805" s="75"/>
      <c r="D2805" s="75"/>
      <c r="E2805" s="75"/>
      <c r="F2805" s="75"/>
    </row>
    <row r="2806" spans="2:6">
      <c r="B2806" s="75"/>
      <c r="C2806" s="75"/>
      <c r="D2806" s="75"/>
      <c r="E2806" s="75"/>
      <c r="F2806" s="75"/>
    </row>
    <row r="2807" spans="2:6">
      <c r="B2807" s="75"/>
      <c r="C2807" s="75"/>
      <c r="D2807" s="75"/>
      <c r="E2807" s="75"/>
      <c r="F2807" s="75"/>
    </row>
    <row r="2808" spans="2:6">
      <c r="B2808" s="75"/>
      <c r="C2808" s="75"/>
      <c r="D2808" s="75"/>
      <c r="E2808" s="75"/>
      <c r="F2808" s="75"/>
    </row>
    <row r="2809" spans="2:6">
      <c r="B2809" s="75"/>
      <c r="C2809" s="75"/>
      <c r="D2809" s="75"/>
      <c r="E2809" s="75"/>
      <c r="F2809" s="75"/>
    </row>
    <row r="2810" spans="2:6">
      <c r="B2810" s="75"/>
      <c r="C2810" s="75"/>
      <c r="D2810" s="75"/>
      <c r="E2810" s="75"/>
      <c r="F2810" s="75"/>
    </row>
    <row r="2811" spans="2:6">
      <c r="B2811" s="75"/>
      <c r="C2811" s="75"/>
      <c r="D2811" s="75"/>
      <c r="E2811" s="75"/>
      <c r="F2811" s="75"/>
    </row>
    <row r="2812" spans="2:6">
      <c r="B2812" s="75"/>
      <c r="C2812" s="75"/>
      <c r="D2812" s="75"/>
      <c r="E2812" s="75"/>
      <c r="F2812" s="75"/>
    </row>
    <row r="2813" spans="2:6">
      <c r="B2813" s="75"/>
      <c r="C2813" s="75"/>
      <c r="D2813" s="75"/>
      <c r="E2813" s="75"/>
      <c r="F2813" s="75"/>
    </row>
    <row r="2814" spans="2:6">
      <c r="B2814" s="75"/>
      <c r="C2814" s="75"/>
      <c r="D2814" s="75"/>
      <c r="E2814" s="75"/>
      <c r="F2814" s="75"/>
    </row>
    <row r="2815" spans="2:6">
      <c r="B2815" s="75"/>
      <c r="C2815" s="75"/>
      <c r="D2815" s="75"/>
      <c r="E2815" s="75"/>
      <c r="F2815" s="75"/>
    </row>
    <row r="2816" spans="2:6">
      <c r="B2816" s="75"/>
      <c r="C2816" s="75"/>
      <c r="D2816" s="75"/>
      <c r="E2816" s="75"/>
      <c r="F2816" s="75"/>
    </row>
    <row r="2817" spans="2:6">
      <c r="B2817" s="75"/>
      <c r="C2817" s="75"/>
      <c r="D2817" s="75"/>
      <c r="E2817" s="75"/>
      <c r="F2817" s="75"/>
    </row>
    <row r="2818" spans="2:6">
      <c r="B2818" s="75"/>
      <c r="C2818" s="75"/>
      <c r="D2818" s="75"/>
      <c r="E2818" s="75"/>
      <c r="F2818" s="75"/>
    </row>
    <row r="2819" spans="2:6">
      <c r="B2819" s="75"/>
      <c r="C2819" s="75"/>
      <c r="D2819" s="75"/>
      <c r="E2819" s="75"/>
      <c r="F2819" s="75"/>
    </row>
    <row r="2820" spans="2:6">
      <c r="B2820" s="75"/>
      <c r="C2820" s="75"/>
      <c r="D2820" s="75"/>
      <c r="E2820" s="75"/>
      <c r="F2820" s="75"/>
    </row>
    <row r="2821" spans="2:6">
      <c r="B2821" s="75"/>
      <c r="C2821" s="75"/>
      <c r="D2821" s="75"/>
      <c r="E2821" s="75"/>
      <c r="F2821" s="75"/>
    </row>
    <row r="2822" spans="2:6">
      <c r="B2822" s="75"/>
      <c r="C2822" s="75"/>
      <c r="D2822" s="75"/>
      <c r="E2822" s="75"/>
      <c r="F2822" s="75"/>
    </row>
    <row r="2823" spans="2:6">
      <c r="B2823" s="75"/>
      <c r="C2823" s="75"/>
      <c r="D2823" s="75"/>
      <c r="E2823" s="75"/>
      <c r="F2823" s="75"/>
    </row>
    <row r="2824" spans="2:6">
      <c r="B2824" s="75"/>
      <c r="C2824" s="75"/>
      <c r="D2824" s="75"/>
      <c r="E2824" s="75"/>
      <c r="F2824" s="75"/>
    </row>
    <row r="2825" spans="2:6">
      <c r="B2825" s="75"/>
      <c r="C2825" s="75"/>
      <c r="D2825" s="75"/>
      <c r="E2825" s="75"/>
      <c r="F2825" s="75"/>
    </row>
    <row r="2826" spans="2:6">
      <c r="B2826" s="75"/>
      <c r="C2826" s="75"/>
      <c r="D2826" s="75"/>
      <c r="E2826" s="75"/>
      <c r="F2826" s="75"/>
    </row>
    <row r="2827" spans="2:6">
      <c r="B2827" s="75"/>
      <c r="C2827" s="75"/>
      <c r="D2827" s="75"/>
      <c r="E2827" s="75"/>
      <c r="F2827" s="75"/>
    </row>
    <row r="2828" spans="2:6">
      <c r="B2828" s="75"/>
      <c r="C2828" s="75"/>
      <c r="D2828" s="75"/>
      <c r="E2828" s="75"/>
      <c r="F2828" s="75"/>
    </row>
    <row r="2829" spans="2:6">
      <c r="B2829" s="75"/>
      <c r="C2829" s="75"/>
      <c r="D2829" s="75"/>
      <c r="E2829" s="75"/>
      <c r="F2829" s="75"/>
    </row>
    <row r="2830" spans="2:6">
      <c r="B2830" s="75"/>
      <c r="C2830" s="75"/>
      <c r="D2830" s="75"/>
      <c r="E2830" s="75"/>
      <c r="F2830" s="75"/>
    </row>
    <row r="2831" spans="2:6">
      <c r="B2831" s="75"/>
      <c r="C2831" s="75"/>
      <c r="D2831" s="75"/>
      <c r="E2831" s="75"/>
      <c r="F2831" s="75"/>
    </row>
    <row r="2832" spans="2:6">
      <c r="B2832" s="75"/>
      <c r="C2832" s="75"/>
      <c r="D2832" s="75"/>
      <c r="E2832" s="75"/>
      <c r="F2832" s="75"/>
    </row>
    <row r="2833" spans="2:6">
      <c r="B2833" s="75"/>
      <c r="C2833" s="75"/>
      <c r="D2833" s="75"/>
      <c r="E2833" s="75"/>
      <c r="F2833" s="75"/>
    </row>
    <row r="2834" spans="2:6">
      <c r="B2834" s="75"/>
      <c r="C2834" s="75"/>
      <c r="D2834" s="75"/>
      <c r="E2834" s="75"/>
      <c r="F2834" s="75"/>
    </row>
    <row r="2835" spans="2:6">
      <c r="B2835" s="75"/>
      <c r="C2835" s="75"/>
      <c r="D2835" s="75"/>
      <c r="E2835" s="75"/>
      <c r="F2835" s="75"/>
    </row>
    <row r="2836" spans="2:6">
      <c r="B2836" s="75"/>
      <c r="C2836" s="75"/>
      <c r="D2836" s="75"/>
      <c r="E2836" s="75"/>
      <c r="F2836" s="75"/>
    </row>
    <row r="2837" spans="2:6">
      <c r="B2837" s="75"/>
      <c r="C2837" s="75"/>
      <c r="D2837" s="75"/>
      <c r="E2837" s="75"/>
      <c r="F2837" s="75"/>
    </row>
    <row r="2838" spans="2:6">
      <c r="B2838" s="75"/>
      <c r="C2838" s="75"/>
      <c r="D2838" s="75"/>
      <c r="E2838" s="75"/>
      <c r="F2838" s="75"/>
    </row>
    <row r="2839" spans="2:6">
      <c r="B2839" s="75"/>
      <c r="C2839" s="75"/>
      <c r="D2839" s="75"/>
      <c r="E2839" s="75"/>
      <c r="F2839" s="75"/>
    </row>
    <row r="2840" spans="2:6">
      <c r="B2840" s="75"/>
      <c r="C2840" s="75"/>
      <c r="D2840" s="75"/>
      <c r="E2840" s="75"/>
      <c r="F2840" s="75"/>
    </row>
    <row r="2841" spans="2:6">
      <c r="B2841" s="75"/>
      <c r="C2841" s="75"/>
      <c r="D2841" s="75"/>
      <c r="E2841" s="75"/>
      <c r="F2841" s="75"/>
    </row>
    <row r="2842" spans="2:6">
      <c r="B2842" s="75"/>
      <c r="C2842" s="75"/>
      <c r="D2842" s="75"/>
      <c r="E2842" s="75"/>
      <c r="F2842" s="75"/>
    </row>
    <row r="2843" spans="2:6">
      <c r="B2843" s="75"/>
      <c r="C2843" s="75"/>
      <c r="D2843" s="75"/>
      <c r="E2843" s="75"/>
      <c r="F2843" s="75"/>
    </row>
    <row r="2844" spans="2:6">
      <c r="B2844" s="75"/>
      <c r="C2844" s="75"/>
      <c r="D2844" s="75"/>
      <c r="E2844" s="75"/>
      <c r="F2844" s="75"/>
    </row>
    <row r="2845" spans="2:6">
      <c r="B2845" s="75"/>
      <c r="C2845" s="75"/>
      <c r="D2845" s="75"/>
      <c r="E2845" s="75"/>
      <c r="F2845" s="75"/>
    </row>
    <row r="2846" spans="2:6">
      <c r="B2846" s="75"/>
      <c r="C2846" s="75"/>
      <c r="D2846" s="75"/>
      <c r="E2846" s="75"/>
      <c r="F2846" s="75"/>
    </row>
    <row r="2847" spans="2:6">
      <c r="B2847" s="75"/>
      <c r="C2847" s="75"/>
      <c r="D2847" s="75"/>
      <c r="E2847" s="75"/>
      <c r="F2847" s="75"/>
    </row>
    <row r="2848" spans="2:6">
      <c r="B2848" s="75"/>
      <c r="C2848" s="75"/>
      <c r="D2848" s="75"/>
      <c r="E2848" s="75"/>
      <c r="F2848" s="75"/>
    </row>
    <row r="2849" spans="2:6">
      <c r="B2849" s="75"/>
      <c r="C2849" s="75"/>
      <c r="D2849" s="75"/>
      <c r="E2849" s="75"/>
      <c r="F2849" s="75"/>
    </row>
    <row r="2850" spans="2:6">
      <c r="B2850" s="75"/>
      <c r="C2850" s="75"/>
      <c r="D2850" s="75"/>
      <c r="E2850" s="75"/>
      <c r="F2850" s="75"/>
    </row>
    <row r="2851" spans="2:6">
      <c r="B2851" s="75"/>
      <c r="C2851" s="75"/>
      <c r="D2851" s="75"/>
      <c r="E2851" s="75"/>
      <c r="F2851" s="75"/>
    </row>
    <row r="2852" spans="2:6">
      <c r="B2852" s="75"/>
      <c r="C2852" s="75"/>
      <c r="D2852" s="75"/>
      <c r="E2852" s="75"/>
      <c r="F2852" s="75"/>
    </row>
    <row r="2853" spans="2:6">
      <c r="B2853" s="75"/>
      <c r="C2853" s="75"/>
      <c r="D2853" s="75"/>
      <c r="E2853" s="75"/>
      <c r="F2853" s="75"/>
    </row>
    <row r="2854" spans="2:6">
      <c r="B2854" s="75"/>
      <c r="C2854" s="75"/>
      <c r="D2854" s="75"/>
      <c r="E2854" s="75"/>
      <c r="F2854" s="75"/>
    </row>
    <row r="2855" spans="2:6">
      <c r="B2855" s="75"/>
      <c r="C2855" s="75"/>
      <c r="D2855" s="75"/>
      <c r="E2855" s="75"/>
      <c r="F2855" s="75"/>
    </row>
    <row r="2856" spans="2:6">
      <c r="B2856" s="75"/>
      <c r="C2856" s="75"/>
      <c r="D2856" s="75"/>
      <c r="E2856" s="75"/>
      <c r="F2856" s="75"/>
    </row>
    <row r="2857" spans="2:6">
      <c r="B2857" s="75"/>
      <c r="C2857" s="75"/>
      <c r="D2857" s="75"/>
      <c r="E2857" s="75"/>
      <c r="F2857" s="75"/>
    </row>
    <row r="2858" spans="2:6">
      <c r="B2858" s="75"/>
      <c r="C2858" s="75"/>
      <c r="D2858" s="75"/>
      <c r="E2858" s="75"/>
      <c r="F2858" s="75"/>
    </row>
    <row r="2859" spans="2:6">
      <c r="B2859" s="75"/>
      <c r="C2859" s="75"/>
      <c r="D2859" s="75"/>
      <c r="E2859" s="75"/>
      <c r="F2859" s="75"/>
    </row>
    <row r="2860" spans="2:6">
      <c r="B2860" s="75"/>
      <c r="C2860" s="75"/>
      <c r="D2860" s="75"/>
      <c r="E2860" s="75"/>
      <c r="F2860" s="75"/>
    </row>
    <row r="2861" spans="2:6">
      <c r="B2861" s="75"/>
      <c r="C2861" s="75"/>
      <c r="D2861" s="75"/>
      <c r="E2861" s="75"/>
      <c r="F2861" s="75"/>
    </row>
    <row r="2862" spans="2:6">
      <c r="B2862" s="75"/>
      <c r="C2862" s="75"/>
      <c r="D2862" s="75"/>
      <c r="E2862" s="75"/>
      <c r="F2862" s="75"/>
    </row>
    <row r="2863" spans="2:6">
      <c r="B2863" s="75"/>
      <c r="C2863" s="75"/>
      <c r="D2863" s="75"/>
      <c r="E2863" s="75"/>
      <c r="F2863" s="75"/>
    </row>
    <row r="2864" spans="2:6">
      <c r="B2864" s="75"/>
      <c r="C2864" s="75"/>
      <c r="D2864" s="75"/>
      <c r="E2864" s="75"/>
      <c r="F2864" s="75"/>
    </row>
    <row r="2865" spans="2:6">
      <c r="B2865" s="75"/>
      <c r="C2865" s="75"/>
      <c r="D2865" s="75"/>
      <c r="E2865" s="75"/>
      <c r="F2865" s="75"/>
    </row>
    <row r="2866" spans="2:6">
      <c r="B2866" s="75"/>
      <c r="C2866" s="75"/>
      <c r="D2866" s="75"/>
      <c r="E2866" s="75"/>
      <c r="F2866" s="75"/>
    </row>
    <row r="2867" spans="2:6">
      <c r="B2867" s="75"/>
      <c r="C2867" s="75"/>
      <c r="D2867" s="75"/>
      <c r="E2867" s="75"/>
      <c r="F2867" s="75"/>
    </row>
    <row r="2868" spans="2:6">
      <c r="B2868" s="75"/>
      <c r="C2868" s="75"/>
      <c r="D2868" s="75"/>
      <c r="E2868" s="75"/>
      <c r="F2868" s="75"/>
    </row>
    <row r="2869" spans="2:6">
      <c r="B2869" s="75"/>
      <c r="C2869" s="75"/>
      <c r="D2869" s="75"/>
      <c r="E2869" s="75"/>
      <c r="F2869" s="75"/>
    </row>
    <row r="2870" spans="2:6">
      <c r="B2870" s="75"/>
      <c r="C2870" s="75"/>
      <c r="D2870" s="75"/>
      <c r="E2870" s="75"/>
      <c r="F2870" s="75"/>
    </row>
    <row r="2871" spans="2:6">
      <c r="B2871" s="75"/>
      <c r="C2871" s="75"/>
      <c r="D2871" s="75"/>
      <c r="E2871" s="75"/>
      <c r="F2871" s="75"/>
    </row>
    <row r="2872" spans="2:6">
      <c r="B2872" s="75"/>
      <c r="C2872" s="75"/>
      <c r="D2872" s="75"/>
      <c r="E2872" s="75"/>
      <c r="F2872" s="75"/>
    </row>
    <row r="2873" spans="2:6">
      <c r="B2873" s="75"/>
      <c r="C2873" s="75"/>
      <c r="D2873" s="75"/>
      <c r="E2873" s="75"/>
      <c r="F2873" s="75"/>
    </row>
    <row r="2874" spans="2:6">
      <c r="B2874" s="75"/>
      <c r="C2874" s="75"/>
      <c r="D2874" s="75"/>
      <c r="E2874" s="75"/>
      <c r="F2874" s="75"/>
    </row>
    <row r="2875" spans="2:6">
      <c r="B2875" s="75"/>
      <c r="C2875" s="75"/>
      <c r="D2875" s="75"/>
      <c r="E2875" s="75"/>
      <c r="F2875" s="75"/>
    </row>
    <row r="2876" spans="2:6">
      <c r="B2876" s="75"/>
      <c r="C2876" s="75"/>
      <c r="D2876" s="75"/>
      <c r="E2876" s="75"/>
      <c r="F2876" s="75"/>
    </row>
    <row r="2877" spans="2:6">
      <c r="B2877" s="75"/>
      <c r="C2877" s="75"/>
      <c r="D2877" s="75"/>
      <c r="E2877" s="75"/>
      <c r="F2877" s="75"/>
    </row>
    <row r="2878" spans="2:6">
      <c r="B2878" s="75"/>
      <c r="C2878" s="75"/>
      <c r="D2878" s="75"/>
      <c r="E2878" s="75"/>
      <c r="F2878" s="75"/>
    </row>
    <row r="2879" spans="2:6">
      <c r="B2879" s="75"/>
      <c r="C2879" s="75"/>
      <c r="D2879" s="75"/>
      <c r="E2879" s="75"/>
      <c r="F2879" s="75"/>
    </row>
    <row r="2880" spans="2:6">
      <c r="B2880" s="75"/>
      <c r="C2880" s="75"/>
      <c r="D2880" s="75"/>
      <c r="E2880" s="75"/>
      <c r="F2880" s="75"/>
    </row>
    <row r="2881" spans="2:6">
      <c r="B2881" s="75"/>
      <c r="C2881" s="75"/>
      <c r="D2881" s="75"/>
      <c r="E2881" s="75"/>
      <c r="F2881" s="75"/>
    </row>
    <row r="2882" spans="2:6">
      <c r="B2882" s="75"/>
      <c r="C2882" s="75"/>
      <c r="D2882" s="75"/>
      <c r="E2882" s="75"/>
      <c r="F2882" s="75"/>
    </row>
    <row r="2883" spans="2:6">
      <c r="B2883" s="75"/>
      <c r="C2883" s="75"/>
      <c r="D2883" s="75"/>
      <c r="E2883" s="75"/>
      <c r="F2883" s="75"/>
    </row>
    <row r="2884" spans="2:6">
      <c r="B2884" s="75"/>
      <c r="C2884" s="75"/>
      <c r="D2884" s="75"/>
      <c r="E2884" s="75"/>
      <c r="F2884" s="75"/>
    </row>
    <row r="2885" spans="2:6">
      <c r="B2885" s="75"/>
      <c r="C2885" s="75"/>
      <c r="D2885" s="75"/>
      <c r="E2885" s="75"/>
      <c r="F2885" s="75"/>
    </row>
    <row r="2886" spans="2:6">
      <c r="B2886" s="75"/>
      <c r="C2886" s="75"/>
      <c r="D2886" s="75"/>
      <c r="E2886" s="75"/>
      <c r="F2886" s="75"/>
    </row>
    <row r="2887" spans="2:6">
      <c r="B2887" s="75"/>
      <c r="C2887" s="75"/>
      <c r="D2887" s="75"/>
      <c r="E2887" s="75"/>
      <c r="F2887" s="75"/>
    </row>
    <row r="2888" spans="2:6">
      <c r="B2888" s="75"/>
      <c r="C2888" s="75"/>
      <c r="D2888" s="75"/>
      <c r="E2888" s="75"/>
      <c r="F2888" s="75"/>
    </row>
    <row r="2889" spans="2:6">
      <c r="B2889" s="75"/>
      <c r="C2889" s="75"/>
      <c r="D2889" s="75"/>
      <c r="E2889" s="75"/>
      <c r="F2889" s="75"/>
    </row>
    <row r="2890" spans="2:6">
      <c r="B2890" s="75"/>
      <c r="C2890" s="75"/>
      <c r="D2890" s="75"/>
      <c r="E2890" s="75"/>
      <c r="F2890" s="75"/>
    </row>
    <row r="2891" spans="2:6">
      <c r="B2891" s="75"/>
      <c r="C2891" s="75"/>
      <c r="D2891" s="75"/>
      <c r="E2891" s="75"/>
      <c r="F2891" s="75"/>
    </row>
    <row r="2892" spans="2:6">
      <c r="B2892" s="75"/>
      <c r="C2892" s="75"/>
      <c r="D2892" s="75"/>
      <c r="E2892" s="75"/>
      <c r="F2892" s="75"/>
    </row>
    <row r="2893" spans="2:6">
      <c r="B2893" s="75"/>
      <c r="C2893" s="75"/>
      <c r="D2893" s="75"/>
      <c r="E2893" s="75"/>
      <c r="F2893" s="75"/>
    </row>
    <row r="2894" spans="2:6">
      <c r="B2894" s="75"/>
      <c r="C2894" s="75"/>
      <c r="D2894" s="75"/>
      <c r="E2894" s="75"/>
      <c r="F2894" s="75"/>
    </row>
    <row r="2895" spans="2:6">
      <c r="B2895" s="75"/>
      <c r="C2895" s="75"/>
      <c r="D2895" s="75"/>
      <c r="E2895" s="75"/>
      <c r="F2895" s="75"/>
    </row>
    <row r="2896" spans="2:6">
      <c r="B2896" s="75"/>
      <c r="C2896" s="75"/>
      <c r="D2896" s="75"/>
      <c r="E2896" s="75"/>
      <c r="F2896" s="75"/>
    </row>
    <row r="2897" spans="2:6">
      <c r="B2897" s="75"/>
      <c r="C2897" s="75"/>
      <c r="D2897" s="75"/>
      <c r="E2897" s="75"/>
      <c r="F2897" s="75"/>
    </row>
    <row r="2898" spans="2:6">
      <c r="B2898" s="75"/>
      <c r="C2898" s="75"/>
      <c r="D2898" s="75"/>
      <c r="E2898" s="75"/>
      <c r="F2898" s="75"/>
    </row>
    <row r="2899" spans="2:6">
      <c r="B2899" s="75"/>
      <c r="C2899" s="75"/>
      <c r="D2899" s="75"/>
      <c r="E2899" s="75"/>
      <c r="F2899" s="75"/>
    </row>
    <row r="2900" spans="2:6">
      <c r="B2900" s="75"/>
      <c r="C2900" s="75"/>
      <c r="D2900" s="75"/>
      <c r="E2900" s="75"/>
      <c r="F2900" s="75"/>
    </row>
    <row r="2901" spans="2:6">
      <c r="B2901" s="75"/>
      <c r="C2901" s="75"/>
      <c r="D2901" s="75"/>
      <c r="E2901" s="75"/>
      <c r="F2901" s="75"/>
    </row>
    <row r="2902" spans="2:6">
      <c r="B2902" s="75"/>
      <c r="C2902" s="75"/>
      <c r="D2902" s="75"/>
      <c r="E2902" s="75"/>
      <c r="F2902" s="75"/>
    </row>
    <row r="2903" spans="2:6">
      <c r="B2903" s="75"/>
      <c r="C2903" s="75"/>
      <c r="D2903" s="75"/>
      <c r="E2903" s="75"/>
      <c r="F2903" s="75"/>
    </row>
    <row r="2904" spans="2:6">
      <c r="B2904" s="75"/>
      <c r="C2904" s="75"/>
      <c r="D2904" s="75"/>
      <c r="E2904" s="75"/>
      <c r="F2904" s="75"/>
    </row>
    <row r="2905" spans="2:6">
      <c r="B2905" s="75"/>
      <c r="C2905" s="75"/>
      <c r="D2905" s="75"/>
      <c r="E2905" s="75"/>
      <c r="F2905" s="75"/>
    </row>
    <row r="2906" spans="2:6">
      <c r="B2906" s="75"/>
      <c r="C2906" s="75"/>
      <c r="D2906" s="75"/>
      <c r="E2906" s="75"/>
      <c r="F2906" s="75"/>
    </row>
    <row r="2907" spans="2:6">
      <c r="B2907" s="75"/>
      <c r="C2907" s="75"/>
      <c r="D2907" s="75"/>
      <c r="E2907" s="75"/>
      <c r="F2907" s="75"/>
    </row>
    <row r="2908" spans="2:6">
      <c r="B2908" s="75"/>
      <c r="C2908" s="75"/>
      <c r="D2908" s="75"/>
      <c r="E2908" s="75"/>
      <c r="F2908" s="75"/>
    </row>
    <row r="2909" spans="2:6">
      <c r="B2909" s="75"/>
      <c r="C2909" s="75"/>
      <c r="D2909" s="75"/>
      <c r="E2909" s="75"/>
      <c r="F2909" s="75"/>
    </row>
    <row r="2910" spans="2:6">
      <c r="B2910" s="75"/>
      <c r="C2910" s="75"/>
      <c r="D2910" s="75"/>
      <c r="E2910" s="75"/>
      <c r="F2910" s="75"/>
    </row>
    <row r="2911" spans="2:6">
      <c r="B2911" s="75"/>
      <c r="C2911" s="75"/>
      <c r="D2911" s="75"/>
      <c r="E2911" s="75"/>
      <c r="F2911" s="75"/>
    </row>
    <row r="2912" spans="2:6">
      <c r="B2912" s="75"/>
      <c r="C2912" s="75"/>
      <c r="D2912" s="75"/>
      <c r="E2912" s="75"/>
      <c r="F2912" s="75"/>
    </row>
    <row r="2913" spans="2:6">
      <c r="B2913" s="75"/>
      <c r="C2913" s="75"/>
      <c r="D2913" s="75"/>
      <c r="E2913" s="75"/>
      <c r="F2913" s="75"/>
    </row>
    <row r="2914" spans="2:6">
      <c r="B2914" s="75"/>
      <c r="C2914" s="75"/>
      <c r="D2914" s="75"/>
      <c r="E2914" s="75"/>
      <c r="F2914" s="75"/>
    </row>
    <row r="2915" spans="2:6">
      <c r="B2915" s="75"/>
      <c r="C2915" s="75"/>
      <c r="D2915" s="75"/>
      <c r="E2915" s="75"/>
      <c r="F2915" s="75"/>
    </row>
    <row r="2916" spans="2:6">
      <c r="B2916" s="75"/>
      <c r="C2916" s="75"/>
      <c r="D2916" s="75"/>
      <c r="E2916" s="75"/>
      <c r="F2916" s="75"/>
    </row>
    <row r="2917" spans="2:6">
      <c r="B2917" s="75"/>
      <c r="C2917" s="75"/>
      <c r="D2917" s="75"/>
      <c r="E2917" s="75"/>
      <c r="F2917" s="75"/>
    </row>
    <row r="2918" spans="2:6">
      <c r="B2918" s="75"/>
      <c r="C2918" s="75"/>
      <c r="D2918" s="75"/>
      <c r="E2918" s="75"/>
      <c r="F2918" s="75"/>
    </row>
    <row r="2919" spans="2:6">
      <c r="B2919" s="75"/>
      <c r="C2919" s="75"/>
      <c r="D2919" s="75"/>
      <c r="E2919" s="75"/>
      <c r="F2919" s="75"/>
    </row>
    <row r="2920" spans="2:6">
      <c r="B2920" s="75"/>
      <c r="C2920" s="75"/>
      <c r="D2920" s="75"/>
      <c r="E2920" s="75"/>
      <c r="F2920" s="75"/>
    </row>
    <row r="2921" spans="2:6">
      <c r="B2921" s="75"/>
      <c r="C2921" s="75"/>
      <c r="D2921" s="75"/>
      <c r="E2921" s="75"/>
      <c r="F2921" s="75"/>
    </row>
    <row r="2922" spans="2:6">
      <c r="B2922" s="75"/>
      <c r="C2922" s="75"/>
      <c r="D2922" s="75"/>
      <c r="E2922" s="75"/>
      <c r="F2922" s="75"/>
    </row>
    <row r="2923" spans="2:6">
      <c r="B2923" s="75"/>
      <c r="C2923" s="75"/>
      <c r="D2923" s="75"/>
      <c r="E2923" s="75"/>
      <c r="F2923" s="75"/>
    </row>
    <row r="2924" spans="2:6">
      <c r="B2924" s="75"/>
      <c r="C2924" s="75"/>
      <c r="D2924" s="75"/>
      <c r="E2924" s="75"/>
      <c r="F2924" s="75"/>
    </row>
    <row r="2925" spans="2:6">
      <c r="B2925" s="75"/>
      <c r="C2925" s="75"/>
      <c r="D2925" s="75"/>
      <c r="E2925" s="75"/>
      <c r="F2925" s="75"/>
    </row>
    <row r="2926" spans="2:6">
      <c r="B2926" s="75"/>
      <c r="C2926" s="75"/>
      <c r="D2926" s="75"/>
      <c r="E2926" s="75"/>
      <c r="F2926" s="75"/>
    </row>
    <row r="2927" spans="2:6">
      <c r="B2927" s="75"/>
      <c r="C2927" s="75"/>
      <c r="D2927" s="75"/>
      <c r="E2927" s="75"/>
      <c r="F2927" s="75"/>
    </row>
    <row r="2928" spans="2:6">
      <c r="B2928" s="75"/>
      <c r="C2928" s="75"/>
      <c r="D2928" s="75"/>
      <c r="E2928" s="75"/>
      <c r="F2928" s="75"/>
    </row>
    <row r="2929" spans="2:6">
      <c r="B2929" s="75"/>
      <c r="C2929" s="75"/>
      <c r="D2929" s="75"/>
      <c r="E2929" s="75"/>
      <c r="F2929" s="75"/>
    </row>
    <row r="2930" spans="2:6">
      <c r="B2930" s="75"/>
      <c r="C2930" s="75"/>
      <c r="D2930" s="75"/>
      <c r="E2930" s="75"/>
      <c r="F2930" s="75"/>
    </row>
    <row r="2931" spans="2:6">
      <c r="B2931" s="75"/>
      <c r="C2931" s="75"/>
      <c r="D2931" s="75"/>
      <c r="E2931" s="75"/>
      <c r="F2931" s="75"/>
    </row>
    <row r="2932" spans="2:6">
      <c r="B2932" s="75"/>
      <c r="C2932" s="75"/>
      <c r="D2932" s="75"/>
      <c r="E2932" s="75"/>
      <c r="F2932" s="75"/>
    </row>
    <row r="2933" spans="2:6">
      <c r="B2933" s="75"/>
      <c r="C2933" s="75"/>
      <c r="D2933" s="75"/>
      <c r="E2933" s="75"/>
      <c r="F2933" s="75"/>
    </row>
    <row r="2934" spans="2:6">
      <c r="B2934" s="75"/>
      <c r="C2934" s="75"/>
      <c r="D2934" s="75"/>
      <c r="E2934" s="75"/>
      <c r="F2934" s="75"/>
    </row>
    <row r="2935" spans="2:6">
      <c r="B2935" s="75"/>
      <c r="C2935" s="75"/>
      <c r="D2935" s="75"/>
      <c r="E2935" s="75"/>
      <c r="F2935" s="75"/>
    </row>
    <row r="2936" spans="2:6">
      <c r="B2936" s="75"/>
      <c r="C2936" s="75"/>
      <c r="D2936" s="75"/>
      <c r="E2936" s="75"/>
      <c r="F2936" s="75"/>
    </row>
    <row r="2937" spans="2:6">
      <c r="B2937" s="75"/>
      <c r="C2937" s="75"/>
      <c r="D2937" s="75"/>
      <c r="E2937" s="75"/>
      <c r="F2937" s="75"/>
    </row>
    <row r="2938" spans="2:6">
      <c r="B2938" s="75"/>
      <c r="C2938" s="75"/>
      <c r="D2938" s="75"/>
      <c r="E2938" s="75"/>
      <c r="F2938" s="75"/>
    </row>
    <row r="2939" spans="2:6">
      <c r="B2939" s="75"/>
      <c r="C2939" s="75"/>
      <c r="D2939" s="75"/>
      <c r="E2939" s="75"/>
      <c r="F2939" s="75"/>
    </row>
    <row r="2940" spans="2:6">
      <c r="B2940" s="75"/>
      <c r="C2940" s="75"/>
      <c r="D2940" s="75"/>
      <c r="E2940" s="75"/>
      <c r="F2940" s="75"/>
    </row>
    <row r="2941" spans="2:6">
      <c r="B2941" s="75"/>
      <c r="C2941" s="75"/>
      <c r="D2941" s="75"/>
      <c r="E2941" s="75"/>
      <c r="F2941" s="75"/>
    </row>
    <row r="2942" spans="2:6">
      <c r="B2942" s="75"/>
      <c r="C2942" s="75"/>
      <c r="D2942" s="75"/>
      <c r="E2942" s="75"/>
      <c r="F2942" s="75"/>
    </row>
    <row r="2943" spans="2:6">
      <c r="B2943" s="75"/>
      <c r="C2943" s="75"/>
      <c r="D2943" s="75"/>
      <c r="E2943" s="75"/>
      <c r="F2943" s="75"/>
    </row>
    <row r="2944" spans="2:6">
      <c r="B2944" s="75"/>
      <c r="C2944" s="75"/>
      <c r="D2944" s="75"/>
      <c r="E2944" s="75"/>
      <c r="F2944" s="75"/>
    </row>
    <row r="2945" spans="2:6">
      <c r="B2945" s="75"/>
      <c r="C2945" s="75"/>
      <c r="D2945" s="75"/>
      <c r="E2945" s="75"/>
      <c r="F2945" s="75"/>
    </row>
    <row r="2946" spans="2:6">
      <c r="B2946" s="75"/>
      <c r="C2946" s="75"/>
      <c r="D2946" s="75"/>
      <c r="E2946" s="75"/>
      <c r="F2946" s="75"/>
    </row>
    <row r="2947" spans="2:6">
      <c r="B2947" s="75"/>
      <c r="C2947" s="75"/>
      <c r="D2947" s="75"/>
      <c r="E2947" s="75"/>
      <c r="F2947" s="75"/>
    </row>
    <row r="2948" spans="2:6">
      <c r="B2948" s="75"/>
      <c r="C2948" s="75"/>
      <c r="D2948" s="75"/>
      <c r="E2948" s="75"/>
      <c r="F2948" s="75"/>
    </row>
    <row r="2949" spans="2:6">
      <c r="B2949" s="75"/>
      <c r="C2949" s="75"/>
      <c r="D2949" s="75"/>
      <c r="E2949" s="75"/>
      <c r="F2949" s="75"/>
    </row>
    <row r="2950" spans="2:6">
      <c r="B2950" s="75"/>
      <c r="C2950" s="75"/>
      <c r="D2950" s="75"/>
      <c r="E2950" s="75"/>
      <c r="F2950" s="75"/>
    </row>
    <row r="2951" spans="2:6">
      <c r="B2951" s="75"/>
      <c r="C2951" s="75"/>
      <c r="D2951" s="75"/>
      <c r="E2951" s="75"/>
      <c r="F2951" s="75"/>
    </row>
    <row r="2952" spans="2:6">
      <c r="B2952" s="75"/>
      <c r="C2952" s="75"/>
      <c r="D2952" s="75"/>
      <c r="E2952" s="75"/>
      <c r="F2952" s="75"/>
    </row>
    <row r="2953" spans="2:6">
      <c r="B2953" s="75"/>
      <c r="C2953" s="75"/>
      <c r="D2953" s="75"/>
      <c r="E2953" s="75"/>
      <c r="F2953" s="75"/>
    </row>
    <row r="2954" spans="2:6">
      <c r="B2954" s="75"/>
      <c r="C2954" s="75"/>
      <c r="D2954" s="75"/>
      <c r="E2954" s="75"/>
      <c r="F2954" s="75"/>
    </row>
    <row r="2955" spans="2:6">
      <c r="B2955" s="75"/>
      <c r="C2955" s="75"/>
      <c r="D2955" s="75"/>
      <c r="E2955" s="75"/>
      <c r="F2955" s="75"/>
    </row>
    <row r="2956" spans="2:6">
      <c r="B2956" s="75"/>
      <c r="C2956" s="75"/>
      <c r="D2956" s="75"/>
      <c r="E2956" s="75"/>
      <c r="F2956" s="75"/>
    </row>
    <row r="2957" spans="2:6">
      <c r="B2957" s="75"/>
      <c r="C2957" s="75"/>
      <c r="D2957" s="75"/>
      <c r="E2957" s="75"/>
      <c r="F2957" s="75"/>
    </row>
    <row r="2958" spans="2:6">
      <c r="B2958" s="75"/>
      <c r="C2958" s="75"/>
      <c r="D2958" s="75"/>
      <c r="E2958" s="75"/>
      <c r="F2958" s="75"/>
    </row>
    <row r="2959" spans="2:6">
      <c r="B2959" s="75"/>
      <c r="C2959" s="75"/>
      <c r="D2959" s="75"/>
      <c r="E2959" s="75"/>
      <c r="F2959" s="75"/>
    </row>
    <row r="2960" spans="2:6">
      <c r="B2960" s="75"/>
      <c r="C2960" s="75"/>
      <c r="D2960" s="75"/>
      <c r="E2960" s="75"/>
      <c r="F2960" s="75"/>
    </row>
    <row r="2961" spans="2:6">
      <c r="B2961" s="75"/>
      <c r="C2961" s="75"/>
      <c r="D2961" s="75"/>
      <c r="E2961" s="75"/>
      <c r="F2961" s="75"/>
    </row>
    <row r="2962" spans="2:6">
      <c r="B2962" s="75"/>
      <c r="C2962" s="75"/>
      <c r="D2962" s="75"/>
      <c r="E2962" s="75"/>
      <c r="F2962" s="75"/>
    </row>
    <row r="2963" spans="2:6">
      <c r="B2963" s="75"/>
      <c r="C2963" s="75"/>
      <c r="D2963" s="75"/>
      <c r="E2963" s="75"/>
      <c r="F2963" s="75"/>
    </row>
    <row r="2964" spans="2:6">
      <c r="B2964" s="75"/>
      <c r="C2964" s="75"/>
      <c r="D2964" s="75"/>
      <c r="E2964" s="75"/>
      <c r="F2964" s="75"/>
    </row>
    <row r="2965" spans="2:6">
      <c r="B2965" s="75"/>
      <c r="C2965" s="75"/>
      <c r="D2965" s="75"/>
      <c r="E2965" s="75"/>
      <c r="F2965" s="75"/>
    </row>
    <row r="2966" spans="2:6">
      <c r="B2966" s="75"/>
      <c r="C2966" s="75"/>
      <c r="D2966" s="75"/>
      <c r="E2966" s="75"/>
      <c r="F2966" s="75"/>
    </row>
    <row r="2967" spans="2:6">
      <c r="B2967" s="75"/>
      <c r="C2967" s="75"/>
      <c r="D2967" s="75"/>
      <c r="E2967" s="75"/>
      <c r="F2967" s="75"/>
    </row>
    <row r="2968" spans="2:6">
      <c r="B2968" s="75"/>
      <c r="C2968" s="75"/>
      <c r="D2968" s="75"/>
      <c r="E2968" s="75"/>
      <c r="F2968" s="75"/>
    </row>
    <row r="2969" spans="2:6">
      <c r="B2969" s="75"/>
      <c r="C2969" s="75"/>
      <c r="D2969" s="75"/>
      <c r="E2969" s="75"/>
      <c r="F2969" s="75"/>
    </row>
    <row r="2970" spans="2:6">
      <c r="B2970" s="75"/>
      <c r="C2970" s="75"/>
      <c r="D2970" s="75"/>
      <c r="E2970" s="75"/>
      <c r="F2970" s="75"/>
    </row>
    <row r="2971" spans="2:6">
      <c r="B2971" s="75"/>
      <c r="C2971" s="75"/>
      <c r="D2971" s="75"/>
      <c r="E2971" s="75"/>
      <c r="F2971" s="75"/>
    </row>
    <row r="2972" spans="2:6">
      <c r="B2972" s="75"/>
      <c r="C2972" s="75"/>
      <c r="D2972" s="75"/>
      <c r="E2972" s="75"/>
      <c r="F2972" s="75"/>
    </row>
    <row r="2973" spans="2:6">
      <c r="B2973" s="75"/>
      <c r="C2973" s="75"/>
      <c r="D2973" s="75"/>
      <c r="E2973" s="75"/>
      <c r="F2973" s="75"/>
    </row>
    <row r="2974" spans="2:6">
      <c r="B2974" s="75"/>
      <c r="C2974" s="75"/>
      <c r="D2974" s="75"/>
      <c r="E2974" s="75"/>
      <c r="F2974" s="75"/>
    </row>
    <row r="2975" spans="2:6">
      <c r="B2975" s="75"/>
      <c r="C2975" s="75"/>
      <c r="D2975" s="75"/>
      <c r="E2975" s="75"/>
      <c r="F2975" s="75"/>
    </row>
    <row r="2976" spans="2:6">
      <c r="B2976" s="75"/>
      <c r="C2976" s="75"/>
      <c r="D2976" s="75"/>
      <c r="E2976" s="75"/>
      <c r="F2976" s="75"/>
    </row>
    <row r="2977" spans="2:6">
      <c r="B2977" s="75"/>
      <c r="C2977" s="75"/>
      <c r="D2977" s="75"/>
      <c r="E2977" s="75"/>
      <c r="F2977" s="75"/>
    </row>
    <row r="2978" spans="2:6">
      <c r="B2978" s="75"/>
      <c r="C2978" s="75"/>
      <c r="D2978" s="75"/>
      <c r="E2978" s="75"/>
      <c r="F2978" s="75"/>
    </row>
    <row r="2979" spans="2:6">
      <c r="B2979" s="75"/>
      <c r="C2979" s="75"/>
      <c r="D2979" s="75"/>
      <c r="E2979" s="75"/>
      <c r="F2979" s="75"/>
    </row>
    <row r="2980" spans="2:6">
      <c r="B2980" s="75"/>
      <c r="C2980" s="75"/>
      <c r="D2980" s="75"/>
      <c r="E2980" s="75"/>
      <c r="F2980" s="75"/>
    </row>
    <row r="2981" spans="2:6">
      <c r="B2981" s="75"/>
      <c r="C2981" s="75"/>
      <c r="D2981" s="75"/>
      <c r="E2981" s="75"/>
      <c r="F2981" s="75"/>
    </row>
    <row r="2982" spans="2:6">
      <c r="B2982" s="75"/>
      <c r="C2982" s="75"/>
      <c r="D2982" s="75"/>
      <c r="E2982" s="75"/>
      <c r="F2982" s="75"/>
    </row>
    <row r="2983" spans="2:6">
      <c r="B2983" s="75"/>
      <c r="C2983" s="75"/>
      <c r="D2983" s="75"/>
      <c r="E2983" s="75"/>
      <c r="F2983" s="75"/>
    </row>
    <row r="2984" spans="2:6">
      <c r="B2984" s="75"/>
      <c r="C2984" s="75"/>
      <c r="D2984" s="75"/>
      <c r="E2984" s="75"/>
      <c r="F2984" s="75"/>
    </row>
    <row r="2985" spans="2:6">
      <c r="B2985" s="75"/>
      <c r="C2985" s="75"/>
      <c r="D2985" s="75"/>
      <c r="E2985" s="75"/>
      <c r="F2985" s="75"/>
    </row>
    <row r="2986" spans="2:6">
      <c r="B2986" s="75"/>
      <c r="C2986" s="75"/>
      <c r="D2986" s="75"/>
      <c r="E2986" s="75"/>
      <c r="F2986" s="75"/>
    </row>
    <row r="2987" spans="2:6">
      <c r="B2987" s="75"/>
      <c r="C2987" s="75"/>
      <c r="D2987" s="75"/>
      <c r="E2987" s="75"/>
      <c r="F2987" s="75"/>
    </row>
    <row r="2988" spans="2:6">
      <c r="B2988" s="75"/>
      <c r="C2988" s="75"/>
      <c r="D2988" s="75"/>
      <c r="E2988" s="75"/>
      <c r="F2988" s="75"/>
    </row>
    <row r="2989" spans="2:6">
      <c r="B2989" s="75"/>
      <c r="C2989" s="75"/>
      <c r="D2989" s="75"/>
      <c r="E2989" s="75"/>
      <c r="F2989" s="75"/>
    </row>
    <row r="2990" spans="2:6">
      <c r="B2990" s="75"/>
      <c r="C2990" s="75"/>
      <c r="D2990" s="75"/>
      <c r="E2990" s="75"/>
      <c r="F2990" s="75"/>
    </row>
    <row r="2991" spans="2:6">
      <c r="B2991" s="75"/>
      <c r="C2991" s="75"/>
      <c r="D2991" s="75"/>
      <c r="E2991" s="75"/>
      <c r="F2991" s="75"/>
    </row>
    <row r="2992" spans="2:6">
      <c r="B2992" s="75"/>
      <c r="C2992" s="75"/>
      <c r="D2992" s="75"/>
      <c r="E2992" s="75"/>
      <c r="F2992" s="75"/>
    </row>
    <row r="2993" spans="2:6">
      <c r="B2993" s="75"/>
      <c r="C2993" s="75"/>
      <c r="D2993" s="75"/>
      <c r="E2993" s="75"/>
      <c r="F2993" s="75"/>
    </row>
    <row r="2994" spans="2:6">
      <c r="B2994" s="75"/>
      <c r="C2994" s="75"/>
      <c r="D2994" s="75"/>
      <c r="E2994" s="75"/>
      <c r="F2994" s="75"/>
    </row>
    <row r="2995" spans="2:6">
      <c r="B2995" s="75"/>
      <c r="C2995" s="75"/>
      <c r="D2995" s="75"/>
      <c r="E2995" s="75"/>
      <c r="F2995" s="75"/>
    </row>
    <row r="2996" spans="2:6">
      <c r="B2996" s="75"/>
      <c r="C2996" s="75"/>
      <c r="D2996" s="75"/>
      <c r="E2996" s="75"/>
      <c r="F2996" s="75"/>
    </row>
    <row r="2997" spans="2:6">
      <c r="B2997" s="75"/>
      <c r="C2997" s="75"/>
      <c r="D2997" s="75"/>
      <c r="E2997" s="75"/>
      <c r="F2997" s="75"/>
    </row>
    <row r="2998" spans="2:6">
      <c r="B2998" s="75"/>
      <c r="C2998" s="75"/>
      <c r="D2998" s="75"/>
      <c r="E2998" s="75"/>
      <c r="F2998" s="75"/>
    </row>
    <row r="2999" spans="2:6">
      <c r="B2999" s="75"/>
      <c r="C2999" s="75"/>
      <c r="D2999" s="75"/>
      <c r="E2999" s="75"/>
      <c r="F2999" s="75"/>
    </row>
    <row r="3000" spans="2:6">
      <c r="B3000" s="75"/>
      <c r="C3000" s="75"/>
      <c r="D3000" s="75"/>
      <c r="E3000" s="75"/>
      <c r="F3000" s="75"/>
    </row>
    <row r="3001" spans="2:6">
      <c r="B3001" s="75"/>
      <c r="C3001" s="75"/>
      <c r="D3001" s="75"/>
      <c r="E3001" s="75"/>
      <c r="F3001" s="75"/>
    </row>
    <row r="3002" spans="2:6">
      <c r="B3002" s="75"/>
      <c r="C3002" s="75"/>
      <c r="D3002" s="75"/>
      <c r="E3002" s="75"/>
      <c r="F3002" s="75"/>
    </row>
    <row r="3003" spans="2:6">
      <c r="B3003" s="75"/>
      <c r="C3003" s="75"/>
      <c r="D3003" s="75"/>
      <c r="E3003" s="75"/>
      <c r="F3003" s="75"/>
    </row>
    <row r="3004" spans="2:6">
      <c r="B3004" s="75"/>
      <c r="C3004" s="75"/>
      <c r="D3004" s="75"/>
      <c r="E3004" s="75"/>
      <c r="F3004" s="75"/>
    </row>
    <row r="3005" spans="2:6">
      <c r="B3005" s="75"/>
      <c r="C3005" s="75"/>
      <c r="D3005" s="75"/>
      <c r="E3005" s="75"/>
      <c r="F3005" s="75"/>
    </row>
    <row r="3006" spans="2:6">
      <c r="B3006" s="75"/>
      <c r="C3006" s="75"/>
      <c r="D3006" s="75"/>
      <c r="E3006" s="75"/>
      <c r="F3006" s="75"/>
    </row>
    <row r="3007" spans="2:6">
      <c r="B3007" s="75"/>
      <c r="C3007" s="75"/>
      <c r="D3007" s="75"/>
      <c r="E3007" s="75"/>
      <c r="F3007" s="75"/>
    </row>
    <row r="3008" spans="2:6">
      <c r="B3008" s="75"/>
      <c r="C3008" s="75"/>
      <c r="D3008" s="75"/>
      <c r="E3008" s="75"/>
      <c r="F3008" s="75"/>
    </row>
    <row r="3009" spans="2:6">
      <c r="B3009" s="75"/>
      <c r="C3009" s="75"/>
      <c r="D3009" s="75"/>
      <c r="E3009" s="75"/>
      <c r="F3009" s="75"/>
    </row>
    <row r="3010" spans="2:6">
      <c r="B3010" s="75"/>
      <c r="C3010" s="75"/>
      <c r="D3010" s="75"/>
      <c r="E3010" s="75"/>
      <c r="F3010" s="75"/>
    </row>
    <row r="3011" spans="2:6">
      <c r="B3011" s="75"/>
      <c r="C3011" s="75"/>
      <c r="D3011" s="75"/>
      <c r="E3011" s="75"/>
      <c r="F3011" s="75"/>
    </row>
    <row r="3012" spans="2:6">
      <c r="B3012" s="75"/>
      <c r="C3012" s="75"/>
      <c r="D3012" s="75"/>
      <c r="E3012" s="75"/>
      <c r="F3012" s="75"/>
    </row>
    <row r="3013" spans="2:6">
      <c r="B3013" s="75"/>
      <c r="C3013" s="75"/>
      <c r="D3013" s="75"/>
      <c r="E3013" s="75"/>
      <c r="F3013" s="75"/>
    </row>
    <row r="3014" spans="2:6">
      <c r="B3014" s="75"/>
      <c r="C3014" s="75"/>
      <c r="D3014" s="75"/>
      <c r="E3014" s="75"/>
      <c r="F3014" s="75"/>
    </row>
    <row r="3015" spans="2:6">
      <c r="B3015" s="75"/>
      <c r="C3015" s="75"/>
      <c r="D3015" s="75"/>
      <c r="E3015" s="75"/>
      <c r="F3015" s="75"/>
    </row>
    <row r="3016" spans="2:6">
      <c r="B3016" s="75"/>
      <c r="C3016" s="75"/>
      <c r="D3016" s="75"/>
      <c r="E3016" s="75"/>
      <c r="F3016" s="75"/>
    </row>
    <row r="3017" spans="2:6">
      <c r="B3017" s="75"/>
      <c r="C3017" s="75"/>
      <c r="D3017" s="75"/>
      <c r="E3017" s="75"/>
      <c r="F3017" s="75"/>
    </row>
    <row r="3018" spans="2:6">
      <c r="B3018" s="75"/>
      <c r="C3018" s="75"/>
      <c r="D3018" s="75"/>
      <c r="E3018" s="75"/>
      <c r="F3018" s="75"/>
    </row>
    <row r="3019" spans="2:6">
      <c r="B3019" s="75"/>
      <c r="C3019" s="75"/>
      <c r="D3019" s="75"/>
      <c r="E3019" s="75"/>
      <c r="F3019" s="75"/>
    </row>
    <row r="3020" spans="2:6">
      <c r="B3020" s="75"/>
      <c r="C3020" s="75"/>
      <c r="D3020" s="75"/>
      <c r="E3020" s="75"/>
      <c r="F3020" s="75"/>
    </row>
    <row r="3021" spans="2:6">
      <c r="B3021" s="75"/>
      <c r="C3021" s="75"/>
      <c r="D3021" s="75"/>
      <c r="E3021" s="75"/>
      <c r="F3021" s="75"/>
    </row>
    <row r="3022" spans="2:6">
      <c r="B3022" s="75"/>
      <c r="C3022" s="75"/>
      <c r="D3022" s="75"/>
      <c r="E3022" s="75"/>
      <c r="F3022" s="75"/>
    </row>
    <row r="3023" spans="2:6">
      <c r="B3023" s="75"/>
      <c r="C3023" s="75"/>
      <c r="D3023" s="75"/>
      <c r="E3023" s="75"/>
      <c r="F3023" s="75"/>
    </row>
    <row r="3024" spans="2:6">
      <c r="B3024" s="75"/>
      <c r="C3024" s="75"/>
      <c r="D3024" s="75"/>
      <c r="E3024" s="75"/>
      <c r="F3024" s="75"/>
    </row>
    <row r="3025" spans="2:6">
      <c r="B3025" s="75"/>
      <c r="C3025" s="75"/>
      <c r="D3025" s="75"/>
      <c r="E3025" s="75"/>
      <c r="F3025" s="75"/>
    </row>
    <row r="3026" spans="2:6">
      <c r="B3026" s="75"/>
      <c r="C3026" s="75"/>
      <c r="D3026" s="75"/>
      <c r="E3026" s="75"/>
      <c r="F3026" s="75"/>
    </row>
    <row r="3027" spans="2:6">
      <c r="B3027" s="75"/>
      <c r="C3027" s="75"/>
      <c r="D3027" s="75"/>
      <c r="E3027" s="75"/>
      <c r="F3027" s="75"/>
    </row>
    <row r="3028" spans="2:6">
      <c r="B3028" s="75"/>
      <c r="C3028" s="75"/>
      <c r="D3028" s="75"/>
      <c r="E3028" s="75"/>
      <c r="F3028" s="75"/>
    </row>
    <row r="3029" spans="2:6">
      <c r="B3029" s="75"/>
      <c r="C3029" s="75"/>
      <c r="D3029" s="75"/>
      <c r="E3029" s="75"/>
      <c r="F3029" s="75"/>
    </row>
    <row r="3030" spans="2:6">
      <c r="B3030" s="75"/>
      <c r="C3030" s="75"/>
      <c r="D3030" s="75"/>
      <c r="E3030" s="75"/>
      <c r="F3030" s="75"/>
    </row>
    <row r="3031" spans="2:6">
      <c r="B3031" s="75"/>
      <c r="C3031" s="75"/>
      <c r="D3031" s="75"/>
      <c r="E3031" s="75"/>
      <c r="F3031" s="75"/>
    </row>
    <row r="3032" spans="2:6">
      <c r="B3032" s="75"/>
      <c r="C3032" s="75"/>
      <c r="D3032" s="75"/>
      <c r="E3032" s="75"/>
      <c r="F3032" s="75"/>
    </row>
    <row r="3033" spans="2:6">
      <c r="B3033" s="75"/>
      <c r="C3033" s="75"/>
      <c r="D3033" s="75"/>
      <c r="E3033" s="75"/>
      <c r="F3033" s="75"/>
    </row>
    <row r="3034" spans="2:6">
      <c r="B3034" s="75"/>
      <c r="C3034" s="75"/>
      <c r="D3034" s="75"/>
      <c r="E3034" s="75"/>
      <c r="F3034" s="75"/>
    </row>
    <row r="3035" spans="2:6">
      <c r="B3035" s="75"/>
      <c r="C3035" s="75"/>
      <c r="D3035" s="75"/>
      <c r="E3035" s="75"/>
      <c r="F3035" s="75"/>
    </row>
    <row r="3036" spans="2:6">
      <c r="B3036" s="75"/>
      <c r="C3036" s="75"/>
      <c r="D3036" s="75"/>
      <c r="E3036" s="75"/>
      <c r="F3036" s="75"/>
    </row>
    <row r="3037" spans="2:6">
      <c r="B3037" s="75"/>
      <c r="C3037" s="75"/>
      <c r="D3037" s="75"/>
      <c r="E3037" s="75"/>
      <c r="F3037" s="75"/>
    </row>
    <row r="3038" spans="2:6">
      <c r="B3038" s="75"/>
      <c r="C3038" s="75"/>
      <c r="D3038" s="75"/>
      <c r="E3038" s="75"/>
      <c r="F3038" s="75"/>
    </row>
    <row r="3039" spans="2:6">
      <c r="B3039" s="75"/>
      <c r="C3039" s="75"/>
      <c r="D3039" s="75"/>
      <c r="E3039" s="75"/>
      <c r="F3039" s="75"/>
    </row>
    <row r="3040" spans="2:6">
      <c r="B3040" s="75"/>
      <c r="C3040" s="75"/>
      <c r="D3040" s="75"/>
      <c r="E3040" s="75"/>
      <c r="F3040" s="75"/>
    </row>
    <row r="3041" spans="2:6">
      <c r="B3041" s="75"/>
      <c r="C3041" s="75"/>
      <c r="D3041" s="75"/>
      <c r="E3041" s="75"/>
      <c r="F3041" s="75"/>
    </row>
    <row r="3042" spans="2:6">
      <c r="B3042" s="75"/>
      <c r="C3042" s="75"/>
      <c r="D3042" s="75"/>
      <c r="E3042" s="75"/>
      <c r="F3042" s="75"/>
    </row>
    <row r="3043" spans="2:6">
      <c r="B3043" s="75"/>
      <c r="C3043" s="75"/>
      <c r="D3043" s="75"/>
      <c r="E3043" s="75"/>
      <c r="F3043" s="75"/>
    </row>
    <row r="3044" spans="2:6">
      <c r="B3044" s="75"/>
      <c r="C3044" s="75"/>
      <c r="D3044" s="75"/>
      <c r="E3044" s="75"/>
      <c r="F3044" s="75"/>
    </row>
    <row r="3045" spans="2:6">
      <c r="B3045" s="75"/>
      <c r="C3045" s="75"/>
      <c r="D3045" s="75"/>
      <c r="E3045" s="75"/>
      <c r="F3045" s="75"/>
    </row>
    <row r="3046" spans="2:6">
      <c r="B3046" s="75"/>
      <c r="C3046" s="75"/>
      <c r="D3046" s="75"/>
      <c r="E3046" s="75"/>
      <c r="F3046" s="75"/>
    </row>
    <row r="3047" spans="2:6">
      <c r="B3047" s="75"/>
      <c r="C3047" s="75"/>
      <c r="D3047" s="75"/>
      <c r="E3047" s="75"/>
      <c r="F3047" s="75"/>
    </row>
    <row r="3048" spans="2:6">
      <c r="B3048" s="75"/>
      <c r="C3048" s="75"/>
      <c r="D3048" s="75"/>
      <c r="E3048" s="75"/>
      <c r="F3048" s="75"/>
    </row>
    <row r="3049" spans="2:6">
      <c r="B3049" s="75"/>
      <c r="C3049" s="75"/>
      <c r="D3049" s="75"/>
      <c r="E3049" s="75"/>
      <c r="F3049" s="75"/>
    </row>
    <row r="3050" spans="2:6">
      <c r="B3050" s="75"/>
      <c r="C3050" s="75"/>
      <c r="D3050" s="75"/>
      <c r="E3050" s="75"/>
      <c r="F3050" s="75"/>
    </row>
    <row r="3051" spans="2:6">
      <c r="B3051" s="75"/>
      <c r="C3051" s="75"/>
      <c r="D3051" s="75"/>
      <c r="E3051" s="75"/>
      <c r="F3051" s="75"/>
    </row>
    <row r="3052" spans="2:6">
      <c r="B3052" s="75"/>
      <c r="C3052" s="75"/>
      <c r="D3052" s="75"/>
      <c r="E3052" s="75"/>
      <c r="F3052" s="75"/>
    </row>
    <row r="3053" spans="2:6">
      <c r="B3053" s="75"/>
      <c r="C3053" s="75"/>
      <c r="D3053" s="75"/>
      <c r="E3053" s="75"/>
      <c r="F3053" s="75"/>
    </row>
    <row r="3054" spans="2:6">
      <c r="B3054" s="75"/>
      <c r="C3054" s="75"/>
      <c r="D3054" s="75"/>
      <c r="E3054" s="75"/>
      <c r="F3054" s="75"/>
    </row>
    <row r="3055" spans="2:6">
      <c r="B3055" s="75"/>
      <c r="C3055" s="75"/>
      <c r="D3055" s="75"/>
      <c r="E3055" s="75"/>
      <c r="F3055" s="75"/>
    </row>
    <row r="3056" spans="2:6">
      <c r="B3056" s="75"/>
      <c r="C3056" s="75"/>
      <c r="D3056" s="75"/>
      <c r="E3056" s="75"/>
      <c r="F3056" s="75"/>
    </row>
    <row r="3057" spans="2:6">
      <c r="B3057" s="75"/>
      <c r="C3057" s="75"/>
      <c r="D3057" s="75"/>
      <c r="E3057" s="75"/>
      <c r="F3057" s="75"/>
    </row>
    <row r="3058" spans="2:6">
      <c r="B3058" s="75"/>
      <c r="C3058" s="75"/>
      <c r="D3058" s="75"/>
      <c r="E3058" s="75"/>
      <c r="F3058" s="75"/>
    </row>
    <row r="3059" spans="2:6">
      <c r="B3059" s="75"/>
      <c r="C3059" s="75"/>
      <c r="D3059" s="75"/>
      <c r="E3059" s="75"/>
      <c r="F3059" s="75"/>
    </row>
    <row r="3060" spans="2:6">
      <c r="B3060" s="75"/>
      <c r="C3060" s="75"/>
      <c r="D3060" s="75"/>
      <c r="E3060" s="75"/>
      <c r="F3060" s="75"/>
    </row>
    <row r="3061" spans="2:6">
      <c r="B3061" s="75"/>
      <c r="C3061" s="75"/>
      <c r="D3061" s="75"/>
      <c r="E3061" s="75"/>
      <c r="F3061" s="75"/>
    </row>
    <row r="3062" spans="2:6">
      <c r="B3062" s="75"/>
      <c r="C3062" s="75"/>
      <c r="D3062" s="75"/>
      <c r="E3062" s="75"/>
      <c r="F3062" s="75"/>
    </row>
    <row r="3063" spans="2:6">
      <c r="B3063" s="75"/>
      <c r="C3063" s="75"/>
      <c r="D3063" s="75"/>
      <c r="E3063" s="75"/>
      <c r="F3063" s="75"/>
    </row>
    <row r="3064" spans="2:6">
      <c r="B3064" s="75"/>
      <c r="C3064" s="75"/>
      <c r="D3064" s="75"/>
      <c r="E3064" s="75"/>
      <c r="F3064" s="75"/>
    </row>
    <row r="3065" spans="2:6">
      <c r="B3065" s="75"/>
      <c r="C3065" s="75"/>
      <c r="D3065" s="75"/>
      <c r="E3065" s="75"/>
      <c r="F3065" s="75"/>
    </row>
    <row r="3066" spans="2:6">
      <c r="B3066" s="75"/>
      <c r="C3066" s="75"/>
      <c r="D3066" s="75"/>
      <c r="E3066" s="75"/>
      <c r="F3066" s="75"/>
    </row>
    <row r="3067" spans="2:6">
      <c r="B3067" s="75"/>
      <c r="C3067" s="75"/>
      <c r="D3067" s="75"/>
      <c r="E3067" s="75"/>
      <c r="F3067" s="75"/>
    </row>
    <row r="3068" spans="2:6">
      <c r="B3068" s="75"/>
      <c r="C3068" s="75"/>
      <c r="D3068" s="75"/>
      <c r="E3068" s="75"/>
      <c r="F3068" s="75"/>
    </row>
    <row r="3069" spans="2:6">
      <c r="B3069" s="75"/>
      <c r="C3069" s="75"/>
      <c r="D3069" s="75"/>
      <c r="E3069" s="75"/>
      <c r="F3069" s="75"/>
    </row>
    <row r="3070" spans="2:6">
      <c r="B3070" s="75"/>
      <c r="C3070" s="75"/>
      <c r="D3070" s="75"/>
      <c r="E3070" s="75"/>
      <c r="F3070" s="75"/>
    </row>
    <row r="3071" spans="2:6">
      <c r="B3071" s="75"/>
      <c r="C3071" s="75"/>
      <c r="D3071" s="75"/>
      <c r="E3071" s="75"/>
      <c r="F3071" s="75"/>
    </row>
    <row r="3072" spans="2:6">
      <c r="B3072" s="75"/>
      <c r="C3072" s="75"/>
      <c r="D3072" s="75"/>
      <c r="E3072" s="75"/>
      <c r="F3072" s="75"/>
    </row>
    <row r="3073" spans="2:6">
      <c r="B3073" s="75"/>
      <c r="C3073" s="75"/>
      <c r="D3073" s="75"/>
      <c r="E3073" s="75"/>
      <c r="F3073" s="75"/>
    </row>
    <row r="3074" spans="2:6">
      <c r="B3074" s="75"/>
      <c r="C3074" s="75"/>
      <c r="D3074" s="75"/>
      <c r="E3074" s="75"/>
      <c r="F3074" s="75"/>
    </row>
    <row r="3075" spans="2:6">
      <c r="B3075" s="75"/>
      <c r="C3075" s="75"/>
      <c r="D3075" s="75"/>
      <c r="E3075" s="75"/>
      <c r="F3075" s="75"/>
    </row>
    <row r="3076" spans="2:6">
      <c r="B3076" s="75"/>
      <c r="C3076" s="75"/>
      <c r="D3076" s="75"/>
      <c r="E3076" s="75"/>
      <c r="F3076" s="75"/>
    </row>
    <row r="3077" spans="2:6">
      <c r="B3077" s="75"/>
      <c r="C3077" s="75"/>
      <c r="D3077" s="75"/>
      <c r="E3077" s="75"/>
      <c r="F3077" s="75"/>
    </row>
    <row r="3078" spans="2:6">
      <c r="B3078" s="75"/>
      <c r="C3078" s="75"/>
      <c r="D3078" s="75"/>
      <c r="E3078" s="75"/>
      <c r="F3078" s="75"/>
    </row>
    <row r="3079" spans="2:6">
      <c r="B3079" s="75"/>
      <c r="C3079" s="75"/>
      <c r="D3079" s="75"/>
      <c r="E3079" s="75"/>
      <c r="F3079" s="75"/>
    </row>
    <row r="3080" spans="2:6">
      <c r="B3080" s="75"/>
      <c r="C3080" s="75"/>
      <c r="D3080" s="75"/>
      <c r="E3080" s="75"/>
      <c r="F3080" s="75"/>
    </row>
    <row r="3081" spans="2:6">
      <c r="B3081" s="75"/>
      <c r="C3081" s="75"/>
      <c r="D3081" s="75"/>
      <c r="E3081" s="75"/>
      <c r="F3081" s="75"/>
    </row>
    <row r="3082" spans="2:6">
      <c r="B3082" s="75"/>
      <c r="C3082" s="75"/>
      <c r="D3082" s="75"/>
      <c r="E3082" s="75"/>
      <c r="F3082" s="75"/>
    </row>
    <row r="3083" spans="2:6">
      <c r="B3083" s="75"/>
      <c r="C3083" s="75"/>
      <c r="D3083" s="75"/>
      <c r="E3083" s="75"/>
      <c r="F3083" s="75"/>
    </row>
    <row r="3084" spans="2:6">
      <c r="B3084" s="75"/>
      <c r="C3084" s="75"/>
      <c r="D3084" s="75"/>
      <c r="E3084" s="75"/>
      <c r="F3084" s="75"/>
    </row>
    <row r="3085" spans="2:6">
      <c r="B3085" s="75"/>
      <c r="C3085" s="75"/>
      <c r="D3085" s="75"/>
      <c r="E3085" s="75"/>
      <c r="F3085" s="75"/>
    </row>
    <row r="3086" spans="2:6">
      <c r="B3086" s="75"/>
      <c r="C3086" s="75"/>
      <c r="D3086" s="75"/>
      <c r="E3086" s="75"/>
      <c r="F3086" s="75"/>
    </row>
    <row r="3087" spans="2:6">
      <c r="B3087" s="75"/>
      <c r="C3087" s="75"/>
      <c r="D3087" s="75"/>
      <c r="E3087" s="75"/>
      <c r="F3087" s="75"/>
    </row>
    <row r="3088" spans="2:6">
      <c r="B3088" s="75"/>
      <c r="C3088" s="75"/>
      <c r="D3088" s="75"/>
      <c r="E3088" s="75"/>
      <c r="F3088" s="75"/>
    </row>
    <row r="3089" spans="2:6">
      <c r="B3089" s="75"/>
      <c r="C3089" s="75"/>
      <c r="D3089" s="75"/>
      <c r="E3089" s="75"/>
      <c r="F3089" s="75"/>
    </row>
    <row r="3090" spans="2:6">
      <c r="B3090" s="75"/>
      <c r="C3090" s="75"/>
      <c r="D3090" s="75"/>
      <c r="E3090" s="75"/>
      <c r="F3090" s="75"/>
    </row>
    <row r="3091" spans="2:6">
      <c r="B3091" s="75"/>
      <c r="C3091" s="75"/>
      <c r="D3091" s="75"/>
      <c r="E3091" s="75"/>
      <c r="F3091" s="75"/>
    </row>
    <row r="3092" spans="2:6">
      <c r="B3092" s="75"/>
      <c r="C3092" s="75"/>
      <c r="D3092" s="75"/>
      <c r="E3092" s="75"/>
      <c r="F3092" s="75"/>
    </row>
    <row r="3093" spans="2:6">
      <c r="B3093" s="75"/>
      <c r="C3093" s="75"/>
      <c r="D3093" s="75"/>
      <c r="E3093" s="75"/>
      <c r="F3093" s="75"/>
    </row>
    <row r="3094" spans="2:6">
      <c r="B3094" s="75"/>
      <c r="C3094" s="75"/>
      <c r="D3094" s="75"/>
      <c r="E3094" s="75"/>
      <c r="F3094" s="75"/>
    </row>
    <row r="3095" spans="2:6">
      <c r="B3095" s="75"/>
      <c r="C3095" s="75"/>
      <c r="D3095" s="75"/>
      <c r="E3095" s="75"/>
      <c r="F3095" s="75"/>
    </row>
    <row r="3096" spans="2:6">
      <c r="B3096" s="75"/>
      <c r="C3096" s="75"/>
      <c r="D3096" s="75"/>
      <c r="E3096" s="75"/>
      <c r="F3096" s="75"/>
    </row>
    <row r="3097" spans="2:6">
      <c r="B3097" s="75"/>
      <c r="C3097" s="75"/>
      <c r="D3097" s="75"/>
      <c r="E3097" s="75"/>
      <c r="F3097" s="75"/>
    </row>
    <row r="3098" spans="2:6">
      <c r="B3098" s="75"/>
      <c r="C3098" s="75"/>
      <c r="D3098" s="75"/>
      <c r="E3098" s="75"/>
      <c r="F3098" s="75"/>
    </row>
    <row r="3099" spans="2:6">
      <c r="B3099" s="75"/>
      <c r="C3099" s="75"/>
      <c r="D3099" s="75"/>
      <c r="E3099" s="75"/>
      <c r="F3099" s="75"/>
    </row>
    <row r="3100" spans="2:6">
      <c r="B3100" s="75"/>
      <c r="C3100" s="75"/>
      <c r="D3100" s="75"/>
      <c r="E3100" s="75"/>
      <c r="F3100" s="75"/>
    </row>
    <row r="3101" spans="2:6">
      <c r="B3101" s="75"/>
      <c r="C3101" s="75"/>
      <c r="D3101" s="75"/>
      <c r="E3101" s="75"/>
      <c r="F3101" s="75"/>
    </row>
    <row r="3102" spans="2:6">
      <c r="B3102" s="75"/>
      <c r="C3102" s="75"/>
      <c r="D3102" s="75"/>
      <c r="E3102" s="75"/>
      <c r="F3102" s="75"/>
    </row>
    <row r="3103" spans="2:6">
      <c r="B3103" s="75"/>
      <c r="C3103" s="75"/>
      <c r="D3103" s="75"/>
      <c r="E3103" s="75"/>
      <c r="F3103" s="75"/>
    </row>
    <row r="3104" spans="2:6">
      <c r="B3104" s="75"/>
      <c r="C3104" s="75"/>
      <c r="D3104" s="75"/>
      <c r="E3104" s="75"/>
      <c r="F3104" s="75"/>
    </row>
    <row r="3105" spans="2:6">
      <c r="B3105" s="75"/>
      <c r="C3105" s="75"/>
      <c r="D3105" s="75"/>
      <c r="E3105" s="75"/>
      <c r="F3105" s="75"/>
    </row>
    <row r="3106" spans="2:6">
      <c r="B3106" s="75"/>
      <c r="C3106" s="75"/>
      <c r="D3106" s="75"/>
      <c r="E3106" s="75"/>
      <c r="F3106" s="75"/>
    </row>
    <row r="3107" spans="2:6">
      <c r="B3107" s="75"/>
      <c r="C3107" s="75"/>
      <c r="D3107" s="75"/>
      <c r="E3107" s="75"/>
      <c r="F3107" s="75"/>
    </row>
    <row r="3108" spans="2:6">
      <c r="B3108" s="75"/>
      <c r="C3108" s="75"/>
      <c r="D3108" s="75"/>
      <c r="E3108" s="75"/>
      <c r="F3108" s="75"/>
    </row>
    <row r="3109" spans="2:6">
      <c r="B3109" s="75"/>
      <c r="C3109" s="75"/>
      <c r="D3109" s="75"/>
      <c r="E3109" s="75"/>
      <c r="F3109" s="75"/>
    </row>
    <row r="3110" spans="2:6">
      <c r="B3110" s="75"/>
      <c r="C3110" s="75"/>
      <c r="D3110" s="75"/>
      <c r="E3110" s="75"/>
      <c r="F3110" s="75"/>
    </row>
    <row r="3111" spans="2:6">
      <c r="B3111" s="75"/>
      <c r="C3111" s="75"/>
      <c r="D3111" s="75"/>
      <c r="E3111" s="75"/>
      <c r="F3111" s="75"/>
    </row>
    <row r="3112" spans="2:6">
      <c r="B3112" s="75"/>
      <c r="C3112" s="75"/>
      <c r="D3112" s="75"/>
      <c r="E3112" s="75"/>
      <c r="F3112" s="75"/>
    </row>
    <row r="3113" spans="2:6">
      <c r="B3113" s="75"/>
      <c r="C3113" s="75"/>
      <c r="D3113" s="75"/>
      <c r="E3113" s="75"/>
      <c r="F3113" s="75"/>
    </row>
    <row r="3114" spans="2:6">
      <c r="B3114" s="75"/>
      <c r="C3114" s="75"/>
      <c r="D3114" s="75"/>
      <c r="E3114" s="75"/>
      <c r="F3114" s="75"/>
    </row>
    <row r="3115" spans="2:6">
      <c r="B3115" s="75"/>
      <c r="C3115" s="75"/>
      <c r="D3115" s="75"/>
      <c r="E3115" s="75"/>
      <c r="F3115" s="75"/>
    </row>
    <row r="3116" spans="2:6">
      <c r="B3116" s="75"/>
      <c r="C3116" s="75"/>
      <c r="D3116" s="75"/>
      <c r="E3116" s="75"/>
      <c r="F3116" s="75"/>
    </row>
    <row r="3117" spans="2:6">
      <c r="B3117" s="75"/>
      <c r="C3117" s="75"/>
      <c r="D3117" s="75"/>
      <c r="E3117" s="75"/>
      <c r="F3117" s="75"/>
    </row>
    <row r="3118" spans="2:6">
      <c r="B3118" s="75"/>
      <c r="C3118" s="75"/>
      <c r="D3118" s="75"/>
      <c r="E3118" s="75"/>
      <c r="F3118" s="75"/>
    </row>
    <row r="3119" spans="2:6">
      <c r="B3119" s="75"/>
      <c r="C3119" s="75"/>
      <c r="D3119" s="75"/>
      <c r="E3119" s="75"/>
      <c r="F3119" s="75"/>
    </row>
    <row r="3120" spans="2:6">
      <c r="B3120" s="75"/>
      <c r="C3120" s="75"/>
      <c r="D3120" s="75"/>
      <c r="E3120" s="75"/>
      <c r="F3120" s="75"/>
    </row>
    <row r="3121" spans="2:6">
      <c r="B3121" s="75"/>
      <c r="C3121" s="75"/>
      <c r="D3121" s="75"/>
      <c r="E3121" s="75"/>
      <c r="F3121" s="75"/>
    </row>
    <row r="3122" spans="2:6">
      <c r="B3122" s="75"/>
      <c r="C3122" s="75"/>
      <c r="D3122" s="75"/>
      <c r="E3122" s="75"/>
      <c r="F3122" s="75"/>
    </row>
    <row r="3123" spans="2:6">
      <c r="B3123" s="75"/>
      <c r="C3123" s="75"/>
      <c r="D3123" s="75"/>
      <c r="E3123" s="75"/>
      <c r="F3123" s="75"/>
    </row>
    <row r="3124" spans="2:6">
      <c r="B3124" s="75"/>
      <c r="C3124" s="75"/>
      <c r="D3124" s="75"/>
      <c r="E3124" s="75"/>
      <c r="F3124" s="75"/>
    </row>
    <row r="3125" spans="2:6">
      <c r="B3125" s="75"/>
      <c r="C3125" s="75"/>
      <c r="D3125" s="75"/>
      <c r="E3125" s="75"/>
      <c r="F3125" s="75"/>
    </row>
    <row r="3126" spans="2:6">
      <c r="B3126" s="75"/>
      <c r="C3126" s="75"/>
      <c r="D3126" s="75"/>
      <c r="E3126" s="75"/>
      <c r="F3126" s="75"/>
    </row>
    <row r="3127" spans="2:6">
      <c r="B3127" s="75"/>
      <c r="C3127" s="75"/>
      <c r="D3127" s="75"/>
      <c r="E3127" s="75"/>
      <c r="F3127" s="75"/>
    </row>
    <row r="3128" spans="2:6">
      <c r="B3128" s="75"/>
      <c r="C3128" s="75"/>
      <c r="D3128" s="75"/>
      <c r="E3128" s="75"/>
      <c r="F3128" s="75"/>
    </row>
    <row r="3129" spans="2:6">
      <c r="B3129" s="75"/>
      <c r="C3129" s="75"/>
      <c r="D3129" s="75"/>
      <c r="E3129" s="75"/>
      <c r="F3129" s="75"/>
    </row>
    <row r="3130" spans="2:6">
      <c r="B3130" s="75"/>
      <c r="C3130" s="75"/>
      <c r="D3130" s="75"/>
      <c r="E3130" s="75"/>
      <c r="F3130" s="75"/>
    </row>
    <row r="3131" spans="2:6">
      <c r="B3131" s="75"/>
      <c r="C3131" s="75"/>
      <c r="D3131" s="75"/>
      <c r="E3131" s="75"/>
      <c r="F3131" s="75"/>
    </row>
    <row r="3132" spans="2:6">
      <c r="B3132" s="75"/>
      <c r="C3132" s="75"/>
      <c r="D3132" s="75"/>
      <c r="E3132" s="75"/>
      <c r="F3132" s="75"/>
    </row>
    <row r="3133" spans="2:6">
      <c r="B3133" s="75"/>
      <c r="C3133" s="75"/>
      <c r="D3133" s="75"/>
      <c r="E3133" s="75"/>
      <c r="F3133" s="75"/>
    </row>
    <row r="3134" spans="2:6">
      <c r="B3134" s="75"/>
      <c r="C3134" s="75"/>
      <c r="D3134" s="75"/>
      <c r="E3134" s="75"/>
      <c r="F3134" s="75"/>
    </row>
    <row r="3135" spans="2:6">
      <c r="B3135" s="75"/>
      <c r="C3135" s="75"/>
      <c r="D3135" s="75"/>
      <c r="E3135" s="75"/>
      <c r="F3135" s="75"/>
    </row>
    <row r="3136" spans="2:6">
      <c r="B3136" s="75"/>
      <c r="C3136" s="75"/>
      <c r="D3136" s="75"/>
      <c r="E3136" s="75"/>
      <c r="F3136" s="75"/>
    </row>
    <row r="3137" spans="2:6">
      <c r="B3137" s="75"/>
      <c r="C3137" s="75"/>
      <c r="D3137" s="75"/>
      <c r="E3137" s="75"/>
      <c r="F3137" s="75"/>
    </row>
    <row r="3138" spans="2:6">
      <c r="B3138" s="75"/>
      <c r="C3138" s="75"/>
      <c r="D3138" s="75"/>
      <c r="E3138" s="75"/>
      <c r="F3138" s="75"/>
    </row>
    <row r="3139" spans="2:6">
      <c r="B3139" s="75"/>
      <c r="C3139" s="75"/>
      <c r="D3139" s="75"/>
      <c r="E3139" s="75"/>
      <c r="F3139" s="75"/>
    </row>
    <row r="3140" spans="2:6">
      <c r="B3140" s="75"/>
      <c r="C3140" s="75"/>
      <c r="D3140" s="75"/>
      <c r="E3140" s="75"/>
      <c r="F3140" s="75"/>
    </row>
    <row r="3141" spans="2:6">
      <c r="B3141" s="75"/>
      <c r="C3141" s="75"/>
      <c r="D3141" s="75"/>
      <c r="E3141" s="75"/>
      <c r="F3141" s="75"/>
    </row>
    <row r="3142" spans="2:6">
      <c r="B3142" s="75"/>
      <c r="C3142" s="75"/>
      <c r="D3142" s="75"/>
      <c r="E3142" s="75"/>
      <c r="F3142" s="75"/>
    </row>
    <row r="3143" spans="2:6">
      <c r="B3143" s="75"/>
      <c r="C3143" s="75"/>
      <c r="D3143" s="75"/>
      <c r="E3143" s="75"/>
      <c r="F3143" s="75"/>
    </row>
    <row r="3144" spans="2:6">
      <c r="B3144" s="75"/>
      <c r="C3144" s="75"/>
      <c r="D3144" s="75"/>
      <c r="E3144" s="75"/>
      <c r="F3144" s="75"/>
    </row>
    <row r="3145" spans="2:6">
      <c r="B3145" s="75"/>
      <c r="C3145" s="75"/>
      <c r="D3145" s="75"/>
      <c r="E3145" s="75"/>
      <c r="F3145" s="75"/>
    </row>
    <row r="3146" spans="2:6">
      <c r="B3146" s="75"/>
      <c r="C3146" s="75"/>
      <c r="D3146" s="75"/>
      <c r="E3146" s="75"/>
      <c r="F3146" s="75"/>
    </row>
    <row r="3147" spans="2:6">
      <c r="B3147" s="75"/>
      <c r="C3147" s="75"/>
      <c r="D3147" s="75"/>
      <c r="E3147" s="75"/>
      <c r="F3147" s="75"/>
    </row>
    <row r="3148" spans="2:6">
      <c r="B3148" s="75"/>
      <c r="C3148" s="75"/>
      <c r="D3148" s="75"/>
      <c r="E3148" s="75"/>
      <c r="F3148" s="75"/>
    </row>
    <row r="3149" spans="2:6">
      <c r="B3149" s="75"/>
      <c r="C3149" s="75"/>
      <c r="D3149" s="75"/>
      <c r="E3149" s="75"/>
      <c r="F3149" s="75"/>
    </row>
    <row r="3150" spans="2:6">
      <c r="B3150" s="75"/>
      <c r="C3150" s="75"/>
      <c r="D3150" s="75"/>
      <c r="E3150" s="75"/>
      <c r="F3150" s="75"/>
    </row>
    <row r="3151" spans="2:6">
      <c r="B3151" s="75"/>
      <c r="C3151" s="75"/>
      <c r="D3151" s="75"/>
      <c r="E3151" s="75"/>
      <c r="F3151" s="75"/>
    </row>
    <row r="3152" spans="2:6">
      <c r="B3152" s="75"/>
      <c r="C3152" s="75"/>
      <c r="D3152" s="75"/>
      <c r="E3152" s="75"/>
      <c r="F3152" s="75"/>
    </row>
    <row r="3153" spans="2:6">
      <c r="B3153" s="75"/>
      <c r="C3153" s="75"/>
      <c r="D3153" s="75"/>
      <c r="E3153" s="75"/>
      <c r="F3153" s="75"/>
    </row>
    <row r="3154" spans="2:6">
      <c r="B3154" s="75"/>
      <c r="C3154" s="75"/>
      <c r="D3154" s="75"/>
      <c r="E3154" s="75"/>
      <c r="F3154" s="75"/>
    </row>
    <row r="3155" spans="2:6">
      <c r="B3155" s="75"/>
      <c r="C3155" s="75"/>
      <c r="D3155" s="75"/>
      <c r="E3155" s="75"/>
      <c r="F3155" s="75"/>
    </row>
    <row r="3156" spans="2:6">
      <c r="B3156" s="75"/>
      <c r="C3156" s="75"/>
      <c r="D3156" s="75"/>
      <c r="E3156" s="75"/>
      <c r="F3156" s="75"/>
    </row>
    <row r="3157" spans="2:6">
      <c r="B3157" s="75"/>
      <c r="C3157" s="75"/>
      <c r="D3157" s="75"/>
      <c r="E3157" s="75"/>
      <c r="F3157" s="75"/>
    </row>
    <row r="3158" spans="2:6">
      <c r="B3158" s="75"/>
      <c r="C3158" s="75"/>
      <c r="D3158" s="75"/>
      <c r="E3158" s="75"/>
      <c r="F3158" s="75"/>
    </row>
    <row r="3159" spans="2:6">
      <c r="B3159" s="75"/>
      <c r="C3159" s="75"/>
      <c r="D3159" s="75"/>
      <c r="E3159" s="75"/>
      <c r="F3159" s="75"/>
    </row>
    <row r="3160" spans="2:6">
      <c r="B3160" s="75"/>
      <c r="C3160" s="75"/>
      <c r="D3160" s="75"/>
      <c r="E3160" s="75"/>
      <c r="F3160" s="75"/>
    </row>
    <row r="3161" spans="2:6">
      <c r="B3161" s="75"/>
      <c r="C3161" s="75"/>
      <c r="D3161" s="75"/>
      <c r="E3161" s="75"/>
      <c r="F3161" s="75"/>
    </row>
    <row r="3162" spans="2:6">
      <c r="B3162" s="75"/>
      <c r="C3162" s="75"/>
      <c r="D3162" s="75"/>
      <c r="E3162" s="75"/>
      <c r="F3162" s="75"/>
    </row>
    <row r="3163" spans="2:6">
      <c r="B3163" s="75"/>
      <c r="C3163" s="75"/>
      <c r="D3163" s="75"/>
      <c r="E3163" s="75"/>
      <c r="F3163" s="75"/>
    </row>
    <row r="3164" spans="2:6">
      <c r="B3164" s="75"/>
      <c r="C3164" s="75"/>
      <c r="D3164" s="75"/>
      <c r="E3164" s="75"/>
      <c r="F3164" s="75"/>
    </row>
    <row r="3165" spans="2:6">
      <c r="B3165" s="75"/>
      <c r="C3165" s="75"/>
      <c r="D3165" s="75"/>
      <c r="E3165" s="75"/>
      <c r="F3165" s="75"/>
    </row>
    <row r="3166" spans="2:6">
      <c r="B3166" s="75"/>
      <c r="C3166" s="75"/>
      <c r="D3166" s="75"/>
      <c r="E3166" s="75"/>
      <c r="F3166" s="75"/>
    </row>
    <row r="3167" spans="2:6">
      <c r="B3167" s="75"/>
      <c r="C3167" s="75"/>
      <c r="D3167" s="75"/>
      <c r="E3167" s="75"/>
      <c r="F3167" s="75"/>
    </row>
    <row r="3168" spans="2:6">
      <c r="B3168" s="75"/>
      <c r="C3168" s="75"/>
      <c r="D3168" s="75"/>
      <c r="E3168" s="75"/>
      <c r="F3168" s="75"/>
    </row>
    <row r="3169" spans="2:6">
      <c r="B3169" s="75"/>
      <c r="C3169" s="75"/>
      <c r="D3169" s="75"/>
      <c r="E3169" s="75"/>
      <c r="F3169" s="75"/>
    </row>
    <row r="3170" spans="2:6">
      <c r="B3170" s="75"/>
      <c r="C3170" s="75"/>
      <c r="D3170" s="75"/>
      <c r="E3170" s="75"/>
      <c r="F3170" s="75"/>
    </row>
    <row r="3171" spans="2:6">
      <c r="B3171" s="75"/>
      <c r="C3171" s="75"/>
      <c r="D3171" s="75"/>
      <c r="E3171" s="75"/>
      <c r="F3171" s="75"/>
    </row>
    <row r="3172" spans="2:6">
      <c r="B3172" s="75"/>
      <c r="C3172" s="75"/>
      <c r="D3172" s="75"/>
      <c r="E3172" s="75"/>
      <c r="F3172" s="75"/>
    </row>
    <row r="3173" spans="2:6">
      <c r="B3173" s="75"/>
      <c r="C3173" s="75"/>
      <c r="D3173" s="75"/>
      <c r="E3173" s="75"/>
      <c r="F3173" s="75"/>
    </row>
    <row r="3174" spans="2:6">
      <c r="B3174" s="75"/>
      <c r="C3174" s="75"/>
      <c r="D3174" s="75"/>
      <c r="E3174" s="75"/>
      <c r="F3174" s="75"/>
    </row>
    <row r="3175" spans="2:6">
      <c r="B3175" s="75"/>
      <c r="C3175" s="75"/>
      <c r="D3175" s="75"/>
      <c r="E3175" s="75"/>
      <c r="F3175" s="75"/>
    </row>
    <row r="3176" spans="2:6">
      <c r="B3176" s="75"/>
      <c r="C3176" s="75"/>
      <c r="D3176" s="75"/>
      <c r="E3176" s="75"/>
      <c r="F3176" s="75"/>
    </row>
    <row r="3177" spans="2:6">
      <c r="B3177" s="75"/>
      <c r="C3177" s="75"/>
      <c r="D3177" s="75"/>
      <c r="E3177" s="75"/>
      <c r="F3177" s="75"/>
    </row>
    <row r="3178" spans="2:6">
      <c r="B3178" s="75"/>
      <c r="C3178" s="75"/>
      <c r="D3178" s="75"/>
      <c r="E3178" s="75"/>
      <c r="F3178" s="75"/>
    </row>
    <row r="3179" spans="2:6">
      <c r="B3179" s="75"/>
      <c r="C3179" s="75"/>
      <c r="D3179" s="75"/>
      <c r="E3179" s="75"/>
      <c r="F3179" s="75"/>
    </row>
    <row r="3180" spans="2:6">
      <c r="B3180" s="75"/>
      <c r="C3180" s="75"/>
      <c r="D3180" s="75"/>
      <c r="E3180" s="75"/>
      <c r="F3180" s="75"/>
    </row>
    <row r="3181" spans="2:6">
      <c r="B3181" s="75"/>
      <c r="C3181" s="75"/>
      <c r="D3181" s="75"/>
      <c r="E3181" s="75"/>
      <c r="F3181" s="75"/>
    </row>
    <row r="3182" spans="2:6">
      <c r="B3182" s="75"/>
      <c r="C3182" s="75"/>
      <c r="D3182" s="75"/>
      <c r="E3182" s="75"/>
      <c r="F3182" s="75"/>
    </row>
    <row r="3183" spans="2:6">
      <c r="B3183" s="75"/>
      <c r="C3183" s="75"/>
      <c r="D3183" s="75"/>
      <c r="E3183" s="75"/>
      <c r="F3183" s="75"/>
    </row>
    <row r="3184" spans="2:6">
      <c r="B3184" s="75"/>
      <c r="C3184" s="75"/>
      <c r="D3184" s="75"/>
      <c r="E3184" s="75"/>
      <c r="F3184" s="75"/>
    </row>
    <row r="3185" spans="2:6">
      <c r="B3185" s="75"/>
      <c r="C3185" s="75"/>
      <c r="D3185" s="75"/>
      <c r="E3185" s="75"/>
      <c r="F3185" s="75"/>
    </row>
    <row r="3186" spans="2:6">
      <c r="B3186" s="75"/>
      <c r="C3186" s="75"/>
      <c r="D3186" s="75"/>
      <c r="E3186" s="75"/>
      <c r="F3186" s="75"/>
    </row>
    <row r="3187" spans="2:6">
      <c r="B3187" s="75"/>
      <c r="C3187" s="75"/>
      <c r="D3187" s="75"/>
      <c r="E3187" s="75"/>
      <c r="F3187" s="75"/>
    </row>
    <row r="3188" spans="2:6">
      <c r="B3188" s="75"/>
      <c r="C3188" s="75"/>
      <c r="D3188" s="75"/>
      <c r="E3188" s="75"/>
      <c r="F3188" s="75"/>
    </row>
    <row r="3189" spans="2:6">
      <c r="B3189" s="75"/>
      <c r="C3189" s="75"/>
      <c r="D3189" s="75"/>
      <c r="E3189" s="75"/>
      <c r="F3189" s="75"/>
    </row>
    <row r="3190" spans="2:6">
      <c r="B3190" s="75"/>
      <c r="C3190" s="75"/>
      <c r="D3190" s="75"/>
      <c r="E3190" s="75"/>
      <c r="F3190" s="75"/>
    </row>
    <row r="3191" spans="2:6">
      <c r="B3191" s="75"/>
      <c r="C3191" s="75"/>
      <c r="D3191" s="75"/>
      <c r="E3191" s="75"/>
      <c r="F3191" s="75"/>
    </row>
    <row r="3192" spans="2:6">
      <c r="B3192" s="75"/>
      <c r="C3192" s="75"/>
      <c r="D3192" s="75"/>
      <c r="E3192" s="75"/>
      <c r="F3192" s="75"/>
    </row>
    <row r="3193" spans="2:6">
      <c r="B3193" s="75"/>
      <c r="C3193" s="75"/>
      <c r="D3193" s="75"/>
      <c r="E3193" s="75"/>
      <c r="F3193" s="75"/>
    </row>
    <row r="3194" spans="2:6">
      <c r="B3194" s="75"/>
      <c r="C3194" s="75"/>
      <c r="D3194" s="75"/>
      <c r="E3194" s="75"/>
      <c r="F3194" s="75"/>
    </row>
    <row r="3195" spans="2:6">
      <c r="B3195" s="75"/>
      <c r="C3195" s="75"/>
      <c r="D3195" s="75"/>
      <c r="E3195" s="75"/>
      <c r="F3195" s="75"/>
    </row>
    <row r="3196" spans="2:6">
      <c r="B3196" s="75"/>
      <c r="C3196" s="75"/>
      <c r="D3196" s="75"/>
      <c r="E3196" s="75"/>
      <c r="F3196" s="75"/>
    </row>
    <row r="3197" spans="2:6">
      <c r="B3197" s="75"/>
      <c r="C3197" s="75"/>
      <c r="D3197" s="75"/>
      <c r="E3197" s="75"/>
      <c r="F3197" s="75"/>
    </row>
    <row r="3198" spans="2:6">
      <c r="B3198" s="75"/>
      <c r="C3198" s="75"/>
      <c r="D3198" s="75"/>
      <c r="E3198" s="75"/>
      <c r="F3198" s="75"/>
    </row>
    <row r="3199" spans="2:6">
      <c r="B3199" s="75"/>
      <c r="C3199" s="75"/>
      <c r="D3199" s="75"/>
      <c r="E3199" s="75"/>
      <c r="F3199" s="75"/>
    </row>
    <row r="3200" spans="2:6">
      <c r="B3200" s="75"/>
      <c r="C3200" s="75"/>
      <c r="D3200" s="75"/>
      <c r="E3200" s="75"/>
      <c r="F3200" s="75"/>
    </row>
    <row r="3201" spans="2:6">
      <c r="B3201" s="75"/>
      <c r="C3201" s="75"/>
      <c r="D3201" s="75"/>
      <c r="E3201" s="75"/>
      <c r="F3201" s="75"/>
    </row>
    <row r="3202" spans="2:6">
      <c r="B3202" s="75"/>
      <c r="C3202" s="75"/>
      <c r="D3202" s="75"/>
      <c r="E3202" s="75"/>
      <c r="F3202" s="75"/>
    </row>
    <row r="3203" spans="2:6">
      <c r="B3203" s="75"/>
      <c r="C3203" s="75"/>
      <c r="D3203" s="75"/>
      <c r="E3203" s="75"/>
      <c r="F3203" s="75"/>
    </row>
    <row r="3204" spans="2:6">
      <c r="B3204" s="75"/>
      <c r="C3204" s="75"/>
      <c r="D3204" s="75"/>
      <c r="E3204" s="75"/>
      <c r="F3204" s="75"/>
    </row>
    <row r="3205" spans="2:6">
      <c r="B3205" s="75"/>
      <c r="C3205" s="75"/>
      <c r="D3205" s="75"/>
      <c r="E3205" s="75"/>
      <c r="F3205" s="75"/>
    </row>
    <row r="3206" spans="2:6">
      <c r="B3206" s="75"/>
      <c r="C3206" s="75"/>
      <c r="D3206" s="75"/>
      <c r="E3206" s="75"/>
      <c r="F3206" s="75"/>
    </row>
    <row r="3207" spans="2:6">
      <c r="B3207" s="75"/>
      <c r="C3207" s="75"/>
      <c r="D3207" s="75"/>
      <c r="E3207" s="75"/>
      <c r="F3207" s="75"/>
    </row>
    <row r="3208" spans="2:6">
      <c r="B3208" s="75"/>
      <c r="C3208" s="75"/>
      <c r="D3208" s="75"/>
      <c r="E3208" s="75"/>
      <c r="F3208" s="75"/>
    </row>
    <row r="3209" spans="2:6">
      <c r="B3209" s="75"/>
      <c r="C3209" s="75"/>
      <c r="D3209" s="75"/>
      <c r="E3209" s="75"/>
      <c r="F3209" s="75"/>
    </row>
    <row r="3210" spans="2:6">
      <c r="B3210" s="75"/>
      <c r="C3210" s="75"/>
      <c r="D3210" s="75"/>
      <c r="E3210" s="75"/>
      <c r="F3210" s="75"/>
    </row>
    <row r="3211" spans="2:6">
      <c r="B3211" s="75"/>
      <c r="C3211" s="75"/>
      <c r="D3211" s="75"/>
      <c r="E3211" s="75"/>
      <c r="F3211" s="75"/>
    </row>
    <row r="3212" spans="2:6">
      <c r="B3212" s="75"/>
      <c r="C3212" s="75"/>
      <c r="D3212" s="75"/>
      <c r="E3212" s="75"/>
      <c r="F3212" s="75"/>
    </row>
    <row r="3213" spans="2:6">
      <c r="B3213" s="75"/>
      <c r="C3213" s="75"/>
      <c r="D3213" s="75"/>
      <c r="E3213" s="75"/>
      <c r="F3213" s="75"/>
    </row>
    <row r="3214" spans="2:6">
      <c r="B3214" s="75"/>
      <c r="C3214" s="75"/>
      <c r="D3214" s="75"/>
      <c r="E3214" s="75"/>
      <c r="F3214" s="75"/>
    </row>
    <row r="3215" spans="2:6">
      <c r="B3215" s="75"/>
      <c r="C3215" s="75"/>
      <c r="D3215" s="75"/>
      <c r="E3215" s="75"/>
      <c r="F3215" s="75"/>
    </row>
    <row r="3216" spans="2:6">
      <c r="B3216" s="75"/>
      <c r="C3216" s="75"/>
      <c r="D3216" s="75"/>
      <c r="E3216" s="75"/>
      <c r="F3216" s="75"/>
    </row>
    <row r="3217" spans="2:6">
      <c r="B3217" s="75"/>
      <c r="C3217" s="75"/>
      <c r="D3217" s="75"/>
      <c r="E3217" s="75"/>
      <c r="F3217" s="75"/>
    </row>
    <row r="3218" spans="2:6">
      <c r="B3218" s="75"/>
      <c r="C3218" s="75"/>
      <c r="D3218" s="75"/>
      <c r="E3218" s="75"/>
      <c r="F3218" s="75"/>
    </row>
    <row r="3219" spans="2:6">
      <c r="B3219" s="75"/>
      <c r="C3219" s="75"/>
      <c r="D3219" s="75"/>
      <c r="E3219" s="75"/>
      <c r="F3219" s="75"/>
    </row>
    <row r="3220" spans="2:6">
      <c r="B3220" s="75"/>
      <c r="C3220" s="75"/>
      <c r="D3220" s="75"/>
      <c r="E3220" s="75"/>
      <c r="F3220" s="75"/>
    </row>
    <row r="3221" spans="2:6">
      <c r="B3221" s="75"/>
      <c r="C3221" s="75"/>
      <c r="D3221" s="75"/>
      <c r="E3221" s="75"/>
      <c r="F3221" s="75"/>
    </row>
    <row r="3222" spans="2:6">
      <c r="B3222" s="75"/>
      <c r="C3222" s="75"/>
      <c r="D3222" s="75"/>
      <c r="E3222" s="75"/>
      <c r="F3222" s="75"/>
    </row>
    <row r="3223" spans="2:6">
      <c r="B3223" s="75"/>
      <c r="C3223" s="75"/>
      <c r="D3223" s="75"/>
      <c r="E3223" s="75"/>
      <c r="F3223" s="75"/>
    </row>
    <row r="3224" spans="2:6">
      <c r="B3224" s="75"/>
      <c r="C3224" s="75"/>
      <c r="D3224" s="75"/>
      <c r="E3224" s="75"/>
      <c r="F3224" s="75"/>
    </row>
    <row r="3225" spans="2:6">
      <c r="B3225" s="75"/>
      <c r="C3225" s="75"/>
      <c r="D3225" s="75"/>
      <c r="E3225" s="75"/>
      <c r="F3225" s="75"/>
    </row>
    <row r="3226" spans="2:6">
      <c r="B3226" s="75"/>
      <c r="C3226" s="75"/>
      <c r="D3226" s="75"/>
      <c r="E3226" s="75"/>
      <c r="F3226" s="75"/>
    </row>
    <row r="3227" spans="2:6">
      <c r="B3227" s="75"/>
      <c r="C3227" s="75"/>
      <c r="D3227" s="75"/>
      <c r="E3227" s="75"/>
      <c r="F3227" s="75"/>
    </row>
    <row r="3228" spans="2:6">
      <c r="B3228" s="75"/>
      <c r="C3228" s="75"/>
      <c r="D3228" s="75"/>
      <c r="E3228" s="75"/>
      <c r="F3228" s="75"/>
    </row>
    <row r="3229" spans="2:6">
      <c r="B3229" s="75"/>
      <c r="C3229" s="75"/>
      <c r="D3229" s="75"/>
      <c r="E3229" s="75"/>
      <c r="F3229" s="75"/>
    </row>
    <row r="3230" spans="2:6">
      <c r="B3230" s="75"/>
      <c r="C3230" s="75"/>
      <c r="D3230" s="75"/>
      <c r="E3230" s="75"/>
      <c r="F3230" s="75"/>
    </row>
    <row r="3231" spans="2:6">
      <c r="B3231" s="75"/>
      <c r="C3231" s="75"/>
      <c r="D3231" s="75"/>
      <c r="E3231" s="75"/>
      <c r="F3231" s="75"/>
    </row>
    <row r="3232" spans="2:6">
      <c r="B3232" s="75"/>
      <c r="C3232" s="75"/>
      <c r="D3232" s="75"/>
      <c r="E3232" s="75"/>
      <c r="F3232" s="75"/>
    </row>
    <row r="3233" spans="2:6">
      <c r="B3233" s="75"/>
      <c r="C3233" s="75"/>
      <c r="D3233" s="75"/>
      <c r="E3233" s="75"/>
      <c r="F3233" s="75"/>
    </row>
    <row r="3234" spans="2:6">
      <c r="B3234" s="75"/>
      <c r="C3234" s="75"/>
      <c r="D3234" s="75"/>
      <c r="E3234" s="75"/>
      <c r="F3234" s="75"/>
    </row>
    <row r="3235" spans="2:6">
      <c r="B3235" s="75"/>
      <c r="C3235" s="75"/>
      <c r="D3235" s="75"/>
      <c r="E3235" s="75"/>
      <c r="F3235" s="75"/>
    </row>
    <row r="3236" spans="2:6">
      <c r="B3236" s="75"/>
      <c r="C3236" s="75"/>
      <c r="D3236" s="75"/>
      <c r="E3236" s="75"/>
      <c r="F3236" s="75"/>
    </row>
    <row r="3237" spans="2:6">
      <c r="B3237" s="75"/>
      <c r="C3237" s="75"/>
      <c r="D3237" s="75"/>
      <c r="E3237" s="75"/>
      <c r="F3237" s="75"/>
    </row>
    <row r="3238" spans="2:6">
      <c r="B3238" s="75"/>
      <c r="C3238" s="75"/>
      <c r="D3238" s="75"/>
      <c r="E3238" s="75"/>
      <c r="F3238" s="75"/>
    </row>
    <row r="3239" spans="2:6">
      <c r="B3239" s="75"/>
      <c r="C3239" s="75"/>
      <c r="D3239" s="75"/>
      <c r="E3239" s="75"/>
      <c r="F3239" s="75"/>
    </row>
    <row r="3240" spans="2:6">
      <c r="B3240" s="75"/>
      <c r="C3240" s="75"/>
      <c r="D3240" s="75"/>
      <c r="E3240" s="75"/>
      <c r="F3240" s="75"/>
    </row>
    <row r="3241" spans="2:6">
      <c r="B3241" s="75"/>
      <c r="C3241" s="75"/>
      <c r="D3241" s="75"/>
      <c r="E3241" s="75"/>
      <c r="F3241" s="75"/>
    </row>
    <row r="3242" spans="2:6">
      <c r="B3242" s="75"/>
      <c r="C3242" s="75"/>
      <c r="D3242" s="75"/>
      <c r="E3242" s="75"/>
      <c r="F3242" s="75"/>
    </row>
    <row r="3243" spans="2:6">
      <c r="B3243" s="75"/>
      <c r="C3243" s="75"/>
      <c r="D3243" s="75"/>
      <c r="E3243" s="75"/>
      <c r="F3243" s="75"/>
    </row>
    <row r="3244" spans="2:6">
      <c r="B3244" s="75"/>
      <c r="C3244" s="75"/>
      <c r="D3244" s="75"/>
      <c r="E3244" s="75"/>
      <c r="F3244" s="75"/>
    </row>
    <row r="3245" spans="2:6">
      <c r="B3245" s="75"/>
      <c r="C3245" s="75"/>
      <c r="D3245" s="75"/>
      <c r="E3245" s="75"/>
      <c r="F3245" s="75"/>
    </row>
    <row r="3246" spans="2:6">
      <c r="B3246" s="75"/>
      <c r="C3246" s="75"/>
      <c r="D3246" s="75"/>
      <c r="E3246" s="75"/>
      <c r="F3246" s="75"/>
    </row>
    <row r="3247" spans="2:6">
      <c r="B3247" s="75"/>
      <c r="C3247" s="75"/>
      <c r="D3247" s="75"/>
      <c r="E3247" s="75"/>
      <c r="F3247" s="75"/>
    </row>
    <row r="3248" spans="2:6">
      <c r="B3248" s="75"/>
      <c r="C3248" s="75"/>
      <c r="D3248" s="75"/>
      <c r="E3248" s="75"/>
      <c r="F3248" s="75"/>
    </row>
    <row r="3249" spans="2:6">
      <c r="B3249" s="75"/>
      <c r="C3249" s="75"/>
      <c r="D3249" s="75"/>
      <c r="E3249" s="75"/>
      <c r="F3249" s="75"/>
    </row>
    <row r="3250" spans="2:6">
      <c r="B3250" s="75"/>
      <c r="C3250" s="75"/>
      <c r="D3250" s="75"/>
      <c r="E3250" s="75"/>
      <c r="F3250" s="75"/>
    </row>
    <row r="3251" spans="2:6">
      <c r="B3251" s="75"/>
      <c r="C3251" s="75"/>
      <c r="D3251" s="75"/>
      <c r="E3251" s="75"/>
      <c r="F3251" s="75"/>
    </row>
    <row r="3252" spans="2:6">
      <c r="B3252" s="75"/>
      <c r="C3252" s="75"/>
      <c r="D3252" s="75"/>
      <c r="E3252" s="75"/>
      <c r="F3252" s="75"/>
    </row>
    <row r="3253" spans="2:6">
      <c r="B3253" s="75"/>
      <c r="C3253" s="75"/>
      <c r="D3253" s="75"/>
      <c r="E3253" s="75"/>
      <c r="F3253" s="75"/>
    </row>
    <row r="3254" spans="2:6">
      <c r="B3254" s="75"/>
      <c r="C3254" s="75"/>
      <c r="D3254" s="75"/>
      <c r="E3254" s="75"/>
      <c r="F3254" s="75"/>
    </row>
    <row r="3255" spans="2:6">
      <c r="B3255" s="75"/>
      <c r="C3255" s="75"/>
      <c r="D3255" s="75"/>
      <c r="E3255" s="75"/>
      <c r="F3255" s="75"/>
    </row>
    <row r="3256" spans="2:6">
      <c r="B3256" s="75"/>
      <c r="C3256" s="75"/>
      <c r="D3256" s="75"/>
      <c r="E3256" s="75"/>
      <c r="F3256" s="75"/>
    </row>
    <row r="3257" spans="2:6">
      <c r="B3257" s="75"/>
      <c r="C3257" s="75"/>
      <c r="D3257" s="75"/>
      <c r="E3257" s="75"/>
      <c r="F3257" s="75"/>
    </row>
    <row r="3258" spans="2:6">
      <c r="B3258" s="75"/>
      <c r="C3258" s="75"/>
      <c r="D3258" s="75"/>
      <c r="E3258" s="75"/>
      <c r="F3258" s="75"/>
    </row>
    <row r="3259" spans="2:6">
      <c r="B3259" s="75"/>
      <c r="C3259" s="75"/>
      <c r="D3259" s="75"/>
      <c r="E3259" s="75"/>
      <c r="F3259" s="75"/>
    </row>
    <row r="3260" spans="2:6">
      <c r="B3260" s="75"/>
      <c r="C3260" s="75"/>
      <c r="D3260" s="75"/>
      <c r="E3260" s="75"/>
      <c r="F3260" s="75"/>
    </row>
    <row r="3261" spans="2:6">
      <c r="B3261" s="75"/>
      <c r="C3261" s="75"/>
      <c r="D3261" s="75"/>
      <c r="E3261" s="75"/>
      <c r="F3261" s="75"/>
    </row>
    <row r="3262" spans="2:6">
      <c r="B3262" s="75"/>
      <c r="C3262" s="75"/>
      <c r="D3262" s="75"/>
      <c r="E3262" s="75"/>
      <c r="F3262" s="75"/>
    </row>
    <row r="3263" spans="2:6">
      <c r="B3263" s="75"/>
      <c r="C3263" s="75"/>
      <c r="D3263" s="75"/>
      <c r="E3263" s="75"/>
      <c r="F3263" s="75"/>
    </row>
    <row r="3264" spans="2:6">
      <c r="B3264" s="75"/>
      <c r="C3264" s="75"/>
      <c r="D3264" s="75"/>
      <c r="E3264" s="75"/>
      <c r="F3264" s="75"/>
    </row>
    <row r="3265" spans="2:6">
      <c r="B3265" s="75"/>
      <c r="C3265" s="75"/>
      <c r="D3265" s="75"/>
      <c r="E3265" s="75"/>
      <c r="F3265" s="75"/>
    </row>
    <row r="3266" spans="2:6">
      <c r="B3266" s="75"/>
      <c r="C3266" s="75"/>
      <c r="D3266" s="75"/>
      <c r="E3266" s="75"/>
      <c r="F3266" s="75"/>
    </row>
    <row r="3267" spans="2:6">
      <c r="B3267" s="75"/>
      <c r="C3267" s="75"/>
      <c r="D3267" s="75"/>
      <c r="E3267" s="75"/>
      <c r="F3267" s="75"/>
    </row>
    <row r="3268" spans="2:6">
      <c r="B3268" s="75"/>
      <c r="C3268" s="75"/>
      <c r="D3268" s="75"/>
      <c r="E3268" s="75"/>
      <c r="F3268" s="75"/>
    </row>
    <row r="3269" spans="2:6">
      <c r="B3269" s="75"/>
      <c r="C3269" s="75"/>
      <c r="D3269" s="75"/>
      <c r="E3269" s="75"/>
      <c r="F3269" s="75"/>
    </row>
    <row r="3270" spans="2:6">
      <c r="B3270" s="75"/>
      <c r="C3270" s="75"/>
      <c r="D3270" s="75"/>
      <c r="E3270" s="75"/>
      <c r="F3270" s="75"/>
    </row>
    <row r="3271" spans="2:6">
      <c r="B3271" s="75"/>
      <c r="C3271" s="75"/>
      <c r="D3271" s="75"/>
      <c r="E3271" s="75"/>
      <c r="F3271" s="75"/>
    </row>
    <row r="3272" spans="2:6">
      <c r="B3272" s="75"/>
      <c r="C3272" s="75"/>
      <c r="D3272" s="75"/>
      <c r="E3272" s="75"/>
      <c r="F3272" s="75"/>
    </row>
    <row r="3273" spans="2:6">
      <c r="B3273" s="75"/>
      <c r="C3273" s="75"/>
      <c r="D3273" s="75"/>
      <c r="E3273" s="75"/>
      <c r="F3273" s="75"/>
    </row>
    <row r="3274" spans="2:6">
      <c r="B3274" s="75"/>
      <c r="C3274" s="75"/>
      <c r="D3274" s="75"/>
      <c r="E3274" s="75"/>
      <c r="F3274" s="75"/>
    </row>
    <row r="3275" spans="2:6">
      <c r="B3275" s="75"/>
      <c r="C3275" s="75"/>
      <c r="D3275" s="75"/>
      <c r="E3275" s="75"/>
      <c r="F3275" s="75"/>
    </row>
    <row r="3276" spans="2:6">
      <c r="B3276" s="75"/>
      <c r="C3276" s="75"/>
      <c r="D3276" s="75"/>
      <c r="E3276" s="75"/>
      <c r="F3276" s="75"/>
    </row>
    <row r="3277" spans="2:6">
      <c r="B3277" s="75"/>
      <c r="C3277" s="75"/>
      <c r="D3277" s="75"/>
      <c r="E3277" s="75"/>
      <c r="F3277" s="75"/>
    </row>
    <row r="3278" spans="2:6">
      <c r="B3278" s="75"/>
      <c r="C3278" s="75"/>
      <c r="D3278" s="75"/>
      <c r="E3278" s="75"/>
      <c r="F3278" s="75"/>
    </row>
    <row r="3279" spans="2:6">
      <c r="B3279" s="75"/>
      <c r="C3279" s="75"/>
      <c r="D3279" s="75"/>
      <c r="E3279" s="75"/>
      <c r="F3279" s="75"/>
    </row>
    <row r="3280" spans="2:6">
      <c r="B3280" s="75"/>
      <c r="C3280" s="75"/>
      <c r="D3280" s="75"/>
      <c r="E3280" s="75"/>
      <c r="F3280" s="75"/>
    </row>
    <row r="3281" spans="2:6">
      <c r="B3281" s="75"/>
      <c r="C3281" s="75"/>
      <c r="D3281" s="75"/>
      <c r="E3281" s="75"/>
      <c r="F3281" s="75"/>
    </row>
    <row r="3282" spans="2:6">
      <c r="B3282" s="75"/>
      <c r="C3282" s="75"/>
      <c r="D3282" s="75"/>
      <c r="E3282" s="75"/>
      <c r="F3282" s="75"/>
    </row>
    <row r="3283" spans="2:6">
      <c r="B3283" s="75"/>
      <c r="C3283" s="75"/>
      <c r="D3283" s="75"/>
      <c r="E3283" s="75"/>
      <c r="F3283" s="75"/>
    </row>
    <row r="3284" spans="2:6">
      <c r="B3284" s="75"/>
      <c r="C3284" s="75"/>
      <c r="D3284" s="75"/>
      <c r="E3284" s="75"/>
      <c r="F3284" s="75"/>
    </row>
    <row r="3285" spans="2:6">
      <c r="B3285" s="75"/>
      <c r="C3285" s="75"/>
      <c r="D3285" s="75"/>
      <c r="E3285" s="75"/>
      <c r="F3285" s="75"/>
    </row>
    <row r="3286" spans="2:6">
      <c r="B3286" s="75"/>
      <c r="C3286" s="75"/>
      <c r="D3286" s="75"/>
      <c r="E3286" s="75"/>
      <c r="F3286" s="75"/>
    </row>
    <row r="3287" spans="2:6">
      <c r="B3287" s="75"/>
      <c r="C3287" s="75"/>
      <c r="D3287" s="75"/>
      <c r="E3287" s="75"/>
      <c r="F3287" s="75"/>
    </row>
    <row r="3288" spans="2:6">
      <c r="B3288" s="75"/>
      <c r="C3288" s="75"/>
      <c r="D3288" s="75"/>
      <c r="E3288" s="75"/>
      <c r="F3288" s="75"/>
    </row>
    <row r="3289" spans="2:6">
      <c r="B3289" s="75"/>
      <c r="C3289" s="75"/>
      <c r="D3289" s="75"/>
      <c r="E3289" s="75"/>
      <c r="F3289" s="75"/>
    </row>
    <row r="3290" spans="2:6">
      <c r="B3290" s="75"/>
      <c r="C3290" s="75"/>
      <c r="D3290" s="75"/>
      <c r="E3290" s="75"/>
      <c r="F3290" s="75"/>
    </row>
    <row r="3291" spans="2:6">
      <c r="B3291" s="75"/>
      <c r="C3291" s="75"/>
      <c r="D3291" s="75"/>
      <c r="E3291" s="75"/>
      <c r="F3291" s="75"/>
    </row>
    <row r="3292" spans="2:6">
      <c r="B3292" s="75"/>
      <c r="C3292" s="75"/>
      <c r="D3292" s="75"/>
      <c r="E3292" s="75"/>
      <c r="F3292" s="75"/>
    </row>
    <row r="3293" spans="2:6">
      <c r="B3293" s="75"/>
      <c r="C3293" s="75"/>
      <c r="D3293" s="75"/>
      <c r="E3293" s="75"/>
      <c r="F3293" s="75"/>
    </row>
    <row r="3294" spans="2:6">
      <c r="B3294" s="75"/>
      <c r="C3294" s="75"/>
      <c r="D3294" s="75"/>
      <c r="E3294" s="75"/>
      <c r="F3294" s="75"/>
    </row>
    <row r="3295" spans="2:6">
      <c r="B3295" s="75"/>
      <c r="C3295" s="75"/>
      <c r="D3295" s="75"/>
      <c r="E3295" s="75"/>
      <c r="F3295" s="75"/>
    </row>
    <row r="3296" spans="2:6">
      <c r="B3296" s="75"/>
      <c r="C3296" s="75"/>
      <c r="D3296" s="75"/>
      <c r="E3296" s="75"/>
      <c r="F3296" s="75"/>
    </row>
    <row r="3297" spans="2:6">
      <c r="B3297" s="75"/>
      <c r="C3297" s="75"/>
      <c r="D3297" s="75"/>
      <c r="E3297" s="75"/>
      <c r="F3297" s="75"/>
    </row>
    <row r="3298" spans="2:6">
      <c r="B3298" s="75"/>
      <c r="C3298" s="75"/>
      <c r="D3298" s="75"/>
      <c r="E3298" s="75"/>
      <c r="F3298" s="75"/>
    </row>
    <row r="3299" spans="2:6">
      <c r="B3299" s="75"/>
      <c r="C3299" s="75"/>
      <c r="D3299" s="75"/>
      <c r="E3299" s="75"/>
      <c r="F3299" s="75"/>
    </row>
    <row r="3300" spans="2:6">
      <c r="B3300" s="75"/>
      <c r="C3300" s="75"/>
      <c r="D3300" s="75"/>
      <c r="E3300" s="75"/>
      <c r="F3300" s="75"/>
    </row>
    <row r="3301" spans="2:6">
      <c r="B3301" s="75"/>
      <c r="C3301" s="75"/>
      <c r="D3301" s="75"/>
      <c r="E3301" s="75"/>
      <c r="F3301" s="75"/>
    </row>
    <row r="3302" spans="2:6">
      <c r="B3302" s="75"/>
      <c r="C3302" s="75"/>
      <c r="D3302" s="75"/>
      <c r="E3302" s="75"/>
      <c r="F3302" s="75"/>
    </row>
    <row r="3303" spans="2:6">
      <c r="B3303" s="75"/>
      <c r="C3303" s="75"/>
      <c r="D3303" s="75"/>
      <c r="E3303" s="75"/>
      <c r="F3303" s="75"/>
    </row>
    <row r="3304" spans="2:6">
      <c r="B3304" s="75"/>
      <c r="C3304" s="75"/>
      <c r="D3304" s="75"/>
      <c r="E3304" s="75"/>
      <c r="F3304" s="75"/>
    </row>
    <row r="3305" spans="2:6">
      <c r="B3305" s="75"/>
      <c r="C3305" s="75"/>
      <c r="D3305" s="75"/>
      <c r="E3305" s="75"/>
      <c r="F3305" s="75"/>
    </row>
    <row r="3306" spans="2:6">
      <c r="B3306" s="75"/>
      <c r="C3306" s="75"/>
      <c r="D3306" s="75"/>
      <c r="E3306" s="75"/>
      <c r="F3306" s="75"/>
    </row>
    <row r="3307" spans="2:6">
      <c r="B3307" s="75"/>
      <c r="C3307" s="75"/>
      <c r="D3307" s="75"/>
      <c r="E3307" s="75"/>
      <c r="F3307" s="75"/>
    </row>
    <row r="3308" spans="2:6">
      <c r="B3308" s="75"/>
      <c r="C3308" s="75"/>
      <c r="D3308" s="75"/>
      <c r="E3308" s="75"/>
      <c r="F3308" s="75"/>
    </row>
    <row r="3309" spans="2:6">
      <c r="B3309" s="75"/>
      <c r="C3309" s="75"/>
      <c r="D3309" s="75"/>
      <c r="E3309" s="75"/>
      <c r="F3309" s="75"/>
    </row>
    <row r="3310" spans="2:6">
      <c r="B3310" s="75"/>
      <c r="C3310" s="75"/>
      <c r="D3310" s="75"/>
      <c r="E3310" s="75"/>
      <c r="F3310" s="75"/>
    </row>
    <row r="3311" spans="2:6">
      <c r="B3311" s="75"/>
      <c r="C3311" s="75"/>
      <c r="D3311" s="75"/>
      <c r="E3311" s="75"/>
      <c r="F3311" s="75"/>
    </row>
    <row r="3312" spans="2:6">
      <c r="B3312" s="75"/>
      <c r="C3312" s="75"/>
      <c r="D3312" s="75"/>
      <c r="E3312" s="75"/>
      <c r="F3312" s="75"/>
    </row>
    <row r="3313" spans="2:6">
      <c r="B3313" s="75"/>
      <c r="C3313" s="75"/>
      <c r="D3313" s="75"/>
      <c r="E3313" s="75"/>
      <c r="F3313" s="75"/>
    </row>
    <row r="3314" spans="2:6">
      <c r="B3314" s="75"/>
      <c r="C3314" s="75"/>
      <c r="D3314" s="75"/>
      <c r="E3314" s="75"/>
      <c r="F3314" s="75"/>
    </row>
    <row r="3315" spans="2:6">
      <c r="B3315" s="75"/>
      <c r="C3315" s="75"/>
      <c r="D3315" s="75"/>
      <c r="E3315" s="75"/>
      <c r="F3315" s="75"/>
    </row>
    <row r="3316" spans="2:6">
      <c r="B3316" s="75"/>
      <c r="C3316" s="75"/>
      <c r="D3316" s="75"/>
      <c r="E3316" s="75"/>
      <c r="F3316" s="75"/>
    </row>
    <row r="3317" spans="2:6">
      <c r="B3317" s="75"/>
      <c r="C3317" s="75"/>
      <c r="D3317" s="75"/>
      <c r="E3317" s="75"/>
      <c r="F3317" s="75"/>
    </row>
    <row r="3318" spans="2:6">
      <c r="B3318" s="75"/>
      <c r="C3318" s="75"/>
      <c r="D3318" s="75"/>
      <c r="E3318" s="75"/>
      <c r="F3318" s="75"/>
    </row>
    <row r="3319" spans="2:6">
      <c r="B3319" s="75"/>
      <c r="C3319" s="75"/>
      <c r="D3319" s="75"/>
      <c r="E3319" s="75"/>
      <c r="F3319" s="75"/>
    </row>
    <row r="3320" spans="2:6">
      <c r="B3320" s="75"/>
      <c r="C3320" s="75"/>
      <c r="D3320" s="75"/>
      <c r="E3320" s="75"/>
      <c r="F3320" s="75"/>
    </row>
    <row r="3321" spans="2:6">
      <c r="B3321" s="75"/>
      <c r="C3321" s="75"/>
      <c r="D3321" s="75"/>
      <c r="E3321" s="75"/>
      <c r="F3321" s="75"/>
    </row>
    <row r="3322" spans="2:6">
      <c r="B3322" s="75"/>
      <c r="C3322" s="75"/>
      <c r="D3322" s="75"/>
      <c r="E3322" s="75"/>
      <c r="F3322" s="75"/>
    </row>
    <row r="3323" spans="2:6">
      <c r="B3323" s="75"/>
      <c r="C3323" s="75"/>
      <c r="D3323" s="75"/>
      <c r="E3323" s="75"/>
      <c r="F3323" s="75"/>
    </row>
    <row r="3324" spans="2:6">
      <c r="B3324" s="75"/>
      <c r="C3324" s="75"/>
      <c r="D3324" s="75"/>
      <c r="E3324" s="75"/>
      <c r="F3324" s="75"/>
    </row>
    <row r="3325" spans="2:6">
      <c r="B3325" s="75"/>
      <c r="C3325" s="75"/>
      <c r="D3325" s="75"/>
      <c r="E3325" s="75"/>
      <c r="F3325" s="75"/>
    </row>
    <row r="3326" spans="2:6">
      <c r="B3326" s="75"/>
      <c r="C3326" s="75"/>
      <c r="D3326" s="75"/>
      <c r="E3326" s="75"/>
      <c r="F3326" s="75"/>
    </row>
    <row r="3327" spans="2:6">
      <c r="B3327" s="75"/>
      <c r="C3327" s="75"/>
      <c r="D3327" s="75"/>
      <c r="E3327" s="75"/>
      <c r="F3327" s="75"/>
    </row>
    <row r="3328" spans="2:6">
      <c r="B3328" s="75"/>
      <c r="C3328" s="75"/>
      <c r="D3328" s="75"/>
      <c r="E3328" s="75"/>
      <c r="F3328" s="75"/>
    </row>
    <row r="3329" spans="2:6">
      <c r="B3329" s="75"/>
      <c r="C3329" s="75"/>
      <c r="D3329" s="75"/>
      <c r="E3329" s="75"/>
      <c r="F3329" s="75"/>
    </row>
    <row r="3330" spans="2:6">
      <c r="B3330" s="75"/>
      <c r="C3330" s="75"/>
      <c r="D3330" s="75"/>
      <c r="E3330" s="75"/>
      <c r="F3330" s="75"/>
    </row>
    <row r="3331" spans="2:6">
      <c r="B3331" s="75"/>
      <c r="C3331" s="75"/>
      <c r="D3331" s="75"/>
      <c r="E3331" s="75"/>
      <c r="F3331" s="75"/>
    </row>
    <row r="3332" spans="2:6">
      <c r="B3332" s="75"/>
      <c r="C3332" s="75"/>
      <c r="D3332" s="75"/>
      <c r="E3332" s="75"/>
      <c r="F3332" s="75"/>
    </row>
    <row r="3333" spans="2:6">
      <c r="B3333" s="75"/>
      <c r="C3333" s="75"/>
      <c r="D3333" s="75"/>
      <c r="E3333" s="75"/>
      <c r="F3333" s="75"/>
    </row>
    <row r="3334" spans="2:6">
      <c r="B3334" s="75"/>
      <c r="C3334" s="75"/>
      <c r="D3334" s="75"/>
      <c r="E3334" s="75"/>
      <c r="F3334" s="75"/>
    </row>
    <row r="3335" spans="2:6">
      <c r="B3335" s="75"/>
      <c r="C3335" s="75"/>
      <c r="D3335" s="75"/>
      <c r="E3335" s="75"/>
      <c r="F3335" s="75"/>
    </row>
    <row r="3336" spans="2:6">
      <c r="B3336" s="75"/>
      <c r="C3336" s="75"/>
      <c r="D3336" s="75"/>
      <c r="E3336" s="75"/>
      <c r="F3336" s="75"/>
    </row>
    <row r="3337" spans="2:6">
      <c r="B3337" s="75"/>
      <c r="C3337" s="75"/>
      <c r="D3337" s="75"/>
      <c r="E3337" s="75"/>
      <c r="F3337" s="75"/>
    </row>
    <row r="3338" spans="2:6">
      <c r="B3338" s="75"/>
      <c r="C3338" s="75"/>
      <c r="D3338" s="75"/>
      <c r="E3338" s="75"/>
      <c r="F3338" s="75"/>
    </row>
    <row r="3339" spans="2:6">
      <c r="B3339" s="75"/>
      <c r="C3339" s="75"/>
      <c r="D3339" s="75"/>
      <c r="E3339" s="75"/>
      <c r="F3339" s="75"/>
    </row>
    <row r="3340" spans="2:6">
      <c r="B3340" s="75"/>
      <c r="C3340" s="75"/>
      <c r="D3340" s="75"/>
      <c r="E3340" s="75"/>
      <c r="F3340" s="75"/>
    </row>
    <row r="3341" spans="2:6">
      <c r="B3341" s="75"/>
      <c r="C3341" s="75"/>
      <c r="D3341" s="75"/>
      <c r="E3341" s="75"/>
      <c r="F3341" s="75"/>
    </row>
    <row r="3342" spans="2:6">
      <c r="B3342" s="75"/>
      <c r="C3342" s="75"/>
      <c r="D3342" s="75"/>
      <c r="E3342" s="75"/>
      <c r="F3342" s="75"/>
    </row>
    <row r="3343" spans="2:6">
      <c r="B3343" s="75"/>
      <c r="C3343" s="75"/>
      <c r="D3343" s="75"/>
      <c r="E3343" s="75"/>
      <c r="F3343" s="75"/>
    </row>
    <row r="3344" spans="2:6">
      <c r="B3344" s="75"/>
      <c r="C3344" s="75"/>
      <c r="D3344" s="75"/>
      <c r="E3344" s="75"/>
      <c r="F3344" s="75"/>
    </row>
    <row r="3345" spans="2:6">
      <c r="B3345" s="75"/>
      <c r="C3345" s="75"/>
      <c r="D3345" s="75"/>
      <c r="E3345" s="75"/>
      <c r="F3345" s="75"/>
    </row>
    <row r="3346" spans="2:6">
      <c r="B3346" s="75"/>
      <c r="C3346" s="75"/>
      <c r="D3346" s="75"/>
      <c r="E3346" s="75"/>
      <c r="F3346" s="75"/>
    </row>
    <row r="3347" spans="2:6">
      <c r="B3347" s="75"/>
      <c r="C3347" s="75"/>
      <c r="D3347" s="75"/>
      <c r="E3347" s="75"/>
      <c r="F3347" s="75"/>
    </row>
    <row r="3348" spans="2:6">
      <c r="B3348" s="75"/>
      <c r="C3348" s="75"/>
      <c r="D3348" s="75"/>
      <c r="E3348" s="75"/>
      <c r="F3348" s="75"/>
    </row>
    <row r="3349" spans="2:6">
      <c r="B3349" s="75"/>
      <c r="C3349" s="75"/>
      <c r="D3349" s="75"/>
      <c r="E3349" s="75"/>
      <c r="F3349" s="75"/>
    </row>
    <row r="3350" spans="2:6">
      <c r="B3350" s="75"/>
      <c r="C3350" s="75"/>
      <c r="D3350" s="75"/>
      <c r="E3350" s="75"/>
      <c r="F3350" s="75"/>
    </row>
    <row r="3351" spans="2:6">
      <c r="B3351" s="75"/>
      <c r="C3351" s="75"/>
      <c r="D3351" s="75"/>
      <c r="E3351" s="75"/>
      <c r="F3351" s="75"/>
    </row>
    <row r="3352" spans="2:6">
      <c r="B3352" s="75"/>
      <c r="C3352" s="75"/>
      <c r="D3352" s="75"/>
      <c r="E3352" s="75"/>
      <c r="F3352" s="75"/>
    </row>
    <row r="3353" spans="2:6">
      <c r="B3353" s="75"/>
      <c r="C3353" s="75"/>
      <c r="D3353" s="75"/>
      <c r="E3353" s="75"/>
      <c r="F3353" s="75"/>
    </row>
    <row r="3354" spans="2:6">
      <c r="B3354" s="75"/>
      <c r="C3354" s="75"/>
      <c r="D3354" s="75"/>
      <c r="E3354" s="75"/>
      <c r="F3354" s="75"/>
    </row>
    <row r="3355" spans="2:6">
      <c r="B3355" s="75"/>
      <c r="C3355" s="75"/>
      <c r="D3355" s="75"/>
      <c r="E3355" s="75"/>
      <c r="F3355" s="75"/>
    </row>
    <row r="3356" spans="2:6">
      <c r="B3356" s="75"/>
      <c r="C3356" s="75"/>
      <c r="D3356" s="75"/>
      <c r="E3356" s="75"/>
      <c r="F3356" s="75"/>
    </row>
    <row r="3357" spans="2:6">
      <c r="B3357" s="75"/>
      <c r="C3357" s="75"/>
      <c r="D3357" s="75"/>
      <c r="E3357" s="75"/>
      <c r="F3357" s="75"/>
    </row>
    <row r="3358" spans="2:6">
      <c r="B3358" s="75"/>
      <c r="C3358" s="75"/>
      <c r="D3358" s="75"/>
      <c r="E3358" s="75"/>
      <c r="F3358" s="75"/>
    </row>
    <row r="3359" spans="2:6">
      <c r="B3359" s="75"/>
      <c r="C3359" s="75"/>
      <c r="D3359" s="75"/>
      <c r="E3359" s="75"/>
      <c r="F3359" s="75"/>
    </row>
    <row r="3360" spans="2:6">
      <c r="B3360" s="75"/>
      <c r="C3360" s="75"/>
      <c r="D3360" s="75"/>
      <c r="E3360" s="75"/>
      <c r="F3360" s="75"/>
    </row>
    <row r="3361" spans="2:6">
      <c r="B3361" s="75"/>
      <c r="C3361" s="75"/>
      <c r="D3361" s="75"/>
      <c r="E3361" s="75"/>
      <c r="F3361" s="75"/>
    </row>
    <row r="3362" spans="2:6">
      <c r="B3362" s="75"/>
      <c r="C3362" s="75"/>
      <c r="D3362" s="75"/>
      <c r="E3362" s="75"/>
      <c r="F3362" s="75"/>
    </row>
    <row r="3363" spans="2:6">
      <c r="B3363" s="75"/>
      <c r="C3363" s="75"/>
      <c r="D3363" s="75"/>
      <c r="E3363" s="75"/>
      <c r="F3363" s="75"/>
    </row>
    <row r="3364" spans="2:6">
      <c r="B3364" s="75"/>
      <c r="C3364" s="75"/>
      <c r="D3364" s="75"/>
      <c r="E3364" s="75"/>
      <c r="F3364" s="75"/>
    </row>
    <row r="3365" spans="2:6">
      <c r="B3365" s="75"/>
      <c r="C3365" s="75"/>
      <c r="D3365" s="75"/>
      <c r="E3365" s="75"/>
      <c r="F3365" s="75"/>
    </row>
    <row r="3366" spans="2:6">
      <c r="B3366" s="75"/>
      <c r="C3366" s="75"/>
      <c r="D3366" s="75"/>
      <c r="E3366" s="75"/>
      <c r="F3366" s="75"/>
    </row>
    <row r="3367" spans="2:6">
      <c r="B3367" s="75"/>
      <c r="C3367" s="75"/>
      <c r="D3367" s="75"/>
      <c r="E3367" s="75"/>
      <c r="F3367" s="75"/>
    </row>
    <row r="3368" spans="2:6">
      <c r="B3368" s="75"/>
      <c r="C3368" s="75"/>
      <c r="D3368" s="75"/>
      <c r="E3368" s="75"/>
      <c r="F3368" s="75"/>
    </row>
    <row r="3369" spans="2:6">
      <c r="B3369" s="75"/>
      <c r="C3369" s="75"/>
      <c r="D3369" s="75"/>
      <c r="E3369" s="75"/>
      <c r="F3369" s="75"/>
    </row>
    <row r="3370" spans="2:6">
      <c r="B3370" s="75"/>
      <c r="C3370" s="75"/>
      <c r="D3370" s="75"/>
      <c r="E3370" s="75"/>
      <c r="F3370" s="75"/>
    </row>
    <row r="3371" spans="2:6">
      <c r="B3371" s="75"/>
      <c r="C3371" s="75"/>
      <c r="D3371" s="75"/>
      <c r="E3371" s="75"/>
      <c r="F3371" s="75"/>
    </row>
    <row r="3372" spans="2:6">
      <c r="B3372" s="75"/>
      <c r="C3372" s="75"/>
      <c r="D3372" s="75"/>
      <c r="E3372" s="75"/>
      <c r="F3372" s="75"/>
    </row>
    <row r="3373" spans="2:6">
      <c r="B3373" s="75"/>
      <c r="C3373" s="75"/>
      <c r="D3373" s="75"/>
      <c r="E3373" s="75"/>
      <c r="F3373" s="75"/>
    </row>
    <row r="3374" spans="2:6">
      <c r="B3374" s="75"/>
      <c r="C3374" s="75"/>
      <c r="D3374" s="75"/>
      <c r="E3374" s="75"/>
      <c r="F3374" s="75"/>
    </row>
    <row r="3375" spans="2:6">
      <c r="B3375" s="75"/>
      <c r="C3375" s="75"/>
      <c r="D3375" s="75"/>
      <c r="E3375" s="75"/>
      <c r="F3375" s="75"/>
    </row>
    <row r="3376" spans="2:6">
      <c r="B3376" s="75"/>
      <c r="C3376" s="75"/>
      <c r="D3376" s="75"/>
      <c r="E3376" s="75"/>
      <c r="F3376" s="75"/>
    </row>
    <row r="3377" spans="2:6">
      <c r="B3377" s="75"/>
      <c r="C3377" s="75"/>
      <c r="D3377" s="75"/>
      <c r="E3377" s="75"/>
      <c r="F3377" s="75"/>
    </row>
    <row r="3378" spans="2:6">
      <c r="B3378" s="75"/>
      <c r="C3378" s="75"/>
      <c r="D3378" s="75"/>
      <c r="E3378" s="75"/>
      <c r="F3378" s="75"/>
    </row>
    <row r="3379" spans="2:6">
      <c r="B3379" s="75"/>
      <c r="C3379" s="75"/>
      <c r="D3379" s="75"/>
      <c r="E3379" s="75"/>
      <c r="F3379" s="75"/>
    </row>
    <row r="3380" spans="2:6">
      <c r="B3380" s="75"/>
      <c r="C3380" s="75"/>
      <c r="D3380" s="75"/>
      <c r="E3380" s="75"/>
      <c r="F3380" s="75"/>
    </row>
    <row r="3381" spans="2:6">
      <c r="B3381" s="75"/>
      <c r="C3381" s="75"/>
      <c r="D3381" s="75"/>
      <c r="E3381" s="75"/>
      <c r="F3381" s="75"/>
    </row>
    <row r="3382" spans="2:6">
      <c r="B3382" s="75"/>
      <c r="C3382" s="75"/>
      <c r="D3382" s="75"/>
      <c r="E3382" s="75"/>
      <c r="F3382" s="75"/>
    </row>
    <row r="3383" spans="2:6">
      <c r="B3383" s="75"/>
      <c r="C3383" s="75"/>
      <c r="D3383" s="75"/>
      <c r="E3383" s="75"/>
      <c r="F3383" s="75"/>
    </row>
    <row r="3384" spans="2:6">
      <c r="B3384" s="75"/>
      <c r="C3384" s="75"/>
      <c r="D3384" s="75"/>
      <c r="E3384" s="75"/>
      <c r="F3384" s="75"/>
    </row>
    <row r="3385" spans="2:6">
      <c r="B3385" s="75"/>
      <c r="C3385" s="75"/>
      <c r="D3385" s="75"/>
      <c r="E3385" s="75"/>
      <c r="F3385" s="75"/>
    </row>
    <row r="3386" spans="2:6">
      <c r="B3386" s="75"/>
      <c r="C3386" s="75"/>
      <c r="D3386" s="75"/>
      <c r="E3386" s="75"/>
      <c r="F3386" s="75"/>
    </row>
    <row r="3387" spans="2:6">
      <c r="B3387" s="75"/>
      <c r="C3387" s="75"/>
      <c r="D3387" s="75"/>
      <c r="E3387" s="75"/>
      <c r="F3387" s="75"/>
    </row>
    <row r="3388" spans="2:6">
      <c r="B3388" s="75"/>
      <c r="C3388" s="75"/>
      <c r="D3388" s="75"/>
      <c r="E3388" s="75"/>
      <c r="F3388" s="75"/>
    </row>
    <row r="3389" spans="2:6">
      <c r="B3389" s="75"/>
      <c r="C3389" s="75"/>
      <c r="D3389" s="75"/>
      <c r="E3389" s="75"/>
      <c r="F3389" s="75"/>
    </row>
    <row r="3390" spans="2:6">
      <c r="B3390" s="75"/>
      <c r="C3390" s="75"/>
      <c r="D3390" s="75"/>
      <c r="E3390" s="75"/>
      <c r="F3390" s="75"/>
    </row>
    <row r="3391" spans="2:6">
      <c r="B3391" s="75"/>
      <c r="C3391" s="75"/>
      <c r="D3391" s="75"/>
      <c r="E3391" s="75"/>
      <c r="F3391" s="75"/>
    </row>
    <row r="3392" spans="2:6">
      <c r="B3392" s="75"/>
      <c r="C3392" s="75"/>
      <c r="D3392" s="75"/>
      <c r="E3392" s="75"/>
      <c r="F3392" s="75"/>
    </row>
    <row r="3393" spans="2:6">
      <c r="B3393" s="75"/>
      <c r="C3393" s="75"/>
      <c r="D3393" s="75"/>
      <c r="E3393" s="75"/>
      <c r="F3393" s="75"/>
    </row>
    <row r="3394" spans="2:6">
      <c r="B3394" s="75"/>
      <c r="C3394" s="75"/>
      <c r="D3394" s="75"/>
      <c r="E3394" s="75"/>
      <c r="F3394" s="75"/>
    </row>
    <row r="3395" spans="2:6">
      <c r="B3395" s="75"/>
      <c r="C3395" s="75"/>
      <c r="D3395" s="75"/>
      <c r="E3395" s="75"/>
      <c r="F3395" s="75"/>
    </row>
    <row r="3396" spans="2:6">
      <c r="B3396" s="75"/>
      <c r="C3396" s="75"/>
      <c r="D3396" s="75"/>
      <c r="E3396" s="75"/>
      <c r="F3396" s="75"/>
    </row>
    <row r="3397" spans="2:6">
      <c r="B3397" s="75"/>
      <c r="C3397" s="75"/>
      <c r="D3397" s="75"/>
      <c r="E3397" s="75"/>
      <c r="F3397" s="75"/>
    </row>
    <row r="3398" spans="2:6">
      <c r="B3398" s="75"/>
      <c r="C3398" s="75"/>
      <c r="D3398" s="75"/>
      <c r="E3398" s="75"/>
      <c r="F3398" s="75"/>
    </row>
    <row r="3399" spans="2:6">
      <c r="B3399" s="75"/>
      <c r="C3399" s="75"/>
      <c r="D3399" s="75"/>
      <c r="E3399" s="75"/>
      <c r="F3399" s="75"/>
    </row>
    <row r="3400" spans="2:6">
      <c r="B3400" s="75"/>
      <c r="C3400" s="75"/>
      <c r="D3400" s="75"/>
      <c r="E3400" s="75"/>
      <c r="F3400" s="75"/>
    </row>
    <row r="3401" spans="2:6">
      <c r="B3401" s="75"/>
      <c r="C3401" s="75"/>
      <c r="D3401" s="75"/>
      <c r="E3401" s="75"/>
      <c r="F3401" s="75"/>
    </row>
    <row r="3402" spans="2:6">
      <c r="B3402" s="75"/>
      <c r="C3402" s="75"/>
      <c r="D3402" s="75"/>
      <c r="E3402" s="75"/>
      <c r="F3402" s="75"/>
    </row>
    <row r="3403" spans="2:6">
      <c r="B3403" s="75"/>
      <c r="C3403" s="75"/>
      <c r="D3403" s="75"/>
      <c r="E3403" s="75"/>
      <c r="F3403" s="75"/>
    </row>
    <row r="3404" spans="2:6">
      <c r="B3404" s="75"/>
      <c r="C3404" s="75"/>
      <c r="D3404" s="75"/>
      <c r="E3404" s="75"/>
      <c r="F3404" s="75"/>
    </row>
    <row r="3405" spans="2:6">
      <c r="B3405" s="75"/>
      <c r="C3405" s="75"/>
      <c r="D3405" s="75"/>
      <c r="E3405" s="75"/>
      <c r="F3405" s="75"/>
    </row>
    <row r="3406" spans="2:6">
      <c r="B3406" s="75"/>
      <c r="C3406" s="75"/>
      <c r="D3406" s="75"/>
      <c r="E3406" s="75"/>
      <c r="F3406" s="75"/>
    </row>
    <row r="3407" spans="2:6">
      <c r="B3407" s="75"/>
      <c r="C3407" s="75"/>
      <c r="D3407" s="75"/>
      <c r="E3407" s="75"/>
      <c r="F3407" s="75"/>
    </row>
    <row r="3408" spans="2:6">
      <c r="B3408" s="75"/>
      <c r="C3408" s="75"/>
      <c r="D3408" s="75"/>
      <c r="E3408" s="75"/>
      <c r="F3408" s="75"/>
    </row>
    <row r="3409" spans="2:6">
      <c r="B3409" s="75"/>
      <c r="C3409" s="75"/>
      <c r="D3409" s="75"/>
      <c r="E3409" s="75"/>
      <c r="F3409" s="75"/>
    </row>
    <row r="3410" spans="2:6">
      <c r="B3410" s="75"/>
      <c r="C3410" s="75"/>
      <c r="D3410" s="75"/>
      <c r="E3410" s="75"/>
      <c r="F3410" s="75"/>
    </row>
    <row r="3411" spans="2:6">
      <c r="B3411" s="75"/>
      <c r="C3411" s="75"/>
      <c r="D3411" s="75"/>
      <c r="E3411" s="75"/>
      <c r="F3411" s="75"/>
    </row>
    <row r="3412" spans="2:6">
      <c r="B3412" s="75"/>
      <c r="C3412" s="75"/>
      <c r="D3412" s="75"/>
      <c r="E3412" s="75"/>
      <c r="F3412" s="75"/>
    </row>
    <row r="3413" spans="2:6">
      <c r="B3413" s="75"/>
      <c r="C3413" s="75"/>
      <c r="D3413" s="75"/>
      <c r="E3413" s="75"/>
      <c r="F3413" s="75"/>
    </row>
    <row r="3414" spans="2:6">
      <c r="B3414" s="75"/>
      <c r="C3414" s="75"/>
      <c r="D3414" s="75"/>
      <c r="E3414" s="75"/>
      <c r="F3414" s="75"/>
    </row>
    <row r="3415" spans="2:6">
      <c r="B3415" s="75"/>
      <c r="C3415" s="75"/>
      <c r="D3415" s="75"/>
      <c r="E3415" s="75"/>
      <c r="F3415" s="75"/>
    </row>
    <row r="3416" spans="2:6">
      <c r="B3416" s="75"/>
      <c r="C3416" s="75"/>
      <c r="D3416" s="75"/>
      <c r="E3416" s="75"/>
      <c r="F3416" s="75"/>
    </row>
    <row r="3417" spans="2:6">
      <c r="B3417" s="75"/>
      <c r="C3417" s="75"/>
      <c r="D3417" s="75"/>
      <c r="E3417" s="75"/>
      <c r="F3417" s="75"/>
    </row>
    <row r="3418" spans="2:6">
      <c r="B3418" s="75"/>
      <c r="C3418" s="75"/>
      <c r="D3418" s="75"/>
      <c r="E3418" s="75"/>
      <c r="F3418" s="75"/>
    </row>
    <row r="3419" spans="2:6">
      <c r="B3419" s="75"/>
      <c r="C3419" s="75"/>
      <c r="D3419" s="75"/>
      <c r="E3419" s="75"/>
      <c r="F3419" s="75"/>
    </row>
    <row r="3420" spans="2:6">
      <c r="B3420" s="75"/>
      <c r="C3420" s="75"/>
      <c r="D3420" s="75"/>
      <c r="E3420" s="75"/>
      <c r="F3420" s="75"/>
    </row>
    <row r="3421" spans="2:6">
      <c r="B3421" s="75"/>
      <c r="C3421" s="75"/>
      <c r="D3421" s="75"/>
      <c r="E3421" s="75"/>
      <c r="F3421" s="75"/>
    </row>
    <row r="3422" spans="2:6">
      <c r="B3422" s="75"/>
      <c r="C3422" s="75"/>
      <c r="D3422" s="75"/>
      <c r="E3422" s="75"/>
      <c r="F3422" s="75"/>
    </row>
    <row r="3423" spans="2:6">
      <c r="B3423" s="75"/>
      <c r="C3423" s="75"/>
      <c r="D3423" s="75"/>
      <c r="E3423" s="75"/>
      <c r="F3423" s="75"/>
    </row>
    <row r="3424" spans="2:6">
      <c r="B3424" s="75"/>
      <c r="C3424" s="75"/>
      <c r="D3424" s="75"/>
      <c r="E3424" s="75"/>
      <c r="F3424" s="75"/>
    </row>
    <row r="3425" spans="2:6">
      <c r="B3425" s="75"/>
      <c r="C3425" s="75"/>
      <c r="D3425" s="75"/>
      <c r="E3425" s="75"/>
      <c r="F3425" s="75"/>
    </row>
    <row r="3426" spans="2:6">
      <c r="B3426" s="75"/>
      <c r="C3426" s="75"/>
      <c r="D3426" s="75"/>
      <c r="E3426" s="75"/>
      <c r="F3426" s="75"/>
    </row>
    <row r="3427" spans="2:6">
      <c r="B3427" s="75"/>
      <c r="C3427" s="75"/>
      <c r="D3427" s="75"/>
      <c r="E3427" s="75"/>
      <c r="F3427" s="75"/>
    </row>
    <row r="3428" spans="2:6">
      <c r="B3428" s="75"/>
      <c r="C3428" s="75"/>
      <c r="D3428" s="75"/>
      <c r="E3428" s="75"/>
      <c r="F3428" s="75"/>
    </row>
    <row r="3429" spans="2:6">
      <c r="B3429" s="75"/>
      <c r="C3429" s="75"/>
      <c r="D3429" s="75"/>
      <c r="E3429" s="75"/>
      <c r="F3429" s="75"/>
    </row>
    <row r="3430" spans="2:6">
      <c r="B3430" s="75"/>
      <c r="C3430" s="75"/>
      <c r="D3430" s="75"/>
      <c r="E3430" s="75"/>
      <c r="F3430" s="75"/>
    </row>
    <row r="3431" spans="2:6">
      <c r="B3431" s="75"/>
      <c r="C3431" s="75"/>
      <c r="D3431" s="75"/>
      <c r="E3431" s="75"/>
      <c r="F3431" s="75"/>
    </row>
    <row r="3432" spans="2:6">
      <c r="B3432" s="75"/>
      <c r="C3432" s="75"/>
      <c r="D3432" s="75"/>
      <c r="E3432" s="75"/>
      <c r="F3432" s="75"/>
    </row>
    <row r="3433" spans="2:6">
      <c r="B3433" s="75"/>
      <c r="C3433" s="75"/>
      <c r="D3433" s="75"/>
      <c r="E3433" s="75"/>
      <c r="F3433" s="75"/>
    </row>
    <row r="3434" spans="2:6">
      <c r="B3434" s="75"/>
      <c r="C3434" s="75"/>
      <c r="D3434" s="75"/>
      <c r="E3434" s="75"/>
      <c r="F3434" s="75"/>
    </row>
    <row r="3435" spans="2:6">
      <c r="B3435" s="75"/>
      <c r="C3435" s="75"/>
      <c r="D3435" s="75"/>
      <c r="E3435" s="75"/>
      <c r="F3435" s="75"/>
    </row>
    <row r="3436" spans="2:6">
      <c r="B3436" s="75"/>
      <c r="C3436" s="75"/>
      <c r="D3436" s="75"/>
      <c r="E3436" s="75"/>
      <c r="F3436" s="75"/>
    </row>
    <row r="3437" spans="2:6">
      <c r="B3437" s="75"/>
      <c r="C3437" s="75"/>
      <c r="D3437" s="75"/>
      <c r="E3437" s="75"/>
      <c r="F3437" s="75"/>
    </row>
    <row r="3438" spans="2:6">
      <c r="B3438" s="75"/>
      <c r="C3438" s="75"/>
      <c r="D3438" s="75"/>
      <c r="E3438" s="75"/>
      <c r="F3438" s="75"/>
    </row>
    <row r="3439" spans="2:6">
      <c r="B3439" s="75"/>
      <c r="C3439" s="75"/>
      <c r="D3439" s="75"/>
      <c r="E3439" s="75"/>
      <c r="F3439" s="75"/>
    </row>
    <row r="3440" spans="2:6">
      <c r="B3440" s="75"/>
      <c r="C3440" s="75"/>
      <c r="D3440" s="75"/>
      <c r="E3440" s="75"/>
      <c r="F3440" s="75"/>
    </row>
    <row r="3441" spans="2:6">
      <c r="B3441" s="75"/>
      <c r="C3441" s="75"/>
      <c r="D3441" s="75"/>
      <c r="E3441" s="75"/>
      <c r="F3441" s="75"/>
    </row>
    <row r="3442" spans="2:6">
      <c r="B3442" s="75"/>
      <c r="C3442" s="75"/>
      <c r="D3442" s="75"/>
      <c r="E3442" s="75"/>
      <c r="F3442" s="75"/>
    </row>
    <row r="3443" spans="2:6">
      <c r="B3443" s="75"/>
      <c r="C3443" s="75"/>
      <c r="D3443" s="75"/>
      <c r="E3443" s="75"/>
      <c r="F3443" s="75"/>
    </row>
    <row r="3444" spans="2:6">
      <c r="B3444" s="75"/>
      <c r="C3444" s="75"/>
      <c r="D3444" s="75"/>
      <c r="E3444" s="75"/>
      <c r="F3444" s="75"/>
    </row>
    <row r="3445" spans="2:6">
      <c r="B3445" s="75"/>
      <c r="C3445" s="75"/>
      <c r="D3445" s="75"/>
      <c r="E3445" s="75"/>
      <c r="F3445" s="75"/>
    </row>
    <row r="3446" spans="2:6">
      <c r="B3446" s="75"/>
      <c r="C3446" s="75"/>
      <c r="D3446" s="75"/>
      <c r="E3446" s="75"/>
      <c r="F3446" s="75"/>
    </row>
    <row r="3447" spans="2:6">
      <c r="B3447" s="75"/>
      <c r="C3447" s="75"/>
      <c r="D3447" s="75"/>
      <c r="E3447" s="75"/>
      <c r="F3447" s="75"/>
    </row>
    <row r="3448" spans="2:6">
      <c r="B3448" s="75"/>
      <c r="C3448" s="75"/>
      <c r="D3448" s="75"/>
      <c r="E3448" s="75"/>
      <c r="F3448" s="75"/>
    </row>
    <row r="3449" spans="2:6">
      <c r="B3449" s="75"/>
      <c r="C3449" s="75"/>
      <c r="D3449" s="75"/>
      <c r="E3449" s="75"/>
      <c r="F3449" s="75"/>
    </row>
    <row r="3450" spans="2:6">
      <c r="B3450" s="75"/>
      <c r="C3450" s="75"/>
      <c r="D3450" s="75"/>
      <c r="E3450" s="75"/>
      <c r="F3450" s="75"/>
    </row>
    <row r="3451" spans="2:6">
      <c r="B3451" s="75"/>
      <c r="C3451" s="75"/>
      <c r="D3451" s="75"/>
      <c r="E3451" s="75"/>
      <c r="F3451" s="75"/>
    </row>
    <row r="3452" spans="2:6">
      <c r="B3452" s="75"/>
      <c r="C3452" s="75"/>
      <c r="D3452" s="75"/>
      <c r="E3452" s="75"/>
      <c r="F3452" s="75"/>
    </row>
    <row r="3453" spans="2:6">
      <c r="B3453" s="75"/>
      <c r="C3453" s="75"/>
      <c r="D3453" s="75"/>
      <c r="E3453" s="75"/>
      <c r="F3453" s="75"/>
    </row>
    <row r="3454" spans="2:6">
      <c r="B3454" s="75"/>
      <c r="C3454" s="75"/>
      <c r="D3454" s="75"/>
      <c r="E3454" s="75"/>
      <c r="F3454" s="75"/>
    </row>
    <row r="3455" spans="2:6">
      <c r="B3455" s="75"/>
      <c r="C3455" s="75"/>
      <c r="D3455" s="75"/>
      <c r="E3455" s="75"/>
      <c r="F3455" s="75"/>
    </row>
    <row r="3456" spans="2:6">
      <c r="B3456" s="75"/>
      <c r="C3456" s="75"/>
      <c r="D3456" s="75"/>
      <c r="E3456" s="75"/>
      <c r="F3456" s="75"/>
    </row>
    <row r="3457" spans="2:6">
      <c r="B3457" s="75"/>
      <c r="C3457" s="75"/>
      <c r="D3457" s="75"/>
      <c r="E3457" s="75"/>
      <c r="F3457" s="75"/>
    </row>
    <row r="3458" spans="2:6">
      <c r="B3458" s="75"/>
      <c r="C3458" s="75"/>
      <c r="D3458" s="75"/>
      <c r="E3458" s="75"/>
      <c r="F3458" s="75"/>
    </row>
    <row r="3459" spans="2:6">
      <c r="B3459" s="75"/>
      <c r="C3459" s="75"/>
      <c r="D3459" s="75"/>
      <c r="E3459" s="75"/>
      <c r="F3459" s="75"/>
    </row>
    <row r="3460" spans="2:6">
      <c r="B3460" s="75"/>
      <c r="C3460" s="75"/>
      <c r="D3460" s="75"/>
      <c r="E3460" s="75"/>
      <c r="F3460" s="75"/>
    </row>
    <row r="3461" spans="2:6">
      <c r="B3461" s="75"/>
      <c r="C3461" s="75"/>
      <c r="D3461" s="75"/>
      <c r="E3461" s="75"/>
      <c r="F3461" s="75"/>
    </row>
    <row r="3462" spans="2:6">
      <c r="B3462" s="75"/>
      <c r="C3462" s="75"/>
      <c r="D3462" s="75"/>
      <c r="E3462" s="75"/>
      <c r="F3462" s="75"/>
    </row>
    <row r="3463" spans="2:6">
      <c r="B3463" s="75"/>
      <c r="C3463" s="75"/>
      <c r="D3463" s="75"/>
      <c r="E3463" s="75"/>
      <c r="F3463" s="75"/>
    </row>
    <row r="3464" spans="2:6">
      <c r="B3464" s="75"/>
      <c r="C3464" s="75"/>
      <c r="D3464" s="75"/>
      <c r="E3464" s="75"/>
      <c r="F3464" s="75"/>
    </row>
    <row r="3465" spans="2:6">
      <c r="B3465" s="75"/>
      <c r="C3465" s="75"/>
      <c r="D3465" s="75"/>
      <c r="E3465" s="75"/>
      <c r="F3465" s="75"/>
    </row>
    <row r="3466" spans="2:6">
      <c r="B3466" s="75"/>
      <c r="C3466" s="75"/>
      <c r="D3466" s="75"/>
      <c r="E3466" s="75"/>
      <c r="F3466" s="75"/>
    </row>
    <row r="3467" spans="2:6">
      <c r="B3467" s="75"/>
      <c r="C3467" s="75"/>
      <c r="D3467" s="75"/>
      <c r="E3467" s="75"/>
      <c r="F3467" s="75"/>
    </row>
    <row r="3468" spans="2:6">
      <c r="B3468" s="75"/>
      <c r="C3468" s="75"/>
      <c r="D3468" s="75"/>
      <c r="E3468" s="75"/>
      <c r="F3468" s="75"/>
    </row>
    <row r="3469" spans="2:6">
      <c r="B3469" s="75"/>
      <c r="C3469" s="75"/>
      <c r="D3469" s="75"/>
      <c r="E3469" s="75"/>
      <c r="F3469" s="75"/>
    </row>
    <row r="3470" spans="2:6">
      <c r="B3470" s="75"/>
      <c r="C3470" s="75"/>
      <c r="D3470" s="75"/>
      <c r="E3470" s="75"/>
      <c r="F3470" s="75"/>
    </row>
    <row r="3471" spans="2:6">
      <c r="B3471" s="75"/>
      <c r="C3471" s="75"/>
      <c r="D3471" s="75"/>
      <c r="E3471" s="75"/>
      <c r="F3471" s="75"/>
    </row>
    <row r="3472" spans="2:6">
      <c r="B3472" s="75"/>
      <c r="C3472" s="75"/>
      <c r="D3472" s="75"/>
      <c r="E3472" s="75"/>
      <c r="F3472" s="75"/>
    </row>
    <row r="3473" spans="2:6">
      <c r="B3473" s="75"/>
      <c r="C3473" s="75"/>
      <c r="D3473" s="75"/>
      <c r="E3473" s="75"/>
      <c r="F3473" s="75"/>
    </row>
    <row r="3474" spans="2:6">
      <c r="B3474" s="75"/>
      <c r="C3474" s="75"/>
      <c r="D3474" s="75"/>
      <c r="E3474" s="75"/>
      <c r="F3474" s="75"/>
    </row>
    <row r="3475" spans="2:6">
      <c r="B3475" s="75"/>
      <c r="C3475" s="75"/>
      <c r="D3475" s="75"/>
      <c r="E3475" s="75"/>
      <c r="F3475" s="75"/>
    </row>
    <row r="3476" spans="2:6">
      <c r="B3476" s="75"/>
      <c r="C3476" s="75"/>
      <c r="D3476" s="75"/>
      <c r="E3476" s="75"/>
      <c r="F3476" s="75"/>
    </row>
    <row r="3477" spans="2:6">
      <c r="B3477" s="75"/>
      <c r="C3477" s="75"/>
      <c r="D3477" s="75"/>
      <c r="E3477" s="75"/>
      <c r="F3477" s="75"/>
    </row>
    <row r="3478" spans="2:6">
      <c r="B3478" s="75"/>
      <c r="C3478" s="75"/>
      <c r="D3478" s="75"/>
      <c r="E3478" s="75"/>
      <c r="F3478" s="75"/>
    </row>
    <row r="3479" spans="2:6">
      <c r="B3479" s="75"/>
      <c r="C3479" s="75"/>
      <c r="D3479" s="75"/>
      <c r="E3479" s="75"/>
      <c r="F3479" s="75"/>
    </row>
    <row r="3480" spans="2:6">
      <c r="B3480" s="75"/>
      <c r="C3480" s="75"/>
      <c r="D3480" s="75"/>
      <c r="E3480" s="75"/>
      <c r="F3480" s="75"/>
    </row>
    <row r="3481" spans="2:6">
      <c r="B3481" s="75"/>
      <c r="C3481" s="75"/>
      <c r="D3481" s="75"/>
      <c r="E3481" s="75"/>
      <c r="F3481" s="75"/>
    </row>
    <row r="3482" spans="2:6">
      <c r="B3482" s="75"/>
      <c r="C3482" s="75"/>
      <c r="D3482" s="75"/>
      <c r="E3482" s="75"/>
      <c r="F3482" s="75"/>
    </row>
    <row r="3483" spans="2:6">
      <c r="B3483" s="75"/>
      <c r="C3483" s="75"/>
      <c r="D3483" s="75"/>
      <c r="E3483" s="75"/>
      <c r="F3483" s="75"/>
    </row>
    <row r="3484" spans="2:6">
      <c r="B3484" s="75"/>
      <c r="C3484" s="75"/>
      <c r="D3484" s="75"/>
      <c r="E3484" s="75"/>
      <c r="F3484" s="75"/>
    </row>
    <row r="3485" spans="2:6">
      <c r="B3485" s="75"/>
      <c r="C3485" s="75"/>
      <c r="D3485" s="75"/>
      <c r="E3485" s="75"/>
      <c r="F3485" s="75"/>
    </row>
    <row r="3486" spans="2:6">
      <c r="B3486" s="75"/>
      <c r="C3486" s="75"/>
      <c r="D3486" s="75"/>
      <c r="E3486" s="75"/>
      <c r="F3486" s="75"/>
    </row>
    <row r="3487" spans="2:6">
      <c r="B3487" s="75"/>
      <c r="C3487" s="75"/>
      <c r="D3487" s="75"/>
      <c r="E3487" s="75"/>
      <c r="F3487" s="75"/>
    </row>
    <row r="3488" spans="2:6">
      <c r="B3488" s="75"/>
      <c r="C3488" s="75"/>
      <c r="D3488" s="75"/>
      <c r="E3488" s="75"/>
      <c r="F3488" s="75"/>
    </row>
    <row r="3489" spans="2:6">
      <c r="B3489" s="75"/>
      <c r="C3489" s="75"/>
      <c r="D3489" s="75"/>
      <c r="E3489" s="75"/>
      <c r="F3489" s="75"/>
    </row>
    <row r="3490" spans="2:6">
      <c r="B3490" s="75"/>
      <c r="C3490" s="75"/>
      <c r="D3490" s="75"/>
      <c r="E3490" s="75"/>
      <c r="F3490" s="75"/>
    </row>
    <row r="3491" spans="2:6">
      <c r="B3491" s="75"/>
      <c r="C3491" s="75"/>
      <c r="D3491" s="75"/>
      <c r="E3491" s="75"/>
      <c r="F3491" s="75"/>
    </row>
    <row r="3492" spans="2:6">
      <c r="B3492" s="75"/>
      <c r="C3492" s="75"/>
      <c r="D3492" s="75"/>
      <c r="E3492" s="75"/>
      <c r="F3492" s="75"/>
    </row>
    <row r="3493" spans="2:6">
      <c r="B3493" s="75"/>
      <c r="C3493" s="75"/>
      <c r="D3493" s="75"/>
      <c r="E3493" s="75"/>
      <c r="F3493" s="75"/>
    </row>
    <row r="3494" spans="2:6">
      <c r="B3494" s="75"/>
      <c r="C3494" s="75"/>
      <c r="D3494" s="75"/>
      <c r="E3494" s="75"/>
      <c r="F3494" s="75"/>
    </row>
    <row r="3495" spans="2:6">
      <c r="B3495" s="75"/>
      <c r="C3495" s="75"/>
      <c r="D3495" s="75"/>
      <c r="E3495" s="75"/>
      <c r="F3495" s="75"/>
    </row>
    <row r="3496" spans="2:6">
      <c r="B3496" s="75"/>
      <c r="C3496" s="75"/>
      <c r="D3496" s="75"/>
      <c r="E3496" s="75"/>
      <c r="F3496" s="75"/>
    </row>
    <row r="3497" spans="2:6">
      <c r="B3497" s="75"/>
      <c r="C3497" s="75"/>
      <c r="D3497" s="75"/>
      <c r="E3497" s="75"/>
      <c r="F3497" s="75"/>
    </row>
    <row r="3498" spans="2:6">
      <c r="B3498" s="75"/>
      <c r="C3498" s="75"/>
      <c r="D3498" s="75"/>
      <c r="E3498" s="75"/>
      <c r="F3498" s="75"/>
    </row>
    <row r="3499" spans="2:6">
      <c r="B3499" s="75"/>
      <c r="C3499" s="75"/>
      <c r="D3499" s="75"/>
      <c r="E3499" s="75"/>
      <c r="F3499" s="75"/>
    </row>
    <row r="3500" spans="2:6">
      <c r="B3500" s="75"/>
      <c r="C3500" s="75"/>
      <c r="D3500" s="75"/>
      <c r="E3500" s="75"/>
      <c r="F3500" s="75"/>
    </row>
    <row r="3501" spans="2:6">
      <c r="B3501" s="75"/>
      <c r="C3501" s="75"/>
      <c r="D3501" s="75"/>
      <c r="E3501" s="75"/>
      <c r="F3501" s="75"/>
    </row>
    <row r="3502" spans="2:6">
      <c r="B3502" s="75"/>
      <c r="C3502" s="75"/>
      <c r="D3502" s="75"/>
      <c r="E3502" s="75"/>
      <c r="F3502" s="75"/>
    </row>
    <row r="3503" spans="2:6">
      <c r="B3503" s="75"/>
      <c r="C3503" s="75"/>
      <c r="D3503" s="75"/>
      <c r="E3503" s="75"/>
      <c r="F3503" s="75"/>
    </row>
    <row r="3504" spans="2:6">
      <c r="B3504" s="75"/>
      <c r="C3504" s="75"/>
      <c r="D3504" s="75"/>
      <c r="E3504" s="75"/>
      <c r="F3504" s="75"/>
    </row>
    <row r="3505" spans="2:6">
      <c r="B3505" s="75"/>
      <c r="C3505" s="75"/>
      <c r="D3505" s="75"/>
      <c r="E3505" s="75"/>
      <c r="F3505" s="75"/>
    </row>
    <row r="3506" spans="2:6">
      <c r="B3506" s="75"/>
      <c r="C3506" s="75"/>
      <c r="D3506" s="75"/>
      <c r="E3506" s="75"/>
      <c r="F3506" s="75"/>
    </row>
    <row r="3507" spans="2:6">
      <c r="B3507" s="75"/>
      <c r="C3507" s="75"/>
      <c r="D3507" s="75"/>
      <c r="E3507" s="75"/>
      <c r="F3507" s="75"/>
    </row>
    <row r="3508" spans="2:6">
      <c r="B3508" s="75"/>
      <c r="C3508" s="75"/>
      <c r="D3508" s="75"/>
      <c r="E3508" s="75"/>
      <c r="F3508" s="75"/>
    </row>
    <row r="3509" spans="2:6">
      <c r="B3509" s="75"/>
      <c r="C3509" s="75"/>
      <c r="D3509" s="75"/>
      <c r="E3509" s="75"/>
      <c r="F3509" s="75"/>
    </row>
    <row r="3510" spans="2:6">
      <c r="B3510" s="75"/>
      <c r="C3510" s="75"/>
      <c r="D3510" s="75"/>
      <c r="E3510" s="75"/>
      <c r="F3510" s="75"/>
    </row>
    <row r="3511" spans="2:6">
      <c r="B3511" s="75"/>
      <c r="C3511" s="75"/>
      <c r="D3511" s="75"/>
      <c r="E3511" s="75"/>
      <c r="F3511" s="75"/>
    </row>
    <row r="3512" spans="2:6">
      <c r="B3512" s="75"/>
      <c r="C3512" s="75"/>
      <c r="D3512" s="75"/>
      <c r="E3512" s="75"/>
      <c r="F3512" s="75"/>
    </row>
    <row r="3513" spans="2:6">
      <c r="B3513" s="75"/>
      <c r="C3513" s="75"/>
      <c r="D3513" s="75"/>
      <c r="E3513" s="75"/>
      <c r="F3513" s="75"/>
    </row>
    <row r="3514" spans="2:6">
      <c r="B3514" s="75"/>
      <c r="C3514" s="75"/>
      <c r="D3514" s="75"/>
      <c r="E3514" s="75"/>
      <c r="F3514" s="75"/>
    </row>
    <row r="3515" spans="2:6">
      <c r="B3515" s="75"/>
      <c r="C3515" s="75"/>
      <c r="D3515" s="75"/>
      <c r="E3515" s="75"/>
      <c r="F3515" s="75"/>
    </row>
    <row r="3516" spans="2:6">
      <c r="B3516" s="75"/>
      <c r="C3516" s="75"/>
      <c r="D3516" s="75"/>
      <c r="E3516" s="75"/>
      <c r="F3516" s="75"/>
    </row>
    <row r="3517" spans="2:6">
      <c r="B3517" s="75"/>
      <c r="C3517" s="75"/>
      <c r="D3517" s="75"/>
      <c r="E3517" s="75"/>
      <c r="F3517" s="75"/>
    </row>
    <row r="3518" spans="2:6">
      <c r="B3518" s="75"/>
      <c r="C3518" s="75"/>
      <c r="D3518" s="75"/>
      <c r="E3518" s="75"/>
      <c r="F3518" s="75"/>
    </row>
    <row r="3519" spans="2:6">
      <c r="B3519" s="75"/>
      <c r="C3519" s="75"/>
      <c r="D3519" s="75"/>
      <c r="E3519" s="75"/>
      <c r="F3519" s="75"/>
    </row>
    <row r="3520" spans="2:6">
      <c r="B3520" s="75"/>
      <c r="C3520" s="75"/>
      <c r="D3520" s="75"/>
      <c r="E3520" s="75"/>
      <c r="F3520" s="75"/>
    </row>
    <row r="3521" spans="2:6">
      <c r="B3521" s="75"/>
      <c r="C3521" s="75"/>
      <c r="D3521" s="75"/>
      <c r="E3521" s="75"/>
      <c r="F3521" s="75"/>
    </row>
    <row r="3522" spans="2:6">
      <c r="B3522" s="75"/>
      <c r="C3522" s="75"/>
      <c r="D3522" s="75"/>
      <c r="E3522" s="75"/>
      <c r="F3522" s="75"/>
    </row>
    <row r="3523" spans="2:6">
      <c r="B3523" s="75"/>
      <c r="C3523" s="75"/>
      <c r="D3523" s="75"/>
      <c r="E3523" s="75"/>
      <c r="F3523" s="75"/>
    </row>
    <row r="3524" spans="2:6">
      <c r="B3524" s="75"/>
      <c r="C3524" s="75"/>
      <c r="D3524" s="75"/>
      <c r="E3524" s="75"/>
      <c r="F3524" s="75"/>
    </row>
    <row r="3525" spans="2:6">
      <c r="B3525" s="75"/>
      <c r="C3525" s="75"/>
      <c r="D3525" s="75"/>
      <c r="E3525" s="75"/>
      <c r="F3525" s="75"/>
    </row>
    <row r="3526" spans="2:6">
      <c r="B3526" s="75"/>
      <c r="C3526" s="75"/>
      <c r="D3526" s="75"/>
      <c r="E3526" s="75"/>
      <c r="F3526" s="75"/>
    </row>
    <row r="3527" spans="2:6">
      <c r="B3527" s="75"/>
      <c r="C3527" s="75"/>
      <c r="D3527" s="75"/>
      <c r="E3527" s="75"/>
      <c r="F3527" s="75"/>
    </row>
    <row r="3528" spans="2:6">
      <c r="B3528" s="75"/>
      <c r="C3528" s="75"/>
      <c r="D3528" s="75"/>
      <c r="E3528" s="75"/>
      <c r="F3528" s="75"/>
    </row>
    <row r="3529" spans="2:6">
      <c r="B3529" s="75"/>
      <c r="C3529" s="75"/>
      <c r="D3529" s="75"/>
      <c r="E3529" s="75"/>
      <c r="F3529" s="75"/>
    </row>
    <row r="3530" spans="2:6">
      <c r="B3530" s="75"/>
      <c r="C3530" s="75"/>
      <c r="D3530" s="75"/>
      <c r="E3530" s="75"/>
      <c r="F3530" s="75"/>
    </row>
    <row r="3531" spans="2:6">
      <c r="B3531" s="75"/>
      <c r="C3531" s="75"/>
      <c r="D3531" s="75"/>
      <c r="E3531" s="75"/>
      <c r="F3531" s="75"/>
    </row>
    <row r="3532" spans="2:6">
      <c r="B3532" s="75"/>
      <c r="C3532" s="75"/>
      <c r="D3532" s="75"/>
      <c r="E3532" s="75"/>
      <c r="F3532" s="75"/>
    </row>
    <row r="3533" spans="2:6">
      <c r="B3533" s="75"/>
      <c r="C3533" s="75"/>
      <c r="D3533" s="75"/>
      <c r="E3533" s="75"/>
      <c r="F3533" s="75"/>
    </row>
    <row r="3534" spans="2:6">
      <c r="B3534" s="75"/>
      <c r="C3534" s="75"/>
      <c r="D3534" s="75"/>
      <c r="E3534" s="75"/>
      <c r="F3534" s="75"/>
    </row>
    <row r="3535" spans="2:6">
      <c r="B3535" s="75"/>
      <c r="C3535" s="75"/>
      <c r="D3535" s="75"/>
      <c r="E3535" s="75"/>
      <c r="F3535" s="75"/>
    </row>
    <row r="3536" spans="2:6">
      <c r="B3536" s="75"/>
      <c r="C3536" s="75"/>
      <c r="D3536" s="75"/>
      <c r="E3536" s="75"/>
      <c r="F3536" s="75"/>
    </row>
    <row r="3537" spans="2:6">
      <c r="B3537" s="75"/>
      <c r="C3537" s="75"/>
      <c r="D3537" s="75"/>
      <c r="E3537" s="75"/>
      <c r="F3537" s="75"/>
    </row>
    <row r="3538" spans="2:6">
      <c r="B3538" s="75"/>
      <c r="C3538" s="75"/>
      <c r="D3538" s="75"/>
      <c r="E3538" s="75"/>
      <c r="F3538" s="75"/>
    </row>
    <row r="3539" spans="2:6">
      <c r="B3539" s="75"/>
      <c r="C3539" s="75"/>
      <c r="D3539" s="75"/>
      <c r="E3539" s="75"/>
      <c r="F3539" s="75"/>
    </row>
    <row r="3540" spans="2:6">
      <c r="B3540" s="75"/>
      <c r="C3540" s="75"/>
      <c r="D3540" s="75"/>
      <c r="E3540" s="75"/>
      <c r="F3540" s="75"/>
    </row>
    <row r="3541" spans="2:6">
      <c r="B3541" s="75"/>
      <c r="C3541" s="75"/>
      <c r="D3541" s="75"/>
      <c r="E3541" s="75"/>
      <c r="F3541" s="75"/>
    </row>
    <row r="3542" spans="2:6">
      <c r="B3542" s="75"/>
      <c r="C3542" s="75"/>
      <c r="D3542" s="75"/>
      <c r="E3542" s="75"/>
      <c r="F3542" s="75"/>
    </row>
    <row r="3543" spans="2:6">
      <c r="B3543" s="75"/>
      <c r="C3543" s="75"/>
      <c r="D3543" s="75"/>
      <c r="E3543" s="75"/>
      <c r="F3543" s="75"/>
    </row>
    <row r="3544" spans="2:6">
      <c r="B3544" s="75"/>
      <c r="C3544" s="75"/>
      <c r="D3544" s="75"/>
      <c r="E3544" s="75"/>
      <c r="F3544" s="75"/>
    </row>
    <row r="3545" spans="2:6">
      <c r="B3545" s="75"/>
      <c r="C3545" s="75"/>
      <c r="D3545" s="75"/>
      <c r="E3545" s="75"/>
      <c r="F3545" s="75"/>
    </row>
    <row r="3546" spans="2:6">
      <c r="B3546" s="75"/>
      <c r="C3546" s="75"/>
      <c r="D3546" s="75"/>
      <c r="E3546" s="75"/>
      <c r="F3546" s="75"/>
    </row>
    <row r="3547" spans="2:6">
      <c r="B3547" s="75"/>
      <c r="C3547" s="75"/>
      <c r="D3547" s="75"/>
      <c r="E3547" s="75"/>
      <c r="F3547" s="75"/>
    </row>
    <row r="3548" spans="2:6">
      <c r="B3548" s="75"/>
      <c r="C3548" s="75"/>
      <c r="D3548" s="75"/>
      <c r="E3548" s="75"/>
      <c r="F3548" s="75"/>
    </row>
    <row r="3549" spans="2:6">
      <c r="B3549" s="75"/>
      <c r="C3549" s="75"/>
      <c r="D3549" s="75"/>
      <c r="E3549" s="75"/>
      <c r="F3549" s="75"/>
    </row>
    <row r="3550" spans="2:6">
      <c r="B3550" s="75"/>
      <c r="C3550" s="75"/>
      <c r="D3550" s="75"/>
      <c r="E3550" s="75"/>
      <c r="F3550" s="75"/>
    </row>
    <row r="3551" spans="2:6">
      <c r="B3551" s="75"/>
      <c r="C3551" s="75"/>
      <c r="D3551" s="75"/>
      <c r="E3551" s="75"/>
      <c r="F3551" s="75"/>
    </row>
    <row r="3552" spans="2:6">
      <c r="B3552" s="75"/>
      <c r="C3552" s="75"/>
      <c r="D3552" s="75"/>
      <c r="E3552" s="75"/>
      <c r="F3552" s="75"/>
    </row>
    <row r="3553" spans="2:6">
      <c r="B3553" s="75"/>
      <c r="C3553" s="75"/>
      <c r="D3553" s="75"/>
      <c r="E3553" s="75"/>
      <c r="F3553" s="75"/>
    </row>
    <row r="3554" spans="2:6">
      <c r="B3554" s="75"/>
      <c r="C3554" s="75"/>
      <c r="D3554" s="75"/>
      <c r="E3554" s="75"/>
      <c r="F3554" s="75"/>
    </row>
    <row r="3555" spans="2:6">
      <c r="B3555" s="75"/>
      <c r="C3555" s="75"/>
      <c r="D3555" s="75"/>
      <c r="E3555" s="75"/>
      <c r="F3555" s="75"/>
    </row>
    <row r="3556" spans="2:6">
      <c r="B3556" s="75"/>
      <c r="C3556" s="75"/>
      <c r="D3556" s="75"/>
      <c r="E3556" s="75"/>
      <c r="F3556" s="75"/>
    </row>
    <row r="3557" spans="2:6">
      <c r="B3557" s="75"/>
      <c r="C3557" s="75"/>
      <c r="D3557" s="75"/>
      <c r="E3557" s="75"/>
      <c r="F3557" s="75"/>
    </row>
    <row r="3558" spans="2:6">
      <c r="B3558" s="75"/>
      <c r="C3558" s="75"/>
      <c r="D3558" s="75"/>
      <c r="E3558" s="75"/>
      <c r="F3558" s="75"/>
    </row>
    <row r="3559" spans="2:6">
      <c r="B3559" s="75"/>
      <c r="C3559" s="75"/>
      <c r="D3559" s="75"/>
      <c r="E3559" s="75"/>
      <c r="F3559" s="75"/>
    </row>
    <row r="3560" spans="2:6">
      <c r="B3560" s="75"/>
      <c r="C3560" s="75"/>
      <c r="D3560" s="75"/>
      <c r="E3560" s="75"/>
      <c r="F3560" s="75"/>
    </row>
    <row r="3561" spans="2:6">
      <c r="B3561" s="75"/>
      <c r="C3561" s="75"/>
      <c r="D3561" s="75"/>
      <c r="E3561" s="75"/>
      <c r="F3561" s="75"/>
    </row>
    <row r="3562" spans="2:6">
      <c r="B3562" s="75"/>
      <c r="C3562" s="75"/>
      <c r="D3562" s="75"/>
      <c r="E3562" s="75"/>
      <c r="F3562" s="75"/>
    </row>
    <row r="3563" spans="2:6">
      <c r="B3563" s="75"/>
      <c r="C3563" s="75"/>
      <c r="D3563" s="75"/>
      <c r="E3563" s="75"/>
      <c r="F3563" s="75"/>
    </row>
    <row r="3564" spans="2:6">
      <c r="B3564" s="75"/>
      <c r="C3564" s="75"/>
      <c r="D3564" s="75"/>
      <c r="E3564" s="75"/>
      <c r="F3564" s="75"/>
    </row>
    <row r="3565" spans="2:6">
      <c r="B3565" s="75"/>
      <c r="C3565" s="75"/>
      <c r="D3565" s="75"/>
      <c r="E3565" s="75"/>
      <c r="F3565" s="75"/>
    </row>
    <row r="3566" spans="2:6">
      <c r="B3566" s="75"/>
      <c r="C3566" s="75"/>
      <c r="D3566" s="75"/>
      <c r="E3566" s="75"/>
      <c r="F3566" s="75"/>
    </row>
    <row r="3567" spans="2:6">
      <c r="B3567" s="75"/>
      <c r="C3567" s="75"/>
      <c r="D3567" s="75"/>
      <c r="E3567" s="75"/>
      <c r="F3567" s="75"/>
    </row>
    <row r="3568" spans="2:6">
      <c r="B3568" s="75"/>
      <c r="C3568" s="75"/>
      <c r="D3568" s="75"/>
      <c r="E3568" s="75"/>
      <c r="F3568" s="75"/>
    </row>
    <row r="3569" spans="2:6">
      <c r="B3569" s="75"/>
      <c r="C3569" s="75"/>
      <c r="D3569" s="75"/>
      <c r="E3569" s="75"/>
      <c r="F3569" s="75"/>
    </row>
    <row r="3570" spans="2:6">
      <c r="B3570" s="75"/>
      <c r="C3570" s="75"/>
      <c r="D3570" s="75"/>
      <c r="E3570" s="75"/>
      <c r="F3570" s="75"/>
    </row>
    <row r="3571" spans="2:6">
      <c r="B3571" s="75"/>
      <c r="C3571" s="75"/>
      <c r="D3571" s="75"/>
      <c r="E3571" s="75"/>
      <c r="F3571" s="75"/>
    </row>
    <row r="3572" spans="2:6">
      <c r="B3572" s="75"/>
      <c r="C3572" s="75"/>
      <c r="D3572" s="75"/>
      <c r="E3572" s="75"/>
      <c r="F3572" s="75"/>
    </row>
    <row r="3573" spans="2:6">
      <c r="B3573" s="75"/>
      <c r="C3573" s="75"/>
      <c r="D3573" s="75"/>
      <c r="E3573" s="75"/>
      <c r="F3573" s="75"/>
    </row>
    <row r="3574" spans="2:6">
      <c r="B3574" s="75"/>
      <c r="C3574" s="75"/>
      <c r="D3574" s="75"/>
      <c r="E3574" s="75"/>
      <c r="F3574" s="75"/>
    </row>
    <row r="3575" spans="2:6">
      <c r="B3575" s="75"/>
      <c r="C3575" s="75"/>
      <c r="D3575" s="75"/>
      <c r="E3575" s="75"/>
      <c r="F3575" s="75"/>
    </row>
    <row r="3576" spans="2:6">
      <c r="B3576" s="75"/>
      <c r="C3576" s="75"/>
      <c r="D3576" s="75"/>
      <c r="E3576" s="75"/>
      <c r="F3576" s="75"/>
    </row>
    <row r="3577" spans="2:6">
      <c r="B3577" s="75"/>
      <c r="C3577" s="75"/>
      <c r="D3577" s="75"/>
      <c r="E3577" s="75"/>
      <c r="F3577" s="75"/>
    </row>
    <row r="3578" spans="2:6">
      <c r="B3578" s="75"/>
      <c r="C3578" s="75"/>
      <c r="D3578" s="75"/>
      <c r="E3578" s="75"/>
      <c r="F3578" s="75"/>
    </row>
    <row r="3579" spans="2:6">
      <c r="B3579" s="75"/>
      <c r="C3579" s="75"/>
      <c r="D3579" s="75"/>
      <c r="E3579" s="75"/>
      <c r="F3579" s="75"/>
    </row>
    <row r="3580" spans="2:6">
      <c r="B3580" s="75"/>
      <c r="C3580" s="75"/>
      <c r="D3580" s="75"/>
      <c r="E3580" s="75"/>
      <c r="F3580" s="75"/>
    </row>
    <row r="3581" spans="2:6">
      <c r="B3581" s="75"/>
      <c r="C3581" s="75"/>
      <c r="D3581" s="75"/>
      <c r="E3581" s="75"/>
      <c r="F3581" s="75"/>
    </row>
    <row r="3582" spans="2:6">
      <c r="B3582" s="75"/>
      <c r="C3582" s="75"/>
      <c r="D3582" s="75"/>
      <c r="E3582" s="75"/>
      <c r="F3582" s="75"/>
    </row>
    <row r="3583" spans="2:6">
      <c r="B3583" s="75"/>
      <c r="C3583" s="75"/>
      <c r="D3583" s="75"/>
      <c r="E3583" s="75"/>
      <c r="F3583" s="75"/>
    </row>
    <row r="3584" spans="2:6">
      <c r="B3584" s="75"/>
      <c r="C3584" s="75"/>
      <c r="D3584" s="75"/>
      <c r="E3584" s="75"/>
      <c r="F3584" s="75"/>
    </row>
    <row r="3585" spans="2:6">
      <c r="B3585" s="75"/>
      <c r="C3585" s="75"/>
      <c r="D3585" s="75"/>
      <c r="E3585" s="75"/>
      <c r="F3585" s="75"/>
    </row>
    <row r="3586" spans="2:6">
      <c r="B3586" s="75"/>
      <c r="C3586" s="75"/>
      <c r="D3586" s="75"/>
      <c r="E3586" s="75"/>
      <c r="F3586" s="75"/>
    </row>
    <row r="3587" spans="2:6">
      <c r="B3587" s="75"/>
      <c r="C3587" s="75"/>
      <c r="D3587" s="75"/>
      <c r="E3587" s="75"/>
      <c r="F3587" s="75"/>
    </row>
    <row r="3588" spans="2:6">
      <c r="B3588" s="75"/>
      <c r="C3588" s="75"/>
      <c r="D3588" s="75"/>
      <c r="E3588" s="75"/>
      <c r="F3588" s="75"/>
    </row>
    <row r="3589" spans="2:6">
      <c r="B3589" s="75"/>
      <c r="C3589" s="75"/>
      <c r="D3589" s="75"/>
      <c r="E3589" s="75"/>
      <c r="F3589" s="75"/>
    </row>
    <row r="3590" spans="2:6">
      <c r="B3590" s="75"/>
      <c r="C3590" s="75"/>
      <c r="D3590" s="75"/>
      <c r="E3590" s="75"/>
      <c r="F3590" s="75"/>
    </row>
    <row r="3591" spans="2:6">
      <c r="B3591" s="75"/>
      <c r="C3591" s="75"/>
      <c r="D3591" s="75"/>
      <c r="E3591" s="75"/>
      <c r="F3591" s="75"/>
    </row>
    <row r="3592" spans="2:6">
      <c r="B3592" s="75"/>
      <c r="C3592" s="75"/>
      <c r="D3592" s="75"/>
      <c r="E3592" s="75"/>
      <c r="F3592" s="75"/>
    </row>
    <row r="3593" spans="2:6">
      <c r="B3593" s="75"/>
      <c r="C3593" s="75"/>
      <c r="D3593" s="75"/>
      <c r="E3593" s="75"/>
      <c r="F3593" s="75"/>
    </row>
    <row r="3594" spans="2:6">
      <c r="B3594" s="75"/>
      <c r="C3594" s="75"/>
      <c r="D3594" s="75"/>
      <c r="E3594" s="75"/>
      <c r="F3594" s="75"/>
    </row>
    <row r="3595" spans="2:6">
      <c r="B3595" s="75"/>
      <c r="C3595" s="75"/>
      <c r="D3595" s="75"/>
      <c r="E3595" s="75"/>
      <c r="F3595" s="75"/>
    </row>
    <row r="3596" spans="2:6">
      <c r="B3596" s="75"/>
      <c r="C3596" s="75"/>
      <c r="D3596" s="75"/>
      <c r="E3596" s="75"/>
      <c r="F3596" s="75"/>
    </row>
    <row r="3597" spans="2:6">
      <c r="B3597" s="75"/>
      <c r="C3597" s="75"/>
      <c r="D3597" s="75"/>
      <c r="E3597" s="75"/>
      <c r="F3597" s="75"/>
    </row>
    <row r="3598" spans="2:6">
      <c r="B3598" s="75"/>
      <c r="C3598" s="75"/>
      <c r="D3598" s="75"/>
      <c r="E3598" s="75"/>
      <c r="F3598" s="75"/>
    </row>
    <row r="3599" spans="2:6">
      <c r="B3599" s="75"/>
      <c r="C3599" s="75"/>
      <c r="D3599" s="75"/>
      <c r="E3599" s="75"/>
      <c r="F3599" s="75"/>
    </row>
    <row r="3600" spans="2:6">
      <c r="B3600" s="75"/>
      <c r="C3600" s="75"/>
      <c r="D3600" s="75"/>
      <c r="E3600" s="75"/>
      <c r="F3600" s="75"/>
    </row>
    <row r="3601" spans="2:6">
      <c r="B3601" s="75"/>
      <c r="C3601" s="75"/>
      <c r="D3601" s="75"/>
      <c r="E3601" s="75"/>
      <c r="F3601" s="75"/>
    </row>
    <row r="3602" spans="2:6">
      <c r="B3602" s="75"/>
      <c r="C3602" s="75"/>
      <c r="D3602" s="75"/>
      <c r="E3602" s="75"/>
      <c r="F3602" s="75"/>
    </row>
    <row r="3603" spans="2:6">
      <c r="B3603" s="75"/>
      <c r="C3603" s="75"/>
      <c r="D3603" s="75"/>
      <c r="E3603" s="75"/>
      <c r="F3603" s="75"/>
    </row>
    <row r="3604" spans="2:6">
      <c r="B3604" s="75"/>
      <c r="C3604" s="75"/>
      <c r="D3604" s="75"/>
      <c r="E3604" s="75"/>
      <c r="F3604" s="75"/>
    </row>
    <row r="3605" spans="2:6">
      <c r="B3605" s="75"/>
      <c r="C3605" s="75"/>
      <c r="D3605" s="75"/>
      <c r="E3605" s="75"/>
      <c r="F3605" s="75"/>
    </row>
    <row r="3606" spans="2:6">
      <c r="B3606" s="75"/>
      <c r="C3606" s="75"/>
      <c r="D3606" s="75"/>
      <c r="E3606" s="75"/>
      <c r="F3606" s="75"/>
    </row>
    <row r="3607" spans="2:6">
      <c r="B3607" s="75"/>
      <c r="C3607" s="75"/>
      <c r="D3607" s="75"/>
      <c r="E3607" s="75"/>
      <c r="F3607" s="75"/>
    </row>
    <row r="3608" spans="2:6">
      <c r="B3608" s="75"/>
      <c r="C3608" s="75"/>
      <c r="D3608" s="75"/>
      <c r="E3608" s="75"/>
      <c r="F3608" s="75"/>
    </row>
    <row r="3609" spans="2:6">
      <c r="B3609" s="75"/>
      <c r="C3609" s="75"/>
      <c r="D3609" s="75"/>
      <c r="E3609" s="75"/>
      <c r="F3609" s="75"/>
    </row>
    <row r="3610" spans="2:6">
      <c r="B3610" s="75"/>
      <c r="C3610" s="75"/>
      <c r="D3610" s="75"/>
      <c r="E3610" s="75"/>
      <c r="F3610" s="75"/>
    </row>
    <row r="3611" spans="2:6">
      <c r="B3611" s="75"/>
      <c r="C3611" s="75"/>
      <c r="D3611" s="75"/>
      <c r="E3611" s="75"/>
      <c r="F3611" s="75"/>
    </row>
    <row r="3612" spans="2:6">
      <c r="B3612" s="75"/>
      <c r="C3612" s="75"/>
      <c r="D3612" s="75"/>
      <c r="E3612" s="75"/>
      <c r="F3612" s="75"/>
    </row>
    <row r="3613" spans="2:6">
      <c r="B3613" s="75"/>
      <c r="C3613" s="75"/>
      <c r="D3613" s="75"/>
      <c r="E3613" s="75"/>
      <c r="F3613" s="75"/>
    </row>
    <row r="3614" spans="2:6">
      <c r="B3614" s="75"/>
      <c r="C3614" s="75"/>
      <c r="D3614" s="75"/>
      <c r="E3614" s="75"/>
      <c r="F3614" s="75"/>
    </row>
    <row r="3615" spans="2:6">
      <c r="B3615" s="75"/>
      <c r="C3615" s="75"/>
      <c r="D3615" s="75"/>
      <c r="E3615" s="75"/>
      <c r="F3615" s="75"/>
    </row>
    <row r="3616" spans="2:6">
      <c r="B3616" s="75"/>
      <c r="C3616" s="75"/>
      <c r="D3616" s="75"/>
      <c r="E3616" s="75"/>
      <c r="F3616" s="75"/>
    </row>
    <row r="3617" spans="2:6">
      <c r="B3617" s="75"/>
      <c r="C3617" s="75"/>
      <c r="D3617" s="75"/>
      <c r="E3617" s="75"/>
      <c r="F3617" s="75"/>
    </row>
    <row r="3618" spans="2:6">
      <c r="B3618" s="75"/>
      <c r="C3618" s="75"/>
      <c r="D3618" s="75"/>
      <c r="E3618" s="75"/>
      <c r="F3618" s="75"/>
    </row>
    <row r="3619" spans="2:6">
      <c r="B3619" s="75"/>
      <c r="C3619" s="75"/>
      <c r="D3619" s="75"/>
      <c r="E3619" s="75"/>
      <c r="F3619" s="75"/>
    </row>
    <row r="3620" spans="2:6">
      <c r="B3620" s="75"/>
      <c r="C3620" s="75"/>
      <c r="D3620" s="75"/>
      <c r="E3620" s="75"/>
      <c r="F3620" s="75"/>
    </row>
    <row r="3621" spans="2:6">
      <c r="B3621" s="75"/>
      <c r="C3621" s="75"/>
      <c r="D3621" s="75"/>
      <c r="E3621" s="75"/>
      <c r="F3621" s="75"/>
    </row>
    <row r="3622" spans="2:6">
      <c r="B3622" s="75"/>
      <c r="C3622" s="75"/>
      <c r="D3622" s="75"/>
      <c r="E3622" s="75"/>
      <c r="F3622" s="75"/>
    </row>
    <row r="3623" spans="2:6">
      <c r="B3623" s="75"/>
      <c r="C3623" s="75"/>
      <c r="D3623" s="75"/>
      <c r="E3623" s="75"/>
      <c r="F3623" s="75"/>
    </row>
    <row r="3624" spans="2:6">
      <c r="B3624" s="75"/>
      <c r="C3624" s="75"/>
      <c r="D3624" s="75"/>
      <c r="E3624" s="75"/>
      <c r="F3624" s="75"/>
    </row>
    <row r="3625" spans="2:6">
      <c r="B3625" s="75"/>
      <c r="C3625" s="75"/>
      <c r="D3625" s="75"/>
      <c r="E3625" s="75"/>
      <c r="F3625" s="75"/>
    </row>
    <row r="3626" spans="2:6">
      <c r="B3626" s="75"/>
      <c r="C3626" s="75"/>
      <c r="D3626" s="75"/>
      <c r="E3626" s="75"/>
      <c r="F3626" s="75"/>
    </row>
    <row r="3627" spans="2:6">
      <c r="B3627" s="75"/>
      <c r="C3627" s="75"/>
      <c r="D3627" s="75"/>
      <c r="E3627" s="75"/>
      <c r="F3627" s="75"/>
    </row>
    <row r="3628" spans="2:6">
      <c r="B3628" s="75"/>
      <c r="C3628" s="75"/>
      <c r="D3628" s="75"/>
      <c r="E3628" s="75"/>
      <c r="F3628" s="75"/>
    </row>
    <row r="3629" spans="2:6">
      <c r="B3629" s="75"/>
      <c r="C3629" s="75"/>
      <c r="D3629" s="75"/>
      <c r="E3629" s="75"/>
      <c r="F3629" s="75"/>
    </row>
    <row r="3630" spans="2:6">
      <c r="B3630" s="75"/>
      <c r="C3630" s="75"/>
      <c r="D3630" s="75"/>
      <c r="E3630" s="75"/>
      <c r="F3630" s="75"/>
    </row>
    <row r="3631" spans="2:6">
      <c r="B3631" s="75"/>
      <c r="C3631" s="75"/>
      <c r="D3631" s="75"/>
      <c r="E3631" s="75"/>
      <c r="F3631" s="75"/>
    </row>
    <row r="3632" spans="2:6">
      <c r="B3632" s="75"/>
      <c r="C3632" s="75"/>
      <c r="D3632" s="75"/>
      <c r="E3632" s="75"/>
      <c r="F3632" s="75"/>
    </row>
    <row r="3633" spans="2:6">
      <c r="B3633" s="75"/>
      <c r="C3633" s="75"/>
      <c r="D3633" s="75"/>
      <c r="E3633" s="75"/>
      <c r="F3633" s="75"/>
    </row>
    <row r="3634" spans="2:6">
      <c r="B3634" s="75"/>
      <c r="C3634" s="75"/>
      <c r="D3634" s="75"/>
      <c r="E3634" s="75"/>
      <c r="F3634" s="75"/>
    </row>
    <row r="3635" spans="2:6">
      <c r="B3635" s="75"/>
      <c r="C3635" s="75"/>
      <c r="D3635" s="75"/>
      <c r="E3635" s="75"/>
      <c r="F3635" s="75"/>
    </row>
    <row r="3636" spans="2:6">
      <c r="B3636" s="75"/>
      <c r="C3636" s="75"/>
      <c r="D3636" s="75"/>
      <c r="E3636" s="75"/>
      <c r="F3636" s="75"/>
    </row>
    <row r="3637" spans="2:6">
      <c r="B3637" s="75"/>
      <c r="C3637" s="75"/>
      <c r="D3637" s="75"/>
      <c r="E3637" s="75"/>
      <c r="F3637" s="75"/>
    </row>
    <row r="3638" spans="2:6">
      <c r="B3638" s="75"/>
      <c r="C3638" s="75"/>
      <c r="D3638" s="75"/>
      <c r="E3638" s="75"/>
      <c r="F3638" s="75"/>
    </row>
    <row r="3639" spans="2:6">
      <c r="B3639" s="75"/>
      <c r="C3639" s="75"/>
      <c r="D3639" s="75"/>
      <c r="E3639" s="75"/>
      <c r="F3639" s="75"/>
    </row>
    <row r="3640" spans="2:6">
      <c r="B3640" s="75"/>
      <c r="C3640" s="75"/>
      <c r="D3640" s="75"/>
      <c r="E3640" s="75"/>
      <c r="F3640" s="75"/>
    </row>
    <row r="3641" spans="2:6">
      <c r="B3641" s="75"/>
      <c r="C3641" s="75"/>
      <c r="D3641" s="75"/>
      <c r="E3641" s="75"/>
      <c r="F3641" s="75"/>
    </row>
    <row r="3642" spans="2:6">
      <c r="B3642" s="75"/>
      <c r="C3642" s="75"/>
      <c r="D3642" s="75"/>
      <c r="E3642" s="75"/>
      <c r="F3642" s="75"/>
    </row>
    <row r="3643" spans="2:6">
      <c r="B3643" s="75"/>
      <c r="C3643" s="75"/>
      <c r="D3643" s="75"/>
      <c r="E3643" s="75"/>
      <c r="F3643" s="75"/>
    </row>
    <row r="3644" spans="2:6">
      <c r="B3644" s="75"/>
      <c r="C3644" s="75"/>
      <c r="D3644" s="75"/>
      <c r="E3644" s="75"/>
      <c r="F3644" s="75"/>
    </row>
    <row r="3645" spans="2:6">
      <c r="B3645" s="75"/>
      <c r="C3645" s="75"/>
      <c r="D3645" s="75"/>
      <c r="E3645" s="75"/>
      <c r="F3645" s="75"/>
    </row>
    <row r="3646" spans="2:6">
      <c r="B3646" s="75"/>
      <c r="C3646" s="75"/>
      <c r="D3646" s="75"/>
      <c r="E3646" s="75"/>
      <c r="F3646" s="75"/>
    </row>
    <row r="3647" spans="2:6">
      <c r="B3647" s="75"/>
      <c r="C3647" s="75"/>
      <c r="D3647" s="75"/>
      <c r="E3647" s="75"/>
      <c r="F3647" s="75"/>
    </row>
    <row r="3648" spans="2:6">
      <c r="B3648" s="75"/>
      <c r="C3648" s="75"/>
      <c r="D3648" s="75"/>
      <c r="E3648" s="75"/>
      <c r="F3648" s="75"/>
    </row>
    <row r="3649" spans="2:6">
      <c r="B3649" s="75"/>
      <c r="C3649" s="75"/>
      <c r="D3649" s="75"/>
      <c r="E3649" s="75"/>
      <c r="F3649" s="75"/>
    </row>
    <row r="3650" spans="2:6">
      <c r="B3650" s="75"/>
      <c r="C3650" s="75"/>
      <c r="D3650" s="75"/>
      <c r="E3650" s="75"/>
      <c r="F3650" s="75"/>
    </row>
    <row r="3651" spans="2:6">
      <c r="B3651" s="75"/>
      <c r="C3651" s="75"/>
      <c r="D3651" s="75"/>
      <c r="E3651" s="75"/>
      <c r="F3651" s="75"/>
    </row>
    <row r="3652" spans="2:6">
      <c r="B3652" s="75"/>
      <c r="C3652" s="75"/>
      <c r="D3652" s="75"/>
      <c r="E3652" s="75"/>
      <c r="F3652" s="75"/>
    </row>
    <row r="3653" spans="2:6">
      <c r="B3653" s="75"/>
      <c r="C3653" s="75"/>
      <c r="D3653" s="75"/>
      <c r="E3653" s="75"/>
      <c r="F3653" s="75"/>
    </row>
    <row r="3654" spans="2:6">
      <c r="B3654" s="75"/>
      <c r="C3654" s="75"/>
      <c r="D3654" s="75"/>
      <c r="E3654" s="75"/>
      <c r="F3654" s="75"/>
    </row>
    <row r="3655" spans="2:6">
      <c r="B3655" s="75"/>
      <c r="C3655" s="75"/>
      <c r="D3655" s="75"/>
      <c r="E3655" s="75"/>
      <c r="F3655" s="75"/>
    </row>
    <row r="3656" spans="2:6">
      <c r="B3656" s="75"/>
      <c r="C3656" s="75"/>
      <c r="D3656" s="75"/>
      <c r="E3656" s="75"/>
      <c r="F3656" s="75"/>
    </row>
    <row r="3657" spans="2:6">
      <c r="B3657" s="75"/>
      <c r="C3657" s="75"/>
      <c r="D3657" s="75"/>
      <c r="E3657" s="75"/>
      <c r="F3657" s="75"/>
    </row>
    <row r="3658" spans="2:6">
      <c r="B3658" s="75"/>
      <c r="C3658" s="75"/>
      <c r="D3658" s="75"/>
      <c r="E3658" s="75"/>
      <c r="F3658" s="75"/>
    </row>
    <row r="3659" spans="2:6">
      <c r="B3659" s="75"/>
      <c r="C3659" s="75"/>
      <c r="D3659" s="75"/>
      <c r="E3659" s="75"/>
      <c r="F3659" s="75"/>
    </row>
    <row r="3660" spans="2:6">
      <c r="B3660" s="75"/>
      <c r="C3660" s="75"/>
      <c r="D3660" s="75"/>
      <c r="E3660" s="75"/>
      <c r="F3660" s="75"/>
    </row>
    <row r="3661" spans="2:6">
      <c r="B3661" s="75"/>
      <c r="C3661" s="75"/>
      <c r="D3661" s="75"/>
      <c r="E3661" s="75"/>
      <c r="F3661" s="75"/>
    </row>
    <row r="3662" spans="2:6">
      <c r="B3662" s="75"/>
      <c r="C3662" s="75"/>
      <c r="D3662" s="75"/>
      <c r="E3662" s="75"/>
      <c r="F3662" s="75"/>
    </row>
    <row r="3663" spans="2:6">
      <c r="B3663" s="75"/>
      <c r="C3663" s="75"/>
      <c r="D3663" s="75"/>
      <c r="E3663" s="75"/>
      <c r="F3663" s="75"/>
    </row>
    <row r="3664" spans="2:6">
      <c r="B3664" s="75"/>
      <c r="C3664" s="75"/>
      <c r="D3664" s="75"/>
      <c r="E3664" s="75"/>
      <c r="F3664" s="75"/>
    </row>
    <row r="3665" spans="2:6">
      <c r="B3665" s="75"/>
      <c r="C3665" s="75"/>
      <c r="D3665" s="75"/>
      <c r="E3665" s="75"/>
      <c r="F3665" s="75"/>
    </row>
    <row r="3666" spans="2:6">
      <c r="B3666" s="75"/>
      <c r="C3666" s="75"/>
      <c r="D3666" s="75"/>
      <c r="E3666" s="75"/>
      <c r="F3666" s="75"/>
    </row>
    <row r="3667" spans="2:6">
      <c r="B3667" s="75"/>
      <c r="C3667" s="75"/>
      <c r="D3667" s="75"/>
      <c r="E3667" s="75"/>
      <c r="F3667" s="75"/>
    </row>
    <row r="3668" spans="2:6">
      <c r="B3668" s="75"/>
      <c r="C3668" s="75"/>
      <c r="D3668" s="75"/>
      <c r="E3668" s="75"/>
      <c r="F3668" s="75"/>
    </row>
    <row r="3669" spans="2:6">
      <c r="B3669" s="75"/>
      <c r="C3669" s="75"/>
      <c r="D3669" s="75"/>
      <c r="E3669" s="75"/>
      <c r="F3669" s="75"/>
    </row>
    <row r="3670" spans="2:6">
      <c r="B3670" s="75"/>
      <c r="C3670" s="75"/>
      <c r="D3670" s="75"/>
      <c r="E3670" s="75"/>
      <c r="F3670" s="75"/>
    </row>
    <row r="3671" spans="2:6">
      <c r="B3671" s="75"/>
      <c r="C3671" s="75"/>
      <c r="D3671" s="75"/>
      <c r="E3671" s="75"/>
      <c r="F3671" s="75"/>
    </row>
    <row r="3672" spans="2:6">
      <c r="B3672" s="75"/>
      <c r="C3672" s="75"/>
      <c r="D3672" s="75"/>
      <c r="E3672" s="75"/>
      <c r="F3672" s="75"/>
    </row>
    <row r="3673" spans="2:6">
      <c r="B3673" s="75"/>
      <c r="C3673" s="75"/>
      <c r="D3673" s="75"/>
      <c r="E3673" s="75"/>
      <c r="F3673" s="75"/>
    </row>
    <row r="3674" spans="2:6">
      <c r="B3674" s="75"/>
      <c r="C3674" s="75"/>
      <c r="D3674" s="75"/>
      <c r="E3674" s="75"/>
      <c r="F3674" s="75"/>
    </row>
    <row r="3675" spans="2:6">
      <c r="B3675" s="75"/>
      <c r="C3675" s="75"/>
      <c r="D3675" s="75"/>
      <c r="E3675" s="75"/>
      <c r="F3675" s="75"/>
    </row>
    <row r="3676" spans="2:6">
      <c r="B3676" s="75"/>
      <c r="C3676" s="75"/>
      <c r="D3676" s="75"/>
      <c r="E3676" s="75"/>
      <c r="F3676" s="75"/>
    </row>
    <row r="3677" spans="2:6">
      <c r="B3677" s="75"/>
      <c r="C3677" s="75"/>
      <c r="D3677" s="75"/>
      <c r="E3677" s="75"/>
      <c r="F3677" s="75"/>
    </row>
    <row r="3678" spans="2:6">
      <c r="B3678" s="75"/>
      <c r="C3678" s="75"/>
      <c r="D3678" s="75"/>
      <c r="E3678" s="75"/>
      <c r="F3678" s="75"/>
    </row>
    <row r="3679" spans="2:6">
      <c r="B3679" s="75"/>
      <c r="C3679" s="75"/>
      <c r="D3679" s="75"/>
      <c r="E3679" s="75"/>
      <c r="F3679" s="75"/>
    </row>
    <row r="3680" spans="2:6">
      <c r="B3680" s="75"/>
      <c r="C3680" s="75"/>
      <c r="D3680" s="75"/>
      <c r="E3680" s="75"/>
      <c r="F3680" s="75"/>
    </row>
    <row r="3681" spans="2:6">
      <c r="B3681" s="75"/>
      <c r="C3681" s="75"/>
      <c r="D3681" s="75"/>
      <c r="E3681" s="75"/>
      <c r="F3681" s="75"/>
    </row>
    <row r="3682" spans="2:6">
      <c r="B3682" s="75"/>
      <c r="C3682" s="75"/>
      <c r="D3682" s="75"/>
      <c r="E3682" s="75"/>
      <c r="F3682" s="75"/>
    </row>
    <row r="3683" spans="2:6">
      <c r="B3683" s="75"/>
      <c r="C3683" s="75"/>
      <c r="D3683" s="75"/>
      <c r="E3683" s="75"/>
      <c r="F3683" s="75"/>
    </row>
    <row r="3684" spans="2:6">
      <c r="B3684" s="75"/>
      <c r="C3684" s="75"/>
      <c r="D3684" s="75"/>
      <c r="E3684" s="75"/>
      <c r="F3684" s="75"/>
    </row>
    <row r="3685" spans="2:6">
      <c r="B3685" s="75"/>
      <c r="C3685" s="75"/>
      <c r="D3685" s="75"/>
      <c r="E3685" s="75"/>
      <c r="F3685" s="75"/>
    </row>
    <row r="3686" spans="2:6">
      <c r="B3686" s="75"/>
      <c r="C3686" s="75"/>
      <c r="D3686" s="75"/>
      <c r="E3686" s="75"/>
      <c r="F3686" s="75"/>
    </row>
    <row r="3687" spans="2:6">
      <c r="B3687" s="75"/>
      <c r="C3687" s="75"/>
      <c r="D3687" s="75"/>
      <c r="E3687" s="75"/>
      <c r="F3687" s="75"/>
    </row>
    <row r="3688" spans="2:6">
      <c r="B3688" s="75"/>
      <c r="C3688" s="75"/>
      <c r="D3688" s="75"/>
      <c r="E3688" s="75"/>
      <c r="F3688" s="75"/>
    </row>
    <row r="3689" spans="2:6">
      <c r="B3689" s="75"/>
      <c r="C3689" s="75"/>
      <c r="D3689" s="75"/>
      <c r="E3689" s="75"/>
      <c r="F3689" s="75"/>
    </row>
    <row r="3690" spans="2:6">
      <c r="B3690" s="75"/>
      <c r="C3690" s="75"/>
      <c r="D3690" s="75"/>
      <c r="E3690" s="75"/>
      <c r="F3690" s="75"/>
    </row>
    <row r="3691" spans="2:6">
      <c r="B3691" s="75"/>
      <c r="C3691" s="75"/>
      <c r="D3691" s="75"/>
      <c r="E3691" s="75"/>
      <c r="F3691" s="75"/>
    </row>
    <row r="3692" spans="2:6">
      <c r="B3692" s="75"/>
      <c r="C3692" s="75"/>
      <c r="D3692" s="75"/>
      <c r="E3692" s="75"/>
      <c r="F3692" s="75"/>
    </row>
    <row r="3693" spans="2:6">
      <c r="B3693" s="75"/>
      <c r="C3693" s="75"/>
      <c r="D3693" s="75"/>
      <c r="E3693" s="75"/>
      <c r="F3693" s="75"/>
    </row>
    <row r="3694" spans="2:6">
      <c r="B3694" s="75"/>
      <c r="C3694" s="75"/>
      <c r="D3694" s="75"/>
      <c r="E3694" s="75"/>
      <c r="F3694" s="75"/>
    </row>
    <row r="3695" spans="2:6">
      <c r="B3695" s="75"/>
      <c r="C3695" s="75"/>
      <c r="D3695" s="75"/>
      <c r="E3695" s="75"/>
      <c r="F3695" s="75"/>
    </row>
    <row r="3696" spans="2:6">
      <c r="B3696" s="75"/>
      <c r="C3696" s="75"/>
      <c r="D3696" s="75"/>
      <c r="E3696" s="75"/>
      <c r="F3696" s="75"/>
    </row>
    <row r="3697" spans="2:6">
      <c r="B3697" s="75"/>
      <c r="C3697" s="75"/>
      <c r="D3697" s="75"/>
      <c r="E3697" s="75"/>
      <c r="F3697" s="75"/>
    </row>
    <row r="3698" spans="2:6">
      <c r="B3698" s="75"/>
      <c r="C3698" s="75"/>
      <c r="D3698" s="75"/>
      <c r="E3698" s="75"/>
      <c r="F3698" s="75"/>
    </row>
    <row r="3699" spans="2:6">
      <c r="B3699" s="75"/>
      <c r="C3699" s="75"/>
      <c r="D3699" s="75"/>
      <c r="E3699" s="75"/>
      <c r="F3699" s="75"/>
    </row>
    <row r="3700" spans="2:6">
      <c r="B3700" s="75"/>
      <c r="C3700" s="75"/>
      <c r="D3700" s="75"/>
      <c r="E3700" s="75"/>
      <c r="F3700" s="75"/>
    </row>
    <row r="3701" spans="2:6">
      <c r="B3701" s="75"/>
      <c r="C3701" s="75"/>
      <c r="D3701" s="75"/>
      <c r="E3701" s="75"/>
      <c r="F3701" s="75"/>
    </row>
    <row r="3702" spans="2:6">
      <c r="B3702" s="75"/>
      <c r="C3702" s="75"/>
      <c r="D3702" s="75"/>
      <c r="E3702" s="75"/>
      <c r="F3702" s="75"/>
    </row>
    <row r="3703" spans="2:6">
      <c r="B3703" s="75"/>
      <c r="C3703" s="75"/>
      <c r="D3703" s="75"/>
      <c r="E3703" s="75"/>
      <c r="F3703" s="75"/>
    </row>
    <row r="3704" spans="2:6">
      <c r="B3704" s="75"/>
      <c r="C3704" s="75"/>
      <c r="D3704" s="75"/>
      <c r="E3704" s="75"/>
      <c r="F3704" s="75"/>
    </row>
    <row r="3705" spans="2:6">
      <c r="B3705" s="75"/>
      <c r="C3705" s="75"/>
      <c r="D3705" s="75"/>
      <c r="E3705" s="75"/>
      <c r="F3705" s="75"/>
    </row>
    <row r="3706" spans="2:6">
      <c r="B3706" s="75"/>
      <c r="C3706" s="75"/>
      <c r="D3706" s="75"/>
      <c r="E3706" s="75"/>
      <c r="F3706" s="75"/>
    </row>
    <row r="3707" spans="2:6">
      <c r="B3707" s="75"/>
      <c r="C3707" s="75"/>
      <c r="D3707" s="75"/>
      <c r="E3707" s="75"/>
      <c r="F3707" s="75"/>
    </row>
    <row r="3708" spans="2:6">
      <c r="B3708" s="75"/>
      <c r="C3708" s="75"/>
      <c r="D3708" s="75"/>
      <c r="E3708" s="75"/>
      <c r="F3708" s="75"/>
    </row>
    <row r="3709" spans="2:6">
      <c r="B3709" s="75"/>
      <c r="C3709" s="75"/>
      <c r="D3709" s="75"/>
      <c r="E3709" s="75"/>
      <c r="F3709" s="75"/>
    </row>
    <row r="3710" spans="2:6">
      <c r="B3710" s="75"/>
      <c r="C3710" s="75"/>
      <c r="D3710" s="75"/>
      <c r="E3710" s="75"/>
      <c r="F3710" s="75"/>
    </row>
    <row r="3711" spans="2:6">
      <c r="B3711" s="75"/>
      <c r="C3711" s="75"/>
      <c r="D3711" s="75"/>
      <c r="E3711" s="75"/>
      <c r="F3711" s="75"/>
    </row>
    <row r="3712" spans="2:6">
      <c r="B3712" s="75"/>
      <c r="C3712" s="75"/>
      <c r="D3712" s="75"/>
      <c r="E3712" s="75"/>
      <c r="F3712" s="75"/>
    </row>
    <row r="3713" spans="2:6">
      <c r="B3713" s="75"/>
      <c r="C3713" s="75"/>
      <c r="D3713" s="75"/>
      <c r="E3713" s="75"/>
      <c r="F3713" s="75"/>
    </row>
    <row r="3714" spans="2:6">
      <c r="B3714" s="75"/>
      <c r="C3714" s="75"/>
      <c r="D3714" s="75"/>
      <c r="E3714" s="75"/>
      <c r="F3714" s="75"/>
    </row>
    <row r="3715" spans="2:6">
      <c r="B3715" s="75"/>
      <c r="C3715" s="75"/>
      <c r="D3715" s="75"/>
      <c r="E3715" s="75"/>
      <c r="F3715" s="75"/>
    </row>
    <row r="3716" spans="2:6">
      <c r="B3716" s="75"/>
      <c r="C3716" s="75"/>
      <c r="D3716" s="75"/>
      <c r="E3716" s="75"/>
      <c r="F3716" s="75"/>
    </row>
    <row r="3717" spans="2:6">
      <c r="B3717" s="75"/>
      <c r="C3717" s="75"/>
      <c r="D3717" s="75"/>
      <c r="E3717" s="75"/>
      <c r="F3717" s="75"/>
    </row>
    <row r="3718" spans="2:6">
      <c r="B3718" s="75"/>
      <c r="C3718" s="75"/>
      <c r="D3718" s="75"/>
      <c r="E3718" s="75"/>
      <c r="F3718" s="75"/>
    </row>
    <row r="3719" spans="2:6">
      <c r="B3719" s="75"/>
      <c r="C3719" s="75"/>
      <c r="D3719" s="75"/>
      <c r="E3719" s="75"/>
      <c r="F3719" s="75"/>
    </row>
    <row r="3720" spans="2:6">
      <c r="B3720" s="75"/>
      <c r="C3720" s="75"/>
      <c r="D3720" s="75"/>
      <c r="E3720" s="75"/>
      <c r="F3720" s="75"/>
    </row>
    <row r="3721" spans="2:6">
      <c r="B3721" s="75"/>
      <c r="C3721" s="75"/>
      <c r="D3721" s="75"/>
      <c r="E3721" s="75"/>
      <c r="F3721" s="75"/>
    </row>
    <row r="3722" spans="2:6">
      <c r="B3722" s="75"/>
      <c r="C3722" s="75"/>
      <c r="D3722" s="75"/>
      <c r="E3722" s="75"/>
      <c r="F3722" s="75"/>
    </row>
    <row r="3723" spans="2:6">
      <c r="B3723" s="75"/>
      <c r="C3723" s="75"/>
      <c r="D3723" s="75"/>
      <c r="E3723" s="75"/>
      <c r="F3723" s="75"/>
    </row>
    <row r="3724" spans="2:6">
      <c r="B3724" s="75"/>
      <c r="C3724" s="75"/>
      <c r="D3724" s="75"/>
      <c r="E3724" s="75"/>
      <c r="F3724" s="75"/>
    </row>
    <row r="3725" spans="2:6">
      <c r="B3725" s="75"/>
      <c r="C3725" s="75"/>
      <c r="D3725" s="75"/>
      <c r="E3725" s="75"/>
      <c r="F3725" s="75"/>
    </row>
    <row r="3726" spans="2:6">
      <c r="B3726" s="75"/>
      <c r="C3726" s="75"/>
      <c r="D3726" s="75"/>
      <c r="E3726" s="75"/>
      <c r="F3726" s="75"/>
    </row>
    <row r="3727" spans="2:6">
      <c r="B3727" s="75"/>
      <c r="C3727" s="75"/>
      <c r="D3727" s="75"/>
      <c r="E3727" s="75"/>
      <c r="F3727" s="75"/>
    </row>
    <row r="3728" spans="2:6">
      <c r="B3728" s="75"/>
      <c r="C3728" s="75"/>
      <c r="D3728" s="75"/>
      <c r="E3728" s="75"/>
      <c r="F3728" s="75"/>
    </row>
    <row r="3729" spans="2:6">
      <c r="B3729" s="75"/>
      <c r="C3729" s="75"/>
      <c r="D3729" s="75"/>
      <c r="E3729" s="75"/>
      <c r="F3729" s="75"/>
    </row>
    <row r="3730" spans="2:6">
      <c r="B3730" s="75"/>
      <c r="C3730" s="75"/>
      <c r="D3730" s="75"/>
      <c r="E3730" s="75"/>
      <c r="F3730" s="75"/>
    </row>
    <row r="3731" spans="2:6">
      <c r="B3731" s="75"/>
      <c r="C3731" s="75"/>
      <c r="D3731" s="75"/>
      <c r="E3731" s="75"/>
      <c r="F3731" s="75"/>
    </row>
    <row r="3732" spans="2:6">
      <c r="B3732" s="75"/>
      <c r="C3732" s="75"/>
      <c r="D3732" s="75"/>
      <c r="E3732" s="75"/>
      <c r="F3732" s="75"/>
    </row>
    <row r="3733" spans="2:6">
      <c r="B3733" s="75"/>
      <c r="C3733" s="75"/>
      <c r="D3733" s="75"/>
      <c r="E3733" s="75"/>
      <c r="F3733" s="75"/>
    </row>
    <row r="3734" spans="2:6">
      <c r="B3734" s="75"/>
      <c r="C3734" s="75"/>
      <c r="D3734" s="75"/>
      <c r="E3734" s="75"/>
      <c r="F3734" s="75"/>
    </row>
    <row r="3735" spans="2:6">
      <c r="B3735" s="75"/>
      <c r="C3735" s="75"/>
      <c r="D3735" s="75"/>
      <c r="E3735" s="75"/>
      <c r="F3735" s="75"/>
    </row>
    <row r="3736" spans="2:6">
      <c r="B3736" s="75"/>
      <c r="C3736" s="75"/>
      <c r="D3736" s="75"/>
      <c r="E3736" s="75"/>
      <c r="F3736" s="75"/>
    </row>
    <row r="3737" spans="2:6">
      <c r="B3737" s="75"/>
      <c r="C3737" s="75"/>
      <c r="D3737" s="75"/>
      <c r="E3737" s="75"/>
      <c r="F3737" s="75"/>
    </row>
    <row r="3738" spans="2:6">
      <c r="B3738" s="75"/>
      <c r="C3738" s="75"/>
      <c r="D3738" s="75"/>
      <c r="E3738" s="75"/>
      <c r="F3738" s="75"/>
    </row>
    <row r="3739" spans="2:6">
      <c r="B3739" s="75"/>
      <c r="C3739" s="75"/>
      <c r="D3739" s="75"/>
      <c r="E3739" s="75"/>
      <c r="F3739" s="75"/>
    </row>
    <row r="3740" spans="2:6">
      <c r="B3740" s="75"/>
      <c r="C3740" s="75"/>
      <c r="D3740" s="75"/>
      <c r="E3740" s="75"/>
      <c r="F3740" s="75"/>
    </row>
    <row r="3741" spans="2:6">
      <c r="B3741" s="75"/>
      <c r="C3741" s="75"/>
      <c r="D3741" s="75"/>
      <c r="E3741" s="75"/>
      <c r="F3741" s="75"/>
    </row>
    <row r="3742" spans="2:6">
      <c r="B3742" s="75"/>
      <c r="C3742" s="75"/>
      <c r="D3742" s="75"/>
      <c r="E3742" s="75"/>
      <c r="F3742" s="75"/>
    </row>
    <row r="3743" spans="2:6">
      <c r="B3743" s="75"/>
      <c r="C3743" s="75"/>
      <c r="D3743" s="75"/>
      <c r="E3743" s="75"/>
      <c r="F3743" s="75"/>
    </row>
    <row r="3744" spans="2:6">
      <c r="B3744" s="75"/>
      <c r="C3744" s="75"/>
      <c r="D3744" s="75"/>
      <c r="E3744" s="75"/>
      <c r="F3744" s="75"/>
    </row>
    <row r="3745" spans="2:6">
      <c r="B3745" s="75"/>
      <c r="C3745" s="75"/>
      <c r="D3745" s="75"/>
      <c r="E3745" s="75"/>
      <c r="F3745" s="75"/>
    </row>
    <row r="3746" spans="2:6">
      <c r="B3746" s="75"/>
      <c r="C3746" s="75"/>
      <c r="D3746" s="75"/>
      <c r="E3746" s="75"/>
      <c r="F3746" s="75"/>
    </row>
    <row r="3747" spans="2:6">
      <c r="B3747" s="75"/>
      <c r="C3747" s="75"/>
      <c r="D3747" s="75"/>
      <c r="E3747" s="75"/>
      <c r="F3747" s="75"/>
    </row>
    <row r="3748" spans="2:6">
      <c r="B3748" s="75"/>
      <c r="C3748" s="75"/>
      <c r="D3748" s="75"/>
      <c r="E3748" s="75"/>
      <c r="F3748" s="75"/>
    </row>
    <row r="3749" spans="2:6">
      <c r="B3749" s="75"/>
      <c r="C3749" s="75"/>
      <c r="D3749" s="75"/>
      <c r="E3749" s="75"/>
      <c r="F3749" s="75"/>
    </row>
    <row r="3750" spans="2:6">
      <c r="B3750" s="75"/>
      <c r="C3750" s="75"/>
      <c r="D3750" s="75"/>
      <c r="E3750" s="75"/>
      <c r="F3750" s="75"/>
    </row>
    <row r="3751" spans="2:6">
      <c r="B3751" s="75"/>
      <c r="C3751" s="75"/>
      <c r="D3751" s="75"/>
      <c r="E3751" s="75"/>
      <c r="F3751" s="75"/>
    </row>
    <row r="3752" spans="2:6">
      <c r="B3752" s="75"/>
      <c r="C3752" s="75"/>
      <c r="D3752" s="75"/>
      <c r="E3752" s="75"/>
      <c r="F3752" s="75"/>
    </row>
    <row r="3753" spans="2:6">
      <c r="B3753" s="75"/>
      <c r="C3753" s="75"/>
      <c r="D3753" s="75"/>
      <c r="E3753" s="75"/>
      <c r="F3753" s="75"/>
    </row>
    <row r="3754" spans="2:6">
      <c r="B3754" s="75"/>
      <c r="C3754" s="75"/>
      <c r="D3754" s="75"/>
      <c r="E3754" s="75"/>
      <c r="F3754" s="75"/>
    </row>
    <row r="3755" spans="2:6">
      <c r="B3755" s="75"/>
      <c r="C3755" s="75"/>
      <c r="D3755" s="75"/>
      <c r="E3755" s="75"/>
      <c r="F3755" s="75"/>
    </row>
    <row r="3756" spans="2:6">
      <c r="B3756" s="75"/>
      <c r="C3756" s="75"/>
      <c r="D3756" s="75"/>
      <c r="E3756" s="75"/>
      <c r="F3756" s="75"/>
    </row>
    <row r="3757" spans="2:6">
      <c r="B3757" s="75"/>
      <c r="C3757" s="75"/>
      <c r="D3757" s="75"/>
      <c r="E3757" s="75"/>
      <c r="F3757" s="75"/>
    </row>
    <row r="3758" spans="2:6">
      <c r="B3758" s="75"/>
      <c r="C3758" s="75"/>
      <c r="D3758" s="75"/>
      <c r="E3758" s="75"/>
      <c r="F3758" s="75"/>
    </row>
    <row r="3759" spans="2:6">
      <c r="B3759" s="75"/>
      <c r="C3759" s="75"/>
      <c r="D3759" s="75"/>
      <c r="E3759" s="75"/>
      <c r="F3759" s="75"/>
    </row>
    <row r="3760" spans="2:6">
      <c r="B3760" s="75"/>
      <c r="C3760" s="75"/>
      <c r="D3760" s="75"/>
      <c r="E3760" s="75"/>
      <c r="F3760" s="75"/>
    </row>
    <row r="3761" spans="2:6">
      <c r="B3761" s="75"/>
      <c r="C3761" s="75"/>
      <c r="D3761" s="75"/>
      <c r="E3761" s="75"/>
      <c r="F3761" s="75"/>
    </row>
    <row r="3762" spans="2:6">
      <c r="B3762" s="75"/>
      <c r="C3762" s="75"/>
      <c r="D3762" s="75"/>
      <c r="E3762" s="75"/>
      <c r="F3762" s="75"/>
    </row>
    <row r="3763" spans="2:6">
      <c r="B3763" s="75"/>
      <c r="C3763" s="75"/>
      <c r="D3763" s="75"/>
      <c r="E3763" s="75"/>
      <c r="F3763" s="75"/>
    </row>
    <row r="3764" spans="2:6">
      <c r="B3764" s="75"/>
      <c r="C3764" s="75"/>
      <c r="D3764" s="75"/>
      <c r="E3764" s="75"/>
      <c r="F3764" s="75"/>
    </row>
    <row r="3765" spans="2:6">
      <c r="B3765" s="75"/>
      <c r="C3765" s="75"/>
      <c r="D3765" s="75"/>
      <c r="E3765" s="75"/>
      <c r="F3765" s="75"/>
    </row>
    <row r="3766" spans="2:6">
      <c r="B3766" s="75"/>
      <c r="C3766" s="75"/>
      <c r="D3766" s="75"/>
      <c r="E3766" s="75"/>
      <c r="F3766" s="75"/>
    </row>
    <row r="3767" spans="2:6">
      <c r="B3767" s="75"/>
      <c r="C3767" s="75"/>
      <c r="D3767" s="75"/>
      <c r="E3767" s="75"/>
      <c r="F3767" s="75"/>
    </row>
    <row r="3768" spans="2:6">
      <c r="B3768" s="75"/>
      <c r="C3768" s="75"/>
      <c r="D3768" s="75"/>
      <c r="E3768" s="75"/>
      <c r="F3768" s="75"/>
    </row>
    <row r="3769" spans="2:6">
      <c r="B3769" s="75"/>
      <c r="C3769" s="75"/>
      <c r="D3769" s="75"/>
      <c r="E3769" s="75"/>
      <c r="F3769" s="75"/>
    </row>
    <row r="3770" spans="2:6">
      <c r="B3770" s="75"/>
      <c r="C3770" s="75"/>
      <c r="D3770" s="75"/>
      <c r="E3770" s="75"/>
      <c r="F3770" s="75"/>
    </row>
    <row r="3771" spans="2:6">
      <c r="B3771" s="75"/>
      <c r="C3771" s="75"/>
      <c r="D3771" s="75"/>
      <c r="E3771" s="75"/>
      <c r="F3771" s="75"/>
    </row>
    <row r="3772" spans="2:6">
      <c r="B3772" s="75"/>
      <c r="C3772" s="75"/>
      <c r="D3772" s="75"/>
      <c r="E3772" s="75"/>
      <c r="F3772" s="75"/>
    </row>
    <row r="3773" spans="2:6">
      <c r="B3773" s="75"/>
      <c r="C3773" s="75"/>
      <c r="D3773" s="75"/>
      <c r="E3773" s="75"/>
      <c r="F3773" s="75"/>
    </row>
    <row r="3774" spans="2:6">
      <c r="B3774" s="75"/>
      <c r="C3774" s="75"/>
      <c r="D3774" s="75"/>
      <c r="E3774" s="75"/>
      <c r="F3774" s="75"/>
    </row>
    <row r="3775" spans="2:6">
      <c r="B3775" s="75"/>
      <c r="C3775" s="75"/>
      <c r="D3775" s="75"/>
      <c r="E3775" s="75"/>
      <c r="F3775" s="75"/>
    </row>
    <row r="3776" spans="2:6">
      <c r="B3776" s="75"/>
      <c r="C3776" s="75"/>
      <c r="D3776" s="75"/>
      <c r="E3776" s="75"/>
      <c r="F3776" s="75"/>
    </row>
    <row r="3777" spans="2:6">
      <c r="B3777" s="75"/>
      <c r="C3777" s="75"/>
      <c r="D3777" s="75"/>
      <c r="E3777" s="75"/>
      <c r="F3777" s="75"/>
    </row>
    <row r="3778" spans="2:6">
      <c r="B3778" s="75"/>
      <c r="C3778" s="75"/>
      <c r="D3778" s="75"/>
      <c r="E3778" s="75"/>
      <c r="F3778" s="75"/>
    </row>
    <row r="3779" spans="2:6">
      <c r="B3779" s="75"/>
      <c r="C3779" s="75"/>
      <c r="D3779" s="75"/>
      <c r="E3779" s="75"/>
      <c r="F3779" s="75"/>
    </row>
    <row r="3780" spans="2:6">
      <c r="B3780" s="75"/>
      <c r="C3780" s="75"/>
      <c r="D3780" s="75"/>
      <c r="E3780" s="75"/>
      <c r="F3780" s="75"/>
    </row>
    <row r="3781" spans="2:6">
      <c r="B3781" s="75"/>
      <c r="C3781" s="75"/>
      <c r="D3781" s="75"/>
      <c r="E3781" s="75"/>
      <c r="F3781" s="75"/>
    </row>
    <row r="3782" spans="2:6">
      <c r="B3782" s="75"/>
      <c r="C3782" s="75"/>
      <c r="D3782" s="75"/>
      <c r="E3782" s="75"/>
      <c r="F3782" s="75"/>
    </row>
    <row r="3783" spans="2:6">
      <c r="B3783" s="75"/>
      <c r="C3783" s="75"/>
      <c r="D3783" s="75"/>
      <c r="E3783" s="75"/>
      <c r="F3783" s="75"/>
    </row>
    <row r="3784" spans="2:6">
      <c r="B3784" s="75"/>
      <c r="C3784" s="75"/>
      <c r="D3784" s="75"/>
      <c r="E3784" s="75"/>
      <c r="F3784" s="75"/>
    </row>
    <row r="3785" spans="2:6">
      <c r="B3785" s="75"/>
      <c r="C3785" s="75"/>
      <c r="D3785" s="75"/>
      <c r="E3785" s="75"/>
      <c r="F3785" s="75"/>
    </row>
    <row r="3786" spans="2:6">
      <c r="B3786" s="75"/>
      <c r="C3786" s="75"/>
      <c r="D3786" s="75"/>
      <c r="E3786" s="75"/>
      <c r="F3786" s="75"/>
    </row>
    <row r="3787" spans="2:6">
      <c r="B3787" s="75"/>
      <c r="C3787" s="75"/>
      <c r="D3787" s="75"/>
      <c r="E3787" s="75"/>
      <c r="F3787" s="75"/>
    </row>
    <row r="3788" spans="2:6">
      <c r="B3788" s="75"/>
      <c r="C3788" s="75"/>
      <c r="D3788" s="75"/>
      <c r="E3788" s="75"/>
      <c r="F3788" s="75"/>
    </row>
    <row r="3789" spans="2:6">
      <c r="B3789" s="75"/>
      <c r="C3789" s="75"/>
      <c r="D3789" s="75"/>
      <c r="E3789" s="75"/>
      <c r="F3789" s="75"/>
    </row>
    <row r="3790" spans="2:6">
      <c r="B3790" s="75"/>
      <c r="C3790" s="75"/>
      <c r="D3790" s="75"/>
      <c r="E3790" s="75"/>
      <c r="F3790" s="75"/>
    </row>
    <row r="3791" spans="2:6">
      <c r="B3791" s="75"/>
      <c r="C3791" s="75"/>
      <c r="D3791" s="75"/>
      <c r="E3791" s="75"/>
      <c r="F3791" s="75"/>
    </row>
    <row r="3792" spans="2:6">
      <c r="B3792" s="75"/>
      <c r="C3792" s="75"/>
      <c r="D3792" s="75"/>
      <c r="E3792" s="75"/>
      <c r="F3792" s="75"/>
    </row>
    <row r="3793" spans="2:6">
      <c r="B3793" s="75"/>
      <c r="C3793" s="75"/>
      <c r="D3793" s="75"/>
      <c r="E3793" s="75"/>
      <c r="F3793" s="75"/>
    </row>
    <row r="3794" spans="2:6">
      <c r="B3794" s="75"/>
      <c r="C3794" s="75"/>
      <c r="D3794" s="75"/>
      <c r="E3794" s="75"/>
      <c r="F3794" s="75"/>
    </row>
    <row r="3795" spans="2:6">
      <c r="B3795" s="75"/>
      <c r="C3795" s="75"/>
      <c r="D3795" s="75"/>
      <c r="E3795" s="75"/>
      <c r="F3795" s="75"/>
    </row>
    <row r="3796" spans="2:6">
      <c r="B3796" s="75"/>
      <c r="C3796" s="75"/>
      <c r="D3796" s="75"/>
      <c r="E3796" s="75"/>
      <c r="F3796" s="75"/>
    </row>
    <row r="3797" spans="2:6">
      <c r="B3797" s="75"/>
      <c r="C3797" s="75"/>
      <c r="D3797" s="75"/>
      <c r="E3797" s="75"/>
      <c r="F3797" s="75"/>
    </row>
    <row r="3798" spans="2:6">
      <c r="B3798" s="75"/>
      <c r="C3798" s="75"/>
      <c r="D3798" s="75"/>
      <c r="E3798" s="75"/>
      <c r="F3798" s="75"/>
    </row>
    <row r="3799" spans="2:6">
      <c r="B3799" s="75"/>
      <c r="C3799" s="75"/>
      <c r="D3799" s="75"/>
      <c r="E3799" s="75"/>
      <c r="F3799" s="75"/>
    </row>
    <row r="3800" spans="2:6">
      <c r="B3800" s="75"/>
      <c r="C3800" s="75"/>
      <c r="D3800" s="75"/>
      <c r="E3800" s="75"/>
      <c r="F3800" s="75"/>
    </row>
    <row r="3801" spans="2:6">
      <c r="B3801" s="75"/>
      <c r="C3801" s="75"/>
      <c r="D3801" s="75"/>
      <c r="E3801" s="75"/>
      <c r="F3801" s="75"/>
    </row>
    <row r="3802" spans="2:6">
      <c r="B3802" s="75"/>
      <c r="C3802" s="75"/>
      <c r="D3802" s="75"/>
      <c r="E3802" s="75"/>
      <c r="F3802" s="75"/>
    </row>
    <row r="3803" spans="2:6">
      <c r="B3803" s="75"/>
      <c r="C3803" s="75"/>
      <c r="D3803" s="75"/>
      <c r="E3803" s="75"/>
      <c r="F3803" s="75"/>
    </row>
    <row r="3804" spans="2:6">
      <c r="B3804" s="75"/>
      <c r="C3804" s="75"/>
      <c r="D3804" s="75"/>
      <c r="E3804" s="75"/>
      <c r="F3804" s="75"/>
    </row>
    <row r="3805" spans="2:6">
      <c r="B3805" s="75"/>
      <c r="C3805" s="75"/>
      <c r="D3805" s="75"/>
      <c r="E3805" s="75"/>
      <c r="F3805" s="75"/>
    </row>
    <row r="3806" spans="2:6">
      <c r="B3806" s="75"/>
      <c r="C3806" s="75"/>
      <c r="D3806" s="75"/>
      <c r="E3806" s="75"/>
      <c r="F3806" s="75"/>
    </row>
    <row r="3807" spans="2:6">
      <c r="B3807" s="75"/>
      <c r="C3807" s="75"/>
      <c r="D3807" s="75"/>
      <c r="E3807" s="75"/>
      <c r="F3807" s="75"/>
    </row>
    <row r="3808" spans="2:6">
      <c r="B3808" s="75"/>
      <c r="C3808" s="75"/>
      <c r="D3808" s="75"/>
      <c r="E3808" s="75"/>
      <c r="F3808" s="75"/>
    </row>
    <row r="3809" spans="2:6">
      <c r="B3809" s="75"/>
      <c r="C3809" s="75"/>
      <c r="D3809" s="75"/>
      <c r="E3809" s="75"/>
      <c r="F3809" s="75"/>
    </row>
    <row r="3810" spans="2:6">
      <c r="B3810" s="75"/>
      <c r="C3810" s="75"/>
      <c r="D3810" s="75"/>
      <c r="E3810" s="75"/>
      <c r="F3810" s="75"/>
    </row>
    <row r="3811" spans="2:6">
      <c r="B3811" s="75"/>
      <c r="C3811" s="75"/>
      <c r="D3811" s="75"/>
      <c r="E3811" s="75"/>
      <c r="F3811" s="75"/>
    </row>
    <row r="3812" spans="2:6">
      <c r="B3812" s="75"/>
      <c r="C3812" s="75"/>
      <c r="D3812" s="75"/>
      <c r="E3812" s="75"/>
      <c r="F3812" s="75"/>
    </row>
    <row r="3813" spans="2:6">
      <c r="B3813" s="75"/>
      <c r="C3813" s="75"/>
      <c r="D3813" s="75"/>
      <c r="E3813" s="75"/>
      <c r="F3813" s="75"/>
    </row>
    <row r="3814" spans="2:6">
      <c r="B3814" s="75"/>
      <c r="C3814" s="75"/>
      <c r="D3814" s="75"/>
      <c r="E3814" s="75"/>
      <c r="F3814" s="75"/>
    </row>
    <row r="3815" spans="2:6">
      <c r="B3815" s="75"/>
      <c r="C3815" s="75"/>
      <c r="D3815" s="75"/>
      <c r="E3815" s="75"/>
      <c r="F3815" s="75"/>
    </row>
    <row r="3816" spans="2:6">
      <c r="B3816" s="75"/>
      <c r="C3816" s="75"/>
      <c r="D3816" s="75"/>
      <c r="E3816" s="75"/>
      <c r="F3816" s="75"/>
    </row>
    <row r="3817" spans="2:6">
      <c r="B3817" s="75"/>
      <c r="C3817" s="75"/>
      <c r="D3817" s="75"/>
      <c r="E3817" s="75"/>
      <c r="F3817" s="75"/>
    </row>
    <row r="3818" spans="2:6">
      <c r="B3818" s="75"/>
      <c r="C3818" s="75"/>
      <c r="D3818" s="75"/>
      <c r="E3818" s="75"/>
      <c r="F3818" s="75"/>
    </row>
    <row r="3819" spans="2:6">
      <c r="B3819" s="75"/>
      <c r="C3819" s="75"/>
      <c r="D3819" s="75"/>
      <c r="E3819" s="75"/>
      <c r="F3819" s="75"/>
    </row>
    <row r="3820" spans="2:6">
      <c r="B3820" s="75"/>
      <c r="C3820" s="75"/>
      <c r="D3820" s="75"/>
      <c r="E3820" s="75"/>
      <c r="F3820" s="75"/>
    </row>
    <row r="3821" spans="2:6">
      <c r="B3821" s="75"/>
      <c r="C3821" s="75"/>
      <c r="D3821" s="75"/>
      <c r="E3821" s="75"/>
      <c r="F3821" s="75"/>
    </row>
    <row r="3822" spans="2:6">
      <c r="B3822" s="75"/>
      <c r="C3822" s="75"/>
      <c r="D3822" s="75"/>
      <c r="E3822" s="75"/>
      <c r="F3822" s="75"/>
    </row>
    <row r="3823" spans="2:6">
      <c r="B3823" s="75"/>
      <c r="C3823" s="75"/>
      <c r="D3823" s="75"/>
      <c r="E3823" s="75"/>
      <c r="F3823" s="75"/>
    </row>
    <row r="3824" spans="2:6">
      <c r="B3824" s="75"/>
      <c r="C3824" s="75"/>
      <c r="D3824" s="75"/>
      <c r="E3824" s="75"/>
      <c r="F3824" s="75"/>
    </row>
    <row r="3825" spans="2:6">
      <c r="B3825" s="75"/>
      <c r="C3825" s="75"/>
      <c r="D3825" s="75"/>
      <c r="E3825" s="75"/>
      <c r="F3825" s="75"/>
    </row>
    <row r="3826" spans="2:6">
      <c r="B3826" s="75"/>
      <c r="C3826" s="75"/>
      <c r="D3826" s="75"/>
      <c r="E3826" s="75"/>
      <c r="F3826" s="75"/>
    </row>
    <row r="3827" spans="2:6">
      <c r="B3827" s="75"/>
      <c r="C3827" s="75"/>
      <c r="D3827" s="75"/>
      <c r="E3827" s="75"/>
      <c r="F3827" s="75"/>
    </row>
    <row r="3828" spans="2:6">
      <c r="B3828" s="75"/>
      <c r="C3828" s="75"/>
      <c r="D3828" s="75"/>
      <c r="E3828" s="75"/>
      <c r="F3828" s="75"/>
    </row>
    <row r="3829" spans="2:6">
      <c r="B3829" s="75"/>
      <c r="C3829" s="75"/>
      <c r="D3829" s="75"/>
      <c r="E3829" s="75"/>
      <c r="F3829" s="75"/>
    </row>
    <row r="3830" spans="2:6">
      <c r="B3830" s="75"/>
      <c r="C3830" s="75"/>
      <c r="D3830" s="75"/>
      <c r="E3830" s="75"/>
      <c r="F3830" s="75"/>
    </row>
    <row r="3831" spans="2:6">
      <c r="B3831" s="75"/>
      <c r="C3831" s="75"/>
      <c r="D3831" s="75"/>
      <c r="E3831" s="75"/>
      <c r="F3831" s="75"/>
    </row>
    <row r="3832" spans="2:6">
      <c r="B3832" s="75"/>
      <c r="C3832" s="75"/>
      <c r="D3832" s="75"/>
      <c r="E3832" s="75"/>
      <c r="F3832" s="75"/>
    </row>
    <row r="3833" spans="2:6">
      <c r="B3833" s="75"/>
      <c r="C3833" s="75"/>
      <c r="D3833" s="75"/>
      <c r="E3833" s="75"/>
      <c r="F3833" s="75"/>
    </row>
    <row r="3834" spans="2:6">
      <c r="B3834" s="75"/>
      <c r="C3834" s="75"/>
      <c r="D3834" s="75"/>
      <c r="E3834" s="75"/>
      <c r="F3834" s="75"/>
    </row>
    <row r="3835" spans="2:6">
      <c r="B3835" s="75"/>
      <c r="C3835" s="75"/>
      <c r="D3835" s="75"/>
      <c r="E3835" s="75"/>
      <c r="F3835" s="75"/>
    </row>
    <row r="3836" spans="2:6">
      <c r="B3836" s="75"/>
      <c r="C3836" s="75"/>
      <c r="D3836" s="75"/>
      <c r="E3836" s="75"/>
      <c r="F3836" s="75"/>
    </row>
    <row r="3837" spans="2:6">
      <c r="B3837" s="75"/>
      <c r="C3837" s="75"/>
      <c r="D3837" s="75"/>
      <c r="E3837" s="75"/>
      <c r="F3837" s="75"/>
    </row>
    <row r="3838" spans="2:6">
      <c r="B3838" s="75"/>
      <c r="C3838" s="75"/>
      <c r="D3838" s="75"/>
      <c r="E3838" s="75"/>
      <c r="F3838" s="75"/>
    </row>
    <row r="3839" spans="2:6">
      <c r="B3839" s="75"/>
      <c r="C3839" s="75"/>
      <c r="D3839" s="75"/>
      <c r="E3839" s="75"/>
      <c r="F3839" s="75"/>
    </row>
    <row r="3840" spans="2:6">
      <c r="B3840" s="75"/>
      <c r="C3840" s="75"/>
      <c r="D3840" s="75"/>
      <c r="E3840" s="75"/>
      <c r="F3840" s="75"/>
    </row>
    <row r="3841" spans="2:6">
      <c r="B3841" s="75"/>
      <c r="C3841" s="75"/>
      <c r="D3841" s="75"/>
      <c r="E3841" s="75"/>
      <c r="F3841" s="75"/>
    </row>
    <row r="3842" spans="2:6">
      <c r="B3842" s="75"/>
      <c r="C3842" s="75"/>
      <c r="D3842" s="75"/>
      <c r="E3842" s="75"/>
      <c r="F3842" s="75"/>
    </row>
    <row r="3843" spans="2:6">
      <c r="B3843" s="75"/>
      <c r="C3843" s="75"/>
      <c r="D3843" s="75"/>
      <c r="E3843" s="75"/>
      <c r="F3843" s="75"/>
    </row>
    <row r="3844" spans="2:6">
      <c r="B3844" s="75"/>
      <c r="C3844" s="75"/>
      <c r="D3844" s="75"/>
      <c r="E3844" s="75"/>
      <c r="F3844" s="75"/>
    </row>
    <row r="3845" spans="2:6">
      <c r="B3845" s="75"/>
      <c r="C3845" s="75"/>
      <c r="D3845" s="75"/>
      <c r="E3845" s="75"/>
      <c r="F3845" s="75"/>
    </row>
    <row r="3846" spans="2:6">
      <c r="B3846" s="75"/>
      <c r="C3846" s="75"/>
      <c r="D3846" s="75"/>
      <c r="E3846" s="75"/>
      <c r="F3846" s="75"/>
    </row>
    <row r="3847" spans="2:6">
      <c r="B3847" s="75"/>
      <c r="C3847" s="75"/>
      <c r="D3847" s="75"/>
      <c r="E3847" s="75"/>
      <c r="F3847" s="75"/>
    </row>
    <row r="3848" spans="2:6">
      <c r="B3848" s="75"/>
      <c r="C3848" s="75"/>
      <c r="D3848" s="75"/>
      <c r="E3848" s="75"/>
      <c r="F3848" s="75"/>
    </row>
    <row r="3849" spans="2:6">
      <c r="B3849" s="75"/>
      <c r="C3849" s="75"/>
      <c r="D3849" s="75"/>
      <c r="E3849" s="75"/>
      <c r="F3849" s="75"/>
    </row>
    <row r="3850" spans="2:6">
      <c r="B3850" s="75"/>
      <c r="C3850" s="75"/>
      <c r="D3850" s="75"/>
      <c r="E3850" s="75"/>
      <c r="F3850" s="75"/>
    </row>
    <row r="3851" spans="2:6">
      <c r="B3851" s="75"/>
      <c r="C3851" s="75"/>
      <c r="D3851" s="75"/>
      <c r="E3851" s="75"/>
      <c r="F3851" s="75"/>
    </row>
    <row r="3852" spans="2:6">
      <c r="B3852" s="75"/>
      <c r="C3852" s="75"/>
      <c r="D3852" s="75"/>
      <c r="E3852" s="75"/>
      <c r="F3852" s="75"/>
    </row>
    <row r="3853" spans="2:6">
      <c r="B3853" s="75"/>
      <c r="C3853" s="75"/>
      <c r="D3853" s="75"/>
      <c r="E3853" s="75"/>
      <c r="F3853" s="75"/>
    </row>
    <row r="3854" spans="2:6">
      <c r="B3854" s="75"/>
      <c r="C3854" s="75"/>
      <c r="D3854" s="75"/>
      <c r="E3854" s="75"/>
      <c r="F3854" s="75"/>
    </row>
    <row r="3855" spans="2:6">
      <c r="B3855" s="75"/>
      <c r="C3855" s="75"/>
      <c r="D3855" s="75"/>
      <c r="E3855" s="75"/>
      <c r="F3855" s="75"/>
    </row>
    <row r="3856" spans="2:6">
      <c r="B3856" s="75"/>
      <c r="C3856" s="75"/>
      <c r="D3856" s="75"/>
      <c r="E3856" s="75"/>
      <c r="F3856" s="75"/>
    </row>
    <row r="3857" spans="2:6">
      <c r="B3857" s="75"/>
      <c r="C3857" s="75"/>
      <c r="D3857" s="75"/>
      <c r="E3857" s="75"/>
      <c r="F3857" s="75"/>
    </row>
    <row r="3858" spans="2:6">
      <c r="B3858" s="75"/>
      <c r="C3858" s="75"/>
      <c r="D3858" s="75"/>
      <c r="E3858" s="75"/>
      <c r="F3858" s="75"/>
    </row>
    <row r="3859" spans="2:6">
      <c r="B3859" s="75"/>
      <c r="C3859" s="75"/>
      <c r="D3859" s="75"/>
      <c r="E3859" s="75"/>
      <c r="F3859" s="75"/>
    </row>
    <row r="3860" spans="2:6">
      <c r="B3860" s="75"/>
      <c r="C3860" s="75"/>
      <c r="D3860" s="75"/>
      <c r="E3860" s="75"/>
      <c r="F3860" s="75"/>
    </row>
    <row r="3861" spans="2:6">
      <c r="B3861" s="75"/>
      <c r="C3861" s="75"/>
      <c r="D3861" s="75"/>
      <c r="E3861" s="75"/>
      <c r="F3861" s="75"/>
    </row>
    <row r="3862" spans="2:6">
      <c r="B3862" s="75"/>
      <c r="C3862" s="75"/>
      <c r="D3862" s="75"/>
      <c r="E3862" s="75"/>
      <c r="F3862" s="75"/>
    </row>
    <row r="3863" spans="2:6">
      <c r="B3863" s="75"/>
      <c r="C3863" s="75"/>
      <c r="D3863" s="75"/>
      <c r="E3863" s="75"/>
      <c r="F3863" s="75"/>
    </row>
    <row r="3864" spans="2:6">
      <c r="B3864" s="75"/>
      <c r="C3864" s="75"/>
      <c r="D3864" s="75"/>
      <c r="E3864" s="75"/>
      <c r="F3864" s="75"/>
    </row>
    <row r="3865" spans="2:6">
      <c r="B3865" s="75"/>
      <c r="C3865" s="75"/>
      <c r="D3865" s="75"/>
      <c r="E3865" s="75"/>
      <c r="F3865" s="75"/>
    </row>
    <row r="3866" spans="2:6">
      <c r="B3866" s="75"/>
      <c r="C3866" s="75"/>
      <c r="D3866" s="75"/>
      <c r="E3866" s="75"/>
      <c r="F3866" s="75"/>
    </row>
    <row r="3867" spans="2:6">
      <c r="B3867" s="75"/>
      <c r="C3867" s="75"/>
      <c r="D3867" s="75"/>
      <c r="E3867" s="75"/>
      <c r="F3867" s="75"/>
    </row>
    <row r="3868" spans="2:6">
      <c r="B3868" s="75"/>
      <c r="C3868" s="75"/>
      <c r="D3868" s="75"/>
      <c r="E3868" s="75"/>
      <c r="F3868" s="75"/>
    </row>
    <row r="3869" spans="2:6">
      <c r="B3869" s="75"/>
      <c r="C3869" s="75"/>
      <c r="D3869" s="75"/>
      <c r="E3869" s="75"/>
      <c r="F3869" s="75"/>
    </row>
    <row r="3870" spans="2:6">
      <c r="B3870" s="75"/>
      <c r="C3870" s="75"/>
      <c r="D3870" s="75"/>
      <c r="E3870" s="75"/>
      <c r="F3870" s="75"/>
    </row>
    <row r="3871" spans="2:6">
      <c r="B3871" s="75"/>
      <c r="C3871" s="75"/>
      <c r="D3871" s="75"/>
      <c r="E3871" s="75"/>
      <c r="F3871" s="75"/>
    </row>
    <row r="3872" spans="2:6">
      <c r="B3872" s="75"/>
      <c r="C3872" s="75"/>
      <c r="D3872" s="75"/>
      <c r="E3872" s="75"/>
      <c r="F3872" s="75"/>
    </row>
    <row r="3873" spans="2:6">
      <c r="B3873" s="75"/>
      <c r="C3873" s="75"/>
      <c r="D3873" s="75"/>
      <c r="E3873" s="75"/>
      <c r="F3873" s="75"/>
    </row>
    <row r="3874" spans="2:6">
      <c r="B3874" s="75"/>
      <c r="C3874" s="75"/>
      <c r="D3874" s="75"/>
      <c r="E3874" s="75"/>
      <c r="F3874" s="75"/>
    </row>
    <row r="3875" spans="2:6">
      <c r="B3875" s="75"/>
      <c r="C3875" s="75"/>
      <c r="D3875" s="75"/>
      <c r="E3875" s="75"/>
      <c r="F3875" s="75"/>
    </row>
    <row r="3876" spans="2:6">
      <c r="B3876" s="75"/>
      <c r="C3876" s="75"/>
      <c r="D3876" s="75"/>
      <c r="E3876" s="75"/>
      <c r="F3876" s="75"/>
    </row>
    <row r="3877" spans="2:6">
      <c r="B3877" s="75"/>
      <c r="C3877" s="75"/>
      <c r="D3877" s="75"/>
      <c r="E3877" s="75"/>
      <c r="F3877" s="75"/>
    </row>
    <row r="3878" spans="2:6">
      <c r="B3878" s="75"/>
      <c r="C3878" s="75"/>
      <c r="D3878" s="75"/>
      <c r="E3878" s="75"/>
      <c r="F3878" s="75"/>
    </row>
    <row r="3879" spans="2:6">
      <c r="B3879" s="75"/>
      <c r="C3879" s="75"/>
      <c r="D3879" s="75"/>
      <c r="E3879" s="75"/>
      <c r="F3879" s="75"/>
    </row>
    <row r="3880" spans="2:6">
      <c r="B3880" s="75"/>
      <c r="C3880" s="75"/>
      <c r="D3880" s="75"/>
      <c r="E3880" s="75"/>
      <c r="F3880" s="75"/>
    </row>
    <row r="3881" spans="2:6">
      <c r="B3881" s="75"/>
      <c r="C3881" s="75"/>
      <c r="D3881" s="75"/>
      <c r="E3881" s="75"/>
      <c r="F3881" s="75"/>
    </row>
    <row r="3882" spans="2:6">
      <c r="B3882" s="75"/>
      <c r="C3882" s="75"/>
      <c r="D3882" s="75"/>
      <c r="E3882" s="75"/>
      <c r="F3882" s="75"/>
    </row>
    <row r="3883" spans="2:6">
      <c r="B3883" s="75"/>
      <c r="C3883" s="75"/>
      <c r="D3883" s="75"/>
      <c r="E3883" s="75"/>
      <c r="F3883" s="75"/>
    </row>
    <row r="3884" spans="2:6">
      <c r="B3884" s="75"/>
      <c r="C3884" s="75"/>
      <c r="D3884" s="75"/>
      <c r="E3884" s="75"/>
      <c r="F3884" s="75"/>
    </row>
    <row r="3885" spans="2:6">
      <c r="B3885" s="75"/>
      <c r="C3885" s="75"/>
      <c r="D3885" s="75"/>
      <c r="E3885" s="75"/>
      <c r="F3885" s="75"/>
    </row>
    <row r="3886" spans="2:6">
      <c r="B3886" s="75"/>
      <c r="C3886" s="75"/>
      <c r="D3886" s="75"/>
      <c r="E3886" s="75"/>
      <c r="F3886" s="75"/>
    </row>
    <row r="3887" spans="2:6">
      <c r="B3887" s="75"/>
      <c r="C3887" s="75"/>
      <c r="D3887" s="75"/>
      <c r="E3887" s="75"/>
      <c r="F3887" s="75"/>
    </row>
    <row r="3888" spans="2:6">
      <c r="B3888" s="75"/>
      <c r="C3888" s="75"/>
      <c r="D3888" s="75"/>
      <c r="E3888" s="75"/>
      <c r="F3888" s="75"/>
    </row>
    <row r="3889" spans="2:6">
      <c r="B3889" s="75"/>
      <c r="C3889" s="75"/>
      <c r="D3889" s="75"/>
      <c r="E3889" s="75"/>
      <c r="F3889" s="75"/>
    </row>
    <row r="3890" spans="2:6">
      <c r="B3890" s="75"/>
      <c r="C3890" s="75"/>
      <c r="D3890" s="75"/>
      <c r="E3890" s="75"/>
      <c r="F3890" s="75"/>
    </row>
    <row r="3891" spans="2:6">
      <c r="B3891" s="75"/>
      <c r="C3891" s="75"/>
      <c r="D3891" s="75"/>
      <c r="E3891" s="75"/>
      <c r="F3891" s="75"/>
    </row>
    <row r="3892" spans="2:6">
      <c r="B3892" s="75"/>
      <c r="C3892" s="75"/>
      <c r="D3892" s="75"/>
      <c r="E3892" s="75"/>
      <c r="F3892" s="75"/>
    </row>
    <row r="3893" spans="2:6">
      <c r="B3893" s="75"/>
      <c r="C3893" s="75"/>
      <c r="D3893" s="75"/>
      <c r="E3893" s="75"/>
      <c r="F3893" s="75"/>
    </row>
    <row r="3894" spans="2:6">
      <c r="B3894" s="75"/>
      <c r="C3894" s="75"/>
      <c r="D3894" s="75"/>
      <c r="E3894" s="75"/>
      <c r="F3894" s="75"/>
    </row>
    <row r="3895" spans="2:6">
      <c r="B3895" s="75"/>
      <c r="C3895" s="75"/>
      <c r="D3895" s="75"/>
      <c r="E3895" s="75"/>
      <c r="F3895" s="75"/>
    </row>
    <row r="3896" spans="2:6">
      <c r="B3896" s="75"/>
      <c r="C3896" s="75"/>
      <c r="D3896" s="75"/>
      <c r="E3896" s="75"/>
      <c r="F3896" s="75"/>
    </row>
    <row r="3897" spans="2:6">
      <c r="B3897" s="75"/>
      <c r="C3897" s="75"/>
      <c r="D3897" s="75"/>
      <c r="E3897" s="75"/>
      <c r="F3897" s="75"/>
    </row>
    <row r="3898" spans="2:6">
      <c r="B3898" s="75"/>
      <c r="C3898" s="75"/>
      <c r="D3898" s="75"/>
      <c r="E3898" s="75"/>
      <c r="F3898" s="75"/>
    </row>
    <row r="3899" spans="2:6">
      <c r="B3899" s="75"/>
      <c r="C3899" s="75"/>
      <c r="D3899" s="75"/>
      <c r="E3899" s="75"/>
      <c r="F3899" s="75"/>
    </row>
    <row r="3900" spans="2:6">
      <c r="B3900" s="75"/>
      <c r="C3900" s="75"/>
      <c r="D3900" s="75"/>
      <c r="E3900" s="75"/>
      <c r="F3900" s="75"/>
    </row>
    <row r="3901" spans="2:6">
      <c r="B3901" s="75"/>
      <c r="C3901" s="75"/>
      <c r="D3901" s="75"/>
      <c r="E3901" s="75"/>
      <c r="F3901" s="75"/>
    </row>
    <row r="3902" spans="2:6">
      <c r="B3902" s="75"/>
      <c r="C3902" s="75"/>
      <c r="D3902" s="75"/>
      <c r="E3902" s="75"/>
      <c r="F3902" s="75"/>
    </row>
    <row r="3903" spans="2:6">
      <c r="B3903" s="75"/>
      <c r="C3903" s="75"/>
      <c r="D3903" s="75"/>
      <c r="E3903" s="75"/>
      <c r="F3903" s="75"/>
    </row>
    <row r="3904" spans="2:6">
      <c r="B3904" s="75"/>
      <c r="C3904" s="75"/>
      <c r="D3904" s="75"/>
      <c r="E3904" s="75"/>
      <c r="F3904" s="75"/>
    </row>
    <row r="3905" spans="2:6">
      <c r="B3905" s="75"/>
      <c r="C3905" s="75"/>
      <c r="D3905" s="75"/>
      <c r="E3905" s="75"/>
      <c r="F3905" s="75"/>
    </row>
    <row r="3906" spans="2:6">
      <c r="B3906" s="75"/>
      <c r="C3906" s="75"/>
      <c r="D3906" s="75"/>
      <c r="E3906" s="75"/>
      <c r="F3906" s="75"/>
    </row>
    <row r="3907" spans="2:6">
      <c r="B3907" s="75"/>
      <c r="C3907" s="75"/>
      <c r="D3907" s="75"/>
      <c r="E3907" s="75"/>
      <c r="F3907" s="75"/>
    </row>
    <row r="3908" spans="2:6">
      <c r="B3908" s="75"/>
      <c r="C3908" s="75"/>
      <c r="D3908" s="75"/>
      <c r="E3908" s="75"/>
      <c r="F3908" s="75"/>
    </row>
    <row r="3909" spans="2:6">
      <c r="B3909" s="75"/>
      <c r="C3909" s="75"/>
      <c r="D3909" s="75"/>
      <c r="E3909" s="75"/>
      <c r="F3909" s="75"/>
    </row>
    <row r="3910" spans="2:6">
      <c r="B3910" s="75"/>
      <c r="C3910" s="75"/>
      <c r="D3910" s="75"/>
      <c r="E3910" s="75"/>
      <c r="F3910" s="75"/>
    </row>
    <row r="3911" spans="2:6">
      <c r="B3911" s="75"/>
      <c r="C3911" s="75"/>
      <c r="D3911" s="75"/>
      <c r="E3911" s="75"/>
      <c r="F3911" s="75"/>
    </row>
    <row r="3912" spans="2:6">
      <c r="B3912" s="75"/>
      <c r="C3912" s="75"/>
      <c r="D3912" s="75"/>
      <c r="E3912" s="75"/>
      <c r="F3912" s="75"/>
    </row>
    <row r="3913" spans="2:6">
      <c r="B3913" s="75"/>
      <c r="C3913" s="75"/>
      <c r="D3913" s="75"/>
      <c r="E3913" s="75"/>
      <c r="F3913" s="75"/>
    </row>
    <row r="3914" spans="2:6">
      <c r="B3914" s="75"/>
      <c r="C3914" s="75"/>
      <c r="D3914" s="75"/>
      <c r="E3914" s="75"/>
      <c r="F3914" s="75"/>
    </row>
    <row r="3915" spans="2:6">
      <c r="B3915" s="75"/>
      <c r="C3915" s="75"/>
      <c r="D3915" s="75"/>
      <c r="E3915" s="75"/>
      <c r="F3915" s="75"/>
    </row>
    <row r="3916" spans="2:6">
      <c r="B3916" s="75"/>
      <c r="C3916" s="75"/>
      <c r="D3916" s="75"/>
      <c r="E3916" s="75"/>
      <c r="F3916" s="75"/>
    </row>
    <row r="3917" spans="2:6">
      <c r="B3917" s="75"/>
      <c r="C3917" s="75"/>
      <c r="D3917" s="75"/>
      <c r="E3917" s="75"/>
      <c r="F3917" s="75"/>
    </row>
    <row r="3918" spans="2:6">
      <c r="B3918" s="75"/>
      <c r="C3918" s="75"/>
      <c r="D3918" s="75"/>
      <c r="E3918" s="75"/>
      <c r="F3918" s="75"/>
    </row>
    <row r="3919" spans="2:6">
      <c r="B3919" s="75"/>
      <c r="C3919" s="75"/>
      <c r="D3919" s="75"/>
      <c r="E3919" s="75"/>
      <c r="F3919" s="75"/>
    </row>
    <row r="3920" spans="2:6">
      <c r="B3920" s="75"/>
      <c r="C3920" s="75"/>
      <c r="D3920" s="75"/>
      <c r="E3920" s="75"/>
      <c r="F3920" s="75"/>
    </row>
    <row r="3921" spans="2:6">
      <c r="B3921" s="75"/>
      <c r="C3921" s="75"/>
      <c r="D3921" s="75"/>
      <c r="E3921" s="75"/>
      <c r="F3921" s="75"/>
    </row>
    <row r="3922" spans="2:6">
      <c r="B3922" s="75"/>
      <c r="C3922" s="75"/>
      <c r="D3922" s="75"/>
      <c r="E3922" s="75"/>
      <c r="F3922" s="75"/>
    </row>
    <row r="3923" spans="2:6">
      <c r="B3923" s="75"/>
      <c r="C3923" s="75"/>
      <c r="D3923" s="75"/>
      <c r="E3923" s="75"/>
      <c r="F3923" s="75"/>
    </row>
    <row r="3924" spans="2:6">
      <c r="B3924" s="75"/>
      <c r="C3924" s="75"/>
      <c r="D3924" s="75"/>
      <c r="E3924" s="75"/>
      <c r="F3924" s="75"/>
    </row>
    <row r="3925" spans="2:6">
      <c r="B3925" s="75"/>
      <c r="C3925" s="75"/>
      <c r="D3925" s="75"/>
      <c r="E3925" s="75"/>
      <c r="F3925" s="75"/>
    </row>
    <row r="3926" spans="2:6">
      <c r="B3926" s="75"/>
      <c r="C3926" s="75"/>
      <c r="D3926" s="75"/>
      <c r="E3926" s="75"/>
      <c r="F3926" s="75"/>
    </row>
    <row r="3927" spans="2:6">
      <c r="B3927" s="75"/>
      <c r="C3927" s="75"/>
      <c r="D3927" s="75"/>
      <c r="E3927" s="75"/>
      <c r="F3927" s="75"/>
    </row>
    <row r="3928" spans="2:6">
      <c r="B3928" s="75"/>
      <c r="C3928" s="75"/>
      <c r="D3928" s="75"/>
      <c r="E3928" s="75"/>
      <c r="F3928" s="75"/>
    </row>
    <row r="3929" spans="2:6">
      <c r="B3929" s="75"/>
      <c r="C3929" s="75"/>
      <c r="D3929" s="75"/>
      <c r="E3929" s="75"/>
      <c r="F3929" s="75"/>
    </row>
    <row r="3930" spans="2:6">
      <c r="B3930" s="75"/>
      <c r="C3930" s="75"/>
      <c r="D3930" s="75"/>
      <c r="E3930" s="75"/>
      <c r="F3930" s="75"/>
    </row>
    <row r="3931" spans="2:6">
      <c r="B3931" s="75"/>
      <c r="C3931" s="75"/>
      <c r="D3931" s="75"/>
      <c r="E3931" s="75"/>
      <c r="F3931" s="75"/>
    </row>
    <row r="3932" spans="2:6">
      <c r="B3932" s="75"/>
      <c r="C3932" s="75"/>
      <c r="D3932" s="75"/>
      <c r="E3932" s="75"/>
      <c r="F3932" s="75"/>
    </row>
    <row r="3933" spans="2:6">
      <c r="B3933" s="75"/>
      <c r="C3933" s="75"/>
      <c r="D3933" s="75"/>
      <c r="E3933" s="75"/>
      <c r="F3933" s="75"/>
    </row>
    <row r="3934" spans="2:6">
      <c r="B3934" s="75"/>
      <c r="C3934" s="75"/>
      <c r="D3934" s="75"/>
      <c r="E3934" s="75"/>
      <c r="F3934" s="75"/>
    </row>
    <row r="3935" spans="2:6">
      <c r="B3935" s="75"/>
      <c r="C3935" s="75"/>
      <c r="D3935" s="75"/>
      <c r="E3935" s="75"/>
      <c r="F3935" s="75"/>
    </row>
    <row r="3936" spans="2:6">
      <c r="B3936" s="75"/>
      <c r="C3936" s="75"/>
      <c r="D3936" s="75"/>
      <c r="E3936" s="75"/>
      <c r="F3936" s="75"/>
    </row>
    <row r="3937" spans="2:6">
      <c r="B3937" s="75"/>
      <c r="C3937" s="75"/>
      <c r="D3937" s="75"/>
      <c r="E3937" s="75"/>
      <c r="F3937" s="75"/>
    </row>
    <row r="3938" spans="2:6">
      <c r="B3938" s="75"/>
      <c r="C3938" s="75"/>
      <c r="D3938" s="75"/>
      <c r="E3938" s="75"/>
      <c r="F3938" s="75"/>
    </row>
    <row r="3939" spans="2:6">
      <c r="B3939" s="75"/>
      <c r="C3939" s="75"/>
      <c r="D3939" s="75"/>
      <c r="E3939" s="75"/>
      <c r="F3939" s="75"/>
    </row>
    <row r="3940" spans="2:6">
      <c r="B3940" s="75"/>
      <c r="C3940" s="75"/>
      <c r="D3940" s="75"/>
      <c r="E3940" s="75"/>
      <c r="F3940" s="75"/>
    </row>
    <row r="3941" spans="2:6">
      <c r="B3941" s="75"/>
      <c r="C3941" s="75"/>
      <c r="D3941" s="75"/>
      <c r="E3941" s="75"/>
      <c r="F3941" s="75"/>
    </row>
    <row r="3942" spans="2:6">
      <c r="B3942" s="75"/>
      <c r="C3942" s="75"/>
      <c r="D3942" s="75"/>
      <c r="E3942" s="75"/>
      <c r="F3942" s="75"/>
    </row>
    <row r="3943" spans="2:6">
      <c r="B3943" s="75"/>
      <c r="C3943" s="75"/>
      <c r="D3943" s="75"/>
      <c r="E3943" s="75"/>
      <c r="F3943" s="75"/>
    </row>
    <row r="3944" spans="2:6">
      <c r="B3944" s="75"/>
      <c r="C3944" s="75"/>
      <c r="D3944" s="75"/>
      <c r="E3944" s="75"/>
      <c r="F3944" s="75"/>
    </row>
    <row r="3945" spans="2:6">
      <c r="B3945" s="75"/>
      <c r="C3945" s="75"/>
      <c r="D3945" s="75"/>
      <c r="E3945" s="75"/>
      <c r="F3945" s="75"/>
    </row>
    <row r="3946" spans="2:6">
      <c r="B3946" s="75"/>
      <c r="C3946" s="75"/>
      <c r="D3946" s="75"/>
      <c r="E3946" s="75"/>
      <c r="F3946" s="75"/>
    </row>
    <row r="3947" spans="2:6">
      <c r="B3947" s="75"/>
      <c r="C3947" s="75"/>
      <c r="D3947" s="75"/>
      <c r="E3947" s="75"/>
      <c r="F3947" s="75"/>
    </row>
    <row r="3948" spans="2:6">
      <c r="B3948" s="75"/>
      <c r="C3948" s="75"/>
      <c r="D3948" s="75"/>
      <c r="E3948" s="75"/>
      <c r="F3948" s="75"/>
    </row>
    <row r="3949" spans="2:6">
      <c r="B3949" s="75"/>
      <c r="C3949" s="75"/>
      <c r="D3949" s="75"/>
      <c r="E3949" s="75"/>
      <c r="F3949" s="75"/>
    </row>
    <row r="3950" spans="2:6">
      <c r="B3950" s="75"/>
      <c r="C3950" s="75"/>
      <c r="D3950" s="75"/>
      <c r="E3950" s="75"/>
      <c r="F3950" s="75"/>
    </row>
    <row r="3951" spans="2:6">
      <c r="B3951" s="75"/>
      <c r="C3951" s="75"/>
      <c r="D3951" s="75"/>
      <c r="E3951" s="75"/>
      <c r="F3951" s="75"/>
    </row>
    <row r="3952" spans="2:6">
      <c r="B3952" s="75"/>
      <c r="C3952" s="75"/>
      <c r="D3952" s="75"/>
      <c r="E3952" s="75"/>
      <c r="F3952" s="75"/>
    </row>
    <row r="3953" spans="2:6">
      <c r="B3953" s="75"/>
      <c r="C3953" s="75"/>
      <c r="D3953" s="75"/>
      <c r="E3953" s="75"/>
      <c r="F3953" s="75"/>
    </row>
    <row r="3954" spans="2:6">
      <c r="B3954" s="75"/>
      <c r="C3954" s="75"/>
      <c r="D3954" s="75"/>
      <c r="E3954" s="75"/>
      <c r="F3954" s="75"/>
    </row>
    <row r="3955" spans="2:6">
      <c r="B3955" s="75"/>
      <c r="C3955" s="75"/>
      <c r="D3955" s="75"/>
      <c r="E3955" s="75"/>
      <c r="F3955" s="75"/>
    </row>
    <row r="3956" spans="2:6">
      <c r="B3956" s="75"/>
      <c r="C3956" s="75"/>
      <c r="D3956" s="75"/>
      <c r="E3956" s="75"/>
      <c r="F3956" s="75"/>
    </row>
    <row r="3957" spans="2:6">
      <c r="B3957" s="75"/>
      <c r="C3957" s="75"/>
      <c r="D3957" s="75"/>
      <c r="E3957" s="75"/>
      <c r="F3957" s="75"/>
    </row>
    <row r="3958" spans="2:6">
      <c r="B3958" s="75"/>
      <c r="C3958" s="75"/>
      <c r="D3958" s="75"/>
      <c r="E3958" s="75"/>
      <c r="F3958" s="75"/>
    </row>
    <row r="3959" spans="2:6">
      <c r="B3959" s="75"/>
      <c r="C3959" s="75"/>
      <c r="D3959" s="75"/>
      <c r="E3959" s="75"/>
      <c r="F3959" s="75"/>
    </row>
    <row r="3960" spans="2:6">
      <c r="B3960" s="75"/>
      <c r="C3960" s="75"/>
      <c r="D3960" s="75"/>
      <c r="E3960" s="75"/>
      <c r="F3960" s="75"/>
    </row>
    <row r="3961" spans="2:6">
      <c r="B3961" s="75"/>
      <c r="C3961" s="75"/>
      <c r="D3961" s="75"/>
      <c r="E3961" s="75"/>
      <c r="F3961" s="75"/>
    </row>
    <row r="3962" spans="2:6">
      <c r="B3962" s="75"/>
      <c r="C3962" s="75"/>
      <c r="D3962" s="75"/>
      <c r="E3962" s="75"/>
      <c r="F3962" s="75"/>
    </row>
    <row r="3963" spans="2:6">
      <c r="B3963" s="75"/>
      <c r="C3963" s="75"/>
      <c r="D3963" s="75"/>
      <c r="E3963" s="75"/>
      <c r="F3963" s="75"/>
    </row>
    <row r="3964" spans="2:6">
      <c r="B3964" s="75"/>
      <c r="C3964" s="75"/>
      <c r="D3964" s="75"/>
      <c r="E3964" s="75"/>
      <c r="F3964" s="75"/>
    </row>
    <row r="3965" spans="2:6">
      <c r="B3965" s="75"/>
      <c r="C3965" s="75"/>
      <c r="D3965" s="75"/>
      <c r="E3965" s="75"/>
      <c r="F3965" s="75"/>
    </row>
    <row r="3966" spans="2:6">
      <c r="B3966" s="75"/>
      <c r="C3966" s="75"/>
      <c r="D3966" s="75"/>
      <c r="E3966" s="75"/>
      <c r="F3966" s="75"/>
    </row>
    <row r="3967" spans="2:6">
      <c r="B3967" s="75"/>
      <c r="C3967" s="75"/>
      <c r="D3967" s="75"/>
      <c r="E3967" s="75"/>
      <c r="F3967" s="75"/>
    </row>
    <row r="3968" spans="2:6">
      <c r="B3968" s="75"/>
      <c r="C3968" s="75"/>
      <c r="D3968" s="75"/>
      <c r="E3968" s="75"/>
      <c r="F3968" s="75"/>
    </row>
    <row r="3969" spans="2:6">
      <c r="B3969" s="75"/>
      <c r="C3969" s="75"/>
      <c r="D3969" s="75"/>
      <c r="E3969" s="75"/>
      <c r="F3969" s="75"/>
    </row>
    <row r="3970" spans="2:6">
      <c r="B3970" s="75"/>
      <c r="C3970" s="75"/>
      <c r="D3970" s="75"/>
      <c r="E3970" s="75"/>
      <c r="F3970" s="75"/>
    </row>
    <row r="3971" spans="2:6">
      <c r="B3971" s="75"/>
      <c r="C3971" s="75"/>
      <c r="D3971" s="75"/>
      <c r="E3971" s="75"/>
      <c r="F3971" s="75"/>
    </row>
    <row r="3972" spans="2:6">
      <c r="B3972" s="75"/>
      <c r="C3972" s="75"/>
      <c r="D3972" s="75"/>
      <c r="E3972" s="75"/>
      <c r="F3972" s="75"/>
    </row>
    <row r="3973" spans="2:6">
      <c r="B3973" s="75"/>
      <c r="C3973" s="75"/>
      <c r="D3973" s="75"/>
      <c r="E3973" s="75"/>
      <c r="F3973" s="75"/>
    </row>
    <row r="3974" spans="2:6">
      <c r="B3974" s="75"/>
      <c r="C3974" s="75"/>
      <c r="D3974" s="75"/>
      <c r="E3974" s="75"/>
      <c r="F3974" s="75"/>
    </row>
    <row r="3975" spans="2:6">
      <c r="B3975" s="75"/>
      <c r="C3975" s="75"/>
      <c r="D3975" s="75"/>
      <c r="E3975" s="75"/>
      <c r="F3975" s="75"/>
    </row>
    <row r="3976" spans="2:6">
      <c r="B3976" s="75"/>
      <c r="C3976" s="75"/>
      <c r="D3976" s="75"/>
      <c r="E3976" s="75"/>
      <c r="F3976" s="75"/>
    </row>
    <row r="3977" spans="2:6">
      <c r="B3977" s="75"/>
      <c r="C3977" s="75"/>
      <c r="D3977" s="75"/>
      <c r="E3977" s="75"/>
      <c r="F3977" s="75"/>
    </row>
    <row r="3978" spans="2:6">
      <c r="B3978" s="75"/>
      <c r="C3978" s="75"/>
      <c r="D3978" s="75"/>
      <c r="E3978" s="75"/>
      <c r="F3978" s="75"/>
    </row>
    <row r="3979" spans="2:6">
      <c r="B3979" s="75"/>
      <c r="C3979" s="75"/>
      <c r="D3979" s="75"/>
      <c r="E3979" s="75"/>
      <c r="F3979" s="75"/>
    </row>
    <row r="3980" spans="2:6">
      <c r="B3980" s="75"/>
      <c r="C3980" s="75"/>
      <c r="D3980" s="75"/>
      <c r="E3980" s="75"/>
      <c r="F3980" s="75"/>
    </row>
    <row r="3981" spans="2:6">
      <c r="B3981" s="75"/>
      <c r="C3981" s="75"/>
      <c r="D3981" s="75"/>
      <c r="E3981" s="75"/>
      <c r="F3981" s="75"/>
    </row>
    <row r="3982" spans="2:6">
      <c r="B3982" s="75"/>
      <c r="C3982" s="75"/>
      <c r="D3982" s="75"/>
      <c r="E3982" s="75"/>
      <c r="F3982" s="75"/>
    </row>
    <row r="3983" spans="2:6">
      <c r="B3983" s="75"/>
      <c r="C3983" s="75"/>
      <c r="D3983" s="75"/>
      <c r="E3983" s="75"/>
      <c r="F3983" s="75"/>
    </row>
    <row r="3984" spans="2:6">
      <c r="B3984" s="75"/>
      <c r="C3984" s="75"/>
      <c r="D3984" s="75"/>
      <c r="E3984" s="75"/>
      <c r="F3984" s="75"/>
    </row>
    <row r="3985" spans="2:6">
      <c r="B3985" s="75"/>
      <c r="C3985" s="75"/>
      <c r="D3985" s="75"/>
      <c r="E3985" s="75"/>
      <c r="F3985" s="75"/>
    </row>
    <row r="3986" spans="2:6">
      <c r="B3986" s="75"/>
      <c r="C3986" s="75"/>
      <c r="D3986" s="75"/>
      <c r="E3986" s="75"/>
      <c r="F3986" s="75"/>
    </row>
    <row r="3987" spans="2:6">
      <c r="B3987" s="75"/>
      <c r="C3987" s="75"/>
      <c r="D3987" s="75"/>
      <c r="E3987" s="75"/>
      <c r="F3987" s="75"/>
    </row>
    <row r="3988" spans="2:6">
      <c r="B3988" s="75"/>
      <c r="C3988" s="75"/>
      <c r="D3988" s="75"/>
      <c r="E3988" s="75"/>
      <c r="F3988" s="75"/>
    </row>
    <row r="3989" spans="2:6">
      <c r="B3989" s="75"/>
      <c r="C3989" s="75"/>
      <c r="D3989" s="75"/>
      <c r="E3989" s="75"/>
      <c r="F3989" s="75"/>
    </row>
    <row r="3990" spans="2:6">
      <c r="B3990" s="75"/>
      <c r="C3990" s="75"/>
      <c r="D3990" s="75"/>
      <c r="E3990" s="75"/>
      <c r="F3990" s="75"/>
    </row>
    <row r="3991" spans="2:6">
      <c r="B3991" s="75"/>
      <c r="C3991" s="75"/>
      <c r="D3991" s="75"/>
      <c r="E3991" s="75"/>
      <c r="F3991" s="75"/>
    </row>
    <row r="3992" spans="2:6">
      <c r="B3992" s="75"/>
      <c r="C3992" s="75"/>
      <c r="D3992" s="75"/>
      <c r="E3992" s="75"/>
      <c r="F3992" s="75"/>
    </row>
    <row r="3993" spans="2:6">
      <c r="B3993" s="75"/>
      <c r="C3993" s="75"/>
      <c r="D3993" s="75"/>
      <c r="E3993" s="75"/>
      <c r="F3993" s="75"/>
    </row>
    <row r="3994" spans="2:6">
      <c r="B3994" s="75"/>
      <c r="C3994" s="75"/>
      <c r="D3994" s="75"/>
      <c r="E3994" s="75"/>
      <c r="F3994" s="75"/>
    </row>
    <row r="3995" spans="2:6">
      <c r="B3995" s="75"/>
      <c r="C3995" s="75"/>
      <c r="D3995" s="75"/>
      <c r="E3995" s="75"/>
      <c r="F3995" s="75"/>
    </row>
    <row r="3996" spans="2:6">
      <c r="B3996" s="75"/>
      <c r="C3996" s="75"/>
      <c r="D3996" s="75"/>
      <c r="E3996" s="75"/>
      <c r="F3996" s="75"/>
    </row>
    <row r="3997" spans="2:6">
      <c r="B3997" s="75"/>
      <c r="C3997" s="75"/>
      <c r="D3997" s="75"/>
      <c r="E3997" s="75"/>
      <c r="F3997" s="75"/>
    </row>
    <row r="3998" spans="2:6">
      <c r="B3998" s="75"/>
      <c r="C3998" s="75"/>
      <c r="D3998" s="75"/>
      <c r="E3998" s="75"/>
      <c r="F3998" s="75"/>
    </row>
    <row r="3999" spans="2:6">
      <c r="B3999" s="75"/>
      <c r="C3999" s="75"/>
      <c r="D3999" s="75"/>
      <c r="E3999" s="75"/>
      <c r="F3999" s="75"/>
    </row>
    <row r="4000" spans="2:6">
      <c r="B4000" s="75"/>
      <c r="C4000" s="75"/>
      <c r="D4000" s="75"/>
      <c r="E4000" s="75"/>
      <c r="F4000" s="75"/>
    </row>
    <row r="4001" spans="2:6">
      <c r="B4001" s="75"/>
      <c r="C4001" s="75"/>
      <c r="D4001" s="75"/>
      <c r="E4001" s="75"/>
      <c r="F4001" s="75"/>
    </row>
    <row r="4002" spans="2:6">
      <c r="B4002" s="75"/>
      <c r="C4002" s="75"/>
      <c r="D4002" s="75"/>
      <c r="E4002" s="75"/>
      <c r="F4002" s="75"/>
    </row>
    <row r="4003" spans="2:6">
      <c r="B4003" s="75"/>
      <c r="C4003" s="75"/>
      <c r="D4003" s="75"/>
      <c r="E4003" s="75"/>
      <c r="F4003" s="75"/>
    </row>
    <row r="4004" spans="2:6">
      <c r="B4004" s="75"/>
      <c r="C4004" s="75"/>
      <c r="D4004" s="75"/>
      <c r="E4004" s="75"/>
      <c r="F4004" s="75"/>
    </row>
    <row r="4005" spans="2:6">
      <c r="B4005" s="75"/>
      <c r="C4005" s="75"/>
      <c r="D4005" s="75"/>
      <c r="E4005" s="75"/>
      <c r="F4005" s="75"/>
    </row>
    <row r="4006" spans="2:6">
      <c r="B4006" s="75"/>
      <c r="C4006" s="75"/>
      <c r="D4006" s="75"/>
      <c r="E4006" s="75"/>
      <c r="F4006" s="75"/>
    </row>
    <row r="4007" spans="2:6">
      <c r="B4007" s="75"/>
      <c r="C4007" s="75"/>
      <c r="D4007" s="75"/>
      <c r="E4007" s="75"/>
      <c r="F4007" s="75"/>
    </row>
    <row r="4008" spans="2:6">
      <c r="B4008" s="75"/>
      <c r="C4008" s="75"/>
      <c r="D4008" s="75"/>
      <c r="E4008" s="75"/>
      <c r="F4008" s="75"/>
    </row>
    <row r="4009" spans="2:6">
      <c r="B4009" s="75"/>
      <c r="C4009" s="75"/>
      <c r="D4009" s="75"/>
      <c r="E4009" s="75"/>
      <c r="F4009" s="75"/>
    </row>
    <row r="4010" spans="2:6">
      <c r="B4010" s="75"/>
      <c r="C4010" s="75"/>
      <c r="D4010" s="75"/>
      <c r="E4010" s="75"/>
      <c r="F4010" s="75"/>
    </row>
    <row r="4011" spans="2:6">
      <c r="B4011" s="75"/>
      <c r="C4011" s="75"/>
      <c r="D4011" s="75"/>
      <c r="E4011" s="75"/>
      <c r="F4011" s="75"/>
    </row>
    <row r="4012" spans="2:6">
      <c r="B4012" s="75"/>
      <c r="C4012" s="75"/>
      <c r="D4012" s="75"/>
      <c r="E4012" s="75"/>
      <c r="F4012" s="75"/>
    </row>
    <row r="4013" spans="2:6">
      <c r="B4013" s="75"/>
      <c r="C4013" s="75"/>
      <c r="D4013" s="75"/>
      <c r="E4013" s="75"/>
      <c r="F4013" s="75"/>
    </row>
    <row r="4014" spans="2:6">
      <c r="B4014" s="75"/>
      <c r="C4014" s="75"/>
      <c r="D4014" s="75"/>
      <c r="E4014" s="75"/>
      <c r="F4014" s="75"/>
    </row>
    <row r="4015" spans="2:6">
      <c r="B4015" s="75"/>
      <c r="C4015" s="75"/>
      <c r="D4015" s="75"/>
      <c r="E4015" s="75"/>
      <c r="F4015" s="75"/>
    </row>
    <row r="4016" spans="2:6">
      <c r="B4016" s="75"/>
      <c r="C4016" s="75"/>
      <c r="D4016" s="75"/>
      <c r="E4016" s="75"/>
      <c r="F4016" s="75"/>
    </row>
    <row r="4017" spans="2:6">
      <c r="B4017" s="75"/>
      <c r="C4017" s="75"/>
      <c r="D4017" s="75"/>
      <c r="E4017" s="75"/>
      <c r="F4017" s="75"/>
    </row>
    <row r="4018" spans="2:6">
      <c r="B4018" s="75"/>
      <c r="C4018" s="75"/>
      <c r="D4018" s="75"/>
      <c r="E4018" s="75"/>
      <c r="F4018" s="75"/>
    </row>
    <row r="4019" spans="2:6">
      <c r="B4019" s="75"/>
      <c r="C4019" s="75"/>
      <c r="D4019" s="75"/>
      <c r="E4019" s="75"/>
      <c r="F4019" s="75"/>
    </row>
    <row r="4020" spans="2:6">
      <c r="B4020" s="75"/>
      <c r="C4020" s="75"/>
      <c r="D4020" s="75"/>
      <c r="E4020" s="75"/>
      <c r="F4020" s="75"/>
    </row>
    <row r="4021" spans="2:6">
      <c r="B4021" s="75"/>
      <c r="C4021" s="75"/>
      <c r="D4021" s="75"/>
      <c r="E4021" s="75"/>
      <c r="F4021" s="75"/>
    </row>
    <row r="4022" spans="2:6">
      <c r="B4022" s="75"/>
      <c r="C4022" s="75"/>
      <c r="D4022" s="75"/>
      <c r="E4022" s="75"/>
      <c r="F4022" s="75"/>
    </row>
    <row r="4023" spans="2:6">
      <c r="B4023" s="75"/>
      <c r="C4023" s="75"/>
      <c r="D4023" s="75"/>
      <c r="E4023" s="75"/>
      <c r="F4023" s="75"/>
    </row>
    <row r="4024" spans="2:6">
      <c r="B4024" s="75"/>
      <c r="C4024" s="75"/>
      <c r="D4024" s="75"/>
      <c r="E4024" s="75"/>
      <c r="F4024" s="75"/>
    </row>
    <row r="4025" spans="2:6">
      <c r="B4025" s="75"/>
      <c r="C4025" s="75"/>
      <c r="D4025" s="75"/>
      <c r="E4025" s="75"/>
      <c r="F4025" s="75"/>
    </row>
    <row r="4026" spans="2:6">
      <c r="B4026" s="75"/>
      <c r="C4026" s="75"/>
      <c r="D4026" s="75"/>
      <c r="E4026" s="75"/>
      <c r="F4026" s="75"/>
    </row>
    <row r="4027" spans="2:6">
      <c r="B4027" s="75"/>
      <c r="C4027" s="75"/>
      <c r="D4027" s="75"/>
      <c r="E4027" s="75"/>
      <c r="F4027" s="75"/>
    </row>
    <row r="4028" spans="2:6">
      <c r="B4028" s="75"/>
      <c r="C4028" s="75"/>
      <c r="D4028" s="75"/>
      <c r="E4028" s="75"/>
      <c r="F4028" s="75"/>
    </row>
    <row r="4029" spans="2:6">
      <c r="B4029" s="75"/>
      <c r="C4029" s="75"/>
      <c r="D4029" s="75"/>
      <c r="E4029" s="75"/>
      <c r="F4029" s="75"/>
    </row>
    <row r="4030" spans="2:6">
      <c r="B4030" s="75"/>
      <c r="C4030" s="75"/>
      <c r="D4030" s="75"/>
      <c r="E4030" s="75"/>
      <c r="F4030" s="75"/>
    </row>
    <row r="4031" spans="2:6">
      <c r="B4031" s="75"/>
      <c r="C4031" s="75"/>
      <c r="D4031" s="75"/>
      <c r="E4031" s="75"/>
      <c r="F4031" s="75"/>
    </row>
    <row r="4032" spans="2:6">
      <c r="B4032" s="75"/>
      <c r="C4032" s="75"/>
      <c r="D4032" s="75"/>
      <c r="E4032" s="75"/>
      <c r="F4032" s="75"/>
    </row>
    <row r="4033" spans="2:6">
      <c r="B4033" s="75"/>
      <c r="C4033" s="75"/>
      <c r="D4033" s="75"/>
      <c r="E4033" s="75"/>
      <c r="F4033" s="75"/>
    </row>
    <row r="4034" spans="2:6">
      <c r="B4034" s="75"/>
      <c r="C4034" s="75"/>
      <c r="D4034" s="75"/>
      <c r="E4034" s="75"/>
      <c r="F4034" s="75"/>
    </row>
    <row r="4035" spans="2:6">
      <c r="B4035" s="75"/>
      <c r="C4035" s="75"/>
      <c r="D4035" s="75"/>
      <c r="E4035" s="75"/>
      <c r="F4035" s="75"/>
    </row>
    <row r="4036" spans="2:6">
      <c r="B4036" s="75"/>
      <c r="C4036" s="75"/>
      <c r="D4036" s="75"/>
      <c r="E4036" s="75"/>
      <c r="F4036" s="75"/>
    </row>
    <row r="4037" spans="2:6">
      <c r="B4037" s="75"/>
      <c r="C4037" s="75"/>
      <c r="D4037" s="75"/>
      <c r="E4037" s="75"/>
      <c r="F4037" s="75"/>
    </row>
    <row r="4038" spans="2:6">
      <c r="B4038" s="75"/>
      <c r="C4038" s="75"/>
      <c r="D4038" s="75"/>
      <c r="E4038" s="75"/>
      <c r="F4038" s="75"/>
    </row>
    <row r="4039" spans="2:6">
      <c r="B4039" s="75"/>
      <c r="C4039" s="75"/>
      <c r="D4039" s="75"/>
      <c r="E4039" s="75"/>
      <c r="F4039" s="75"/>
    </row>
    <row r="4040" spans="2:6">
      <c r="B4040" s="75"/>
      <c r="C4040" s="75"/>
      <c r="D4040" s="75"/>
      <c r="E4040" s="75"/>
      <c r="F4040" s="75"/>
    </row>
    <row r="4041" spans="2:6">
      <c r="B4041" s="75"/>
      <c r="C4041" s="75"/>
      <c r="D4041" s="75"/>
      <c r="E4041" s="75"/>
      <c r="F4041" s="75"/>
    </row>
    <row r="4042" spans="2:6">
      <c r="B4042" s="75"/>
      <c r="C4042" s="75"/>
      <c r="D4042" s="75"/>
      <c r="E4042" s="75"/>
      <c r="F4042" s="75"/>
    </row>
    <row r="4043" spans="2:6">
      <c r="B4043" s="75"/>
      <c r="C4043" s="75"/>
      <c r="D4043" s="75"/>
      <c r="E4043" s="75"/>
      <c r="F4043" s="75"/>
    </row>
    <row r="4044" spans="2:6">
      <c r="B4044" s="75"/>
      <c r="C4044" s="75"/>
      <c r="D4044" s="75"/>
      <c r="E4044" s="75"/>
      <c r="F4044" s="75"/>
    </row>
    <row r="4045" spans="2:6">
      <c r="B4045" s="75"/>
      <c r="C4045" s="75"/>
      <c r="D4045" s="75"/>
      <c r="E4045" s="75"/>
      <c r="F4045" s="75"/>
    </row>
    <row r="4046" spans="2:6">
      <c r="B4046" s="75"/>
      <c r="C4046" s="75"/>
      <c r="D4046" s="75"/>
      <c r="E4046" s="75"/>
      <c r="F4046" s="75"/>
    </row>
    <row r="4047" spans="2:6">
      <c r="B4047" s="75"/>
      <c r="C4047" s="75"/>
      <c r="D4047" s="75"/>
      <c r="E4047" s="75"/>
      <c r="F4047" s="75"/>
    </row>
    <row r="4048" spans="2:6">
      <c r="B4048" s="75"/>
      <c r="C4048" s="75"/>
      <c r="D4048" s="75"/>
      <c r="E4048" s="75"/>
      <c r="F4048" s="75"/>
    </row>
    <row r="4049" spans="2:6">
      <c r="B4049" s="75"/>
      <c r="C4049" s="75"/>
      <c r="D4049" s="75"/>
      <c r="E4049" s="75"/>
      <c r="F4049" s="75"/>
    </row>
    <row r="4050" spans="2:6">
      <c r="B4050" s="75"/>
      <c r="C4050" s="75"/>
      <c r="D4050" s="75"/>
      <c r="E4050" s="75"/>
      <c r="F4050" s="75"/>
    </row>
    <row r="4051" spans="2:6">
      <c r="B4051" s="75"/>
      <c r="C4051" s="75"/>
      <c r="D4051" s="75"/>
      <c r="E4051" s="75"/>
      <c r="F4051" s="75"/>
    </row>
    <row r="4052" spans="2:6">
      <c r="B4052" s="75"/>
      <c r="C4052" s="75"/>
      <c r="D4052" s="75"/>
      <c r="E4052" s="75"/>
      <c r="F4052" s="75"/>
    </row>
    <row r="4053" spans="2:6">
      <c r="B4053" s="75"/>
      <c r="C4053" s="75"/>
      <c r="D4053" s="75"/>
      <c r="E4053" s="75"/>
      <c r="F4053" s="75"/>
    </row>
    <row r="4054" spans="2:6">
      <c r="B4054" s="75"/>
      <c r="C4054" s="75"/>
      <c r="D4054" s="75"/>
      <c r="E4054" s="75"/>
      <c r="F4054" s="75"/>
    </row>
    <row r="4055" spans="2:6">
      <c r="B4055" s="75"/>
      <c r="C4055" s="75"/>
      <c r="D4055" s="75"/>
      <c r="E4055" s="75"/>
      <c r="F4055" s="75"/>
    </row>
    <row r="4056" spans="2:6">
      <c r="B4056" s="75"/>
      <c r="C4056" s="75"/>
      <c r="D4056" s="75"/>
      <c r="E4056" s="75"/>
      <c r="F4056" s="75"/>
    </row>
    <row r="4057" spans="2:6">
      <c r="B4057" s="75"/>
      <c r="C4057" s="75"/>
      <c r="D4057" s="75"/>
      <c r="E4057" s="75"/>
      <c r="F4057" s="75"/>
    </row>
    <row r="4058" spans="2:6">
      <c r="B4058" s="75"/>
      <c r="C4058" s="75"/>
      <c r="D4058" s="75"/>
      <c r="E4058" s="75"/>
      <c r="F4058" s="75"/>
    </row>
    <row r="4059" spans="2:6">
      <c r="B4059" s="75"/>
      <c r="C4059" s="75"/>
      <c r="D4059" s="75"/>
      <c r="E4059" s="75"/>
      <c r="F4059" s="75"/>
    </row>
    <row r="4060" spans="2:6">
      <c r="B4060" s="75"/>
      <c r="C4060" s="75"/>
      <c r="D4060" s="75"/>
      <c r="E4060" s="75"/>
      <c r="F4060" s="75"/>
    </row>
    <row r="4061" spans="2:6">
      <c r="B4061" s="75"/>
      <c r="C4061" s="75"/>
      <c r="D4061" s="75"/>
      <c r="E4061" s="75"/>
      <c r="F4061" s="75"/>
    </row>
    <row r="4062" spans="2:6">
      <c r="B4062" s="75"/>
      <c r="C4062" s="75"/>
      <c r="D4062" s="75"/>
      <c r="E4062" s="75"/>
      <c r="F4062" s="75"/>
    </row>
    <row r="4063" spans="2:6">
      <c r="B4063" s="75"/>
      <c r="C4063" s="75"/>
      <c r="D4063" s="75"/>
      <c r="E4063" s="75"/>
      <c r="F4063" s="75"/>
    </row>
    <row r="4064" spans="2:6">
      <c r="B4064" s="75"/>
      <c r="C4064" s="75"/>
      <c r="D4064" s="75"/>
      <c r="E4064" s="75"/>
      <c r="F4064" s="75"/>
    </row>
    <row r="4065" spans="2:6">
      <c r="B4065" s="75"/>
      <c r="C4065" s="75"/>
      <c r="D4065" s="75"/>
      <c r="E4065" s="75"/>
      <c r="F4065" s="75"/>
    </row>
    <row r="4066" spans="2:6">
      <c r="B4066" s="75"/>
      <c r="C4066" s="75"/>
      <c r="D4066" s="75"/>
      <c r="E4066" s="75"/>
      <c r="F4066" s="75"/>
    </row>
    <row r="4067" spans="2:6">
      <c r="B4067" s="75"/>
      <c r="C4067" s="75"/>
      <c r="D4067" s="75"/>
      <c r="E4067" s="75"/>
      <c r="F4067" s="75"/>
    </row>
    <row r="4068" spans="2:6">
      <c r="B4068" s="75"/>
      <c r="C4068" s="75"/>
      <c r="D4068" s="75"/>
      <c r="E4068" s="75"/>
      <c r="F4068" s="75"/>
    </row>
    <row r="4069" spans="2:6">
      <c r="B4069" s="75"/>
      <c r="C4069" s="75"/>
      <c r="D4069" s="75"/>
      <c r="E4069" s="75"/>
      <c r="F4069" s="75"/>
    </row>
    <row r="4070" spans="2:6">
      <c r="B4070" s="75"/>
      <c r="C4070" s="75"/>
      <c r="D4070" s="75"/>
      <c r="E4070" s="75"/>
      <c r="F4070" s="75"/>
    </row>
    <row r="4071" spans="2:6">
      <c r="B4071" s="75"/>
      <c r="C4071" s="75"/>
      <c r="D4071" s="75"/>
      <c r="E4071" s="75"/>
      <c r="F4071" s="75"/>
    </row>
    <row r="4072" spans="2:6">
      <c r="B4072" s="75"/>
      <c r="C4072" s="75"/>
      <c r="D4072" s="75"/>
      <c r="E4072" s="75"/>
      <c r="F4072" s="75"/>
    </row>
    <row r="4073" spans="2:6">
      <c r="B4073" s="75"/>
      <c r="C4073" s="75"/>
      <c r="D4073" s="75"/>
      <c r="E4073" s="75"/>
      <c r="F4073" s="75"/>
    </row>
    <row r="4074" spans="2:6">
      <c r="B4074" s="75"/>
      <c r="C4074" s="75"/>
      <c r="D4074" s="75"/>
      <c r="E4074" s="75"/>
      <c r="F4074" s="75"/>
    </row>
    <row r="4075" spans="2:6">
      <c r="B4075" s="75"/>
      <c r="C4075" s="75"/>
      <c r="D4075" s="75"/>
      <c r="E4075" s="75"/>
      <c r="F4075" s="75"/>
    </row>
    <row r="4076" spans="2:6">
      <c r="B4076" s="75"/>
      <c r="C4076" s="75"/>
      <c r="D4076" s="75"/>
      <c r="E4076" s="75"/>
      <c r="F4076" s="75"/>
    </row>
    <row r="4077" spans="2:6">
      <c r="B4077" s="75"/>
      <c r="C4077" s="75"/>
      <c r="D4077" s="75"/>
      <c r="E4077" s="75"/>
      <c r="F4077" s="75"/>
    </row>
    <row r="4078" spans="2:6">
      <c r="B4078" s="75"/>
      <c r="C4078" s="75"/>
      <c r="D4078" s="75"/>
      <c r="E4078" s="75"/>
      <c r="F4078" s="75"/>
    </row>
    <row r="4079" spans="2:6">
      <c r="B4079" s="75"/>
      <c r="C4079" s="75"/>
      <c r="D4079" s="75"/>
      <c r="E4079" s="75"/>
      <c r="F4079" s="75"/>
    </row>
    <row r="4080" spans="2:6">
      <c r="B4080" s="75"/>
      <c r="C4080" s="75"/>
      <c r="D4080" s="75"/>
      <c r="E4080" s="75"/>
      <c r="F4080" s="75"/>
    </row>
    <row r="4081" spans="2:6">
      <c r="B4081" s="75"/>
      <c r="C4081" s="75"/>
      <c r="D4081" s="75"/>
      <c r="E4081" s="75"/>
      <c r="F4081" s="75"/>
    </row>
    <row r="4082" spans="2:6">
      <c r="B4082" s="75"/>
      <c r="C4082" s="75"/>
      <c r="D4082" s="75"/>
      <c r="E4082" s="75"/>
      <c r="F4082" s="75"/>
    </row>
    <row r="4083" spans="2:6">
      <c r="B4083" s="75"/>
      <c r="C4083" s="75"/>
      <c r="D4083" s="75"/>
      <c r="E4083" s="75"/>
      <c r="F4083" s="75"/>
    </row>
    <row r="4084" spans="2:6">
      <c r="B4084" s="75"/>
      <c r="C4084" s="75"/>
      <c r="D4084" s="75"/>
      <c r="E4084" s="75"/>
      <c r="F4084" s="75"/>
    </row>
    <row r="4085" spans="2:6">
      <c r="B4085" s="75"/>
      <c r="C4085" s="75"/>
      <c r="D4085" s="75"/>
      <c r="E4085" s="75"/>
      <c r="F4085" s="75"/>
    </row>
    <row r="4086" spans="2:6">
      <c r="B4086" s="75"/>
      <c r="C4086" s="75"/>
      <c r="D4086" s="75"/>
      <c r="E4086" s="75"/>
      <c r="F4086" s="75"/>
    </row>
    <row r="4087" spans="2:6">
      <c r="B4087" s="75"/>
      <c r="C4087" s="75"/>
      <c r="D4087" s="75"/>
      <c r="E4087" s="75"/>
      <c r="F4087" s="75"/>
    </row>
    <row r="4088" spans="2:6">
      <c r="B4088" s="75"/>
      <c r="C4088" s="75"/>
      <c r="D4088" s="75"/>
      <c r="E4088" s="75"/>
      <c r="F4088" s="75"/>
    </row>
    <row r="4089" spans="2:6">
      <c r="B4089" s="75"/>
      <c r="C4089" s="75"/>
      <c r="D4089" s="75"/>
      <c r="E4089" s="75"/>
      <c r="F4089" s="75"/>
    </row>
    <row r="4090" spans="2:6">
      <c r="B4090" s="75"/>
      <c r="C4090" s="75"/>
      <c r="D4090" s="75"/>
      <c r="E4090" s="75"/>
      <c r="F4090" s="75"/>
    </row>
    <row r="4091" spans="2:6">
      <c r="B4091" s="75"/>
      <c r="C4091" s="75"/>
      <c r="D4091" s="75"/>
      <c r="E4091" s="75"/>
      <c r="F4091" s="75"/>
    </row>
    <row r="4092" spans="2:6">
      <c r="B4092" s="75"/>
      <c r="C4092" s="75"/>
      <c r="D4092" s="75"/>
      <c r="E4092" s="75"/>
      <c r="F4092" s="75"/>
    </row>
    <row r="4093" spans="2:6">
      <c r="B4093" s="75"/>
      <c r="C4093" s="75"/>
      <c r="D4093" s="75"/>
      <c r="E4093" s="75"/>
      <c r="F4093" s="75"/>
    </row>
    <row r="4094" spans="2:6">
      <c r="B4094" s="75"/>
      <c r="C4094" s="75"/>
      <c r="D4094" s="75"/>
      <c r="E4094" s="75"/>
      <c r="F4094" s="75"/>
    </row>
    <row r="4095" spans="2:6">
      <c r="B4095" s="75"/>
      <c r="C4095" s="75"/>
      <c r="D4095" s="75"/>
      <c r="E4095" s="75"/>
      <c r="F4095" s="75"/>
    </row>
    <row r="4096" spans="2:6">
      <c r="B4096" s="75"/>
      <c r="C4096" s="75"/>
      <c r="D4096" s="75"/>
      <c r="E4096" s="75"/>
      <c r="F4096" s="75"/>
    </row>
    <row r="4097" spans="2:6">
      <c r="B4097" s="75"/>
      <c r="C4097" s="75"/>
      <c r="D4097" s="75"/>
      <c r="E4097" s="75"/>
      <c r="F4097" s="75"/>
    </row>
    <row r="4098" spans="2:6">
      <c r="B4098" s="75"/>
      <c r="C4098" s="75"/>
      <c r="D4098" s="75"/>
      <c r="E4098" s="75"/>
      <c r="F4098" s="75"/>
    </row>
    <row r="4099" spans="2:6">
      <c r="B4099" s="75"/>
      <c r="C4099" s="75"/>
      <c r="D4099" s="75"/>
      <c r="E4099" s="75"/>
      <c r="F4099" s="75"/>
    </row>
    <row r="4100" spans="2:6">
      <c r="B4100" s="75"/>
      <c r="C4100" s="75"/>
      <c r="D4100" s="75"/>
      <c r="E4100" s="75"/>
      <c r="F4100" s="75"/>
    </row>
    <row r="4101" spans="2:6">
      <c r="B4101" s="75"/>
      <c r="C4101" s="75"/>
      <c r="D4101" s="75"/>
      <c r="E4101" s="75"/>
      <c r="F4101" s="75"/>
    </row>
    <row r="4102" spans="2:6">
      <c r="B4102" s="75"/>
      <c r="C4102" s="75"/>
      <c r="D4102" s="75"/>
      <c r="E4102" s="75"/>
      <c r="F4102" s="75"/>
    </row>
    <row r="4103" spans="2:6">
      <c r="B4103" s="75"/>
      <c r="C4103" s="75"/>
      <c r="D4103" s="75"/>
      <c r="E4103" s="75"/>
      <c r="F4103" s="75"/>
    </row>
    <row r="4104" spans="2:6">
      <c r="B4104" s="75"/>
      <c r="C4104" s="75"/>
      <c r="D4104" s="75"/>
      <c r="E4104" s="75"/>
      <c r="F4104" s="75"/>
    </row>
    <row r="4105" spans="2:6">
      <c r="B4105" s="75"/>
      <c r="C4105" s="75"/>
      <c r="D4105" s="75"/>
      <c r="E4105" s="75"/>
      <c r="F4105" s="75"/>
    </row>
    <row r="4106" spans="2:6">
      <c r="B4106" s="75"/>
      <c r="C4106" s="75"/>
      <c r="D4106" s="75"/>
      <c r="E4106" s="75"/>
      <c r="F4106" s="75"/>
    </row>
    <row r="4107" spans="2:6">
      <c r="B4107" s="75"/>
      <c r="C4107" s="75"/>
      <c r="D4107" s="75"/>
      <c r="E4107" s="75"/>
      <c r="F4107" s="75"/>
    </row>
    <row r="4108" spans="2:6">
      <c r="B4108" s="75"/>
      <c r="C4108" s="75"/>
      <c r="D4108" s="75"/>
      <c r="E4108" s="75"/>
      <c r="F4108" s="75"/>
    </row>
    <row r="4109" spans="2:6">
      <c r="B4109" s="75"/>
      <c r="C4109" s="75"/>
      <c r="D4109" s="75"/>
      <c r="E4109" s="75"/>
      <c r="F4109" s="75"/>
    </row>
    <row r="4110" spans="2:6">
      <c r="B4110" s="75"/>
      <c r="C4110" s="75"/>
      <c r="D4110" s="75"/>
      <c r="E4110" s="75"/>
      <c r="F4110" s="75"/>
    </row>
    <row r="4111" spans="2:6">
      <c r="B4111" s="75"/>
      <c r="C4111" s="75"/>
      <c r="D4111" s="75"/>
      <c r="E4111" s="75"/>
      <c r="F4111" s="75"/>
    </row>
    <row r="4112" spans="2:6">
      <c r="B4112" s="75"/>
      <c r="C4112" s="75"/>
      <c r="D4112" s="75"/>
      <c r="E4112" s="75"/>
      <c r="F4112" s="75"/>
    </row>
    <row r="4113" spans="2:6">
      <c r="B4113" s="75"/>
      <c r="C4113" s="75"/>
      <c r="D4113" s="75"/>
      <c r="E4113" s="75"/>
      <c r="F4113" s="75"/>
    </row>
    <row r="4114" spans="2:6">
      <c r="B4114" s="75"/>
      <c r="C4114" s="75"/>
      <c r="D4114" s="75"/>
      <c r="E4114" s="75"/>
      <c r="F4114" s="75"/>
    </row>
    <row r="4115" spans="2:6">
      <c r="B4115" s="75"/>
      <c r="C4115" s="75"/>
      <c r="D4115" s="75"/>
      <c r="E4115" s="75"/>
      <c r="F4115" s="75"/>
    </row>
    <row r="4116" spans="2:6">
      <c r="B4116" s="75"/>
      <c r="C4116" s="75"/>
      <c r="D4116" s="75"/>
      <c r="E4116" s="75"/>
      <c r="F4116" s="75"/>
    </row>
    <row r="4117" spans="2:6">
      <c r="B4117" s="75"/>
      <c r="C4117" s="75"/>
      <c r="D4117" s="75"/>
      <c r="E4117" s="75"/>
      <c r="F4117" s="75"/>
    </row>
    <row r="4118" spans="2:6">
      <c r="B4118" s="75"/>
      <c r="C4118" s="75"/>
      <c r="D4118" s="75"/>
      <c r="E4118" s="75"/>
      <c r="F4118" s="75"/>
    </row>
    <row r="4119" spans="2:6">
      <c r="B4119" s="75"/>
      <c r="C4119" s="75"/>
      <c r="D4119" s="75"/>
      <c r="E4119" s="75"/>
      <c r="F4119" s="75"/>
    </row>
    <row r="4120" spans="2:6">
      <c r="B4120" s="75"/>
      <c r="C4120" s="75"/>
      <c r="D4120" s="75"/>
      <c r="E4120" s="75"/>
      <c r="F4120" s="75"/>
    </row>
    <row r="4121" spans="2:6">
      <c r="B4121" s="75"/>
      <c r="C4121" s="75"/>
      <c r="D4121" s="75"/>
      <c r="E4121" s="75"/>
      <c r="F4121" s="75"/>
    </row>
    <row r="4122" spans="2:6">
      <c r="B4122" s="75"/>
      <c r="C4122" s="75"/>
      <c r="D4122" s="75"/>
      <c r="E4122" s="75"/>
      <c r="F4122" s="75"/>
    </row>
    <row r="4123" spans="2:6">
      <c r="B4123" s="75"/>
      <c r="C4123" s="75"/>
      <c r="D4123" s="75"/>
      <c r="E4123" s="75"/>
      <c r="F4123" s="75"/>
    </row>
    <row r="4124" spans="2:6">
      <c r="B4124" s="75"/>
      <c r="C4124" s="75"/>
      <c r="D4124" s="75"/>
      <c r="E4124" s="75"/>
      <c r="F4124" s="75"/>
    </row>
    <row r="4125" spans="2:6">
      <c r="B4125" s="75"/>
      <c r="C4125" s="75"/>
      <c r="D4125" s="75"/>
      <c r="E4125" s="75"/>
      <c r="F4125" s="75"/>
    </row>
    <row r="4126" spans="2:6">
      <c r="B4126" s="75"/>
      <c r="C4126" s="75"/>
      <c r="D4126" s="75"/>
      <c r="E4126" s="75"/>
      <c r="F4126" s="75"/>
    </row>
    <row r="4127" spans="2:6">
      <c r="B4127" s="75"/>
      <c r="C4127" s="75"/>
      <c r="D4127" s="75"/>
      <c r="E4127" s="75"/>
      <c r="F4127" s="75"/>
    </row>
    <row r="4128" spans="2:6">
      <c r="B4128" s="75"/>
      <c r="C4128" s="75"/>
      <c r="D4128" s="75"/>
      <c r="E4128" s="75"/>
      <c r="F4128" s="75"/>
    </row>
    <row r="4129" spans="2:6">
      <c r="B4129" s="75"/>
      <c r="C4129" s="75"/>
      <c r="D4129" s="75"/>
      <c r="E4129" s="75"/>
      <c r="F4129" s="75"/>
    </row>
    <row r="4130" spans="2:6">
      <c r="B4130" s="75"/>
      <c r="C4130" s="75"/>
      <c r="D4130" s="75"/>
      <c r="E4130" s="75"/>
      <c r="F4130" s="75"/>
    </row>
    <row r="4131" spans="2:6">
      <c r="B4131" s="75"/>
      <c r="C4131" s="75"/>
      <c r="D4131" s="75"/>
      <c r="E4131" s="75"/>
      <c r="F4131" s="75"/>
    </row>
    <row r="4132" spans="2:6">
      <c r="B4132" s="75"/>
      <c r="C4132" s="75"/>
      <c r="D4132" s="75"/>
      <c r="E4132" s="75"/>
      <c r="F4132" s="75"/>
    </row>
    <row r="4133" spans="2:6">
      <c r="B4133" s="75"/>
      <c r="C4133" s="75"/>
      <c r="D4133" s="75"/>
      <c r="E4133" s="75"/>
      <c r="F4133" s="75"/>
    </row>
    <row r="4134" spans="2:6">
      <c r="B4134" s="75"/>
      <c r="C4134" s="75"/>
      <c r="D4134" s="75"/>
      <c r="E4134" s="75"/>
      <c r="F4134" s="75"/>
    </row>
    <row r="4135" spans="2:6">
      <c r="B4135" s="75"/>
      <c r="C4135" s="75"/>
      <c r="D4135" s="75"/>
      <c r="E4135" s="75"/>
      <c r="F4135" s="75"/>
    </row>
    <row r="4136" spans="2:6">
      <c r="B4136" s="75"/>
      <c r="C4136" s="75"/>
      <c r="D4136" s="75"/>
      <c r="E4136" s="75"/>
      <c r="F4136" s="75"/>
    </row>
    <row r="4137" spans="2:6">
      <c r="B4137" s="75"/>
      <c r="C4137" s="75"/>
      <c r="D4137" s="75"/>
      <c r="E4137" s="75"/>
      <c r="F4137" s="75"/>
    </row>
    <row r="4138" spans="2:6">
      <c r="B4138" s="75"/>
      <c r="C4138" s="75"/>
      <c r="D4138" s="75"/>
      <c r="E4138" s="75"/>
      <c r="F4138" s="75"/>
    </row>
    <row r="4139" spans="2:6">
      <c r="B4139" s="75"/>
      <c r="C4139" s="75"/>
      <c r="D4139" s="75"/>
      <c r="E4139" s="75"/>
      <c r="F4139" s="75"/>
    </row>
    <row r="4140" spans="2:6">
      <c r="B4140" s="75"/>
      <c r="C4140" s="75"/>
      <c r="D4140" s="75"/>
      <c r="E4140" s="75"/>
      <c r="F4140" s="75"/>
    </row>
    <row r="4141" spans="2:6">
      <c r="B4141" s="75"/>
      <c r="C4141" s="75"/>
      <c r="D4141" s="75"/>
      <c r="E4141" s="75"/>
      <c r="F4141" s="75"/>
    </row>
    <row r="4142" spans="2:6">
      <c r="B4142" s="75"/>
      <c r="C4142" s="75"/>
      <c r="D4142" s="75"/>
      <c r="E4142" s="75"/>
      <c r="F4142" s="75"/>
    </row>
    <row r="4143" spans="2:6">
      <c r="B4143" s="75"/>
      <c r="C4143" s="75"/>
      <c r="D4143" s="75"/>
      <c r="E4143" s="75"/>
      <c r="F4143" s="75"/>
    </row>
    <row r="4144" spans="2:6">
      <c r="B4144" s="75"/>
      <c r="C4144" s="75"/>
      <c r="D4144" s="75"/>
      <c r="E4144" s="75"/>
      <c r="F4144" s="75"/>
    </row>
    <row r="4145" spans="2:6">
      <c r="B4145" s="75"/>
      <c r="C4145" s="75"/>
      <c r="D4145" s="75"/>
      <c r="E4145" s="75"/>
      <c r="F4145" s="75"/>
    </row>
    <row r="4146" spans="2:6">
      <c r="B4146" s="75"/>
      <c r="C4146" s="75"/>
      <c r="D4146" s="75"/>
      <c r="E4146" s="75"/>
      <c r="F4146" s="75"/>
    </row>
    <row r="4147" spans="2:6">
      <c r="B4147" s="75"/>
      <c r="C4147" s="75"/>
      <c r="D4147" s="75"/>
      <c r="E4147" s="75"/>
      <c r="F4147" s="75"/>
    </row>
    <row r="4148" spans="2:6">
      <c r="B4148" s="75"/>
      <c r="C4148" s="75"/>
      <c r="D4148" s="75"/>
      <c r="E4148" s="75"/>
      <c r="F4148" s="75"/>
    </row>
    <row r="4149" spans="2:6">
      <c r="B4149" s="75"/>
      <c r="C4149" s="75"/>
      <c r="D4149" s="75"/>
      <c r="E4149" s="75"/>
      <c r="F4149" s="75"/>
    </row>
    <row r="4150" spans="2:6">
      <c r="B4150" s="75"/>
      <c r="C4150" s="75"/>
      <c r="D4150" s="75"/>
      <c r="E4150" s="75"/>
      <c r="F4150" s="75"/>
    </row>
    <row r="4151" spans="2:6">
      <c r="B4151" s="75"/>
      <c r="C4151" s="75"/>
      <c r="D4151" s="75"/>
      <c r="E4151" s="75"/>
      <c r="F4151" s="75"/>
    </row>
    <row r="4152" spans="2:6">
      <c r="B4152" s="75"/>
      <c r="C4152" s="75"/>
      <c r="D4152" s="75"/>
      <c r="E4152" s="75"/>
      <c r="F4152" s="75"/>
    </row>
    <row r="4153" spans="2:6">
      <c r="B4153" s="75"/>
      <c r="C4153" s="75"/>
      <c r="D4153" s="75"/>
      <c r="E4153" s="75"/>
      <c r="F4153" s="75"/>
    </row>
    <row r="4154" spans="2:6">
      <c r="B4154" s="75"/>
      <c r="C4154" s="75"/>
      <c r="D4154" s="75"/>
      <c r="E4154" s="75"/>
      <c r="F4154" s="75"/>
    </row>
    <row r="4155" spans="2:6">
      <c r="B4155" s="75"/>
      <c r="C4155" s="75"/>
      <c r="D4155" s="75"/>
      <c r="E4155" s="75"/>
      <c r="F4155" s="75"/>
    </row>
    <row r="4156" spans="2:6">
      <c r="B4156" s="75"/>
      <c r="C4156" s="75"/>
      <c r="D4156" s="75"/>
      <c r="E4156" s="75"/>
      <c r="F4156" s="75"/>
    </row>
    <row r="4157" spans="2:6">
      <c r="B4157" s="75"/>
      <c r="C4157" s="75"/>
      <c r="D4157" s="75"/>
      <c r="E4157" s="75"/>
      <c r="F4157" s="75"/>
    </row>
    <row r="4158" spans="2:6">
      <c r="B4158" s="75"/>
      <c r="C4158" s="75"/>
      <c r="D4158" s="75"/>
      <c r="E4158" s="75"/>
      <c r="F4158" s="75"/>
    </row>
    <row r="4159" spans="2:6">
      <c r="B4159" s="75"/>
      <c r="C4159" s="75"/>
      <c r="D4159" s="75"/>
      <c r="E4159" s="75"/>
      <c r="F4159" s="75"/>
    </row>
    <row r="4160" spans="2:6">
      <c r="B4160" s="75"/>
      <c r="C4160" s="75"/>
      <c r="D4160" s="75"/>
      <c r="E4160" s="75"/>
      <c r="F4160" s="75"/>
    </row>
    <row r="4161" spans="2:6">
      <c r="B4161" s="75"/>
      <c r="C4161" s="75"/>
      <c r="D4161" s="75"/>
      <c r="E4161" s="75"/>
      <c r="F4161" s="75"/>
    </row>
    <row r="4162" spans="2:6">
      <c r="B4162" s="75"/>
      <c r="C4162" s="75"/>
      <c r="D4162" s="75"/>
      <c r="E4162" s="75"/>
      <c r="F4162" s="75"/>
    </row>
    <row r="4163" spans="2:6">
      <c r="B4163" s="75"/>
      <c r="C4163" s="75"/>
      <c r="D4163" s="75"/>
      <c r="E4163" s="75"/>
      <c r="F4163" s="75"/>
    </row>
    <row r="4164" spans="2:6">
      <c r="B4164" s="75"/>
      <c r="C4164" s="75"/>
      <c r="D4164" s="75"/>
      <c r="E4164" s="75"/>
      <c r="F4164" s="75"/>
    </row>
    <row r="4165" spans="2:6">
      <c r="B4165" s="75"/>
      <c r="C4165" s="75"/>
      <c r="D4165" s="75"/>
      <c r="E4165" s="75"/>
      <c r="F4165" s="75"/>
    </row>
    <row r="4166" spans="2:6">
      <c r="B4166" s="75"/>
      <c r="C4166" s="75"/>
      <c r="D4166" s="75"/>
      <c r="E4166" s="75"/>
      <c r="F4166" s="75"/>
    </row>
    <row r="4167" spans="2:6">
      <c r="B4167" s="75"/>
      <c r="C4167" s="75"/>
      <c r="D4167" s="75"/>
      <c r="E4167" s="75"/>
      <c r="F4167" s="75"/>
    </row>
    <row r="4168" spans="2:6">
      <c r="B4168" s="75"/>
      <c r="C4168" s="75"/>
      <c r="D4168" s="75"/>
      <c r="E4168" s="75"/>
      <c r="F4168" s="75"/>
    </row>
    <row r="4169" spans="2:6">
      <c r="B4169" s="75"/>
      <c r="C4169" s="75"/>
      <c r="D4169" s="75"/>
      <c r="E4169" s="75"/>
      <c r="F4169" s="75"/>
    </row>
    <row r="4170" spans="2:6">
      <c r="B4170" s="75"/>
      <c r="C4170" s="75"/>
      <c r="D4170" s="75"/>
      <c r="E4170" s="75"/>
      <c r="F4170" s="75"/>
    </row>
    <row r="4171" spans="2:6">
      <c r="B4171" s="75"/>
      <c r="C4171" s="75"/>
      <c r="D4171" s="75"/>
      <c r="E4171" s="75"/>
      <c r="F4171" s="75"/>
    </row>
    <row r="4172" spans="2:6">
      <c r="B4172" s="75"/>
      <c r="C4172" s="75"/>
      <c r="D4172" s="75"/>
      <c r="E4172" s="75"/>
      <c r="F4172" s="75"/>
    </row>
    <row r="4173" spans="2:6">
      <c r="B4173" s="75"/>
      <c r="C4173" s="75"/>
      <c r="D4173" s="75"/>
      <c r="E4173" s="75"/>
      <c r="F4173" s="75"/>
    </row>
    <row r="4174" spans="2:6">
      <c r="B4174" s="75"/>
      <c r="C4174" s="75"/>
      <c r="D4174" s="75"/>
      <c r="E4174" s="75"/>
      <c r="F4174" s="75"/>
    </row>
    <row r="4175" spans="2:6">
      <c r="B4175" s="75"/>
      <c r="C4175" s="75"/>
      <c r="D4175" s="75"/>
      <c r="E4175" s="75"/>
      <c r="F4175" s="75"/>
    </row>
    <row r="4176" spans="2:6">
      <c r="B4176" s="75"/>
      <c r="C4176" s="75"/>
      <c r="D4176" s="75"/>
      <c r="E4176" s="75"/>
      <c r="F4176" s="75"/>
    </row>
    <row r="4177" spans="2:6">
      <c r="B4177" s="75"/>
      <c r="C4177" s="75"/>
      <c r="D4177" s="75"/>
      <c r="E4177" s="75"/>
      <c r="F4177" s="75"/>
    </row>
    <row r="4178" spans="2:6">
      <c r="B4178" s="75"/>
      <c r="C4178" s="75"/>
      <c r="D4178" s="75"/>
      <c r="E4178" s="75"/>
      <c r="F4178" s="75"/>
    </row>
    <row r="4179" spans="2:6">
      <c r="B4179" s="75"/>
      <c r="C4179" s="75"/>
      <c r="D4179" s="75"/>
      <c r="E4179" s="75"/>
      <c r="F4179" s="75"/>
    </row>
    <row r="4180" spans="2:6">
      <c r="B4180" s="75"/>
      <c r="C4180" s="75"/>
      <c r="D4180" s="75"/>
      <c r="E4180" s="75"/>
      <c r="F4180" s="75"/>
    </row>
    <row r="4181" spans="2:6">
      <c r="B4181" s="75"/>
      <c r="C4181" s="75"/>
      <c r="D4181" s="75"/>
      <c r="E4181" s="75"/>
      <c r="F4181" s="75"/>
    </row>
    <row r="4182" spans="2:6">
      <c r="B4182" s="75"/>
      <c r="C4182" s="75"/>
      <c r="D4182" s="75"/>
      <c r="E4182" s="75"/>
      <c r="F4182" s="75"/>
    </row>
    <row r="4183" spans="2:6">
      <c r="B4183" s="75"/>
      <c r="C4183" s="75"/>
      <c r="D4183" s="75"/>
      <c r="E4183" s="75"/>
      <c r="F4183" s="75"/>
    </row>
    <row r="4184" spans="2:6">
      <c r="B4184" s="75"/>
      <c r="C4184" s="75"/>
      <c r="D4184" s="75"/>
      <c r="E4184" s="75"/>
      <c r="F4184" s="75"/>
    </row>
    <row r="4185" spans="2:6">
      <c r="B4185" s="75"/>
      <c r="C4185" s="75"/>
      <c r="D4185" s="75"/>
      <c r="E4185" s="75"/>
      <c r="F4185" s="75"/>
    </row>
    <row r="4186" spans="2:6">
      <c r="B4186" s="75"/>
      <c r="C4186" s="75"/>
      <c r="D4186" s="75"/>
      <c r="E4186" s="75"/>
      <c r="F4186" s="75"/>
    </row>
    <row r="4187" spans="2:6">
      <c r="B4187" s="75"/>
      <c r="C4187" s="75"/>
      <c r="D4187" s="75"/>
      <c r="E4187" s="75"/>
      <c r="F4187" s="75"/>
    </row>
    <row r="4188" spans="2:6">
      <c r="B4188" s="75"/>
      <c r="C4188" s="75"/>
      <c r="D4188" s="75"/>
      <c r="E4188" s="75"/>
      <c r="F4188" s="75"/>
    </row>
    <row r="4189" spans="2:6">
      <c r="B4189" s="75"/>
      <c r="C4189" s="75"/>
      <c r="D4189" s="75"/>
      <c r="E4189" s="75"/>
      <c r="F4189" s="75"/>
    </row>
    <row r="4190" spans="2:6">
      <c r="B4190" s="75"/>
      <c r="C4190" s="75"/>
      <c r="D4190" s="75"/>
      <c r="E4190" s="75"/>
      <c r="F4190" s="75"/>
    </row>
    <row r="4191" spans="2:6">
      <c r="B4191" s="75"/>
      <c r="C4191" s="75"/>
      <c r="D4191" s="75"/>
      <c r="E4191" s="75"/>
      <c r="F4191" s="75"/>
    </row>
    <row r="4192" spans="2:6">
      <c r="B4192" s="75"/>
      <c r="C4192" s="75"/>
      <c r="D4192" s="75"/>
      <c r="E4192" s="75"/>
      <c r="F4192" s="75"/>
    </row>
    <row r="4193" spans="2:6">
      <c r="B4193" s="75"/>
      <c r="C4193" s="75"/>
      <c r="D4193" s="75"/>
      <c r="E4193" s="75"/>
      <c r="F4193" s="75"/>
    </row>
    <row r="4194" spans="2:6">
      <c r="B4194" s="75"/>
      <c r="C4194" s="75"/>
      <c r="D4194" s="75"/>
      <c r="E4194" s="75"/>
      <c r="F4194" s="75"/>
    </row>
    <row r="4195" spans="2:6">
      <c r="B4195" s="75"/>
      <c r="C4195" s="75"/>
      <c r="D4195" s="75"/>
      <c r="E4195" s="75"/>
      <c r="F4195" s="75"/>
    </row>
    <row r="4196" spans="2:6">
      <c r="B4196" s="75"/>
      <c r="C4196" s="75"/>
      <c r="D4196" s="75"/>
      <c r="E4196" s="75"/>
      <c r="F4196" s="75"/>
    </row>
    <row r="4197" spans="2:6">
      <c r="B4197" s="75"/>
      <c r="C4197" s="75"/>
      <c r="D4197" s="75"/>
      <c r="E4197" s="75"/>
      <c r="F4197" s="75"/>
    </row>
    <row r="4198" spans="2:6">
      <c r="B4198" s="75"/>
      <c r="C4198" s="75"/>
      <c r="D4198" s="75"/>
      <c r="E4198" s="75"/>
      <c r="F4198" s="75"/>
    </row>
    <row r="4199" spans="2:6">
      <c r="B4199" s="75"/>
      <c r="C4199" s="75"/>
      <c r="D4199" s="75"/>
      <c r="E4199" s="75"/>
      <c r="F4199" s="75"/>
    </row>
    <row r="4200" spans="2:6">
      <c r="B4200" s="75"/>
      <c r="C4200" s="75"/>
      <c r="D4200" s="75"/>
      <c r="E4200" s="75"/>
      <c r="F4200" s="75"/>
    </row>
    <row r="4201" spans="2:6">
      <c r="B4201" s="75"/>
      <c r="C4201" s="75"/>
      <c r="D4201" s="75"/>
      <c r="E4201" s="75"/>
      <c r="F4201" s="75"/>
    </row>
    <row r="4202" spans="2:6">
      <c r="B4202" s="75"/>
      <c r="C4202" s="75"/>
      <c r="D4202" s="75"/>
      <c r="E4202" s="75"/>
      <c r="F4202" s="75"/>
    </row>
    <row r="4203" spans="2:6">
      <c r="B4203" s="75"/>
      <c r="C4203" s="75"/>
      <c r="D4203" s="75"/>
      <c r="E4203" s="75"/>
      <c r="F4203" s="75"/>
    </row>
    <row r="4204" spans="2:6">
      <c r="B4204" s="75"/>
      <c r="C4204" s="75"/>
      <c r="D4204" s="75"/>
      <c r="E4204" s="75"/>
      <c r="F4204" s="75"/>
    </row>
    <row r="4205" spans="2:6">
      <c r="B4205" s="75"/>
      <c r="C4205" s="75"/>
      <c r="D4205" s="75"/>
      <c r="E4205" s="75"/>
      <c r="F4205" s="75"/>
    </row>
    <row r="4206" spans="2:6">
      <c r="B4206" s="75"/>
      <c r="C4206" s="75"/>
      <c r="D4206" s="75"/>
      <c r="E4206" s="75"/>
      <c r="F4206" s="75"/>
    </row>
    <row r="4207" spans="2:6">
      <c r="B4207" s="75"/>
      <c r="C4207" s="75"/>
      <c r="D4207" s="75"/>
      <c r="E4207" s="75"/>
      <c r="F4207" s="75"/>
    </row>
    <row r="4208" spans="2:6">
      <c r="B4208" s="75"/>
      <c r="C4208" s="75"/>
      <c r="D4208" s="75"/>
      <c r="E4208" s="75"/>
      <c r="F4208" s="75"/>
    </row>
    <row r="4209" spans="2:6">
      <c r="B4209" s="75"/>
      <c r="C4209" s="75"/>
      <c r="D4209" s="75"/>
      <c r="E4209" s="75"/>
      <c r="F4209" s="75"/>
    </row>
    <row r="4210" spans="2:6">
      <c r="B4210" s="75"/>
      <c r="C4210" s="75"/>
      <c r="D4210" s="75"/>
      <c r="E4210" s="75"/>
      <c r="F4210" s="75"/>
    </row>
    <row r="4211" spans="2:6">
      <c r="B4211" s="75"/>
      <c r="C4211" s="75"/>
      <c r="D4211" s="75"/>
      <c r="E4211" s="75"/>
      <c r="F4211" s="75"/>
    </row>
    <row r="4212" spans="2:6">
      <c r="B4212" s="75"/>
      <c r="C4212" s="75"/>
      <c r="D4212" s="75"/>
      <c r="E4212" s="75"/>
      <c r="F4212" s="75"/>
    </row>
    <row r="4213" spans="2:6">
      <c r="B4213" s="75"/>
      <c r="C4213" s="75"/>
      <c r="D4213" s="75"/>
      <c r="E4213" s="75"/>
      <c r="F4213" s="75"/>
    </row>
    <row r="4214" spans="2:6">
      <c r="B4214" s="75"/>
      <c r="C4214" s="75"/>
      <c r="D4214" s="75"/>
      <c r="E4214" s="75"/>
      <c r="F4214" s="75"/>
    </row>
    <row r="4215" spans="2:6">
      <c r="B4215" s="75"/>
      <c r="C4215" s="75"/>
      <c r="D4215" s="75"/>
      <c r="E4215" s="75"/>
      <c r="F4215" s="75"/>
    </row>
    <row r="4216" spans="2:6">
      <c r="B4216" s="75"/>
      <c r="C4216" s="75"/>
      <c r="D4216" s="75"/>
      <c r="E4216" s="75"/>
      <c r="F4216" s="75"/>
    </row>
    <row r="4217" spans="2:6">
      <c r="B4217" s="75"/>
      <c r="C4217" s="75"/>
      <c r="D4217" s="75"/>
      <c r="E4217" s="75"/>
      <c r="F4217" s="75"/>
    </row>
    <row r="4218" spans="2:6">
      <c r="B4218" s="75"/>
      <c r="C4218" s="75"/>
      <c r="D4218" s="75"/>
      <c r="E4218" s="75"/>
      <c r="F4218" s="75"/>
    </row>
    <row r="4219" spans="2:6">
      <c r="B4219" s="75"/>
      <c r="C4219" s="75"/>
      <c r="D4219" s="75"/>
      <c r="E4219" s="75"/>
      <c r="F4219" s="75"/>
    </row>
    <row r="4220" spans="2:6">
      <c r="B4220" s="75"/>
      <c r="C4220" s="75"/>
      <c r="D4220" s="75"/>
      <c r="E4220" s="75"/>
      <c r="F4220" s="75"/>
    </row>
    <row r="4221" spans="2:6">
      <c r="B4221" s="75"/>
      <c r="C4221" s="75"/>
      <c r="D4221" s="75"/>
      <c r="E4221" s="75"/>
      <c r="F4221" s="75"/>
    </row>
    <row r="4222" spans="2:6">
      <c r="B4222" s="75"/>
      <c r="C4222" s="75"/>
      <c r="D4222" s="75"/>
      <c r="E4222" s="75"/>
      <c r="F4222" s="75"/>
    </row>
    <row r="4223" spans="2:6">
      <c r="B4223" s="75"/>
      <c r="C4223" s="75"/>
      <c r="D4223" s="75"/>
      <c r="E4223" s="75"/>
      <c r="F4223" s="75"/>
    </row>
    <row r="4224" spans="2:6">
      <c r="B4224" s="75"/>
      <c r="C4224" s="75"/>
      <c r="D4224" s="75"/>
      <c r="E4224" s="75"/>
      <c r="F4224" s="75"/>
    </row>
    <row r="4225" spans="2:6">
      <c r="B4225" s="75"/>
      <c r="C4225" s="75"/>
      <c r="D4225" s="75"/>
      <c r="E4225" s="75"/>
      <c r="F4225" s="75"/>
    </row>
    <row r="4226" spans="2:6">
      <c r="B4226" s="75"/>
      <c r="C4226" s="75"/>
      <c r="D4226" s="75"/>
      <c r="E4226" s="75"/>
      <c r="F4226" s="75"/>
    </row>
    <row r="4227" spans="2:6">
      <c r="B4227" s="75"/>
      <c r="C4227" s="75"/>
      <c r="D4227" s="75"/>
      <c r="E4227" s="75"/>
      <c r="F4227" s="75"/>
    </row>
    <row r="4228" spans="2:6">
      <c r="B4228" s="75"/>
      <c r="C4228" s="75"/>
      <c r="D4228" s="75"/>
      <c r="E4228" s="75"/>
      <c r="F4228" s="75"/>
    </row>
    <row r="4229" spans="2:6">
      <c r="B4229" s="75"/>
      <c r="C4229" s="75"/>
      <c r="D4229" s="75"/>
      <c r="E4229" s="75"/>
      <c r="F4229" s="75"/>
    </row>
    <row r="4230" spans="2:6">
      <c r="B4230" s="75"/>
      <c r="C4230" s="75"/>
      <c r="D4230" s="75"/>
      <c r="E4230" s="75"/>
      <c r="F4230" s="75"/>
    </row>
    <row r="4231" spans="2:6">
      <c r="B4231" s="75"/>
      <c r="C4231" s="75"/>
      <c r="D4231" s="75"/>
      <c r="E4231" s="75"/>
      <c r="F4231" s="75"/>
    </row>
    <row r="4232" spans="2:6">
      <c r="B4232" s="75"/>
      <c r="C4232" s="75"/>
      <c r="D4232" s="75"/>
      <c r="E4232" s="75"/>
      <c r="F4232" s="75"/>
    </row>
    <row r="4233" spans="2:6">
      <c r="B4233" s="75"/>
      <c r="C4233" s="75"/>
      <c r="D4233" s="75"/>
      <c r="E4233" s="75"/>
      <c r="F4233" s="75"/>
    </row>
    <row r="4234" spans="2:6">
      <c r="B4234" s="75"/>
      <c r="C4234" s="75"/>
      <c r="D4234" s="75"/>
      <c r="E4234" s="75"/>
      <c r="F4234" s="75"/>
    </row>
    <row r="4235" spans="2:6">
      <c r="B4235" s="75"/>
      <c r="C4235" s="75"/>
      <c r="D4235" s="75"/>
      <c r="E4235" s="75"/>
      <c r="F4235" s="75"/>
    </row>
    <row r="4236" spans="2:6">
      <c r="B4236" s="75"/>
      <c r="C4236" s="75"/>
      <c r="D4236" s="75"/>
      <c r="E4236" s="75"/>
      <c r="F4236" s="75"/>
    </row>
    <row r="4237" spans="2:6">
      <c r="B4237" s="75"/>
      <c r="C4237" s="75"/>
      <c r="D4237" s="75"/>
      <c r="E4237" s="75"/>
      <c r="F4237" s="75"/>
    </row>
    <row r="4238" spans="2:6">
      <c r="B4238" s="75"/>
      <c r="C4238" s="75"/>
      <c r="D4238" s="75"/>
      <c r="E4238" s="75"/>
      <c r="F4238" s="75"/>
    </row>
    <row r="4239" spans="2:6">
      <c r="B4239" s="75"/>
      <c r="C4239" s="75"/>
      <c r="D4239" s="75"/>
      <c r="E4239" s="75"/>
      <c r="F4239" s="75"/>
    </row>
    <row r="4240" spans="2:6">
      <c r="B4240" s="75"/>
      <c r="C4240" s="75"/>
      <c r="D4240" s="75"/>
      <c r="E4240" s="75"/>
      <c r="F4240" s="75"/>
    </row>
    <row r="4241" spans="2:6">
      <c r="B4241" s="75"/>
      <c r="C4241" s="75"/>
      <c r="D4241" s="75"/>
      <c r="E4241" s="75"/>
      <c r="F4241" s="75"/>
    </row>
    <row r="4242" spans="2:6">
      <c r="B4242" s="75"/>
      <c r="C4242" s="75"/>
      <c r="D4242" s="75"/>
      <c r="E4242" s="75"/>
      <c r="F4242" s="75"/>
    </row>
    <row r="4243" spans="2:6">
      <c r="B4243" s="75"/>
      <c r="C4243" s="75"/>
      <c r="D4243" s="75"/>
      <c r="E4243" s="75"/>
      <c r="F4243" s="75"/>
    </row>
    <row r="4244" spans="2:6">
      <c r="B4244" s="75"/>
      <c r="C4244" s="75"/>
      <c r="D4244" s="75"/>
      <c r="E4244" s="75"/>
      <c r="F4244" s="75"/>
    </row>
    <row r="4245" spans="2:6">
      <c r="B4245" s="75"/>
      <c r="C4245" s="75"/>
      <c r="D4245" s="75"/>
      <c r="E4245" s="75"/>
      <c r="F4245" s="75"/>
    </row>
    <row r="4246" spans="2:6">
      <c r="B4246" s="75"/>
      <c r="C4246" s="75"/>
      <c r="D4246" s="75"/>
      <c r="E4246" s="75"/>
      <c r="F4246" s="75"/>
    </row>
    <row r="4247" spans="2:6">
      <c r="B4247" s="75"/>
      <c r="C4247" s="75"/>
      <c r="D4247" s="75"/>
      <c r="E4247" s="75"/>
      <c r="F4247" s="75"/>
    </row>
    <row r="4248" spans="2:6">
      <c r="B4248" s="75"/>
      <c r="C4248" s="75"/>
      <c r="D4248" s="75"/>
      <c r="E4248" s="75"/>
      <c r="F4248" s="75"/>
    </row>
    <row r="4249" spans="2:6">
      <c r="B4249" s="75"/>
      <c r="C4249" s="75"/>
      <c r="D4249" s="75"/>
      <c r="E4249" s="75"/>
      <c r="F4249" s="75"/>
    </row>
    <row r="4250" spans="2:6">
      <c r="B4250" s="75"/>
      <c r="C4250" s="75"/>
      <c r="D4250" s="75"/>
      <c r="E4250" s="75"/>
      <c r="F4250" s="75"/>
    </row>
    <row r="4251" spans="2:6">
      <c r="B4251" s="75"/>
      <c r="C4251" s="75"/>
      <c r="D4251" s="75"/>
      <c r="E4251" s="75"/>
      <c r="F4251" s="75"/>
    </row>
    <row r="4252" spans="2:6">
      <c r="B4252" s="75"/>
      <c r="C4252" s="75"/>
      <c r="D4252" s="75"/>
      <c r="E4252" s="75"/>
      <c r="F4252" s="75"/>
    </row>
    <row r="4253" spans="2:6">
      <c r="B4253" s="75"/>
      <c r="C4253" s="75"/>
      <c r="D4253" s="75"/>
      <c r="E4253" s="75"/>
      <c r="F4253" s="75"/>
    </row>
    <row r="4254" spans="2:6">
      <c r="B4254" s="75"/>
      <c r="C4254" s="75"/>
      <c r="D4254" s="75"/>
      <c r="E4254" s="75"/>
      <c r="F4254" s="75"/>
    </row>
    <row r="4255" spans="2:6">
      <c r="B4255" s="75"/>
      <c r="C4255" s="75"/>
      <c r="D4255" s="75"/>
      <c r="E4255" s="75"/>
      <c r="F4255" s="75"/>
    </row>
    <row r="4256" spans="2:6">
      <c r="B4256" s="75"/>
      <c r="C4256" s="75"/>
      <c r="D4256" s="75"/>
      <c r="E4256" s="75"/>
      <c r="F4256" s="75"/>
    </row>
    <row r="4257" spans="2:6">
      <c r="B4257" s="75"/>
      <c r="C4257" s="75"/>
      <c r="D4257" s="75"/>
      <c r="E4257" s="75"/>
      <c r="F4257" s="75"/>
    </row>
    <row r="4258" spans="2:6">
      <c r="B4258" s="75"/>
      <c r="C4258" s="75"/>
      <c r="D4258" s="75"/>
      <c r="E4258" s="75"/>
      <c r="F4258" s="75"/>
    </row>
    <row r="4259" spans="2:6">
      <c r="B4259" s="75"/>
      <c r="C4259" s="75"/>
      <c r="D4259" s="75"/>
      <c r="E4259" s="75"/>
      <c r="F4259" s="75"/>
    </row>
    <row r="4260" spans="2:6">
      <c r="B4260" s="75"/>
      <c r="C4260" s="75"/>
      <c r="D4260" s="75"/>
      <c r="E4260" s="75"/>
      <c r="F4260" s="75"/>
    </row>
    <row r="4261" spans="2:6">
      <c r="B4261" s="75"/>
      <c r="C4261" s="75"/>
      <c r="D4261" s="75"/>
      <c r="E4261" s="75"/>
      <c r="F4261" s="75"/>
    </row>
    <row r="4262" spans="2:6">
      <c r="B4262" s="75"/>
      <c r="C4262" s="75"/>
      <c r="D4262" s="75"/>
      <c r="E4262" s="75"/>
      <c r="F4262" s="75"/>
    </row>
    <row r="4263" spans="2:6">
      <c r="B4263" s="75"/>
      <c r="C4263" s="75"/>
      <c r="D4263" s="75"/>
      <c r="E4263" s="75"/>
      <c r="F4263" s="75"/>
    </row>
    <row r="4264" spans="2:6">
      <c r="B4264" s="75"/>
      <c r="C4264" s="75"/>
      <c r="D4264" s="75"/>
      <c r="E4264" s="75"/>
      <c r="F4264" s="75"/>
    </row>
    <row r="4265" spans="2:6">
      <c r="B4265" s="75"/>
      <c r="C4265" s="75"/>
      <c r="D4265" s="75"/>
      <c r="E4265" s="75"/>
      <c r="F4265" s="75"/>
    </row>
    <row r="4266" spans="2:6">
      <c r="B4266" s="75"/>
      <c r="C4266" s="75"/>
      <c r="D4266" s="75"/>
      <c r="E4266" s="75"/>
      <c r="F4266" s="75"/>
    </row>
    <row r="4267" spans="2:6">
      <c r="B4267" s="75"/>
      <c r="C4267" s="75"/>
      <c r="D4267" s="75"/>
      <c r="E4267" s="75"/>
      <c r="F4267" s="75"/>
    </row>
    <row r="4268" spans="2:6">
      <c r="B4268" s="75"/>
      <c r="C4268" s="75"/>
      <c r="D4268" s="75"/>
      <c r="E4268" s="75"/>
      <c r="F4268" s="75"/>
    </row>
    <row r="4269" spans="2:6">
      <c r="B4269" s="75"/>
      <c r="C4269" s="75"/>
      <c r="D4269" s="75"/>
      <c r="E4269" s="75"/>
      <c r="F4269" s="75"/>
    </row>
    <row r="4270" spans="2:6">
      <c r="B4270" s="75"/>
      <c r="C4270" s="75"/>
      <c r="D4270" s="75"/>
      <c r="E4270" s="75"/>
      <c r="F4270" s="75"/>
    </row>
    <row r="4271" spans="2:6">
      <c r="B4271" s="75"/>
      <c r="C4271" s="75"/>
      <c r="D4271" s="75"/>
      <c r="E4271" s="75"/>
      <c r="F4271" s="75"/>
    </row>
    <row r="4272" spans="2:6">
      <c r="B4272" s="75"/>
      <c r="C4272" s="75"/>
      <c r="D4272" s="75"/>
      <c r="E4272" s="75"/>
      <c r="F4272" s="75"/>
    </row>
    <row r="4273" spans="2:6">
      <c r="B4273" s="75"/>
      <c r="C4273" s="75"/>
      <c r="D4273" s="75"/>
      <c r="E4273" s="75"/>
      <c r="F4273" s="75"/>
    </row>
    <row r="4274" spans="2:6">
      <c r="B4274" s="75"/>
      <c r="C4274" s="75"/>
      <c r="D4274" s="75"/>
      <c r="E4274" s="75"/>
      <c r="F4274" s="75"/>
    </row>
    <row r="4275" spans="2:6">
      <c r="B4275" s="75"/>
      <c r="C4275" s="75"/>
      <c r="D4275" s="75"/>
      <c r="E4275" s="75"/>
      <c r="F4275" s="75"/>
    </row>
    <row r="4276" spans="2:6">
      <c r="B4276" s="75"/>
      <c r="C4276" s="75"/>
      <c r="D4276" s="75"/>
      <c r="E4276" s="75"/>
      <c r="F4276" s="75"/>
    </row>
    <row r="4277" spans="2:6">
      <c r="B4277" s="75"/>
      <c r="C4277" s="75"/>
      <c r="D4277" s="75"/>
      <c r="E4277" s="75"/>
      <c r="F4277" s="75"/>
    </row>
    <row r="4278" spans="2:6">
      <c r="B4278" s="75"/>
      <c r="C4278" s="75"/>
      <c r="D4278" s="75"/>
      <c r="E4278" s="75"/>
      <c r="F4278" s="75"/>
    </row>
    <row r="4279" spans="2:6">
      <c r="B4279" s="75"/>
      <c r="C4279" s="75"/>
      <c r="D4279" s="75"/>
      <c r="E4279" s="75"/>
      <c r="F4279" s="75"/>
    </row>
    <row r="4280" spans="2:6">
      <c r="B4280" s="75"/>
      <c r="C4280" s="75"/>
      <c r="D4280" s="75"/>
      <c r="E4280" s="75"/>
      <c r="F4280" s="75"/>
    </row>
    <row r="4281" spans="2:6">
      <c r="B4281" s="75"/>
      <c r="C4281" s="75"/>
      <c r="D4281" s="75"/>
      <c r="E4281" s="75"/>
      <c r="F4281" s="75"/>
    </row>
    <row r="4282" spans="2:6">
      <c r="B4282" s="75"/>
      <c r="C4282" s="75"/>
      <c r="D4282" s="75"/>
      <c r="E4282" s="75"/>
      <c r="F4282" s="75"/>
    </row>
    <row r="4283" spans="2:6">
      <c r="B4283" s="75"/>
      <c r="C4283" s="75"/>
      <c r="D4283" s="75"/>
      <c r="E4283" s="75"/>
      <c r="F4283" s="75"/>
    </row>
    <row r="4284" spans="2:6">
      <c r="B4284" s="75"/>
      <c r="C4284" s="75"/>
      <c r="D4284" s="75"/>
      <c r="E4284" s="75"/>
      <c r="F4284" s="75"/>
    </row>
    <row r="4285" spans="2:6">
      <c r="B4285" s="75"/>
      <c r="C4285" s="75"/>
      <c r="D4285" s="75"/>
      <c r="E4285" s="75"/>
      <c r="F4285" s="75"/>
    </row>
    <row r="4286" spans="2:6">
      <c r="B4286" s="75"/>
      <c r="C4286" s="75"/>
      <c r="D4286" s="75"/>
      <c r="E4286" s="75"/>
      <c r="F4286" s="75"/>
    </row>
    <row r="4287" spans="2:6">
      <c r="B4287" s="75"/>
      <c r="C4287" s="75"/>
      <c r="D4287" s="75"/>
      <c r="E4287" s="75"/>
      <c r="F4287" s="75"/>
    </row>
    <row r="4288" spans="2:6">
      <c r="B4288" s="75"/>
      <c r="C4288" s="75"/>
      <c r="D4288" s="75"/>
      <c r="E4288" s="75"/>
      <c r="F4288" s="75"/>
    </row>
    <row r="4289" spans="2:6">
      <c r="B4289" s="75"/>
      <c r="C4289" s="75"/>
      <c r="D4289" s="75"/>
      <c r="E4289" s="75"/>
      <c r="F4289" s="75"/>
    </row>
    <row r="4290" spans="2:6">
      <c r="B4290" s="75"/>
      <c r="C4290" s="75"/>
      <c r="D4290" s="75"/>
      <c r="E4290" s="75"/>
      <c r="F4290" s="75"/>
    </row>
    <row r="4291" spans="2:6">
      <c r="B4291" s="75"/>
      <c r="C4291" s="75"/>
      <c r="D4291" s="75"/>
      <c r="E4291" s="75"/>
      <c r="F4291" s="75"/>
    </row>
    <row r="4292" spans="2:6">
      <c r="B4292" s="75"/>
      <c r="C4292" s="75"/>
      <c r="D4292" s="75"/>
      <c r="E4292" s="75"/>
      <c r="F4292" s="75"/>
    </row>
    <row r="4293" spans="2:6">
      <c r="B4293" s="75"/>
      <c r="C4293" s="75"/>
      <c r="D4293" s="75"/>
      <c r="E4293" s="75"/>
      <c r="F4293" s="75"/>
    </row>
    <row r="4294" spans="2:6">
      <c r="B4294" s="75"/>
      <c r="C4294" s="75"/>
      <c r="D4294" s="75"/>
      <c r="E4294" s="75"/>
      <c r="F4294" s="75"/>
    </row>
    <row r="4295" spans="2:6">
      <c r="B4295" s="75"/>
      <c r="C4295" s="75"/>
      <c r="D4295" s="75"/>
      <c r="E4295" s="75"/>
      <c r="F4295" s="75"/>
    </row>
    <row r="4296" spans="2:6">
      <c r="B4296" s="75"/>
      <c r="C4296" s="75"/>
      <c r="D4296" s="75"/>
      <c r="E4296" s="75"/>
      <c r="F4296" s="75"/>
    </row>
    <row r="4297" spans="2:6">
      <c r="B4297" s="75"/>
      <c r="C4297" s="75"/>
      <c r="D4297" s="75"/>
      <c r="E4297" s="75"/>
      <c r="F4297" s="75"/>
    </row>
    <row r="4298" spans="2:6">
      <c r="B4298" s="75"/>
      <c r="C4298" s="75"/>
      <c r="D4298" s="75"/>
      <c r="E4298" s="75"/>
      <c r="F4298" s="75"/>
    </row>
    <row r="4299" spans="2:6">
      <c r="B4299" s="75"/>
      <c r="C4299" s="75"/>
      <c r="D4299" s="75"/>
      <c r="E4299" s="75"/>
      <c r="F4299" s="75"/>
    </row>
    <row r="4300" spans="2:6">
      <c r="B4300" s="75"/>
      <c r="C4300" s="75"/>
      <c r="D4300" s="75"/>
      <c r="E4300" s="75"/>
      <c r="F4300" s="75"/>
    </row>
    <row r="4301" spans="2:6">
      <c r="B4301" s="75"/>
      <c r="C4301" s="75"/>
      <c r="D4301" s="75"/>
      <c r="E4301" s="75"/>
      <c r="F4301" s="75"/>
    </row>
    <row r="4302" spans="2:6">
      <c r="B4302" s="75"/>
      <c r="C4302" s="75"/>
      <c r="D4302" s="75"/>
      <c r="E4302" s="75"/>
      <c r="F4302" s="75"/>
    </row>
    <row r="4303" spans="2:6">
      <c r="B4303" s="75"/>
      <c r="C4303" s="75"/>
      <c r="D4303" s="75"/>
      <c r="E4303" s="75"/>
      <c r="F4303" s="75"/>
    </row>
    <row r="4304" spans="2:6">
      <c r="B4304" s="75"/>
      <c r="C4304" s="75"/>
      <c r="D4304" s="75"/>
      <c r="E4304" s="75"/>
      <c r="F4304" s="75"/>
    </row>
    <row r="4305" spans="2:6">
      <c r="B4305" s="75"/>
      <c r="C4305" s="75"/>
      <c r="D4305" s="75"/>
      <c r="E4305" s="75"/>
      <c r="F4305" s="75"/>
    </row>
    <row r="4306" spans="2:6">
      <c r="B4306" s="75"/>
      <c r="C4306" s="75"/>
      <c r="D4306" s="75"/>
      <c r="E4306" s="75"/>
      <c r="F4306" s="75"/>
    </row>
    <row r="4307" spans="2:6">
      <c r="B4307" s="75"/>
      <c r="C4307" s="75"/>
      <c r="D4307" s="75"/>
      <c r="E4307" s="75"/>
      <c r="F4307" s="75"/>
    </row>
    <row r="4308" spans="2:6">
      <c r="B4308" s="75"/>
      <c r="C4308" s="75"/>
      <c r="D4308" s="75"/>
      <c r="E4308" s="75"/>
      <c r="F4308" s="75"/>
    </row>
    <row r="4309" spans="2:6">
      <c r="B4309" s="75"/>
      <c r="C4309" s="75"/>
      <c r="D4309" s="75"/>
      <c r="E4309" s="75"/>
      <c r="F4309" s="75"/>
    </row>
    <row r="4310" spans="2:6">
      <c r="B4310" s="75"/>
      <c r="C4310" s="75"/>
      <c r="D4310" s="75"/>
      <c r="E4310" s="75"/>
      <c r="F4310" s="75"/>
    </row>
    <row r="4311" spans="2:6">
      <c r="B4311" s="75"/>
      <c r="C4311" s="75"/>
      <c r="D4311" s="75"/>
      <c r="E4311" s="75"/>
      <c r="F4311" s="75"/>
    </row>
    <row r="4312" spans="2:6">
      <c r="B4312" s="75"/>
      <c r="C4312" s="75"/>
      <c r="D4312" s="75"/>
      <c r="E4312" s="75"/>
      <c r="F4312" s="75"/>
    </row>
    <row r="4313" spans="2:6">
      <c r="B4313" s="75"/>
      <c r="C4313" s="75"/>
      <c r="D4313" s="75"/>
      <c r="E4313" s="75"/>
      <c r="F4313" s="75"/>
    </row>
    <row r="4314" spans="2:6">
      <c r="B4314" s="75"/>
      <c r="C4314" s="75"/>
      <c r="D4314" s="75"/>
      <c r="E4314" s="75"/>
      <c r="F4314" s="75"/>
    </row>
    <row r="4315" spans="2:6">
      <c r="B4315" s="75"/>
      <c r="C4315" s="75"/>
      <c r="D4315" s="75"/>
      <c r="E4315" s="75"/>
      <c r="F4315" s="75"/>
    </row>
    <row r="4316" spans="2:6">
      <c r="B4316" s="75"/>
      <c r="C4316" s="75"/>
      <c r="D4316" s="75"/>
      <c r="E4316" s="75"/>
      <c r="F4316" s="75"/>
    </row>
    <row r="4317" spans="2:6">
      <c r="B4317" s="75"/>
      <c r="C4317" s="75"/>
      <c r="D4317" s="75"/>
      <c r="E4317" s="75"/>
      <c r="F4317" s="75"/>
    </row>
    <row r="4318" spans="2:6">
      <c r="B4318" s="75"/>
      <c r="C4318" s="75"/>
      <c r="D4318" s="75"/>
      <c r="E4318" s="75"/>
      <c r="F4318" s="75"/>
    </row>
    <row r="4319" spans="2:6">
      <c r="B4319" s="75"/>
      <c r="C4319" s="75"/>
      <c r="D4319" s="75"/>
      <c r="E4319" s="75"/>
      <c r="F4319" s="75"/>
    </row>
    <row r="4320" spans="2:6">
      <c r="B4320" s="75"/>
      <c r="C4320" s="75"/>
      <c r="D4320" s="75"/>
      <c r="E4320" s="75"/>
      <c r="F4320" s="75"/>
    </row>
    <row r="4321" spans="2:6">
      <c r="B4321" s="75"/>
      <c r="C4321" s="75"/>
      <c r="D4321" s="75"/>
      <c r="E4321" s="75"/>
      <c r="F4321" s="75"/>
    </row>
    <row r="4322" spans="2:6">
      <c r="B4322" s="75"/>
      <c r="C4322" s="75"/>
      <c r="D4322" s="75"/>
      <c r="E4322" s="75"/>
      <c r="F4322" s="75"/>
    </row>
    <row r="4323" spans="2:6">
      <c r="B4323" s="75"/>
      <c r="C4323" s="75"/>
      <c r="D4323" s="75"/>
      <c r="E4323" s="75"/>
      <c r="F4323" s="75"/>
    </row>
    <row r="4324" spans="2:6">
      <c r="B4324" s="75"/>
      <c r="C4324" s="75"/>
      <c r="D4324" s="75"/>
      <c r="E4324" s="75"/>
      <c r="F4324" s="75"/>
    </row>
    <row r="4325" spans="2:6">
      <c r="B4325" s="75"/>
      <c r="C4325" s="75"/>
      <c r="D4325" s="75"/>
      <c r="E4325" s="75"/>
      <c r="F4325" s="75"/>
    </row>
    <row r="4326" spans="2:6">
      <c r="B4326" s="75"/>
      <c r="C4326" s="75"/>
      <c r="D4326" s="75"/>
      <c r="E4326" s="75"/>
      <c r="F4326" s="75"/>
    </row>
    <row r="4327" spans="2:6">
      <c r="B4327" s="75"/>
      <c r="C4327" s="75"/>
      <c r="D4327" s="75"/>
      <c r="E4327" s="75"/>
      <c r="F4327" s="75"/>
    </row>
    <row r="4328" spans="2:6">
      <c r="B4328" s="75"/>
      <c r="C4328" s="75"/>
      <c r="D4328" s="75"/>
      <c r="E4328" s="75"/>
      <c r="F4328" s="75"/>
    </row>
    <row r="4329" spans="2:6">
      <c r="B4329" s="75"/>
      <c r="C4329" s="75"/>
      <c r="D4329" s="75"/>
      <c r="E4329" s="75"/>
      <c r="F4329" s="75"/>
    </row>
    <row r="4330" spans="2:6">
      <c r="B4330" s="75"/>
      <c r="C4330" s="75"/>
      <c r="D4330" s="75"/>
      <c r="E4330" s="75"/>
      <c r="F4330" s="75"/>
    </row>
    <row r="4331" spans="2:6">
      <c r="B4331" s="75"/>
      <c r="C4331" s="75"/>
      <c r="D4331" s="75"/>
      <c r="E4331" s="75"/>
      <c r="F4331" s="75"/>
    </row>
    <row r="4332" spans="2:6">
      <c r="B4332" s="75"/>
      <c r="C4332" s="75"/>
      <c r="D4332" s="75"/>
      <c r="E4332" s="75"/>
      <c r="F4332" s="75"/>
    </row>
    <row r="4333" spans="2:6">
      <c r="B4333" s="75"/>
      <c r="C4333" s="75"/>
      <c r="D4333" s="75"/>
      <c r="E4333" s="75"/>
      <c r="F4333" s="75"/>
    </row>
    <row r="4334" spans="2:6">
      <c r="B4334" s="75"/>
      <c r="C4334" s="75"/>
      <c r="D4334" s="75"/>
      <c r="E4334" s="75"/>
      <c r="F4334" s="75"/>
    </row>
    <row r="4335" spans="2:6">
      <c r="B4335" s="75"/>
      <c r="C4335" s="75"/>
      <c r="D4335" s="75"/>
      <c r="E4335" s="75"/>
      <c r="F4335" s="75"/>
    </row>
    <row r="4336" spans="2:6">
      <c r="B4336" s="75"/>
      <c r="C4336" s="75"/>
      <c r="D4336" s="75"/>
      <c r="E4336" s="75"/>
      <c r="F4336" s="75"/>
    </row>
    <row r="4337" spans="2:6">
      <c r="B4337" s="75"/>
      <c r="C4337" s="75"/>
      <c r="D4337" s="75"/>
      <c r="E4337" s="75"/>
      <c r="F4337" s="75"/>
    </row>
    <row r="4338" spans="2:6">
      <c r="B4338" s="75"/>
      <c r="C4338" s="75"/>
      <c r="D4338" s="75"/>
      <c r="E4338" s="75"/>
      <c r="F4338" s="75"/>
    </row>
    <row r="4339" spans="2:6">
      <c r="B4339" s="75"/>
      <c r="C4339" s="75"/>
      <c r="D4339" s="75"/>
      <c r="E4339" s="75"/>
      <c r="F4339" s="75"/>
    </row>
    <row r="4340" spans="2:6">
      <c r="B4340" s="75"/>
      <c r="C4340" s="75"/>
      <c r="D4340" s="75"/>
      <c r="E4340" s="75"/>
      <c r="F4340" s="75"/>
    </row>
    <row r="4341" spans="2:6">
      <c r="B4341" s="75"/>
      <c r="C4341" s="75"/>
      <c r="D4341" s="75"/>
      <c r="E4341" s="75"/>
      <c r="F4341" s="75"/>
    </row>
    <row r="4342" spans="2:6">
      <c r="B4342" s="75"/>
      <c r="C4342" s="75"/>
      <c r="D4342" s="75"/>
      <c r="E4342" s="75"/>
      <c r="F4342" s="75"/>
    </row>
    <row r="4343" spans="2:6">
      <c r="B4343" s="75"/>
      <c r="C4343" s="75"/>
      <c r="D4343" s="75"/>
      <c r="E4343" s="75"/>
      <c r="F4343" s="75"/>
    </row>
    <row r="4344" spans="2:6">
      <c r="B4344" s="75"/>
      <c r="C4344" s="75"/>
      <c r="D4344" s="75"/>
      <c r="E4344" s="75"/>
      <c r="F4344" s="75"/>
    </row>
    <row r="4345" spans="2:6">
      <c r="B4345" s="75"/>
      <c r="C4345" s="75"/>
      <c r="D4345" s="75"/>
      <c r="E4345" s="75"/>
      <c r="F4345" s="75"/>
    </row>
    <row r="4346" spans="2:6">
      <c r="B4346" s="75"/>
      <c r="C4346" s="75"/>
      <c r="D4346" s="75"/>
      <c r="E4346" s="75"/>
      <c r="F4346" s="75"/>
    </row>
    <row r="4347" spans="2:6">
      <c r="B4347" s="75"/>
      <c r="C4347" s="75"/>
      <c r="D4347" s="75"/>
      <c r="E4347" s="75"/>
      <c r="F4347" s="75"/>
    </row>
    <row r="4348" spans="2:6">
      <c r="B4348" s="75"/>
      <c r="C4348" s="75"/>
      <c r="D4348" s="75"/>
      <c r="E4348" s="75"/>
      <c r="F4348" s="75"/>
    </row>
    <row r="4349" spans="2:6">
      <c r="B4349" s="75"/>
      <c r="C4349" s="75"/>
      <c r="D4349" s="75"/>
      <c r="E4349" s="75"/>
      <c r="F4349" s="75"/>
    </row>
    <row r="4350" spans="2:6">
      <c r="B4350" s="75"/>
      <c r="C4350" s="75"/>
      <c r="D4350" s="75"/>
      <c r="E4350" s="75"/>
      <c r="F4350" s="75"/>
    </row>
    <row r="4351" spans="2:6">
      <c r="B4351" s="75"/>
      <c r="C4351" s="75"/>
      <c r="D4351" s="75"/>
      <c r="E4351" s="75"/>
      <c r="F4351" s="75"/>
    </row>
    <row r="4352" spans="2:6">
      <c r="B4352" s="75"/>
      <c r="C4352" s="75"/>
      <c r="D4352" s="75"/>
      <c r="E4352" s="75"/>
      <c r="F4352" s="75"/>
    </row>
    <row r="4353" spans="2:6">
      <c r="B4353" s="75"/>
      <c r="C4353" s="75"/>
      <c r="D4353" s="75"/>
      <c r="E4353" s="75"/>
      <c r="F4353" s="75"/>
    </row>
    <row r="4354" spans="2:6">
      <c r="B4354" s="75"/>
      <c r="C4354" s="75"/>
      <c r="D4354" s="75"/>
      <c r="E4354" s="75"/>
      <c r="F4354" s="75"/>
    </row>
    <row r="4355" spans="2:6">
      <c r="B4355" s="75"/>
      <c r="C4355" s="75"/>
      <c r="D4355" s="75"/>
      <c r="E4355" s="75"/>
      <c r="F4355" s="75"/>
    </row>
    <row r="4356" spans="2:6">
      <c r="B4356" s="75"/>
      <c r="C4356" s="75"/>
      <c r="D4356" s="75"/>
      <c r="E4356" s="75"/>
      <c r="F4356" s="75"/>
    </row>
    <row r="4357" spans="2:6">
      <c r="B4357" s="75"/>
      <c r="C4357" s="75"/>
      <c r="D4357" s="75"/>
      <c r="E4357" s="75"/>
      <c r="F4357" s="75"/>
    </row>
    <row r="4358" spans="2:6">
      <c r="B4358" s="75"/>
      <c r="C4358" s="75"/>
      <c r="D4358" s="75"/>
      <c r="E4358" s="75"/>
      <c r="F4358" s="75"/>
    </row>
    <row r="4359" spans="2:6">
      <c r="B4359" s="75"/>
      <c r="C4359" s="75"/>
      <c r="D4359" s="75"/>
      <c r="E4359" s="75"/>
      <c r="F4359" s="75"/>
    </row>
    <row r="4360" spans="2:6">
      <c r="B4360" s="75"/>
      <c r="C4360" s="75"/>
      <c r="D4360" s="75"/>
      <c r="E4360" s="75"/>
      <c r="F4360" s="75"/>
    </row>
    <row r="4361" spans="2:6">
      <c r="B4361" s="75"/>
      <c r="C4361" s="75"/>
      <c r="D4361" s="75"/>
      <c r="E4361" s="75"/>
      <c r="F4361" s="75"/>
    </row>
    <row r="4362" spans="2:6">
      <c r="B4362" s="75"/>
      <c r="C4362" s="75"/>
      <c r="D4362" s="75"/>
      <c r="E4362" s="75"/>
      <c r="F4362" s="75"/>
    </row>
    <row r="4363" spans="2:6">
      <c r="B4363" s="75"/>
      <c r="C4363" s="75"/>
      <c r="D4363" s="75"/>
      <c r="E4363" s="75"/>
      <c r="F4363" s="75"/>
    </row>
    <row r="4364" spans="2:6">
      <c r="B4364" s="75"/>
      <c r="C4364" s="75"/>
      <c r="D4364" s="75"/>
      <c r="E4364" s="75"/>
      <c r="F4364" s="75"/>
    </row>
    <row r="4365" spans="2:6">
      <c r="B4365" s="75"/>
      <c r="C4365" s="75"/>
      <c r="D4365" s="75"/>
      <c r="E4365" s="75"/>
      <c r="F4365" s="75"/>
    </row>
    <row r="4366" spans="2:6">
      <c r="B4366" s="75"/>
      <c r="C4366" s="75"/>
      <c r="D4366" s="75"/>
      <c r="E4366" s="75"/>
      <c r="F4366" s="75"/>
    </row>
    <row r="4367" spans="2:6">
      <c r="B4367" s="75"/>
      <c r="C4367" s="75"/>
      <c r="D4367" s="75"/>
      <c r="E4367" s="75"/>
      <c r="F4367" s="75"/>
    </row>
    <row r="4368" spans="2:6">
      <c r="B4368" s="75"/>
      <c r="C4368" s="75"/>
      <c r="D4368" s="75"/>
      <c r="E4368" s="75"/>
      <c r="F4368" s="75"/>
    </row>
    <row r="4369" spans="2:6">
      <c r="B4369" s="75"/>
      <c r="C4369" s="75"/>
      <c r="D4369" s="75"/>
      <c r="E4369" s="75"/>
      <c r="F4369" s="75"/>
    </row>
    <row r="4370" spans="2:6">
      <c r="B4370" s="75"/>
      <c r="C4370" s="75"/>
      <c r="D4370" s="75"/>
      <c r="E4370" s="75"/>
      <c r="F4370" s="75"/>
    </row>
    <row r="4371" spans="2:6">
      <c r="B4371" s="75"/>
      <c r="C4371" s="75"/>
      <c r="D4371" s="75"/>
      <c r="E4371" s="75"/>
      <c r="F4371" s="75"/>
    </row>
    <row r="4372" spans="2:6">
      <c r="B4372" s="75"/>
      <c r="C4372" s="75"/>
      <c r="D4372" s="75"/>
      <c r="E4372" s="75"/>
      <c r="F4372" s="75"/>
    </row>
    <row r="4373" spans="2:6">
      <c r="B4373" s="75"/>
      <c r="C4373" s="75"/>
      <c r="D4373" s="75"/>
      <c r="E4373" s="75"/>
      <c r="F4373" s="75"/>
    </row>
    <row r="4374" spans="2:6">
      <c r="B4374" s="75"/>
      <c r="C4374" s="75"/>
      <c r="D4374" s="75"/>
      <c r="E4374" s="75"/>
      <c r="F4374" s="75"/>
    </row>
    <row r="4375" spans="2:6">
      <c r="B4375" s="75"/>
      <c r="C4375" s="75"/>
      <c r="D4375" s="75"/>
      <c r="E4375" s="75"/>
      <c r="F4375" s="75"/>
    </row>
    <row r="4376" spans="2:6">
      <c r="B4376" s="75"/>
      <c r="C4376" s="75"/>
      <c r="D4376" s="75"/>
      <c r="E4376" s="75"/>
      <c r="F4376" s="75"/>
    </row>
    <row r="4377" spans="2:6">
      <c r="B4377" s="75"/>
      <c r="C4377" s="75"/>
      <c r="D4377" s="75"/>
      <c r="E4377" s="75"/>
      <c r="F4377" s="75"/>
    </row>
    <row r="4378" spans="2:6">
      <c r="B4378" s="75"/>
      <c r="C4378" s="75"/>
      <c r="D4378" s="75"/>
      <c r="E4378" s="75"/>
      <c r="F4378" s="75"/>
    </row>
    <row r="4379" spans="2:6">
      <c r="B4379" s="75"/>
      <c r="C4379" s="75"/>
      <c r="D4379" s="75"/>
      <c r="E4379" s="75"/>
      <c r="F4379" s="75"/>
    </row>
    <row r="4380" spans="2:6">
      <c r="B4380" s="75"/>
      <c r="C4380" s="75"/>
      <c r="D4380" s="75"/>
      <c r="E4380" s="75"/>
      <c r="F4380" s="75"/>
    </row>
    <row r="4381" spans="2:6">
      <c r="B4381" s="75"/>
      <c r="C4381" s="75"/>
      <c r="D4381" s="75"/>
      <c r="E4381" s="75"/>
      <c r="F4381" s="75"/>
    </row>
    <row r="4382" spans="2:6">
      <c r="B4382" s="75"/>
      <c r="C4382" s="75"/>
      <c r="D4382" s="75"/>
      <c r="E4382" s="75"/>
      <c r="F4382" s="75"/>
    </row>
    <row r="4383" spans="2:6">
      <c r="B4383" s="75"/>
      <c r="C4383" s="75"/>
      <c r="D4383" s="75"/>
      <c r="E4383" s="75"/>
      <c r="F4383" s="75"/>
    </row>
    <row r="4384" spans="2:6">
      <c r="B4384" s="75"/>
      <c r="C4384" s="75"/>
      <c r="D4384" s="75"/>
      <c r="E4384" s="75"/>
      <c r="F4384" s="75"/>
    </row>
    <row r="4385" spans="2:6">
      <c r="B4385" s="75"/>
      <c r="C4385" s="75"/>
      <c r="D4385" s="75"/>
      <c r="E4385" s="75"/>
      <c r="F4385" s="75"/>
    </row>
    <row r="4386" spans="2:6">
      <c r="B4386" s="75"/>
      <c r="C4386" s="75"/>
      <c r="D4386" s="75"/>
      <c r="E4386" s="75"/>
      <c r="F4386" s="75"/>
    </row>
    <row r="4387" spans="2:6">
      <c r="B4387" s="75"/>
      <c r="C4387" s="75"/>
      <c r="D4387" s="75"/>
      <c r="E4387" s="75"/>
      <c r="F4387" s="75"/>
    </row>
    <row r="4388" spans="2:6">
      <c r="B4388" s="75"/>
      <c r="C4388" s="75"/>
      <c r="D4388" s="75"/>
      <c r="E4388" s="75"/>
      <c r="F4388" s="75"/>
    </row>
    <row r="4389" spans="2:6">
      <c r="B4389" s="75"/>
      <c r="C4389" s="75"/>
      <c r="D4389" s="75"/>
      <c r="E4389" s="75"/>
      <c r="F4389" s="75"/>
    </row>
    <row r="4390" spans="2:6">
      <c r="B4390" s="75"/>
      <c r="C4390" s="75"/>
      <c r="D4390" s="75"/>
      <c r="E4390" s="75"/>
      <c r="F4390" s="75"/>
    </row>
    <row r="4391" spans="2:6">
      <c r="B4391" s="75"/>
      <c r="C4391" s="75"/>
      <c r="D4391" s="75"/>
      <c r="E4391" s="75"/>
      <c r="F4391" s="75"/>
    </row>
    <row r="4392" spans="2:6">
      <c r="B4392" s="75"/>
      <c r="C4392" s="75"/>
      <c r="D4392" s="75"/>
      <c r="E4392" s="75"/>
      <c r="F4392" s="75"/>
    </row>
    <row r="4393" spans="2:6">
      <c r="B4393" s="75"/>
      <c r="C4393" s="75"/>
      <c r="D4393" s="75"/>
      <c r="E4393" s="75"/>
      <c r="F4393" s="75"/>
    </row>
    <row r="4394" spans="2:6">
      <c r="B4394" s="75"/>
      <c r="C4394" s="75"/>
      <c r="D4394" s="75"/>
      <c r="E4394" s="75"/>
      <c r="F4394" s="75"/>
    </row>
    <row r="4395" spans="2:6">
      <c r="B4395" s="75"/>
      <c r="C4395" s="75"/>
      <c r="D4395" s="75"/>
      <c r="E4395" s="75"/>
      <c r="F4395" s="75"/>
    </row>
    <row r="4396" spans="2:6">
      <c r="B4396" s="75"/>
      <c r="C4396" s="75"/>
      <c r="D4396" s="75"/>
      <c r="E4396" s="75"/>
      <c r="F4396" s="75"/>
    </row>
    <row r="4397" spans="2:6">
      <c r="B4397" s="75"/>
      <c r="C4397" s="75"/>
      <c r="D4397" s="75"/>
      <c r="E4397" s="75"/>
      <c r="F4397" s="75"/>
    </row>
    <row r="4398" spans="2:6">
      <c r="B4398" s="75"/>
      <c r="C4398" s="75"/>
      <c r="D4398" s="75"/>
      <c r="E4398" s="75"/>
      <c r="F4398" s="75"/>
    </row>
    <row r="4399" spans="2:6">
      <c r="B4399" s="75"/>
      <c r="C4399" s="75"/>
      <c r="D4399" s="75"/>
      <c r="E4399" s="75"/>
      <c r="F4399" s="75"/>
    </row>
    <row r="4400" spans="2:6">
      <c r="B4400" s="75"/>
      <c r="C4400" s="75"/>
      <c r="D4400" s="75"/>
      <c r="E4400" s="75"/>
      <c r="F4400" s="75"/>
    </row>
    <row r="4401" spans="2:6">
      <c r="B4401" s="75"/>
      <c r="C4401" s="75"/>
      <c r="D4401" s="75"/>
      <c r="E4401" s="75"/>
      <c r="F4401" s="75"/>
    </row>
    <row r="4402" spans="2:6">
      <c r="B4402" s="75"/>
      <c r="C4402" s="75"/>
      <c r="D4402" s="75"/>
      <c r="E4402" s="75"/>
      <c r="F4402" s="75"/>
    </row>
    <row r="4403" spans="2:6">
      <c r="B4403" s="75"/>
      <c r="C4403" s="75"/>
      <c r="D4403" s="75"/>
      <c r="E4403" s="75"/>
      <c r="F4403" s="75"/>
    </row>
    <row r="4404" spans="2:6">
      <c r="B4404" s="75"/>
      <c r="C4404" s="75"/>
      <c r="D4404" s="75"/>
      <c r="E4404" s="75"/>
      <c r="F4404" s="75"/>
    </row>
    <row r="4405" spans="2:6">
      <c r="B4405" s="75"/>
      <c r="C4405" s="75"/>
      <c r="D4405" s="75"/>
      <c r="E4405" s="75"/>
      <c r="F4405" s="75"/>
    </row>
    <row r="4406" spans="2:6">
      <c r="B4406" s="75"/>
      <c r="C4406" s="75"/>
      <c r="D4406" s="75"/>
      <c r="E4406" s="75"/>
      <c r="F4406" s="75"/>
    </row>
    <row r="4407" spans="2:6">
      <c r="B4407" s="75"/>
      <c r="C4407" s="75"/>
      <c r="D4407" s="75"/>
      <c r="E4407" s="75"/>
      <c r="F4407" s="75"/>
    </row>
    <row r="4408" spans="2:6">
      <c r="B4408" s="75"/>
      <c r="C4408" s="75"/>
      <c r="D4408" s="75"/>
      <c r="E4408" s="75"/>
      <c r="F4408" s="75"/>
    </row>
    <row r="4409" spans="2:6">
      <c r="B4409" s="75"/>
      <c r="C4409" s="75"/>
      <c r="D4409" s="75"/>
      <c r="E4409" s="75"/>
      <c r="F4409" s="75"/>
    </row>
    <row r="4410" spans="2:6">
      <c r="B4410" s="75"/>
      <c r="C4410" s="75"/>
      <c r="D4410" s="75"/>
      <c r="E4410" s="75"/>
      <c r="F4410" s="75"/>
    </row>
    <row r="4411" spans="2:6">
      <c r="B4411" s="75"/>
      <c r="C4411" s="75"/>
      <c r="D4411" s="75"/>
      <c r="E4411" s="75"/>
      <c r="F4411" s="75"/>
    </row>
    <row r="4412" spans="2:6">
      <c r="B4412" s="75"/>
      <c r="C4412" s="75"/>
      <c r="D4412" s="75"/>
      <c r="E4412" s="75"/>
      <c r="F4412" s="75"/>
    </row>
    <row r="4413" spans="2:6">
      <c r="B4413" s="75"/>
      <c r="C4413" s="75"/>
      <c r="D4413" s="75"/>
      <c r="E4413" s="75"/>
      <c r="F4413" s="75"/>
    </row>
    <row r="4414" spans="2:6">
      <c r="B4414" s="75"/>
      <c r="C4414" s="75"/>
      <c r="D4414" s="75"/>
      <c r="E4414" s="75"/>
      <c r="F4414" s="75"/>
    </row>
    <row r="4415" spans="2:6">
      <c r="B4415" s="75"/>
      <c r="C4415" s="75"/>
      <c r="D4415" s="75"/>
      <c r="E4415" s="75"/>
      <c r="F4415" s="75"/>
    </row>
    <row r="4416" spans="2:6">
      <c r="B4416" s="75"/>
      <c r="C4416" s="75"/>
      <c r="D4416" s="75"/>
      <c r="E4416" s="75"/>
      <c r="F4416" s="75"/>
    </row>
    <row r="4417" spans="2:6">
      <c r="B4417" s="75"/>
      <c r="C4417" s="75"/>
      <c r="D4417" s="75"/>
      <c r="E4417" s="75"/>
      <c r="F4417" s="75"/>
    </row>
    <row r="4418" spans="2:6">
      <c r="B4418" s="75"/>
      <c r="C4418" s="75"/>
      <c r="D4418" s="75"/>
      <c r="E4418" s="75"/>
      <c r="F4418" s="75"/>
    </row>
    <row r="4419" spans="2:6">
      <c r="B4419" s="75"/>
      <c r="C4419" s="75"/>
      <c r="D4419" s="75"/>
      <c r="E4419" s="75"/>
      <c r="F4419" s="75"/>
    </row>
    <row r="4420" spans="2:6">
      <c r="B4420" s="75"/>
      <c r="C4420" s="75"/>
      <c r="D4420" s="75"/>
      <c r="E4420" s="75"/>
      <c r="F4420" s="75"/>
    </row>
    <row r="4421" spans="2:6">
      <c r="B4421" s="75"/>
      <c r="C4421" s="75"/>
      <c r="D4421" s="75"/>
      <c r="E4421" s="75"/>
      <c r="F4421" s="75"/>
    </row>
    <row r="4422" spans="2:6">
      <c r="B4422" s="75"/>
      <c r="C4422" s="75"/>
      <c r="D4422" s="75"/>
      <c r="E4422" s="75"/>
      <c r="F4422" s="75"/>
    </row>
    <row r="4423" spans="2:6">
      <c r="B4423" s="75"/>
      <c r="C4423" s="75"/>
      <c r="D4423" s="75"/>
      <c r="E4423" s="75"/>
      <c r="F4423" s="75"/>
    </row>
    <row r="4424" spans="2:6">
      <c r="B4424" s="75"/>
      <c r="C4424" s="75"/>
      <c r="D4424" s="75"/>
      <c r="E4424" s="75"/>
      <c r="F4424" s="75"/>
    </row>
    <row r="4425" spans="2:6">
      <c r="B4425" s="75"/>
      <c r="C4425" s="75"/>
      <c r="D4425" s="75"/>
      <c r="E4425" s="75"/>
      <c r="F4425" s="75"/>
    </row>
    <row r="4426" spans="2:6">
      <c r="B4426" s="75"/>
      <c r="C4426" s="75"/>
      <c r="D4426" s="75"/>
      <c r="E4426" s="75"/>
      <c r="F4426" s="75"/>
    </row>
    <row r="4427" spans="2:6">
      <c r="B4427" s="75"/>
      <c r="C4427" s="75"/>
      <c r="D4427" s="75"/>
      <c r="E4427" s="75"/>
      <c r="F4427" s="75"/>
    </row>
    <row r="4428" spans="2:6">
      <c r="B4428" s="75"/>
      <c r="C4428" s="75"/>
      <c r="D4428" s="75"/>
      <c r="E4428" s="75"/>
      <c r="F4428" s="75"/>
    </row>
    <row r="4429" spans="2:6">
      <c r="B4429" s="75"/>
      <c r="C4429" s="75"/>
      <c r="D4429" s="75"/>
      <c r="E4429" s="75"/>
      <c r="F4429" s="75"/>
    </row>
    <row r="4430" spans="2:6">
      <c r="B4430" s="75"/>
      <c r="C4430" s="75"/>
      <c r="D4430" s="75"/>
      <c r="E4430" s="75"/>
      <c r="F4430" s="75"/>
    </row>
    <row r="4431" spans="2:6">
      <c r="B4431" s="75"/>
      <c r="C4431" s="75"/>
      <c r="D4431" s="75"/>
      <c r="E4431" s="75"/>
      <c r="F4431" s="75"/>
    </row>
    <row r="4432" spans="2:6">
      <c r="B4432" s="75"/>
      <c r="C4432" s="75"/>
      <c r="D4432" s="75"/>
      <c r="E4432" s="75"/>
      <c r="F4432" s="75"/>
    </row>
    <row r="4433" spans="2:6">
      <c r="B4433" s="75"/>
      <c r="C4433" s="75"/>
      <c r="D4433" s="75"/>
      <c r="E4433" s="75"/>
      <c r="F4433" s="75"/>
    </row>
    <row r="4434" spans="2:6">
      <c r="B4434" s="75"/>
      <c r="C4434" s="75"/>
      <c r="D4434" s="75"/>
      <c r="E4434" s="75"/>
      <c r="F4434" s="75"/>
    </row>
    <row r="4435" spans="2:6">
      <c r="B4435" s="75"/>
      <c r="C4435" s="75"/>
      <c r="D4435" s="75"/>
      <c r="E4435" s="75"/>
      <c r="F4435" s="75"/>
    </row>
    <row r="4436" spans="2:6">
      <c r="B4436" s="75"/>
      <c r="C4436" s="75"/>
      <c r="D4436" s="75"/>
      <c r="E4436" s="75"/>
      <c r="F4436" s="75"/>
    </row>
    <row r="4437" spans="2:6">
      <c r="B4437" s="75"/>
      <c r="C4437" s="75"/>
      <c r="D4437" s="75"/>
      <c r="E4437" s="75"/>
      <c r="F4437" s="75"/>
    </row>
    <row r="4438" spans="2:6">
      <c r="B4438" s="75"/>
      <c r="C4438" s="75"/>
      <c r="D4438" s="75"/>
      <c r="E4438" s="75"/>
      <c r="F4438" s="75"/>
    </row>
    <row r="4439" spans="2:6">
      <c r="B4439" s="75"/>
      <c r="C4439" s="75"/>
      <c r="D4439" s="75"/>
      <c r="E4439" s="75"/>
      <c r="F4439" s="75"/>
    </row>
    <row r="4440" spans="2:6">
      <c r="B4440" s="75"/>
      <c r="C4440" s="75"/>
      <c r="D4440" s="75"/>
      <c r="E4440" s="75"/>
      <c r="F4440" s="75"/>
    </row>
    <row r="4441" spans="2:6">
      <c r="B4441" s="75"/>
      <c r="C4441" s="75"/>
      <c r="D4441" s="75"/>
      <c r="E4441" s="75"/>
      <c r="F4441" s="75"/>
    </row>
    <row r="4442" spans="2:6">
      <c r="B4442" s="75"/>
      <c r="C4442" s="75"/>
      <c r="D4442" s="75"/>
      <c r="E4442" s="75"/>
      <c r="F4442" s="75"/>
    </row>
    <row r="4443" spans="2:6">
      <c r="B4443" s="75"/>
      <c r="C4443" s="75"/>
      <c r="D4443" s="75"/>
      <c r="E4443" s="75"/>
      <c r="F4443" s="75"/>
    </row>
    <row r="4444" spans="2:6">
      <c r="B4444" s="75"/>
      <c r="C4444" s="75"/>
      <c r="D4444" s="75"/>
      <c r="E4444" s="75"/>
      <c r="F4444" s="75"/>
    </row>
    <row r="4445" spans="2:6">
      <c r="B4445" s="75"/>
      <c r="C4445" s="75"/>
      <c r="D4445" s="75"/>
      <c r="E4445" s="75"/>
      <c r="F4445" s="75"/>
    </row>
    <row r="4446" spans="2:6">
      <c r="B4446" s="75"/>
      <c r="C4446" s="75"/>
      <c r="D4446" s="75"/>
      <c r="E4446" s="75"/>
      <c r="F4446" s="75"/>
    </row>
    <row r="4447" spans="2:6">
      <c r="B4447" s="75"/>
      <c r="C4447" s="75"/>
      <c r="D4447" s="75"/>
      <c r="E4447" s="75"/>
      <c r="F4447" s="75"/>
    </row>
    <row r="4448" spans="2:6">
      <c r="B4448" s="75"/>
      <c r="C4448" s="75"/>
      <c r="D4448" s="75"/>
      <c r="E4448" s="75"/>
      <c r="F4448" s="75"/>
    </row>
    <row r="4449" spans="2:6">
      <c r="B4449" s="75"/>
      <c r="C4449" s="75"/>
      <c r="D4449" s="75"/>
      <c r="E4449" s="75"/>
      <c r="F4449" s="75"/>
    </row>
    <row r="4450" spans="2:6">
      <c r="B4450" s="75"/>
      <c r="C4450" s="75"/>
      <c r="D4450" s="75"/>
      <c r="E4450" s="75"/>
      <c r="F4450" s="75"/>
    </row>
    <row r="4451" spans="2:6">
      <c r="B4451" s="75"/>
      <c r="C4451" s="75"/>
      <c r="D4451" s="75"/>
      <c r="E4451" s="75"/>
      <c r="F4451" s="75"/>
    </row>
    <row r="4452" spans="2:6">
      <c r="B4452" s="75"/>
      <c r="C4452" s="75"/>
      <c r="D4452" s="75"/>
      <c r="E4452" s="75"/>
      <c r="F4452" s="75"/>
    </row>
    <row r="4453" spans="2:6">
      <c r="B4453" s="75"/>
      <c r="C4453" s="75"/>
      <c r="D4453" s="75"/>
      <c r="E4453" s="75"/>
      <c r="F4453" s="75"/>
    </row>
    <row r="4454" spans="2:6">
      <c r="B4454" s="75"/>
      <c r="C4454" s="75"/>
      <c r="D4454" s="75"/>
      <c r="E4454" s="75"/>
      <c r="F4454" s="75"/>
    </row>
    <row r="4455" spans="2:6">
      <c r="B4455" s="75"/>
      <c r="C4455" s="75"/>
      <c r="D4455" s="75"/>
      <c r="E4455" s="75"/>
      <c r="F4455" s="75"/>
    </row>
    <row r="4456" spans="2:6">
      <c r="B4456" s="75"/>
      <c r="C4456" s="75"/>
      <c r="D4456" s="75"/>
      <c r="E4456" s="75"/>
      <c r="F4456" s="75"/>
    </row>
    <row r="4457" spans="2:6">
      <c r="B4457" s="75"/>
      <c r="C4457" s="75"/>
      <c r="D4457" s="75"/>
      <c r="E4457" s="75"/>
      <c r="F4457" s="75"/>
    </row>
    <row r="4458" spans="2:6">
      <c r="B4458" s="75"/>
      <c r="C4458" s="75"/>
      <c r="D4458" s="75"/>
      <c r="E4458" s="75"/>
      <c r="F4458" s="75"/>
    </row>
    <row r="4459" spans="2:6">
      <c r="B4459" s="75"/>
      <c r="C4459" s="75"/>
      <c r="D4459" s="75"/>
      <c r="E4459" s="75"/>
      <c r="F4459" s="75"/>
    </row>
    <row r="4460" spans="2:6">
      <c r="B4460" s="75"/>
      <c r="C4460" s="75"/>
      <c r="D4460" s="75"/>
      <c r="E4460" s="75"/>
      <c r="F4460" s="75"/>
    </row>
    <row r="4461" spans="2:6">
      <c r="B4461" s="75"/>
      <c r="C4461" s="75"/>
      <c r="D4461" s="75"/>
      <c r="E4461" s="75"/>
      <c r="F4461" s="75"/>
    </row>
    <row r="4462" spans="2:6">
      <c r="B4462" s="75"/>
      <c r="C4462" s="75"/>
      <c r="D4462" s="75"/>
      <c r="E4462" s="75"/>
      <c r="F4462" s="75"/>
    </row>
    <row r="4463" spans="2:6">
      <c r="B4463" s="75"/>
      <c r="C4463" s="75"/>
      <c r="D4463" s="75"/>
      <c r="E4463" s="75"/>
      <c r="F4463" s="75"/>
    </row>
    <row r="4464" spans="2:6">
      <c r="B4464" s="75"/>
      <c r="C4464" s="75"/>
      <c r="D4464" s="75"/>
      <c r="E4464" s="75"/>
      <c r="F4464" s="75"/>
    </row>
    <row r="4465" spans="2:6">
      <c r="B4465" s="75"/>
      <c r="C4465" s="75"/>
      <c r="D4465" s="75"/>
      <c r="E4465" s="75"/>
      <c r="F4465" s="75"/>
    </row>
    <row r="4466" spans="2:6">
      <c r="B4466" s="75"/>
      <c r="C4466" s="75"/>
      <c r="D4466" s="75"/>
      <c r="E4466" s="75"/>
      <c r="F4466" s="75"/>
    </row>
    <row r="4467" spans="2:6">
      <c r="B4467" s="75"/>
      <c r="C4467" s="75"/>
      <c r="D4467" s="75"/>
      <c r="E4467" s="75"/>
      <c r="F4467" s="75"/>
    </row>
    <row r="4468" spans="2:6">
      <c r="B4468" s="75"/>
      <c r="C4468" s="75"/>
      <c r="D4468" s="75"/>
      <c r="E4468" s="75"/>
      <c r="F4468" s="75"/>
    </row>
    <row r="4469" spans="2:6">
      <c r="B4469" s="75"/>
      <c r="C4469" s="75"/>
      <c r="D4469" s="75"/>
      <c r="E4469" s="75"/>
      <c r="F4469" s="75"/>
    </row>
    <row r="4470" spans="2:6">
      <c r="B4470" s="75"/>
      <c r="C4470" s="75"/>
      <c r="D4470" s="75"/>
      <c r="E4470" s="75"/>
      <c r="F4470" s="75"/>
    </row>
    <row r="4471" spans="2:6">
      <c r="B4471" s="75"/>
      <c r="C4471" s="75"/>
      <c r="D4471" s="75"/>
      <c r="E4471" s="75"/>
      <c r="F4471" s="75"/>
    </row>
    <row r="4472" spans="2:6">
      <c r="B4472" s="75"/>
      <c r="C4472" s="75"/>
      <c r="D4472" s="75"/>
      <c r="E4472" s="75"/>
      <c r="F4472" s="75"/>
    </row>
    <row r="4473" spans="2:6">
      <c r="B4473" s="75"/>
      <c r="C4473" s="75"/>
      <c r="D4473" s="75"/>
      <c r="E4473" s="75"/>
      <c r="F4473" s="75"/>
    </row>
    <row r="4474" spans="2:6">
      <c r="B4474" s="75"/>
      <c r="C4474" s="75"/>
      <c r="D4474" s="75"/>
      <c r="E4474" s="75"/>
      <c r="F4474" s="75"/>
    </row>
    <row r="4475" spans="2:6">
      <c r="B4475" s="75"/>
      <c r="C4475" s="75"/>
      <c r="D4475" s="75"/>
      <c r="E4475" s="75"/>
      <c r="F4475" s="75"/>
    </row>
    <row r="4476" spans="2:6">
      <c r="B4476" s="75"/>
      <c r="C4476" s="75"/>
      <c r="D4476" s="75"/>
      <c r="E4476" s="75"/>
      <c r="F4476" s="75"/>
    </row>
    <row r="4477" spans="2:6">
      <c r="B4477" s="75"/>
      <c r="C4477" s="75"/>
      <c r="D4477" s="75"/>
      <c r="E4477" s="75"/>
      <c r="F4477" s="75"/>
    </row>
    <row r="4478" spans="2:6">
      <c r="B4478" s="75"/>
      <c r="C4478" s="75"/>
      <c r="D4478" s="75"/>
      <c r="E4478" s="75"/>
      <c r="F4478" s="75"/>
    </row>
    <row r="4479" spans="2:6">
      <c r="B4479" s="75"/>
      <c r="C4479" s="75"/>
      <c r="D4479" s="75"/>
      <c r="E4479" s="75"/>
      <c r="F4479" s="75"/>
    </row>
    <row r="4480" spans="2:6">
      <c r="B4480" s="75"/>
      <c r="C4480" s="75"/>
      <c r="D4480" s="75"/>
      <c r="E4480" s="75"/>
      <c r="F4480" s="75"/>
    </row>
    <row r="4481" spans="2:6">
      <c r="B4481" s="75"/>
      <c r="C4481" s="75"/>
      <c r="D4481" s="75"/>
      <c r="E4481" s="75"/>
      <c r="F4481" s="75"/>
    </row>
    <row r="4482" spans="2:6">
      <c r="B4482" s="75"/>
      <c r="C4482" s="75"/>
      <c r="D4482" s="75"/>
      <c r="E4482" s="75"/>
      <c r="F4482" s="75"/>
    </row>
    <row r="4483" spans="2:6">
      <c r="B4483" s="75"/>
      <c r="C4483" s="75"/>
      <c r="D4483" s="75"/>
      <c r="E4483" s="75"/>
      <c r="F4483" s="75"/>
    </row>
    <row r="4484" spans="2:6">
      <c r="B4484" s="75"/>
      <c r="C4484" s="75"/>
      <c r="D4484" s="75"/>
      <c r="E4484" s="75"/>
      <c r="F4484" s="75"/>
    </row>
    <row r="4485" spans="2:6">
      <c r="B4485" s="75"/>
      <c r="C4485" s="75"/>
      <c r="D4485" s="75"/>
      <c r="E4485" s="75"/>
      <c r="F4485" s="75"/>
    </row>
    <row r="4486" spans="2:6">
      <c r="B4486" s="75"/>
      <c r="C4486" s="75"/>
      <c r="D4486" s="75"/>
      <c r="E4486" s="75"/>
      <c r="F4486" s="75"/>
    </row>
    <row r="4487" spans="2:6">
      <c r="B4487" s="75"/>
      <c r="C4487" s="75"/>
      <c r="D4487" s="75"/>
      <c r="E4487" s="75"/>
      <c r="F4487" s="75"/>
    </row>
    <row r="4488" spans="2:6">
      <c r="B4488" s="75"/>
      <c r="C4488" s="75"/>
      <c r="D4488" s="75"/>
      <c r="E4488" s="75"/>
      <c r="F4488" s="75"/>
    </row>
    <row r="4489" spans="2:6">
      <c r="B4489" s="75"/>
      <c r="C4489" s="75"/>
      <c r="D4489" s="75"/>
      <c r="E4489" s="75"/>
      <c r="F4489" s="75"/>
    </row>
    <row r="4490" spans="2:6">
      <c r="B4490" s="75"/>
      <c r="C4490" s="75"/>
      <c r="D4490" s="75"/>
      <c r="E4490" s="75"/>
      <c r="F4490" s="75"/>
    </row>
    <row r="4491" spans="2:6">
      <c r="B4491" s="75"/>
      <c r="C4491" s="75"/>
      <c r="D4491" s="75"/>
      <c r="E4491" s="75"/>
      <c r="F4491" s="75"/>
    </row>
    <row r="4492" spans="2:6">
      <c r="B4492" s="75"/>
      <c r="C4492" s="75"/>
      <c r="D4492" s="75"/>
      <c r="E4492" s="75"/>
      <c r="F4492" s="75"/>
    </row>
    <row r="4493" spans="2:6">
      <c r="B4493" s="75"/>
      <c r="C4493" s="75"/>
      <c r="D4493" s="75"/>
      <c r="E4493" s="75"/>
      <c r="F4493" s="75"/>
    </row>
    <row r="4494" spans="2:6">
      <c r="B4494" s="75"/>
      <c r="C4494" s="75"/>
      <c r="D4494" s="75"/>
      <c r="E4494" s="75"/>
      <c r="F4494" s="75"/>
    </row>
    <row r="4495" spans="2:6">
      <c r="B4495" s="75"/>
      <c r="C4495" s="75"/>
      <c r="D4495" s="75"/>
      <c r="E4495" s="75"/>
      <c r="F4495" s="75"/>
    </row>
    <row r="4496" spans="2:6">
      <c r="B4496" s="75"/>
      <c r="C4496" s="75"/>
      <c r="D4496" s="75"/>
      <c r="E4496" s="75"/>
      <c r="F4496" s="75"/>
    </row>
    <row r="4497" spans="2:6">
      <c r="B4497" s="75"/>
      <c r="C4497" s="75"/>
      <c r="D4497" s="75"/>
      <c r="E4497" s="75"/>
      <c r="F4497" s="75"/>
    </row>
    <row r="4498" spans="2:6">
      <c r="B4498" s="75"/>
      <c r="C4498" s="75"/>
      <c r="D4498" s="75"/>
      <c r="E4498" s="75"/>
      <c r="F4498" s="75"/>
    </row>
    <row r="4499" spans="2:6">
      <c r="B4499" s="75"/>
      <c r="C4499" s="75"/>
      <c r="D4499" s="75"/>
      <c r="E4499" s="75"/>
      <c r="F4499" s="75"/>
    </row>
    <row r="4500" spans="2:6">
      <c r="B4500" s="75"/>
      <c r="C4500" s="75"/>
      <c r="D4500" s="75"/>
      <c r="E4500" s="75"/>
      <c r="F4500" s="75"/>
    </row>
    <row r="4501" spans="2:6">
      <c r="B4501" s="75"/>
      <c r="C4501" s="75"/>
      <c r="D4501" s="75"/>
      <c r="E4501" s="75"/>
      <c r="F4501" s="75"/>
    </row>
    <row r="4502" spans="2:6">
      <c r="B4502" s="75"/>
      <c r="C4502" s="75"/>
      <c r="D4502" s="75"/>
      <c r="E4502" s="75"/>
      <c r="F4502" s="75"/>
    </row>
    <row r="4503" spans="2:6">
      <c r="B4503" s="75"/>
      <c r="C4503" s="75"/>
      <c r="D4503" s="75"/>
      <c r="E4503" s="75"/>
      <c r="F4503" s="75"/>
    </row>
    <row r="4504" spans="2:6">
      <c r="B4504" s="75"/>
      <c r="C4504" s="75"/>
      <c r="D4504" s="75"/>
      <c r="E4504" s="75"/>
      <c r="F4504" s="75"/>
    </row>
    <row r="4505" spans="2:6">
      <c r="B4505" s="75"/>
      <c r="C4505" s="75"/>
      <c r="D4505" s="75"/>
      <c r="E4505" s="75"/>
      <c r="F4505" s="75"/>
    </row>
    <row r="4506" spans="2:6">
      <c r="B4506" s="75"/>
      <c r="C4506" s="75"/>
      <c r="D4506" s="75"/>
      <c r="E4506" s="75"/>
      <c r="F4506" s="75"/>
    </row>
    <row r="4507" spans="2:6">
      <c r="B4507" s="75"/>
      <c r="C4507" s="75"/>
      <c r="D4507" s="75"/>
      <c r="E4507" s="75"/>
      <c r="F4507" s="75"/>
    </row>
    <row r="4508" spans="2:6">
      <c r="B4508" s="75"/>
      <c r="C4508" s="75"/>
      <c r="D4508" s="75"/>
      <c r="E4508" s="75"/>
      <c r="F4508" s="75"/>
    </row>
    <row r="4509" spans="2:6">
      <c r="B4509" s="75"/>
      <c r="C4509" s="75"/>
      <c r="D4509" s="75"/>
      <c r="E4509" s="75"/>
      <c r="F4509" s="75"/>
    </row>
    <row r="4510" spans="2:6">
      <c r="B4510" s="75"/>
      <c r="C4510" s="75"/>
      <c r="D4510" s="75"/>
      <c r="E4510" s="75"/>
      <c r="F4510" s="75"/>
    </row>
    <row r="4511" spans="2:6">
      <c r="B4511" s="75"/>
      <c r="C4511" s="75"/>
      <c r="D4511" s="75"/>
      <c r="E4511" s="75"/>
      <c r="F4511" s="75"/>
    </row>
    <row r="4512" spans="2:6">
      <c r="B4512" s="75"/>
      <c r="C4512" s="75"/>
      <c r="D4512" s="75"/>
      <c r="E4512" s="75"/>
      <c r="F4512" s="75"/>
    </row>
    <row r="4513" spans="2:6">
      <c r="B4513" s="75"/>
      <c r="C4513" s="75"/>
      <c r="D4513" s="75"/>
      <c r="E4513" s="75"/>
      <c r="F4513" s="75"/>
    </row>
    <row r="4514" spans="2:6">
      <c r="B4514" s="75"/>
      <c r="C4514" s="75"/>
      <c r="D4514" s="75"/>
      <c r="E4514" s="75"/>
      <c r="F4514" s="75"/>
    </row>
    <row r="4515" spans="2:6">
      <c r="B4515" s="75"/>
      <c r="C4515" s="75"/>
      <c r="D4515" s="75"/>
      <c r="E4515" s="75"/>
      <c r="F4515" s="75"/>
    </row>
    <row r="4516" spans="2:6">
      <c r="B4516" s="75"/>
      <c r="C4516" s="75"/>
      <c r="D4516" s="75"/>
      <c r="E4516" s="75"/>
      <c r="F4516" s="75"/>
    </row>
    <row r="4517" spans="2:6">
      <c r="B4517" s="75"/>
      <c r="C4517" s="75"/>
      <c r="D4517" s="75"/>
      <c r="E4517" s="75"/>
      <c r="F4517" s="75"/>
    </row>
    <row r="4518" spans="2:6">
      <c r="B4518" s="75"/>
      <c r="C4518" s="75"/>
      <c r="D4518" s="75"/>
      <c r="E4518" s="75"/>
      <c r="F4518" s="75"/>
    </row>
    <row r="4519" spans="2:6">
      <c r="B4519" s="75"/>
      <c r="C4519" s="75"/>
      <c r="D4519" s="75"/>
      <c r="E4519" s="75"/>
      <c r="F4519" s="75"/>
    </row>
    <row r="4520" spans="2:6">
      <c r="B4520" s="75"/>
      <c r="C4520" s="75"/>
      <c r="D4520" s="75"/>
      <c r="E4520" s="75"/>
      <c r="F4520" s="75"/>
    </row>
    <row r="4521" spans="2:6">
      <c r="B4521" s="75"/>
      <c r="C4521" s="75"/>
      <c r="D4521" s="75"/>
      <c r="E4521" s="75"/>
      <c r="F4521" s="75"/>
    </row>
    <row r="4522" spans="2:6">
      <c r="B4522" s="75"/>
      <c r="C4522" s="75"/>
      <c r="D4522" s="75"/>
      <c r="E4522" s="75"/>
      <c r="F4522" s="75"/>
    </row>
    <row r="4523" spans="2:6">
      <c r="B4523" s="75"/>
      <c r="C4523" s="75"/>
      <c r="D4523" s="75"/>
      <c r="E4523" s="75"/>
      <c r="F4523" s="75"/>
    </row>
    <row r="4524" spans="2:6">
      <c r="B4524" s="75"/>
      <c r="C4524" s="75"/>
      <c r="D4524" s="75"/>
      <c r="E4524" s="75"/>
      <c r="F4524" s="75"/>
    </row>
    <row r="4525" spans="2:6">
      <c r="B4525" s="75"/>
      <c r="C4525" s="75"/>
      <c r="D4525" s="75"/>
      <c r="E4525" s="75"/>
      <c r="F4525" s="75"/>
    </row>
    <row r="4526" spans="2:6">
      <c r="B4526" s="75"/>
      <c r="C4526" s="75"/>
      <c r="D4526" s="75"/>
      <c r="E4526" s="75"/>
      <c r="F4526" s="75"/>
    </row>
    <row r="4527" spans="2:6">
      <c r="B4527" s="75"/>
      <c r="C4527" s="75"/>
      <c r="D4527" s="75"/>
      <c r="E4527" s="75"/>
      <c r="F4527" s="75"/>
    </row>
    <row r="4528" spans="2:6">
      <c r="B4528" s="75"/>
      <c r="C4528" s="75"/>
      <c r="D4528" s="75"/>
      <c r="E4528" s="75"/>
      <c r="F4528" s="75"/>
    </row>
    <row r="4529" spans="2:6">
      <c r="B4529" s="75"/>
      <c r="C4529" s="75"/>
      <c r="D4529" s="75"/>
      <c r="E4529" s="75"/>
      <c r="F4529" s="75"/>
    </row>
    <row r="4530" spans="2:6">
      <c r="B4530" s="75"/>
      <c r="C4530" s="75"/>
      <c r="D4530" s="75"/>
      <c r="E4530" s="75"/>
      <c r="F4530" s="75"/>
    </row>
    <row r="4531" spans="2:6">
      <c r="B4531" s="75"/>
      <c r="C4531" s="75"/>
      <c r="D4531" s="75"/>
      <c r="E4531" s="75"/>
      <c r="F4531" s="75"/>
    </row>
    <row r="4532" spans="2:6">
      <c r="B4532" s="75"/>
      <c r="C4532" s="75"/>
      <c r="D4532" s="75"/>
      <c r="E4532" s="75"/>
      <c r="F4532" s="75"/>
    </row>
    <row r="4533" spans="2:6">
      <c r="B4533" s="75"/>
      <c r="C4533" s="75"/>
      <c r="D4533" s="75"/>
      <c r="E4533" s="75"/>
      <c r="F4533" s="75"/>
    </row>
    <row r="4534" spans="2:6">
      <c r="B4534" s="75"/>
      <c r="C4534" s="75"/>
      <c r="D4534" s="75"/>
      <c r="E4534" s="75"/>
      <c r="F4534" s="75"/>
    </row>
    <row r="4535" spans="2:6">
      <c r="B4535" s="75"/>
      <c r="C4535" s="75"/>
      <c r="D4535" s="75"/>
      <c r="E4535" s="75"/>
      <c r="F4535" s="75"/>
    </row>
    <row r="4536" spans="2:6">
      <c r="B4536" s="75"/>
      <c r="C4536" s="75"/>
      <c r="D4536" s="75"/>
      <c r="E4536" s="75"/>
      <c r="F4536" s="75"/>
    </row>
    <row r="4537" spans="2:6">
      <c r="B4537" s="75"/>
      <c r="C4537" s="75"/>
      <c r="D4537" s="75"/>
      <c r="E4537" s="75"/>
      <c r="F4537" s="75"/>
    </row>
    <row r="4538" spans="2:6">
      <c r="B4538" s="75"/>
      <c r="C4538" s="75"/>
      <c r="D4538" s="75"/>
      <c r="E4538" s="75"/>
      <c r="F4538" s="75"/>
    </row>
    <row r="4539" spans="2:6">
      <c r="B4539" s="75"/>
      <c r="C4539" s="75"/>
      <c r="D4539" s="75"/>
      <c r="E4539" s="75"/>
      <c r="F4539" s="75"/>
    </row>
    <row r="4540" spans="2:6">
      <c r="B4540" s="75"/>
      <c r="C4540" s="75"/>
      <c r="D4540" s="75"/>
      <c r="E4540" s="75"/>
      <c r="F4540" s="75"/>
    </row>
    <row r="4541" spans="2:6">
      <c r="B4541" s="75"/>
      <c r="C4541" s="75"/>
      <c r="D4541" s="75"/>
      <c r="E4541" s="75"/>
      <c r="F4541" s="75"/>
    </row>
    <row r="4542" spans="2:6">
      <c r="B4542" s="75"/>
      <c r="C4542" s="75"/>
      <c r="D4542" s="75"/>
      <c r="E4542" s="75"/>
      <c r="F4542" s="75"/>
    </row>
    <row r="4543" spans="2:6">
      <c r="B4543" s="75"/>
      <c r="C4543" s="75"/>
      <c r="D4543" s="75"/>
      <c r="E4543" s="75"/>
      <c r="F4543" s="75"/>
    </row>
    <row r="4544" spans="2:6">
      <c r="B4544" s="75"/>
      <c r="C4544" s="75"/>
      <c r="D4544" s="75"/>
      <c r="E4544" s="75"/>
      <c r="F4544" s="75"/>
    </row>
    <row r="4545" spans="2:6">
      <c r="B4545" s="75"/>
      <c r="C4545" s="75"/>
      <c r="D4545" s="75"/>
      <c r="E4545" s="75"/>
      <c r="F4545" s="75"/>
    </row>
    <row r="4546" spans="2:6">
      <c r="B4546" s="75"/>
      <c r="C4546" s="75"/>
      <c r="D4546" s="75"/>
      <c r="E4546" s="75"/>
      <c r="F4546" s="75"/>
    </row>
    <row r="4547" spans="2:6">
      <c r="B4547" s="75"/>
      <c r="C4547" s="75"/>
      <c r="D4547" s="75"/>
      <c r="E4547" s="75"/>
      <c r="F4547" s="75"/>
    </row>
    <row r="4548" spans="2:6">
      <c r="B4548" s="75"/>
      <c r="C4548" s="75"/>
      <c r="D4548" s="75"/>
      <c r="E4548" s="75"/>
      <c r="F4548" s="75"/>
    </row>
    <row r="4549" spans="2:6">
      <c r="B4549" s="75"/>
      <c r="C4549" s="75"/>
      <c r="D4549" s="75"/>
      <c r="E4549" s="75"/>
      <c r="F4549" s="75"/>
    </row>
    <row r="4550" spans="2:6">
      <c r="B4550" s="75"/>
      <c r="C4550" s="75"/>
      <c r="D4550" s="75"/>
      <c r="E4550" s="75"/>
      <c r="F4550" s="75"/>
    </row>
    <row r="4551" spans="2:6">
      <c r="B4551" s="75"/>
      <c r="C4551" s="75"/>
      <c r="D4551" s="75"/>
      <c r="E4551" s="75"/>
      <c r="F4551" s="75"/>
    </row>
    <row r="4552" spans="2:6">
      <c r="B4552" s="75"/>
      <c r="C4552" s="75"/>
      <c r="D4552" s="75"/>
      <c r="E4552" s="75"/>
      <c r="F4552" s="75"/>
    </row>
    <row r="4553" spans="2:6">
      <c r="B4553" s="75"/>
      <c r="C4553" s="75"/>
      <c r="D4553" s="75"/>
      <c r="E4553" s="75"/>
      <c r="F4553" s="75"/>
    </row>
    <row r="4554" spans="2:6">
      <c r="B4554" s="75"/>
      <c r="C4554" s="75"/>
      <c r="D4554" s="75"/>
      <c r="E4554" s="75"/>
      <c r="F4554" s="75"/>
    </row>
    <row r="4555" spans="2:6">
      <c r="B4555" s="75"/>
      <c r="C4555" s="75"/>
      <c r="D4555" s="75"/>
      <c r="E4555" s="75"/>
      <c r="F4555" s="75"/>
    </row>
    <row r="4556" spans="2:6">
      <c r="B4556" s="75"/>
      <c r="C4556" s="75"/>
      <c r="D4556" s="75"/>
      <c r="E4556" s="75"/>
      <c r="F4556" s="75"/>
    </row>
    <row r="4557" spans="2:6">
      <c r="B4557" s="75"/>
      <c r="C4557" s="75"/>
      <c r="D4557" s="75"/>
      <c r="E4557" s="75"/>
      <c r="F4557" s="75"/>
    </row>
    <row r="4558" spans="2:6">
      <c r="B4558" s="75"/>
      <c r="C4558" s="75"/>
      <c r="D4558" s="75"/>
      <c r="E4558" s="75"/>
      <c r="F4558" s="75"/>
    </row>
    <row r="4559" spans="2:6">
      <c r="B4559" s="75"/>
      <c r="C4559" s="75"/>
      <c r="D4559" s="75"/>
      <c r="E4559" s="75"/>
      <c r="F4559" s="75"/>
    </row>
    <row r="4560" spans="2:6">
      <c r="B4560" s="75"/>
      <c r="C4560" s="75"/>
      <c r="D4560" s="75"/>
      <c r="E4560" s="75"/>
      <c r="F4560" s="75"/>
    </row>
    <row r="4561" spans="2:6">
      <c r="B4561" s="75"/>
      <c r="C4561" s="75"/>
      <c r="D4561" s="75"/>
      <c r="E4561" s="75"/>
      <c r="F4561" s="75"/>
    </row>
    <row r="4562" spans="2:6">
      <c r="B4562" s="75"/>
      <c r="C4562" s="75"/>
      <c r="D4562" s="75"/>
      <c r="E4562" s="75"/>
      <c r="F4562" s="75"/>
    </row>
    <row r="4563" spans="2:6">
      <c r="B4563" s="75"/>
      <c r="C4563" s="75"/>
      <c r="D4563" s="75"/>
      <c r="E4563" s="75"/>
      <c r="F4563" s="75"/>
    </row>
    <row r="4564" spans="2:6">
      <c r="B4564" s="75"/>
      <c r="C4564" s="75"/>
      <c r="D4564" s="75"/>
      <c r="E4564" s="75"/>
      <c r="F4564" s="75"/>
    </row>
    <row r="4565" spans="2:6">
      <c r="B4565" s="75"/>
      <c r="C4565" s="75"/>
      <c r="D4565" s="75"/>
      <c r="E4565" s="75"/>
      <c r="F4565" s="75"/>
    </row>
    <row r="4566" spans="2:6">
      <c r="B4566" s="75"/>
      <c r="C4566" s="75"/>
      <c r="D4566" s="75"/>
      <c r="E4566" s="75"/>
      <c r="F4566" s="75"/>
    </row>
    <row r="4567" spans="2:6">
      <c r="B4567" s="75"/>
      <c r="C4567" s="75"/>
      <c r="D4567" s="75"/>
      <c r="E4567" s="75"/>
      <c r="F4567" s="75"/>
    </row>
    <row r="4568" spans="2:6">
      <c r="B4568" s="75"/>
      <c r="C4568" s="75"/>
      <c r="D4568" s="75"/>
      <c r="E4568" s="75"/>
      <c r="F4568" s="75"/>
    </row>
    <row r="4569" spans="2:6">
      <c r="B4569" s="75"/>
      <c r="C4569" s="75"/>
      <c r="D4569" s="75"/>
      <c r="E4569" s="75"/>
      <c r="F4569" s="75"/>
    </row>
    <row r="4570" spans="2:6">
      <c r="B4570" s="75"/>
      <c r="C4570" s="75"/>
      <c r="D4570" s="75"/>
      <c r="E4570" s="75"/>
      <c r="F4570" s="75"/>
    </row>
    <row r="4571" spans="2:6">
      <c r="B4571" s="75"/>
      <c r="C4571" s="75"/>
      <c r="D4571" s="75"/>
      <c r="E4571" s="75"/>
      <c r="F4571" s="75"/>
    </row>
    <row r="4572" spans="2:6">
      <c r="B4572" s="75"/>
      <c r="C4572" s="75"/>
      <c r="D4572" s="75"/>
      <c r="E4572" s="75"/>
      <c r="F4572" s="75"/>
    </row>
    <row r="4573" spans="2:6">
      <c r="B4573" s="75"/>
      <c r="C4573" s="75"/>
      <c r="D4573" s="75"/>
      <c r="E4573" s="75"/>
      <c r="F4573" s="75"/>
    </row>
    <row r="4574" spans="2:6">
      <c r="B4574" s="75"/>
      <c r="C4574" s="75"/>
      <c r="D4574" s="75"/>
      <c r="E4574" s="75"/>
      <c r="F4574" s="75"/>
    </row>
    <row r="4575" spans="2:6">
      <c r="B4575" s="75"/>
      <c r="C4575" s="75"/>
      <c r="D4575" s="75"/>
      <c r="E4575" s="75"/>
      <c r="F4575" s="75"/>
    </row>
    <row r="4576" spans="2:6">
      <c r="B4576" s="75"/>
      <c r="C4576" s="75"/>
      <c r="D4576" s="75"/>
      <c r="E4576" s="75"/>
      <c r="F4576" s="75"/>
    </row>
    <row r="4577" spans="2:6">
      <c r="B4577" s="75"/>
      <c r="C4577" s="75"/>
      <c r="D4577" s="75"/>
      <c r="E4577" s="75"/>
      <c r="F4577" s="75"/>
    </row>
    <row r="4578" spans="2:6">
      <c r="B4578" s="75"/>
      <c r="C4578" s="75"/>
      <c r="D4578" s="75"/>
      <c r="E4578" s="75"/>
      <c r="F4578" s="75"/>
    </row>
    <row r="4579" spans="2:6">
      <c r="B4579" s="75"/>
      <c r="C4579" s="75"/>
      <c r="D4579" s="75"/>
      <c r="E4579" s="75"/>
      <c r="F4579" s="75"/>
    </row>
    <row r="4580" spans="2:6">
      <c r="B4580" s="75"/>
      <c r="C4580" s="75"/>
      <c r="D4580" s="75"/>
      <c r="E4580" s="75"/>
      <c r="F4580" s="75"/>
    </row>
    <row r="4581" spans="2:6">
      <c r="B4581" s="75"/>
      <c r="C4581" s="75"/>
      <c r="D4581" s="75"/>
      <c r="E4581" s="75"/>
      <c r="F4581" s="75"/>
    </row>
    <row r="4582" spans="2:6">
      <c r="B4582" s="75"/>
      <c r="C4582" s="75"/>
      <c r="D4582" s="75"/>
      <c r="E4582" s="75"/>
      <c r="F4582" s="75"/>
    </row>
    <row r="4583" spans="2:6">
      <c r="B4583" s="75"/>
      <c r="C4583" s="75"/>
      <c r="D4583" s="75"/>
      <c r="E4583" s="75"/>
      <c r="F4583" s="75"/>
    </row>
    <row r="4584" spans="2:6">
      <c r="B4584" s="75"/>
      <c r="C4584" s="75"/>
      <c r="D4584" s="75"/>
      <c r="E4584" s="75"/>
      <c r="F4584" s="75"/>
    </row>
    <row r="4585" spans="2:6">
      <c r="B4585" s="75"/>
      <c r="C4585" s="75"/>
      <c r="D4585" s="75"/>
      <c r="E4585" s="75"/>
      <c r="F4585" s="75"/>
    </row>
    <row r="4586" spans="2:6">
      <c r="B4586" s="75"/>
      <c r="C4586" s="75"/>
      <c r="D4586" s="75"/>
      <c r="E4586" s="75"/>
      <c r="F4586" s="75"/>
    </row>
    <row r="4587" spans="2:6">
      <c r="B4587" s="75"/>
      <c r="C4587" s="75"/>
      <c r="D4587" s="75"/>
      <c r="E4587" s="75"/>
      <c r="F4587" s="75"/>
    </row>
    <row r="4588" spans="2:6">
      <c r="B4588" s="75"/>
      <c r="C4588" s="75"/>
      <c r="D4588" s="75"/>
      <c r="E4588" s="75"/>
      <c r="F4588" s="75"/>
    </row>
    <row r="4589" spans="2:6">
      <c r="B4589" s="75"/>
      <c r="C4589" s="75"/>
      <c r="D4589" s="75"/>
      <c r="E4589" s="75"/>
      <c r="F4589" s="75"/>
    </row>
    <row r="4590" spans="2:6">
      <c r="B4590" s="75"/>
      <c r="C4590" s="75"/>
      <c r="D4590" s="75"/>
      <c r="E4590" s="75"/>
      <c r="F4590" s="75"/>
    </row>
    <row r="4591" spans="2:6">
      <c r="B4591" s="75"/>
      <c r="C4591" s="75"/>
      <c r="D4591" s="75"/>
      <c r="E4591" s="75"/>
      <c r="F4591" s="75"/>
    </row>
    <row r="4592" spans="2:6">
      <c r="B4592" s="75"/>
      <c r="C4592" s="75"/>
      <c r="D4592" s="75"/>
      <c r="E4592" s="75"/>
      <c r="F4592" s="75"/>
    </row>
    <row r="4593" spans="2:6">
      <c r="B4593" s="75"/>
      <c r="C4593" s="75"/>
      <c r="D4593" s="75"/>
      <c r="E4593" s="75"/>
      <c r="F4593" s="75"/>
    </row>
    <row r="4594" spans="2:6">
      <c r="B4594" s="75"/>
      <c r="C4594" s="75"/>
      <c r="D4594" s="75"/>
      <c r="E4594" s="75"/>
      <c r="F4594" s="75"/>
    </row>
    <row r="4595" spans="2:6">
      <c r="B4595" s="75"/>
      <c r="C4595" s="75"/>
      <c r="D4595" s="75"/>
      <c r="E4595" s="75"/>
      <c r="F4595" s="75"/>
    </row>
    <row r="4596" spans="2:6">
      <c r="B4596" s="75"/>
      <c r="C4596" s="75"/>
      <c r="D4596" s="75"/>
      <c r="E4596" s="75"/>
      <c r="F4596" s="75"/>
    </row>
    <row r="4597" spans="2:6">
      <c r="B4597" s="75"/>
      <c r="C4597" s="75"/>
      <c r="D4597" s="75"/>
      <c r="E4597" s="75"/>
      <c r="F4597" s="75"/>
    </row>
    <row r="4598" spans="2:6">
      <c r="B4598" s="75"/>
      <c r="C4598" s="75"/>
      <c r="D4598" s="75"/>
      <c r="E4598" s="75"/>
      <c r="F4598" s="75"/>
    </row>
    <row r="4599" spans="2:6">
      <c r="B4599" s="75"/>
      <c r="C4599" s="75"/>
      <c r="D4599" s="75"/>
      <c r="E4599" s="75"/>
      <c r="F4599" s="75"/>
    </row>
    <row r="4600" spans="2:6">
      <c r="B4600" s="75"/>
      <c r="C4600" s="75"/>
      <c r="D4600" s="75"/>
      <c r="E4600" s="75"/>
      <c r="F4600" s="75"/>
    </row>
    <row r="4601" spans="2:6">
      <c r="B4601" s="75"/>
      <c r="C4601" s="75"/>
      <c r="D4601" s="75"/>
      <c r="E4601" s="75"/>
      <c r="F4601" s="75"/>
    </row>
    <row r="4602" spans="2:6">
      <c r="B4602" s="75"/>
      <c r="C4602" s="75"/>
      <c r="D4602" s="75"/>
      <c r="E4602" s="75"/>
      <c r="F4602" s="75"/>
    </row>
    <row r="4603" spans="2:6">
      <c r="B4603" s="75"/>
      <c r="C4603" s="75"/>
      <c r="D4603" s="75"/>
      <c r="E4603" s="75"/>
      <c r="F4603" s="75"/>
    </row>
    <row r="4604" spans="2:6">
      <c r="B4604" s="75"/>
      <c r="C4604" s="75"/>
      <c r="D4604" s="75"/>
      <c r="E4604" s="75"/>
      <c r="F4604" s="75"/>
    </row>
    <row r="4605" spans="2:6">
      <c r="B4605" s="75"/>
      <c r="C4605" s="75"/>
      <c r="D4605" s="75"/>
      <c r="E4605" s="75"/>
      <c r="F4605" s="75"/>
    </row>
    <row r="4606" spans="2:6">
      <c r="B4606" s="75"/>
      <c r="C4606" s="75"/>
      <c r="D4606" s="75"/>
      <c r="E4606" s="75"/>
      <c r="F4606" s="75"/>
    </row>
    <row r="4607" spans="2:6">
      <c r="B4607" s="75"/>
      <c r="C4607" s="75"/>
      <c r="D4607" s="75"/>
      <c r="E4607" s="75"/>
      <c r="F4607" s="75"/>
    </row>
    <row r="4608" spans="2:6">
      <c r="B4608" s="75"/>
      <c r="C4608" s="75"/>
      <c r="D4608" s="75"/>
      <c r="E4608" s="75"/>
      <c r="F4608" s="75"/>
    </row>
    <row r="4609" spans="2:6">
      <c r="B4609" s="75"/>
      <c r="C4609" s="75"/>
      <c r="D4609" s="75"/>
      <c r="E4609" s="75"/>
      <c r="F4609" s="75"/>
    </row>
    <row r="4610" spans="2:6">
      <c r="B4610" s="75"/>
      <c r="C4610" s="75"/>
      <c r="D4610" s="75"/>
      <c r="E4610" s="75"/>
      <c r="F4610" s="75"/>
    </row>
    <row r="4611" spans="2:6">
      <c r="B4611" s="75"/>
      <c r="C4611" s="75"/>
      <c r="D4611" s="75"/>
      <c r="E4611" s="75"/>
      <c r="F4611" s="75"/>
    </row>
    <row r="4612" spans="2:6">
      <c r="B4612" s="75"/>
      <c r="C4612" s="75"/>
      <c r="D4612" s="75"/>
      <c r="E4612" s="75"/>
      <c r="F4612" s="75"/>
    </row>
    <row r="4613" spans="2:6">
      <c r="B4613" s="75"/>
      <c r="C4613" s="75"/>
      <c r="D4613" s="75"/>
      <c r="E4613" s="75"/>
      <c r="F4613" s="75"/>
    </row>
    <row r="4614" spans="2:6">
      <c r="B4614" s="75"/>
      <c r="C4614" s="75"/>
      <c r="D4614" s="75"/>
      <c r="E4614" s="75"/>
      <c r="F4614" s="75"/>
    </row>
    <row r="4615" spans="2:6">
      <c r="B4615" s="75"/>
      <c r="C4615" s="75"/>
      <c r="D4615" s="75"/>
      <c r="E4615" s="75"/>
      <c r="F4615" s="75"/>
    </row>
    <row r="4616" spans="2:6">
      <c r="B4616" s="75"/>
      <c r="C4616" s="75"/>
      <c r="D4616" s="75"/>
      <c r="E4616" s="75"/>
      <c r="F4616" s="75"/>
    </row>
    <row r="4617" spans="2:6">
      <c r="B4617" s="75"/>
      <c r="C4617" s="75"/>
      <c r="D4617" s="75"/>
      <c r="E4617" s="75"/>
      <c r="F4617" s="75"/>
    </row>
    <row r="4618" spans="2:6">
      <c r="B4618" s="75"/>
      <c r="C4618" s="75"/>
      <c r="D4618" s="75"/>
      <c r="E4618" s="75"/>
      <c r="F4618" s="75"/>
    </row>
    <row r="4619" spans="2:6">
      <c r="B4619" s="75"/>
      <c r="C4619" s="75"/>
      <c r="D4619" s="75"/>
      <c r="E4619" s="75"/>
      <c r="F4619" s="75"/>
    </row>
    <row r="4620" spans="2:6">
      <c r="B4620" s="75"/>
      <c r="C4620" s="75"/>
      <c r="D4620" s="75"/>
      <c r="E4620" s="75"/>
      <c r="F4620" s="75"/>
    </row>
    <row r="4621" spans="2:6">
      <c r="B4621" s="75"/>
      <c r="C4621" s="75"/>
      <c r="D4621" s="75"/>
      <c r="E4621" s="75"/>
      <c r="F4621" s="75"/>
    </row>
    <row r="4622" spans="2:6">
      <c r="B4622" s="75"/>
      <c r="C4622" s="75"/>
      <c r="D4622" s="75"/>
      <c r="E4622" s="75"/>
      <c r="F4622" s="75"/>
    </row>
    <row r="4623" spans="2:6">
      <c r="B4623" s="75"/>
      <c r="C4623" s="75"/>
      <c r="D4623" s="75"/>
      <c r="E4623" s="75"/>
      <c r="F4623" s="75"/>
    </row>
    <row r="4624" spans="2:6">
      <c r="B4624" s="75"/>
      <c r="C4624" s="75"/>
      <c r="D4624" s="75"/>
      <c r="E4624" s="75"/>
      <c r="F4624" s="75"/>
    </row>
    <row r="4625" spans="2:6">
      <c r="B4625" s="75"/>
      <c r="C4625" s="75"/>
      <c r="D4625" s="75"/>
      <c r="E4625" s="75"/>
      <c r="F4625" s="75"/>
    </row>
    <row r="4626" spans="2:6">
      <c r="B4626" s="75"/>
      <c r="C4626" s="75"/>
      <c r="D4626" s="75"/>
      <c r="E4626" s="75"/>
      <c r="F4626" s="75"/>
    </row>
    <row r="4627" spans="2:6">
      <c r="B4627" s="75"/>
      <c r="C4627" s="75"/>
      <c r="D4627" s="75"/>
      <c r="E4627" s="75"/>
      <c r="F4627" s="75"/>
    </row>
    <row r="4628" spans="2:6">
      <c r="B4628" s="75"/>
      <c r="C4628" s="75"/>
      <c r="D4628" s="75"/>
      <c r="E4628" s="75"/>
      <c r="F4628" s="75"/>
    </row>
    <row r="4629" spans="2:6">
      <c r="B4629" s="75"/>
      <c r="C4629" s="75"/>
      <c r="D4629" s="75"/>
      <c r="E4629" s="75"/>
      <c r="F4629" s="75"/>
    </row>
    <row r="4630" spans="2:6">
      <c r="B4630" s="75"/>
      <c r="C4630" s="75"/>
      <c r="D4630" s="75"/>
      <c r="E4630" s="75"/>
      <c r="F4630" s="75"/>
    </row>
    <row r="4631" spans="2:6">
      <c r="B4631" s="75"/>
      <c r="C4631" s="75"/>
      <c r="D4631" s="75"/>
      <c r="E4631" s="75"/>
      <c r="F4631" s="75"/>
    </row>
    <row r="4632" spans="2:6">
      <c r="B4632" s="75"/>
      <c r="C4632" s="75"/>
      <c r="D4632" s="75"/>
      <c r="E4632" s="75"/>
      <c r="F4632" s="75"/>
    </row>
    <row r="4633" spans="2:6">
      <c r="B4633" s="75"/>
      <c r="C4633" s="75"/>
      <c r="D4633" s="75"/>
      <c r="E4633" s="75"/>
      <c r="F4633" s="75"/>
    </row>
    <row r="4634" spans="2:6">
      <c r="B4634" s="75"/>
      <c r="C4634" s="75"/>
      <c r="D4634" s="75"/>
      <c r="E4634" s="75"/>
      <c r="F4634" s="75"/>
    </row>
    <row r="4635" spans="2:6">
      <c r="B4635" s="75"/>
      <c r="C4635" s="75"/>
      <c r="D4635" s="75"/>
      <c r="E4635" s="75"/>
      <c r="F4635" s="75"/>
    </row>
    <row r="4636" spans="2:6">
      <c r="B4636" s="75"/>
      <c r="C4636" s="75"/>
      <c r="D4636" s="75"/>
      <c r="E4636" s="75"/>
      <c r="F4636" s="75"/>
    </row>
    <row r="4637" spans="2:6">
      <c r="B4637" s="75"/>
      <c r="C4637" s="75"/>
      <c r="D4637" s="75"/>
      <c r="E4637" s="75"/>
      <c r="F4637" s="75"/>
    </row>
    <row r="4638" spans="2:6">
      <c r="B4638" s="75"/>
      <c r="C4638" s="75"/>
      <c r="D4638" s="75"/>
      <c r="E4638" s="75"/>
      <c r="F4638" s="75"/>
    </row>
    <row r="4639" spans="2:6">
      <c r="B4639" s="75"/>
      <c r="C4639" s="75"/>
      <c r="D4639" s="75"/>
      <c r="E4639" s="75"/>
      <c r="F4639" s="75"/>
    </row>
    <row r="4640" spans="2:6">
      <c r="B4640" s="75"/>
      <c r="C4640" s="75"/>
      <c r="D4640" s="75"/>
      <c r="E4640" s="75"/>
      <c r="F4640" s="75"/>
    </row>
    <row r="4641" spans="2:6">
      <c r="B4641" s="75"/>
      <c r="C4641" s="75"/>
      <c r="D4641" s="75"/>
      <c r="E4641" s="75"/>
      <c r="F4641" s="75"/>
    </row>
    <row r="4642" spans="2:6">
      <c r="B4642" s="75"/>
      <c r="C4642" s="75"/>
      <c r="D4642" s="75"/>
      <c r="E4642" s="75"/>
      <c r="F4642" s="75"/>
    </row>
    <row r="4643" spans="2:6">
      <c r="B4643" s="75"/>
      <c r="C4643" s="75"/>
      <c r="D4643" s="75"/>
      <c r="E4643" s="75"/>
      <c r="F4643" s="75"/>
    </row>
    <row r="4644" spans="2:6">
      <c r="B4644" s="75"/>
      <c r="C4644" s="75"/>
      <c r="D4644" s="75"/>
      <c r="E4644" s="75"/>
      <c r="F4644" s="75"/>
    </row>
    <row r="4645" spans="2:6">
      <c r="B4645" s="75"/>
      <c r="C4645" s="75"/>
      <c r="D4645" s="75"/>
      <c r="E4645" s="75"/>
      <c r="F4645" s="75"/>
    </row>
    <row r="4646" spans="2:6">
      <c r="B4646" s="75"/>
      <c r="C4646" s="75"/>
      <c r="D4646" s="75"/>
      <c r="E4646" s="75"/>
      <c r="F4646" s="75"/>
    </row>
    <row r="4647" spans="2:6">
      <c r="B4647" s="75"/>
      <c r="C4647" s="75"/>
      <c r="D4647" s="75"/>
      <c r="E4647" s="75"/>
      <c r="F4647" s="75"/>
    </row>
    <row r="4648" spans="2:6">
      <c r="B4648" s="75"/>
      <c r="C4648" s="75"/>
      <c r="D4648" s="75"/>
      <c r="E4648" s="75"/>
      <c r="F4648" s="75"/>
    </row>
    <row r="4649" spans="2:6">
      <c r="B4649" s="75"/>
      <c r="C4649" s="75"/>
      <c r="D4649" s="75"/>
      <c r="E4649" s="75"/>
      <c r="F4649" s="75"/>
    </row>
    <row r="4650" spans="2:6">
      <c r="B4650" s="75"/>
      <c r="C4650" s="75"/>
      <c r="D4650" s="75"/>
      <c r="E4650" s="75"/>
      <c r="F4650" s="75"/>
    </row>
    <row r="4651" spans="2:6">
      <c r="B4651" s="75"/>
      <c r="C4651" s="75"/>
      <c r="D4651" s="75"/>
      <c r="E4651" s="75"/>
      <c r="F4651" s="75"/>
    </row>
    <row r="4652" spans="2:6">
      <c r="B4652" s="75"/>
      <c r="C4652" s="75"/>
      <c r="D4652" s="75"/>
      <c r="E4652" s="75"/>
      <c r="F4652" s="75"/>
    </row>
    <row r="4653" spans="2:6">
      <c r="B4653" s="75"/>
      <c r="C4653" s="75"/>
      <c r="D4653" s="75"/>
      <c r="E4653" s="75"/>
      <c r="F4653" s="75"/>
    </row>
    <row r="4654" spans="2:6">
      <c r="B4654" s="75"/>
      <c r="C4654" s="75"/>
      <c r="D4654" s="75"/>
      <c r="E4654" s="75"/>
      <c r="F4654" s="75"/>
    </row>
    <row r="4655" spans="2:6">
      <c r="B4655" s="75"/>
      <c r="C4655" s="75"/>
      <c r="D4655" s="75"/>
      <c r="E4655" s="75"/>
      <c r="F4655" s="75"/>
    </row>
    <row r="4656" spans="2:6">
      <c r="B4656" s="75"/>
      <c r="C4656" s="75"/>
      <c r="D4656" s="75"/>
      <c r="E4656" s="75"/>
      <c r="F4656" s="75"/>
    </row>
    <row r="4657" spans="2:6">
      <c r="B4657" s="75"/>
      <c r="C4657" s="75"/>
      <c r="D4657" s="75"/>
      <c r="E4657" s="75"/>
      <c r="F4657" s="75"/>
    </row>
    <row r="4658" spans="2:6">
      <c r="B4658" s="75"/>
      <c r="C4658" s="75"/>
      <c r="D4658" s="75"/>
      <c r="E4658" s="75"/>
      <c r="F4658" s="75"/>
    </row>
    <row r="4659" spans="2:6">
      <c r="B4659" s="75"/>
      <c r="C4659" s="75"/>
      <c r="D4659" s="75"/>
      <c r="E4659" s="75"/>
      <c r="F4659" s="75"/>
    </row>
    <row r="4660" spans="2:6">
      <c r="B4660" s="75"/>
      <c r="C4660" s="75"/>
      <c r="D4660" s="75"/>
      <c r="E4660" s="75"/>
      <c r="F4660" s="75"/>
    </row>
    <row r="4661" spans="2:6">
      <c r="B4661" s="75"/>
      <c r="C4661" s="75"/>
      <c r="D4661" s="75"/>
      <c r="E4661" s="75"/>
      <c r="F4661" s="75"/>
    </row>
    <row r="4662" spans="2:6">
      <c r="B4662" s="75"/>
      <c r="C4662" s="75"/>
      <c r="D4662" s="75"/>
      <c r="E4662" s="75"/>
      <c r="F4662" s="75"/>
    </row>
    <row r="4663" spans="2:6">
      <c r="B4663" s="75"/>
      <c r="C4663" s="75"/>
      <c r="D4663" s="75"/>
      <c r="E4663" s="75"/>
      <c r="F4663" s="75"/>
    </row>
    <row r="4664" spans="2:6">
      <c r="B4664" s="75"/>
      <c r="C4664" s="75"/>
      <c r="D4664" s="75"/>
      <c r="E4664" s="75"/>
      <c r="F4664" s="75"/>
    </row>
    <row r="4665" spans="2:6">
      <c r="B4665" s="75"/>
      <c r="C4665" s="75"/>
      <c r="D4665" s="75"/>
      <c r="E4665" s="75"/>
      <c r="F4665" s="75"/>
    </row>
    <row r="4666" spans="2:6">
      <c r="B4666" s="75"/>
      <c r="C4666" s="75"/>
      <c r="D4666" s="75"/>
      <c r="E4666" s="75"/>
      <c r="F4666" s="75"/>
    </row>
    <row r="4667" spans="2:6">
      <c r="B4667" s="75"/>
      <c r="C4667" s="75"/>
      <c r="D4667" s="75"/>
      <c r="E4667" s="75"/>
      <c r="F4667" s="75"/>
    </row>
    <row r="4668" spans="2:6">
      <c r="B4668" s="75"/>
      <c r="C4668" s="75"/>
      <c r="D4668" s="75"/>
      <c r="E4668" s="75"/>
      <c r="F4668" s="75"/>
    </row>
    <row r="4669" spans="2:6">
      <c r="B4669" s="75"/>
      <c r="C4669" s="75"/>
      <c r="D4669" s="75"/>
      <c r="E4669" s="75"/>
      <c r="F4669" s="75"/>
    </row>
    <row r="4670" spans="2:6">
      <c r="B4670" s="75"/>
      <c r="C4670" s="75"/>
      <c r="D4670" s="75"/>
      <c r="E4670" s="75"/>
      <c r="F4670" s="75"/>
    </row>
    <row r="4671" spans="2:6">
      <c r="B4671" s="75"/>
      <c r="C4671" s="75"/>
      <c r="D4671" s="75"/>
      <c r="E4671" s="75"/>
      <c r="F4671" s="75"/>
    </row>
    <row r="4672" spans="2:6">
      <c r="B4672" s="75"/>
      <c r="C4672" s="75"/>
      <c r="D4672" s="75"/>
      <c r="E4672" s="75"/>
      <c r="F4672" s="75"/>
    </row>
    <row r="4673" spans="2:6">
      <c r="B4673" s="75"/>
      <c r="C4673" s="75"/>
      <c r="D4673" s="75"/>
      <c r="E4673" s="75"/>
      <c r="F4673" s="75"/>
    </row>
    <row r="4674" spans="2:6">
      <c r="B4674" s="75"/>
      <c r="C4674" s="75"/>
      <c r="D4674" s="75"/>
      <c r="E4674" s="75"/>
      <c r="F4674" s="75"/>
    </row>
    <row r="4675" spans="2:6">
      <c r="B4675" s="75"/>
      <c r="C4675" s="75"/>
      <c r="D4675" s="75"/>
      <c r="E4675" s="75"/>
      <c r="F4675" s="75"/>
    </row>
    <row r="4676" spans="2:6">
      <c r="B4676" s="75"/>
      <c r="C4676" s="75"/>
      <c r="D4676" s="75"/>
      <c r="E4676" s="75"/>
      <c r="F4676" s="75"/>
    </row>
    <row r="4677" spans="2:6">
      <c r="B4677" s="75"/>
      <c r="C4677" s="75"/>
      <c r="D4677" s="75"/>
      <c r="E4677" s="75"/>
      <c r="F4677" s="75"/>
    </row>
    <row r="4678" spans="2:6">
      <c r="B4678" s="75"/>
      <c r="C4678" s="75"/>
      <c r="D4678" s="75"/>
      <c r="E4678" s="75"/>
      <c r="F4678" s="75"/>
    </row>
    <row r="4679" spans="2:6">
      <c r="B4679" s="75"/>
      <c r="C4679" s="75"/>
      <c r="D4679" s="75"/>
      <c r="E4679" s="75"/>
      <c r="F4679" s="75"/>
    </row>
    <row r="4680" spans="2:6">
      <c r="B4680" s="75"/>
      <c r="C4680" s="75"/>
      <c r="D4680" s="75"/>
      <c r="E4680" s="75"/>
      <c r="F4680" s="75"/>
    </row>
    <row r="4681" spans="2:6">
      <c r="B4681" s="75"/>
      <c r="C4681" s="75"/>
      <c r="D4681" s="75"/>
      <c r="E4681" s="75"/>
      <c r="F4681" s="75"/>
    </row>
    <row r="4682" spans="2:6">
      <c r="B4682" s="75"/>
      <c r="C4682" s="75"/>
      <c r="D4682" s="75"/>
      <c r="E4682" s="75"/>
      <c r="F4682" s="75"/>
    </row>
    <row r="4683" spans="2:6">
      <c r="B4683" s="75"/>
      <c r="C4683" s="75"/>
      <c r="D4683" s="75"/>
      <c r="E4683" s="75"/>
      <c r="F4683" s="75"/>
    </row>
    <row r="4684" spans="2:6">
      <c r="B4684" s="75"/>
      <c r="C4684" s="75"/>
      <c r="D4684" s="75"/>
      <c r="E4684" s="75"/>
      <c r="F4684" s="75"/>
    </row>
    <row r="4685" spans="2:6">
      <c r="B4685" s="75"/>
      <c r="C4685" s="75"/>
      <c r="D4685" s="75"/>
      <c r="E4685" s="75"/>
      <c r="F4685" s="75"/>
    </row>
    <row r="4686" spans="2:6">
      <c r="B4686" s="75"/>
      <c r="C4686" s="75"/>
      <c r="D4686" s="75"/>
      <c r="E4686" s="75"/>
      <c r="F4686" s="75"/>
    </row>
    <row r="4687" spans="2:6">
      <c r="B4687" s="75"/>
      <c r="C4687" s="75"/>
      <c r="D4687" s="75"/>
      <c r="E4687" s="75"/>
      <c r="F4687" s="75"/>
    </row>
    <row r="4688" spans="2:6">
      <c r="B4688" s="75"/>
      <c r="C4688" s="75"/>
      <c r="D4688" s="75"/>
      <c r="E4688" s="75"/>
      <c r="F4688" s="75"/>
    </row>
    <row r="4689" spans="2:6">
      <c r="B4689" s="75"/>
      <c r="C4689" s="75"/>
      <c r="D4689" s="75"/>
      <c r="E4689" s="75"/>
      <c r="F4689" s="75"/>
    </row>
    <row r="4690" spans="2:6">
      <c r="B4690" s="75"/>
      <c r="C4690" s="75"/>
      <c r="D4690" s="75"/>
      <c r="E4690" s="75"/>
      <c r="F4690" s="75"/>
    </row>
    <row r="4691" spans="2:6">
      <c r="B4691" s="75"/>
      <c r="C4691" s="75"/>
      <c r="D4691" s="75"/>
      <c r="E4691" s="75"/>
      <c r="F4691" s="75"/>
    </row>
    <row r="4692" spans="2:6">
      <c r="B4692" s="75"/>
      <c r="C4692" s="75"/>
      <c r="D4692" s="75"/>
      <c r="E4692" s="75"/>
      <c r="F4692" s="75"/>
    </row>
    <row r="4693" spans="2:6">
      <c r="B4693" s="75"/>
      <c r="C4693" s="75"/>
      <c r="D4693" s="75"/>
      <c r="E4693" s="75"/>
      <c r="F4693" s="75"/>
    </row>
    <row r="4694" spans="2:6">
      <c r="B4694" s="75"/>
      <c r="C4694" s="75"/>
      <c r="D4694" s="75"/>
      <c r="E4694" s="75"/>
      <c r="F4694" s="75"/>
    </row>
    <row r="4695" spans="2:6">
      <c r="B4695" s="75"/>
      <c r="C4695" s="75"/>
      <c r="D4695" s="75"/>
      <c r="E4695" s="75"/>
      <c r="F4695" s="75"/>
    </row>
    <row r="4696" spans="2:6">
      <c r="B4696" s="75"/>
      <c r="C4696" s="75"/>
      <c r="D4696" s="75"/>
      <c r="E4696" s="75"/>
      <c r="F4696" s="75"/>
    </row>
    <row r="4697" spans="2:6">
      <c r="B4697" s="75"/>
      <c r="C4697" s="75"/>
      <c r="D4697" s="75"/>
      <c r="E4697" s="75"/>
      <c r="F4697" s="75"/>
    </row>
    <row r="4698" spans="2:6">
      <c r="B4698" s="75"/>
      <c r="C4698" s="75"/>
      <c r="D4698" s="75"/>
      <c r="E4698" s="75"/>
      <c r="F4698" s="75"/>
    </row>
    <row r="4699" spans="2:6">
      <c r="B4699" s="75"/>
      <c r="C4699" s="75"/>
      <c r="D4699" s="75"/>
      <c r="E4699" s="75"/>
      <c r="F4699" s="75"/>
    </row>
    <row r="4700" spans="2:6">
      <c r="B4700" s="75"/>
      <c r="C4700" s="75"/>
      <c r="D4700" s="75"/>
      <c r="E4700" s="75"/>
      <c r="F4700" s="75"/>
    </row>
    <row r="4701" spans="2:6">
      <c r="B4701" s="75"/>
      <c r="C4701" s="75"/>
      <c r="D4701" s="75"/>
      <c r="E4701" s="75"/>
      <c r="F4701" s="75"/>
    </row>
    <row r="4702" spans="2:6">
      <c r="B4702" s="75"/>
      <c r="C4702" s="75"/>
      <c r="D4702" s="75"/>
      <c r="E4702" s="75"/>
      <c r="F4702" s="75"/>
    </row>
    <row r="4703" spans="2:6">
      <c r="B4703" s="75"/>
      <c r="C4703" s="75"/>
      <c r="D4703" s="75"/>
      <c r="E4703" s="75"/>
      <c r="F4703" s="75"/>
    </row>
    <row r="4704" spans="2:6">
      <c r="B4704" s="75"/>
      <c r="C4704" s="75"/>
      <c r="D4704" s="75"/>
      <c r="E4704" s="75"/>
      <c r="F4704" s="75"/>
    </row>
    <row r="4705" spans="2:6">
      <c r="B4705" s="75"/>
      <c r="C4705" s="75"/>
      <c r="D4705" s="75"/>
      <c r="E4705" s="75"/>
      <c r="F4705" s="75"/>
    </row>
    <row r="4706" spans="2:6">
      <c r="B4706" s="75"/>
      <c r="C4706" s="75"/>
      <c r="D4706" s="75"/>
      <c r="E4706" s="75"/>
      <c r="F4706" s="75"/>
    </row>
    <row r="4707" spans="2:6">
      <c r="B4707" s="75"/>
      <c r="C4707" s="75"/>
      <c r="D4707" s="75"/>
      <c r="E4707" s="75"/>
      <c r="F4707" s="75"/>
    </row>
    <row r="4708" spans="2:6">
      <c r="B4708" s="75"/>
      <c r="C4708" s="75"/>
      <c r="D4708" s="75"/>
      <c r="E4708" s="75"/>
      <c r="F4708" s="75"/>
    </row>
    <row r="4709" spans="2:6">
      <c r="B4709" s="75"/>
      <c r="C4709" s="75"/>
      <c r="D4709" s="75"/>
      <c r="E4709" s="75"/>
      <c r="F4709" s="75"/>
    </row>
    <row r="4710" spans="2:6">
      <c r="B4710" s="75"/>
      <c r="C4710" s="75"/>
      <c r="D4710" s="75"/>
      <c r="E4710" s="75"/>
      <c r="F4710" s="75"/>
    </row>
    <row r="4711" spans="2:6">
      <c r="B4711" s="75"/>
      <c r="C4711" s="75"/>
      <c r="D4711" s="75"/>
      <c r="E4711" s="75"/>
      <c r="F4711" s="75"/>
    </row>
    <row r="4712" spans="2:6">
      <c r="B4712" s="75"/>
      <c r="C4712" s="75"/>
      <c r="D4712" s="75"/>
      <c r="E4712" s="75"/>
      <c r="F4712" s="75"/>
    </row>
    <row r="4713" spans="2:6">
      <c r="B4713" s="75"/>
      <c r="C4713" s="75"/>
      <c r="D4713" s="75"/>
      <c r="E4713" s="75"/>
      <c r="F4713" s="75"/>
    </row>
    <row r="4714" spans="2:6">
      <c r="B4714" s="75"/>
      <c r="C4714" s="75"/>
      <c r="D4714" s="75"/>
      <c r="E4714" s="75"/>
      <c r="F4714" s="75"/>
    </row>
    <row r="4715" spans="2:6">
      <c r="B4715" s="75"/>
      <c r="C4715" s="75"/>
      <c r="D4715" s="75"/>
      <c r="E4715" s="75"/>
      <c r="F4715" s="75"/>
    </row>
    <row r="4716" spans="2:6">
      <c r="B4716" s="75"/>
      <c r="C4716" s="75"/>
      <c r="D4716" s="75"/>
      <c r="E4716" s="75"/>
      <c r="F4716" s="75"/>
    </row>
    <row r="4717" spans="2:6">
      <c r="B4717" s="75"/>
      <c r="C4717" s="75"/>
      <c r="D4717" s="75"/>
      <c r="E4717" s="75"/>
      <c r="F4717" s="75"/>
    </row>
    <row r="4718" spans="2:6">
      <c r="B4718" s="75"/>
      <c r="C4718" s="75"/>
      <c r="D4718" s="75"/>
      <c r="E4718" s="75"/>
      <c r="F4718" s="75"/>
    </row>
    <row r="4719" spans="2:6">
      <c r="B4719" s="75"/>
      <c r="C4719" s="75"/>
      <c r="D4719" s="75"/>
      <c r="E4719" s="75"/>
      <c r="F4719" s="75"/>
    </row>
    <row r="4720" spans="2:6">
      <c r="B4720" s="75"/>
      <c r="C4720" s="75"/>
      <c r="D4720" s="75"/>
      <c r="E4720" s="75"/>
      <c r="F4720" s="75"/>
    </row>
    <row r="4721" spans="2:6">
      <c r="B4721" s="75"/>
      <c r="C4721" s="75"/>
      <c r="D4721" s="75"/>
      <c r="E4721" s="75"/>
      <c r="F4721" s="75"/>
    </row>
    <row r="4722" spans="2:6">
      <c r="B4722" s="75"/>
      <c r="C4722" s="75"/>
      <c r="D4722" s="75"/>
      <c r="E4722" s="75"/>
      <c r="F4722" s="75"/>
    </row>
    <row r="4723" spans="2:6">
      <c r="B4723" s="75"/>
      <c r="C4723" s="75"/>
      <c r="D4723" s="75"/>
      <c r="E4723" s="75"/>
      <c r="F4723" s="75"/>
    </row>
    <row r="4724" spans="2:6">
      <c r="B4724" s="75"/>
      <c r="C4724" s="75"/>
      <c r="D4724" s="75"/>
      <c r="E4724" s="75"/>
      <c r="F4724" s="75"/>
    </row>
    <row r="4725" spans="2:6">
      <c r="B4725" s="75"/>
      <c r="C4725" s="75"/>
      <c r="D4725" s="75"/>
      <c r="E4725" s="75"/>
      <c r="F4725" s="75"/>
    </row>
    <row r="4726" spans="2:6">
      <c r="B4726" s="75"/>
      <c r="C4726" s="75"/>
      <c r="D4726" s="75"/>
      <c r="E4726" s="75"/>
      <c r="F4726" s="75"/>
    </row>
    <row r="4727" spans="2:6">
      <c r="B4727" s="75"/>
      <c r="C4727" s="75"/>
      <c r="D4727" s="75"/>
      <c r="E4727" s="75"/>
      <c r="F4727" s="75"/>
    </row>
    <row r="4728" spans="2:6">
      <c r="B4728" s="75"/>
      <c r="C4728" s="75"/>
      <c r="D4728" s="75"/>
      <c r="E4728" s="75"/>
      <c r="F4728" s="75"/>
    </row>
    <row r="4729" spans="2:6">
      <c r="B4729" s="75"/>
      <c r="C4729" s="75"/>
      <c r="D4729" s="75"/>
      <c r="E4729" s="75"/>
      <c r="F4729" s="75"/>
    </row>
    <row r="4730" spans="2:6">
      <c r="B4730" s="75"/>
      <c r="C4730" s="75"/>
      <c r="D4730" s="75"/>
      <c r="E4730" s="75"/>
      <c r="F4730" s="75"/>
    </row>
    <row r="4731" spans="2:6">
      <c r="B4731" s="75"/>
      <c r="C4731" s="75"/>
      <c r="D4731" s="75"/>
      <c r="E4731" s="75"/>
      <c r="F4731" s="75"/>
    </row>
    <row r="4732" spans="2:6">
      <c r="B4732" s="75"/>
      <c r="C4732" s="75"/>
      <c r="D4732" s="75"/>
      <c r="E4732" s="75"/>
      <c r="F4732" s="75"/>
    </row>
    <row r="4733" spans="2:6">
      <c r="B4733" s="75"/>
      <c r="C4733" s="75"/>
      <c r="D4733" s="75"/>
      <c r="E4733" s="75"/>
      <c r="F4733" s="75"/>
    </row>
    <row r="4734" spans="2:6">
      <c r="B4734" s="75"/>
      <c r="C4734" s="75"/>
      <c r="D4734" s="75"/>
      <c r="E4734" s="75"/>
      <c r="F4734" s="75"/>
    </row>
    <row r="4735" spans="2:6">
      <c r="B4735" s="75"/>
      <c r="C4735" s="75"/>
      <c r="D4735" s="75"/>
      <c r="E4735" s="75"/>
      <c r="F4735" s="75"/>
    </row>
    <row r="4736" spans="2:6">
      <c r="B4736" s="75"/>
      <c r="C4736" s="75"/>
      <c r="D4736" s="75"/>
      <c r="E4736" s="75"/>
      <c r="F4736" s="75"/>
    </row>
    <row r="4737" spans="2:6">
      <c r="B4737" s="75"/>
      <c r="C4737" s="75"/>
      <c r="D4737" s="75"/>
      <c r="E4737" s="75"/>
      <c r="F4737" s="75"/>
    </row>
    <row r="4738" spans="2:6">
      <c r="B4738" s="75"/>
      <c r="C4738" s="75"/>
      <c r="D4738" s="75"/>
      <c r="E4738" s="75"/>
      <c r="F4738" s="75"/>
    </row>
    <row r="4739" spans="2:6">
      <c r="B4739" s="75"/>
      <c r="C4739" s="75"/>
      <c r="D4739" s="75"/>
      <c r="E4739" s="75"/>
      <c r="F4739" s="75"/>
    </row>
    <row r="4740" spans="2:6">
      <c r="B4740" s="75"/>
      <c r="C4740" s="75"/>
      <c r="D4740" s="75"/>
      <c r="E4740" s="75"/>
      <c r="F4740" s="75"/>
    </row>
    <row r="4741" spans="2:6">
      <c r="B4741" s="75"/>
      <c r="C4741" s="75"/>
      <c r="D4741" s="75"/>
      <c r="E4741" s="75"/>
      <c r="F4741" s="75"/>
    </row>
    <row r="4742" spans="2:6">
      <c r="B4742" s="75"/>
      <c r="C4742" s="75"/>
      <c r="D4742" s="75"/>
      <c r="E4742" s="75"/>
      <c r="F4742" s="75"/>
    </row>
    <row r="4743" spans="2:6">
      <c r="B4743" s="75"/>
      <c r="C4743" s="75"/>
      <c r="D4743" s="75"/>
      <c r="E4743" s="75"/>
      <c r="F4743" s="75"/>
    </row>
    <row r="4744" spans="2:6">
      <c r="B4744" s="75"/>
      <c r="C4744" s="75"/>
      <c r="D4744" s="75"/>
      <c r="E4744" s="75"/>
      <c r="F4744" s="75"/>
    </row>
    <row r="4745" spans="2:6">
      <c r="B4745" s="75"/>
      <c r="C4745" s="75"/>
      <c r="D4745" s="75"/>
      <c r="E4745" s="75"/>
      <c r="F4745" s="75"/>
    </row>
    <row r="4746" spans="2:6">
      <c r="B4746" s="75"/>
      <c r="C4746" s="75"/>
      <c r="D4746" s="75"/>
      <c r="E4746" s="75"/>
      <c r="F4746" s="75"/>
    </row>
    <row r="4747" spans="2:6">
      <c r="B4747" s="75"/>
      <c r="C4747" s="75"/>
      <c r="D4747" s="75"/>
      <c r="E4747" s="75"/>
      <c r="F4747" s="75"/>
    </row>
    <row r="4748" spans="2:6">
      <c r="B4748" s="75"/>
      <c r="C4748" s="75"/>
      <c r="D4748" s="75"/>
      <c r="E4748" s="75"/>
      <c r="F4748" s="75"/>
    </row>
    <row r="4749" spans="2:6">
      <c r="B4749" s="75"/>
      <c r="C4749" s="75"/>
      <c r="D4749" s="75"/>
      <c r="E4749" s="75"/>
      <c r="F4749" s="75"/>
    </row>
    <row r="4750" spans="2:6">
      <c r="B4750" s="75"/>
      <c r="C4750" s="75"/>
      <c r="D4750" s="75"/>
      <c r="E4750" s="75"/>
      <c r="F4750" s="75"/>
    </row>
    <row r="4751" spans="2:6">
      <c r="B4751" s="75"/>
      <c r="C4751" s="75"/>
      <c r="D4751" s="75"/>
      <c r="E4751" s="75"/>
      <c r="F4751" s="75"/>
    </row>
    <row r="4752" spans="2:6">
      <c r="B4752" s="75"/>
      <c r="C4752" s="75"/>
      <c r="D4752" s="75"/>
      <c r="E4752" s="75"/>
      <c r="F4752" s="75"/>
    </row>
    <row r="4753" spans="2:6">
      <c r="B4753" s="75"/>
      <c r="C4753" s="75"/>
      <c r="D4753" s="75"/>
      <c r="E4753" s="75"/>
      <c r="F4753" s="75"/>
    </row>
    <row r="4754" spans="2:6">
      <c r="B4754" s="75"/>
      <c r="C4754" s="75"/>
      <c r="D4754" s="75"/>
      <c r="E4754" s="75"/>
      <c r="F4754" s="75"/>
    </row>
    <row r="4755" spans="2:6">
      <c r="B4755" s="75"/>
      <c r="C4755" s="75"/>
      <c r="D4755" s="75"/>
      <c r="E4755" s="75"/>
      <c r="F4755" s="75"/>
    </row>
    <row r="4756" spans="2:6">
      <c r="B4756" s="75"/>
      <c r="C4756" s="75"/>
      <c r="D4756" s="75"/>
      <c r="E4756" s="75"/>
      <c r="F4756" s="75"/>
    </row>
    <row r="4757" spans="2:6">
      <c r="B4757" s="75"/>
      <c r="C4757" s="75"/>
      <c r="D4757" s="75"/>
      <c r="E4757" s="75"/>
      <c r="F4757" s="75"/>
    </row>
    <row r="4758" spans="2:6">
      <c r="B4758" s="75"/>
      <c r="C4758" s="75"/>
      <c r="D4758" s="75"/>
      <c r="E4758" s="75"/>
      <c r="F4758" s="75"/>
    </row>
    <row r="4759" spans="2:6">
      <c r="B4759" s="75"/>
      <c r="C4759" s="75"/>
      <c r="D4759" s="75"/>
      <c r="E4759" s="75"/>
      <c r="F4759" s="75"/>
    </row>
    <row r="4760" spans="2:6">
      <c r="B4760" s="75"/>
      <c r="C4760" s="75"/>
      <c r="D4760" s="75"/>
      <c r="E4760" s="75"/>
      <c r="F4760" s="75"/>
    </row>
    <row r="4761" spans="2:6">
      <c r="B4761" s="75"/>
      <c r="C4761" s="75"/>
      <c r="D4761" s="75"/>
      <c r="E4761" s="75"/>
      <c r="F4761" s="75"/>
    </row>
    <row r="4762" spans="2:6">
      <c r="B4762" s="75"/>
      <c r="C4762" s="75"/>
      <c r="D4762" s="75"/>
      <c r="E4762" s="75"/>
      <c r="F4762" s="75"/>
    </row>
    <row r="4763" spans="2:6">
      <c r="B4763" s="75"/>
      <c r="C4763" s="75"/>
      <c r="D4763" s="75"/>
      <c r="E4763" s="75"/>
      <c r="F4763" s="75"/>
    </row>
    <row r="4764" spans="2:6">
      <c r="B4764" s="75"/>
      <c r="C4764" s="75"/>
      <c r="D4764" s="75"/>
      <c r="E4764" s="75"/>
      <c r="F4764" s="75"/>
    </row>
    <row r="4765" spans="2:6">
      <c r="B4765" s="75"/>
      <c r="C4765" s="75"/>
      <c r="D4765" s="75"/>
      <c r="E4765" s="75"/>
      <c r="F4765" s="75"/>
    </row>
    <row r="4766" spans="2:6">
      <c r="B4766" s="75"/>
      <c r="C4766" s="75"/>
      <c r="D4766" s="75"/>
      <c r="E4766" s="75"/>
      <c r="F4766" s="75"/>
    </row>
    <row r="4767" spans="2:6">
      <c r="B4767" s="75"/>
      <c r="C4767" s="75"/>
      <c r="D4767" s="75"/>
      <c r="E4767" s="75"/>
      <c r="F4767" s="75"/>
    </row>
    <row r="4768" spans="2:6">
      <c r="B4768" s="75"/>
      <c r="C4768" s="75"/>
      <c r="D4768" s="75"/>
      <c r="E4768" s="75"/>
      <c r="F4768" s="75"/>
    </row>
    <row r="4769" spans="2:6">
      <c r="B4769" s="75"/>
      <c r="C4769" s="75"/>
      <c r="D4769" s="75"/>
      <c r="E4769" s="75"/>
      <c r="F4769" s="75"/>
    </row>
    <row r="4770" spans="2:6">
      <c r="B4770" s="75"/>
      <c r="C4770" s="75"/>
      <c r="D4770" s="75"/>
      <c r="E4770" s="75"/>
      <c r="F4770" s="75"/>
    </row>
    <row r="4771" spans="2:6">
      <c r="B4771" s="75"/>
      <c r="C4771" s="75"/>
      <c r="D4771" s="75"/>
      <c r="E4771" s="75"/>
      <c r="F4771" s="75"/>
    </row>
    <row r="4772" spans="2:6">
      <c r="B4772" s="75"/>
      <c r="C4772" s="75"/>
      <c r="D4772" s="75"/>
      <c r="E4772" s="75"/>
      <c r="F4772" s="75"/>
    </row>
    <row r="4773" spans="2:6">
      <c r="B4773" s="75"/>
      <c r="C4773" s="75"/>
      <c r="D4773" s="75"/>
      <c r="E4773" s="75"/>
      <c r="F4773" s="75"/>
    </row>
    <row r="4774" spans="2:6">
      <c r="B4774" s="75"/>
      <c r="C4774" s="75"/>
      <c r="D4774" s="75"/>
      <c r="E4774" s="75"/>
      <c r="F4774" s="75"/>
    </row>
    <row r="4775" spans="2:6">
      <c r="B4775" s="75"/>
      <c r="C4775" s="75"/>
      <c r="D4775" s="75"/>
      <c r="E4775" s="75"/>
      <c r="F4775" s="75"/>
    </row>
    <row r="4776" spans="2:6">
      <c r="B4776" s="75"/>
      <c r="C4776" s="75"/>
      <c r="D4776" s="75"/>
      <c r="E4776" s="75"/>
      <c r="F4776" s="75"/>
    </row>
    <row r="4777" spans="2:6">
      <c r="B4777" s="75"/>
      <c r="C4777" s="75"/>
      <c r="D4777" s="75"/>
      <c r="E4777" s="75"/>
      <c r="F4777" s="75"/>
    </row>
    <row r="4778" spans="2:6">
      <c r="B4778" s="75"/>
      <c r="C4778" s="75"/>
      <c r="D4778" s="75"/>
      <c r="E4778" s="75"/>
      <c r="F4778" s="75"/>
    </row>
    <row r="4779" spans="2:6">
      <c r="B4779" s="75"/>
      <c r="C4779" s="75"/>
      <c r="D4779" s="75"/>
      <c r="E4779" s="75"/>
      <c r="F4779" s="75"/>
    </row>
    <row r="4780" spans="2:6">
      <c r="B4780" s="75"/>
      <c r="C4780" s="75"/>
      <c r="D4780" s="75"/>
      <c r="E4780" s="75"/>
      <c r="F4780" s="75"/>
    </row>
    <row r="4781" spans="2:6">
      <c r="B4781" s="75"/>
      <c r="C4781" s="75"/>
      <c r="D4781" s="75"/>
      <c r="E4781" s="75"/>
      <c r="F4781" s="75"/>
    </row>
    <row r="4782" spans="2:6">
      <c r="B4782" s="75"/>
      <c r="C4782" s="75"/>
      <c r="D4782" s="75"/>
      <c r="E4782" s="75"/>
      <c r="F4782" s="75"/>
    </row>
    <row r="4783" spans="2:6">
      <c r="B4783" s="75"/>
      <c r="C4783" s="75"/>
      <c r="D4783" s="75"/>
      <c r="E4783" s="75"/>
      <c r="F4783" s="75"/>
    </row>
    <row r="4784" spans="2:6">
      <c r="B4784" s="75"/>
      <c r="C4784" s="75"/>
      <c r="D4784" s="75"/>
      <c r="E4784" s="75"/>
      <c r="F4784" s="75"/>
    </row>
    <row r="4785" spans="2:6">
      <c r="B4785" s="75"/>
      <c r="C4785" s="75"/>
      <c r="D4785" s="75"/>
      <c r="E4785" s="75"/>
      <c r="F4785" s="75"/>
    </row>
    <row r="4786" spans="2:6">
      <c r="B4786" s="75"/>
      <c r="C4786" s="75"/>
      <c r="D4786" s="75"/>
      <c r="E4786" s="75"/>
      <c r="F4786" s="75"/>
    </row>
    <row r="4787" spans="2:6">
      <c r="B4787" s="75"/>
      <c r="C4787" s="75"/>
      <c r="D4787" s="75"/>
      <c r="E4787" s="75"/>
      <c r="F4787" s="75"/>
    </row>
    <row r="4788" spans="2:6">
      <c r="B4788" s="75"/>
      <c r="C4788" s="75"/>
      <c r="D4788" s="75"/>
      <c r="E4788" s="75"/>
      <c r="F4788" s="75"/>
    </row>
    <row r="4789" spans="2:6">
      <c r="B4789" s="75"/>
      <c r="C4789" s="75"/>
      <c r="D4789" s="75"/>
      <c r="E4789" s="75"/>
      <c r="F4789" s="75"/>
    </row>
    <row r="4790" spans="2:6">
      <c r="B4790" s="75"/>
      <c r="C4790" s="75"/>
      <c r="D4790" s="75"/>
      <c r="E4790" s="75"/>
      <c r="F4790" s="75"/>
    </row>
    <row r="4791" spans="2:6">
      <c r="B4791" s="75"/>
      <c r="C4791" s="75"/>
      <c r="D4791" s="75"/>
      <c r="E4791" s="75"/>
      <c r="F4791" s="75"/>
    </row>
    <row r="4792" spans="2:6">
      <c r="B4792" s="75"/>
      <c r="C4792" s="75"/>
      <c r="D4792" s="75"/>
      <c r="E4792" s="75"/>
      <c r="F4792" s="75"/>
    </row>
    <row r="4793" spans="2:6">
      <c r="B4793" s="75"/>
      <c r="C4793" s="75"/>
      <c r="D4793" s="75"/>
      <c r="E4793" s="75"/>
      <c r="F4793" s="75"/>
    </row>
    <row r="4794" spans="2:6">
      <c r="B4794" s="75"/>
      <c r="C4794" s="75"/>
      <c r="D4794" s="75"/>
      <c r="E4794" s="75"/>
      <c r="F4794" s="75"/>
    </row>
    <row r="4795" spans="2:6">
      <c r="B4795" s="75"/>
      <c r="C4795" s="75"/>
      <c r="D4795" s="75"/>
      <c r="E4795" s="75"/>
      <c r="F4795" s="75"/>
    </row>
    <row r="4796" spans="2:6">
      <c r="B4796" s="75"/>
      <c r="C4796" s="75"/>
      <c r="D4796" s="75"/>
      <c r="E4796" s="75"/>
      <c r="F4796" s="75"/>
    </row>
    <row r="4797" spans="2:6">
      <c r="B4797" s="75"/>
      <c r="C4797" s="75"/>
      <c r="D4797" s="75"/>
      <c r="E4797" s="75"/>
      <c r="F4797" s="75"/>
    </row>
    <row r="4798" spans="2:6">
      <c r="B4798" s="75"/>
      <c r="C4798" s="75"/>
      <c r="D4798" s="75"/>
      <c r="E4798" s="75"/>
      <c r="F4798" s="75"/>
    </row>
    <row r="4799" spans="2:6">
      <c r="B4799" s="75"/>
      <c r="C4799" s="75"/>
      <c r="D4799" s="75"/>
      <c r="E4799" s="75"/>
      <c r="F4799" s="75"/>
    </row>
    <row r="4800" spans="2:6">
      <c r="B4800" s="75"/>
      <c r="C4800" s="75"/>
      <c r="D4800" s="75"/>
      <c r="E4800" s="75"/>
      <c r="F4800" s="75"/>
    </row>
    <row r="4801" spans="2:6">
      <c r="B4801" s="75"/>
      <c r="C4801" s="75"/>
      <c r="D4801" s="75"/>
      <c r="E4801" s="75"/>
      <c r="F4801" s="75"/>
    </row>
    <row r="4802" spans="2:6">
      <c r="B4802" s="75"/>
      <c r="C4802" s="75"/>
      <c r="D4802" s="75"/>
      <c r="E4802" s="75"/>
      <c r="F4802" s="75"/>
    </row>
    <row r="4803" spans="2:6">
      <c r="B4803" s="75"/>
      <c r="C4803" s="75"/>
      <c r="D4803" s="75"/>
      <c r="E4803" s="75"/>
      <c r="F4803" s="75"/>
    </row>
    <row r="4804" spans="2:6">
      <c r="B4804" s="75"/>
      <c r="C4804" s="75"/>
      <c r="D4804" s="75"/>
      <c r="E4804" s="75"/>
      <c r="F4804" s="75"/>
    </row>
    <row r="4805" spans="2:6">
      <c r="B4805" s="75"/>
      <c r="C4805" s="75"/>
      <c r="D4805" s="75"/>
      <c r="E4805" s="75"/>
      <c r="F4805" s="75"/>
    </row>
    <row r="4806" spans="2:6">
      <c r="B4806" s="75"/>
      <c r="C4806" s="75"/>
      <c r="D4806" s="75"/>
      <c r="E4806" s="75"/>
      <c r="F4806" s="75"/>
    </row>
    <row r="4807" spans="2:6">
      <c r="B4807" s="75"/>
      <c r="C4807" s="75"/>
      <c r="D4807" s="75"/>
      <c r="E4807" s="75"/>
      <c r="F4807" s="75"/>
    </row>
    <row r="4808" spans="2:6">
      <c r="B4808" s="75"/>
      <c r="C4808" s="75"/>
      <c r="D4808" s="75"/>
      <c r="E4808" s="75"/>
      <c r="F4808" s="75"/>
    </row>
    <row r="4809" spans="2:6">
      <c r="B4809" s="75"/>
      <c r="C4809" s="75"/>
      <c r="D4809" s="75"/>
      <c r="E4809" s="75"/>
      <c r="F4809" s="75"/>
    </row>
    <row r="4810" spans="2:6">
      <c r="B4810" s="75"/>
      <c r="C4810" s="75"/>
      <c r="D4810" s="75"/>
      <c r="E4810" s="75"/>
      <c r="F4810" s="75"/>
    </row>
    <row r="4811" spans="2:6">
      <c r="B4811" s="75"/>
      <c r="C4811" s="75"/>
      <c r="D4811" s="75"/>
      <c r="E4811" s="75"/>
      <c r="F4811" s="75"/>
    </row>
    <row r="4812" spans="2:6">
      <c r="B4812" s="75"/>
      <c r="C4812" s="75"/>
      <c r="D4812" s="75"/>
      <c r="E4812" s="75"/>
      <c r="F4812" s="75"/>
    </row>
    <row r="4813" spans="2:6">
      <c r="B4813" s="75"/>
      <c r="C4813" s="75"/>
      <c r="D4813" s="75"/>
      <c r="E4813" s="75"/>
      <c r="F4813" s="75"/>
    </row>
    <row r="4814" spans="2:6">
      <c r="B4814" s="75"/>
      <c r="C4814" s="75"/>
      <c r="D4814" s="75"/>
      <c r="E4814" s="75"/>
      <c r="F4814" s="75"/>
    </row>
    <row r="4815" spans="2:6">
      <c r="B4815" s="75"/>
      <c r="C4815" s="75"/>
      <c r="D4815" s="75"/>
      <c r="E4815" s="75"/>
      <c r="F4815" s="75"/>
    </row>
    <row r="4816" spans="2:6">
      <c r="B4816" s="75"/>
      <c r="C4816" s="75"/>
      <c r="D4816" s="75"/>
      <c r="E4816" s="75"/>
      <c r="F4816" s="75"/>
    </row>
    <row r="4817" spans="2:6">
      <c r="B4817" s="75"/>
      <c r="C4817" s="75"/>
      <c r="D4817" s="75"/>
      <c r="E4817" s="75"/>
      <c r="F4817" s="75"/>
    </row>
    <row r="4818" spans="2:6">
      <c r="B4818" s="75"/>
      <c r="C4818" s="75"/>
      <c r="D4818" s="75"/>
      <c r="E4818" s="75"/>
      <c r="F4818" s="75"/>
    </row>
    <row r="4819" spans="2:6">
      <c r="B4819" s="75"/>
      <c r="C4819" s="75"/>
      <c r="D4819" s="75"/>
      <c r="E4819" s="75"/>
      <c r="F4819" s="75"/>
    </row>
    <row r="4820" spans="2:6">
      <c r="B4820" s="75"/>
      <c r="C4820" s="75"/>
      <c r="D4820" s="75"/>
      <c r="E4820" s="75"/>
      <c r="F4820" s="75"/>
    </row>
    <row r="4821" spans="2:6">
      <c r="B4821" s="75"/>
      <c r="C4821" s="75"/>
      <c r="D4821" s="75"/>
      <c r="E4821" s="75"/>
      <c r="F4821" s="75"/>
    </row>
    <row r="4822" spans="2:6">
      <c r="B4822" s="75"/>
      <c r="C4822" s="75"/>
      <c r="D4822" s="75"/>
      <c r="E4822" s="75"/>
      <c r="F4822" s="75"/>
    </row>
    <row r="4823" spans="2:6">
      <c r="B4823" s="75"/>
      <c r="C4823" s="75"/>
      <c r="D4823" s="75"/>
      <c r="E4823" s="75"/>
      <c r="F4823" s="75"/>
    </row>
    <row r="4824" spans="2:6">
      <c r="B4824" s="75"/>
      <c r="C4824" s="75"/>
      <c r="D4824" s="75"/>
      <c r="E4824" s="75"/>
      <c r="F4824" s="75"/>
    </row>
    <row r="4825" spans="2:6">
      <c r="B4825" s="75"/>
      <c r="C4825" s="75"/>
      <c r="D4825" s="75"/>
      <c r="E4825" s="75"/>
      <c r="F4825" s="75"/>
    </row>
    <row r="4826" spans="2:6">
      <c r="B4826" s="75"/>
      <c r="C4826" s="75"/>
      <c r="D4826" s="75"/>
      <c r="E4826" s="75"/>
      <c r="F4826" s="75"/>
    </row>
    <row r="4827" spans="2:6">
      <c r="B4827" s="75"/>
      <c r="C4827" s="75"/>
      <c r="D4827" s="75"/>
      <c r="E4827" s="75"/>
      <c r="F4827" s="75"/>
    </row>
    <row r="4828" spans="2:6">
      <c r="B4828" s="75"/>
      <c r="C4828" s="75"/>
      <c r="D4828" s="75"/>
      <c r="E4828" s="75"/>
      <c r="F4828" s="75"/>
    </row>
    <row r="4829" spans="2:6">
      <c r="B4829" s="75"/>
      <c r="C4829" s="75"/>
      <c r="D4829" s="75"/>
      <c r="E4829" s="75"/>
      <c r="F4829" s="75"/>
    </row>
    <row r="4830" spans="2:6">
      <c r="B4830" s="75"/>
      <c r="C4830" s="75"/>
      <c r="D4830" s="75"/>
      <c r="E4830" s="75"/>
      <c r="F4830" s="75"/>
    </row>
    <row r="4831" spans="2:6">
      <c r="B4831" s="75"/>
      <c r="C4831" s="75"/>
      <c r="D4831" s="75"/>
      <c r="E4831" s="75"/>
      <c r="F4831" s="75"/>
    </row>
    <row r="4832" spans="2:6">
      <c r="B4832" s="75"/>
      <c r="C4832" s="75"/>
      <c r="D4832" s="75"/>
      <c r="E4832" s="75"/>
      <c r="F4832" s="75"/>
    </row>
    <row r="4833" spans="2:6">
      <c r="B4833" s="75"/>
      <c r="C4833" s="75"/>
      <c r="D4833" s="75"/>
      <c r="E4833" s="75"/>
      <c r="F4833" s="75"/>
    </row>
    <row r="4834" spans="2:6">
      <c r="B4834" s="75"/>
      <c r="C4834" s="75"/>
      <c r="D4834" s="75"/>
      <c r="E4834" s="75"/>
      <c r="F4834" s="75"/>
    </row>
    <row r="4835" spans="2:6">
      <c r="B4835" s="75"/>
      <c r="C4835" s="75"/>
      <c r="D4835" s="75"/>
      <c r="E4835" s="75"/>
      <c r="F4835" s="75"/>
    </row>
    <row r="4836" spans="2:6">
      <c r="B4836" s="75"/>
      <c r="C4836" s="75"/>
      <c r="D4836" s="75"/>
      <c r="E4836" s="75"/>
      <c r="F4836" s="75"/>
    </row>
    <row r="4837" spans="2:6">
      <c r="B4837" s="75"/>
      <c r="C4837" s="75"/>
      <c r="D4837" s="75"/>
      <c r="E4837" s="75"/>
      <c r="F4837" s="75"/>
    </row>
    <row r="4838" spans="2:6">
      <c r="B4838" s="75"/>
      <c r="C4838" s="75"/>
      <c r="D4838" s="75"/>
      <c r="E4838" s="75"/>
      <c r="F4838" s="75"/>
    </row>
    <row r="4839" spans="2:6">
      <c r="B4839" s="75"/>
      <c r="C4839" s="75"/>
      <c r="D4839" s="75"/>
      <c r="E4839" s="75"/>
      <c r="F4839" s="75"/>
    </row>
    <row r="4840" spans="2:6">
      <c r="B4840" s="75"/>
      <c r="C4840" s="75"/>
      <c r="D4840" s="75"/>
      <c r="E4840" s="75"/>
      <c r="F4840" s="75"/>
    </row>
    <row r="4841" spans="2:6">
      <c r="B4841" s="75"/>
      <c r="C4841" s="75"/>
      <c r="D4841" s="75"/>
      <c r="E4841" s="75"/>
      <c r="F4841" s="75"/>
    </row>
    <row r="4842" spans="2:6">
      <c r="B4842" s="75"/>
      <c r="C4842" s="75"/>
      <c r="D4842" s="75"/>
      <c r="E4842" s="75"/>
      <c r="F4842" s="75"/>
    </row>
    <row r="4843" spans="2:6">
      <c r="B4843" s="75"/>
      <c r="C4843" s="75"/>
      <c r="D4843" s="75"/>
      <c r="E4843" s="75"/>
      <c r="F4843" s="75"/>
    </row>
    <row r="4844" spans="2:6">
      <c r="B4844" s="75"/>
      <c r="C4844" s="75"/>
      <c r="D4844" s="75"/>
      <c r="E4844" s="75"/>
      <c r="F4844" s="75"/>
    </row>
    <row r="4845" spans="2:6">
      <c r="B4845" s="75"/>
      <c r="C4845" s="75"/>
      <c r="D4845" s="75"/>
      <c r="E4845" s="75"/>
      <c r="F4845" s="75"/>
    </row>
    <row r="4846" spans="2:6">
      <c r="B4846" s="75"/>
      <c r="C4846" s="75"/>
      <c r="D4846" s="75"/>
      <c r="E4846" s="75"/>
      <c r="F4846" s="75"/>
    </row>
    <row r="4847" spans="2:6">
      <c r="B4847" s="75"/>
      <c r="C4847" s="75"/>
      <c r="D4847" s="75"/>
      <c r="E4847" s="75"/>
      <c r="F4847" s="75"/>
    </row>
    <row r="4848" spans="2:6">
      <c r="B4848" s="75"/>
      <c r="C4848" s="75"/>
      <c r="D4848" s="75"/>
      <c r="E4848" s="75"/>
      <c r="F4848" s="75"/>
    </row>
    <row r="4849" spans="2:6">
      <c r="B4849" s="75"/>
      <c r="C4849" s="75"/>
      <c r="D4849" s="75"/>
      <c r="E4849" s="75"/>
      <c r="F4849" s="75"/>
    </row>
    <row r="4850" spans="2:6">
      <c r="B4850" s="75"/>
      <c r="C4850" s="75"/>
      <c r="D4850" s="75"/>
      <c r="E4850" s="75"/>
      <c r="F4850" s="75"/>
    </row>
    <row r="4851" spans="2:6">
      <c r="B4851" s="75"/>
      <c r="C4851" s="75"/>
      <c r="D4851" s="75"/>
      <c r="E4851" s="75"/>
      <c r="F4851" s="75"/>
    </row>
    <row r="4852" spans="2:6">
      <c r="B4852" s="75"/>
      <c r="C4852" s="75"/>
      <c r="D4852" s="75"/>
      <c r="E4852" s="75"/>
      <c r="F4852" s="75"/>
    </row>
    <row r="4853" spans="2:6">
      <c r="B4853" s="75"/>
      <c r="C4853" s="75"/>
      <c r="D4853" s="75"/>
      <c r="E4853" s="75"/>
      <c r="F4853" s="75"/>
    </row>
    <row r="4854" spans="2:6">
      <c r="B4854" s="75"/>
      <c r="C4854" s="75"/>
      <c r="D4854" s="75"/>
      <c r="E4854" s="75"/>
      <c r="F4854" s="75"/>
    </row>
    <row r="4855" spans="2:6">
      <c r="B4855" s="75"/>
      <c r="C4855" s="75"/>
      <c r="D4855" s="75"/>
      <c r="E4855" s="75"/>
      <c r="F4855" s="75"/>
    </row>
    <row r="4856" spans="2:6">
      <c r="B4856" s="75"/>
      <c r="C4856" s="75"/>
      <c r="D4856" s="75"/>
      <c r="E4856" s="75"/>
      <c r="F4856" s="75"/>
    </row>
    <row r="4857" spans="2:6">
      <c r="B4857" s="75"/>
      <c r="C4857" s="75"/>
      <c r="D4857" s="75"/>
      <c r="E4857" s="75"/>
      <c r="F4857" s="75"/>
    </row>
    <row r="4858" spans="2:6">
      <c r="B4858" s="75"/>
      <c r="C4858" s="75"/>
      <c r="D4858" s="75"/>
      <c r="E4858" s="75"/>
      <c r="F4858" s="75"/>
    </row>
    <row r="4859" spans="2:6">
      <c r="B4859" s="75"/>
      <c r="C4859" s="75"/>
      <c r="D4859" s="75"/>
      <c r="E4859" s="75"/>
      <c r="F4859" s="75"/>
    </row>
    <row r="4860" spans="2:6">
      <c r="B4860" s="75"/>
      <c r="C4860" s="75"/>
      <c r="D4860" s="75"/>
      <c r="E4860" s="75"/>
      <c r="F4860" s="75"/>
    </row>
    <row r="4861" spans="2:6">
      <c r="B4861" s="75"/>
      <c r="C4861" s="75"/>
      <c r="D4861" s="75"/>
      <c r="E4861" s="75"/>
      <c r="F4861" s="75"/>
    </row>
    <row r="4862" spans="2:6">
      <c r="B4862" s="75"/>
      <c r="C4862" s="75"/>
      <c r="D4862" s="75"/>
      <c r="E4862" s="75"/>
      <c r="F4862" s="75"/>
    </row>
    <row r="4863" spans="2:6">
      <c r="B4863" s="75"/>
      <c r="C4863" s="75"/>
      <c r="D4863" s="75"/>
      <c r="E4863" s="75"/>
      <c r="F4863" s="75"/>
    </row>
    <row r="4864" spans="2:6">
      <c r="B4864" s="75"/>
      <c r="C4864" s="75"/>
      <c r="D4864" s="75"/>
      <c r="E4864" s="75"/>
      <c r="F4864" s="75"/>
    </row>
    <row r="4865" spans="2:6">
      <c r="B4865" s="75"/>
      <c r="C4865" s="75"/>
      <c r="D4865" s="75"/>
      <c r="E4865" s="75"/>
      <c r="F4865" s="75"/>
    </row>
    <row r="4866" spans="2:6">
      <c r="B4866" s="75"/>
      <c r="C4866" s="75"/>
      <c r="D4866" s="75"/>
      <c r="E4866" s="75"/>
      <c r="F4866" s="75"/>
    </row>
    <row r="4867" spans="2:6">
      <c r="B4867" s="75"/>
      <c r="C4867" s="75"/>
      <c r="D4867" s="75"/>
      <c r="E4867" s="75"/>
      <c r="F4867" s="75"/>
    </row>
    <row r="4868" spans="2:6">
      <c r="B4868" s="75"/>
      <c r="C4868" s="75"/>
      <c r="D4868" s="75"/>
      <c r="E4868" s="75"/>
      <c r="F4868" s="75"/>
    </row>
    <row r="4869" spans="2:6">
      <c r="B4869" s="75"/>
      <c r="C4869" s="75"/>
      <c r="D4869" s="75"/>
      <c r="E4869" s="75"/>
      <c r="F4869" s="75"/>
    </row>
    <row r="4870" spans="2:6">
      <c r="B4870" s="75"/>
      <c r="C4870" s="75"/>
      <c r="D4870" s="75"/>
      <c r="E4870" s="75"/>
      <c r="F4870" s="75"/>
    </row>
    <row r="4871" spans="2:6">
      <c r="B4871" s="75"/>
      <c r="C4871" s="75"/>
      <c r="D4871" s="75"/>
      <c r="E4871" s="75"/>
      <c r="F4871" s="75"/>
    </row>
    <row r="4872" spans="2:6">
      <c r="B4872" s="75"/>
      <c r="C4872" s="75"/>
      <c r="D4872" s="75"/>
      <c r="E4872" s="75"/>
      <c r="F4872" s="75"/>
    </row>
    <row r="4873" spans="2:6">
      <c r="B4873" s="75"/>
      <c r="C4873" s="75"/>
      <c r="D4873" s="75"/>
      <c r="E4873" s="75"/>
      <c r="F4873" s="75"/>
    </row>
    <row r="4874" spans="2:6">
      <c r="B4874" s="75"/>
      <c r="C4874" s="75"/>
      <c r="D4874" s="75"/>
      <c r="E4874" s="75"/>
      <c r="F4874" s="75"/>
    </row>
    <row r="4875" spans="2:6">
      <c r="B4875" s="75"/>
      <c r="C4875" s="75"/>
      <c r="D4875" s="75"/>
      <c r="E4875" s="75"/>
      <c r="F4875" s="75"/>
    </row>
    <row r="4876" spans="2:6">
      <c r="B4876" s="75"/>
      <c r="C4876" s="75"/>
      <c r="D4876" s="75"/>
      <c r="E4876" s="75"/>
      <c r="F4876" s="75"/>
    </row>
    <row r="4877" spans="2:6">
      <c r="B4877" s="75"/>
      <c r="C4877" s="75"/>
      <c r="D4877" s="75"/>
      <c r="E4877" s="75"/>
      <c r="F4877" s="75"/>
    </row>
    <row r="4878" spans="2:6">
      <c r="B4878" s="75"/>
      <c r="C4878" s="75"/>
      <c r="D4878" s="75"/>
      <c r="E4878" s="75"/>
      <c r="F4878" s="75"/>
    </row>
    <row r="4879" spans="2:6">
      <c r="B4879" s="75"/>
      <c r="C4879" s="75"/>
      <c r="D4879" s="75"/>
      <c r="E4879" s="75"/>
      <c r="F4879" s="75"/>
    </row>
    <row r="4880" spans="2:6">
      <c r="B4880" s="75"/>
      <c r="C4880" s="75"/>
      <c r="D4880" s="75"/>
      <c r="E4880" s="75"/>
      <c r="F4880" s="75"/>
    </row>
    <row r="4881" spans="2:6">
      <c r="B4881" s="75"/>
      <c r="C4881" s="75"/>
      <c r="D4881" s="75"/>
      <c r="E4881" s="75"/>
      <c r="F4881" s="75"/>
    </row>
    <row r="4882" spans="2:6">
      <c r="B4882" s="75"/>
      <c r="C4882" s="75"/>
      <c r="D4882" s="75"/>
      <c r="E4882" s="75"/>
      <c r="F4882" s="75"/>
    </row>
    <row r="4883" spans="2:6">
      <c r="B4883" s="75"/>
      <c r="C4883" s="75"/>
      <c r="D4883" s="75"/>
      <c r="E4883" s="75"/>
      <c r="F4883" s="75"/>
    </row>
    <row r="4884" spans="2:6">
      <c r="B4884" s="75"/>
      <c r="C4884" s="75"/>
      <c r="D4884" s="75"/>
      <c r="E4884" s="75"/>
      <c r="F4884" s="75"/>
    </row>
    <row r="4885" spans="2:6">
      <c r="B4885" s="75"/>
      <c r="C4885" s="75"/>
      <c r="D4885" s="75"/>
      <c r="E4885" s="75"/>
      <c r="F4885" s="75"/>
    </row>
    <row r="4886" spans="2:6">
      <c r="B4886" s="75"/>
      <c r="C4886" s="75"/>
      <c r="D4886" s="75"/>
      <c r="E4886" s="75"/>
      <c r="F4886" s="75"/>
    </row>
    <row r="4887" spans="2:6">
      <c r="B4887" s="75"/>
      <c r="C4887" s="75"/>
      <c r="D4887" s="75"/>
      <c r="E4887" s="75"/>
      <c r="F4887" s="75"/>
    </row>
    <row r="4888" spans="2:6">
      <c r="B4888" s="75"/>
      <c r="C4888" s="75"/>
      <c r="D4888" s="75"/>
      <c r="E4888" s="75"/>
      <c r="F4888" s="75"/>
    </row>
    <row r="4889" spans="2:6">
      <c r="B4889" s="75"/>
      <c r="C4889" s="75"/>
      <c r="D4889" s="75"/>
      <c r="E4889" s="75"/>
      <c r="F4889" s="75"/>
    </row>
    <row r="4890" spans="2:6">
      <c r="B4890" s="75"/>
      <c r="C4890" s="75"/>
      <c r="D4890" s="75"/>
      <c r="E4890" s="75"/>
      <c r="F4890" s="75"/>
    </row>
    <row r="4891" spans="2:6">
      <c r="B4891" s="75"/>
      <c r="C4891" s="75"/>
      <c r="D4891" s="75"/>
      <c r="E4891" s="75"/>
      <c r="F4891" s="75"/>
    </row>
    <row r="4892" spans="2:6">
      <c r="B4892" s="75"/>
      <c r="C4892" s="75"/>
      <c r="D4892" s="75"/>
      <c r="E4892" s="75"/>
      <c r="F4892" s="75"/>
    </row>
    <row r="4893" spans="2:6">
      <c r="B4893" s="75"/>
      <c r="C4893" s="75"/>
      <c r="D4893" s="75"/>
      <c r="E4893" s="75"/>
      <c r="F4893" s="75"/>
    </row>
    <row r="4894" spans="2:6">
      <c r="B4894" s="75"/>
      <c r="C4894" s="75"/>
      <c r="D4894" s="75"/>
      <c r="E4894" s="75"/>
      <c r="F4894" s="75"/>
    </row>
    <row r="4895" spans="2:6">
      <c r="B4895" s="75"/>
      <c r="C4895" s="75"/>
      <c r="D4895" s="75"/>
      <c r="E4895" s="75"/>
      <c r="F4895" s="75"/>
    </row>
    <row r="4896" spans="2:6">
      <c r="B4896" s="75"/>
      <c r="C4896" s="75"/>
      <c r="D4896" s="75"/>
      <c r="E4896" s="75"/>
      <c r="F4896" s="75"/>
    </row>
    <row r="4897" spans="2:6">
      <c r="B4897" s="75"/>
      <c r="C4897" s="75"/>
      <c r="D4897" s="75"/>
      <c r="E4897" s="75"/>
      <c r="F4897" s="75"/>
    </row>
    <row r="4898" spans="2:6">
      <c r="B4898" s="75"/>
      <c r="C4898" s="75"/>
      <c r="D4898" s="75"/>
      <c r="E4898" s="75"/>
      <c r="F4898" s="75"/>
    </row>
    <row r="4899" spans="2:6">
      <c r="B4899" s="75"/>
      <c r="C4899" s="75"/>
      <c r="D4899" s="75"/>
      <c r="E4899" s="75"/>
      <c r="F4899" s="75"/>
    </row>
    <row r="4900" spans="2:6">
      <c r="B4900" s="75"/>
      <c r="C4900" s="75"/>
      <c r="D4900" s="75"/>
      <c r="E4900" s="75"/>
      <c r="F4900" s="75"/>
    </row>
    <row r="4901" spans="2:6">
      <c r="B4901" s="75"/>
      <c r="C4901" s="75"/>
      <c r="D4901" s="75"/>
      <c r="E4901" s="75"/>
      <c r="F4901" s="75"/>
    </row>
    <row r="4902" spans="2:6">
      <c r="B4902" s="75"/>
      <c r="C4902" s="75"/>
      <c r="D4902" s="75"/>
      <c r="E4902" s="75"/>
      <c r="F4902" s="75"/>
    </row>
    <row r="4903" spans="2:6">
      <c r="B4903" s="75"/>
      <c r="C4903" s="75"/>
      <c r="D4903" s="75"/>
      <c r="E4903" s="75"/>
      <c r="F4903" s="75"/>
    </row>
    <row r="4904" spans="2:6">
      <c r="B4904" s="75"/>
      <c r="C4904" s="75"/>
      <c r="D4904" s="75"/>
      <c r="E4904" s="75"/>
      <c r="F4904" s="75"/>
    </row>
    <row r="4905" spans="2:6">
      <c r="B4905" s="75"/>
      <c r="C4905" s="75"/>
      <c r="D4905" s="75"/>
      <c r="E4905" s="75"/>
      <c r="F4905" s="75"/>
    </row>
    <row r="4906" spans="2:6">
      <c r="B4906" s="75"/>
      <c r="C4906" s="75"/>
      <c r="D4906" s="75"/>
      <c r="E4906" s="75"/>
      <c r="F4906" s="75"/>
    </row>
    <row r="4907" spans="2:6">
      <c r="B4907" s="75"/>
      <c r="C4907" s="75"/>
      <c r="D4907" s="75"/>
      <c r="E4907" s="75"/>
      <c r="F4907" s="75"/>
    </row>
    <row r="4908" spans="2:6">
      <c r="B4908" s="75"/>
      <c r="C4908" s="75"/>
      <c r="D4908" s="75"/>
      <c r="E4908" s="75"/>
      <c r="F4908" s="75"/>
    </row>
    <row r="4909" spans="2:6">
      <c r="B4909" s="75"/>
      <c r="C4909" s="75"/>
      <c r="D4909" s="75"/>
      <c r="E4909" s="75"/>
      <c r="F4909" s="75"/>
    </row>
    <row r="4910" spans="2:6">
      <c r="B4910" s="75"/>
      <c r="C4910" s="75"/>
      <c r="D4910" s="75"/>
      <c r="E4910" s="75"/>
      <c r="F4910" s="75"/>
    </row>
    <row r="4911" spans="2:6">
      <c r="B4911" s="75"/>
      <c r="C4911" s="75"/>
      <c r="D4911" s="75"/>
      <c r="E4911" s="75"/>
      <c r="F4911" s="75"/>
    </row>
    <row r="4912" spans="2:6">
      <c r="B4912" s="75"/>
      <c r="C4912" s="75"/>
      <c r="D4912" s="75"/>
      <c r="E4912" s="75"/>
      <c r="F4912" s="75"/>
    </row>
    <row r="4913" spans="2:6">
      <c r="B4913" s="75"/>
      <c r="C4913" s="75"/>
      <c r="D4913" s="75"/>
      <c r="E4913" s="75"/>
      <c r="F4913" s="75"/>
    </row>
    <row r="4914" spans="2:6">
      <c r="B4914" s="75"/>
      <c r="C4914" s="75"/>
      <c r="D4914" s="75"/>
      <c r="E4914" s="75"/>
      <c r="F4914" s="75"/>
    </row>
    <row r="4915" spans="2:6">
      <c r="B4915" s="75"/>
      <c r="C4915" s="75"/>
      <c r="D4915" s="75"/>
      <c r="E4915" s="75"/>
      <c r="F4915" s="75"/>
    </row>
    <row r="4916" spans="2:6">
      <c r="B4916" s="75"/>
      <c r="C4916" s="75"/>
      <c r="D4916" s="75"/>
      <c r="E4916" s="75"/>
      <c r="F4916" s="75"/>
    </row>
    <row r="4917" spans="2:6">
      <c r="B4917" s="75"/>
      <c r="C4917" s="75"/>
      <c r="D4917" s="75"/>
      <c r="E4917" s="75"/>
      <c r="F4917" s="75"/>
    </row>
    <row r="4918" spans="2:6">
      <c r="B4918" s="75"/>
      <c r="C4918" s="75"/>
      <c r="D4918" s="75"/>
      <c r="E4918" s="75"/>
      <c r="F4918" s="75"/>
    </row>
    <row r="4919" spans="2:6">
      <c r="B4919" s="75"/>
      <c r="C4919" s="75"/>
      <c r="D4919" s="75"/>
      <c r="E4919" s="75"/>
      <c r="F4919" s="75"/>
    </row>
    <row r="4920" spans="2:6">
      <c r="B4920" s="75"/>
      <c r="C4920" s="75"/>
      <c r="D4920" s="75"/>
      <c r="E4920" s="75"/>
      <c r="F4920" s="75"/>
    </row>
    <row r="4921" spans="2:6">
      <c r="B4921" s="75"/>
      <c r="C4921" s="75"/>
      <c r="D4921" s="75"/>
      <c r="E4921" s="75"/>
      <c r="F4921" s="75"/>
    </row>
    <row r="4922" spans="2:6">
      <c r="B4922" s="75"/>
      <c r="C4922" s="75"/>
      <c r="D4922" s="75"/>
      <c r="E4922" s="75"/>
      <c r="F4922" s="75"/>
    </row>
    <row r="4923" spans="2:6">
      <c r="B4923" s="75"/>
      <c r="C4923" s="75"/>
      <c r="D4923" s="75"/>
      <c r="E4923" s="75"/>
      <c r="F4923" s="75"/>
    </row>
    <row r="4924" spans="2:6">
      <c r="B4924" s="75"/>
      <c r="C4924" s="75"/>
      <c r="D4924" s="75"/>
      <c r="E4924" s="75"/>
      <c r="F4924" s="75"/>
    </row>
    <row r="4925" spans="2:6">
      <c r="B4925" s="75"/>
      <c r="C4925" s="75"/>
      <c r="D4925" s="75"/>
      <c r="E4925" s="75"/>
      <c r="F4925" s="75"/>
    </row>
    <row r="4926" spans="2:6">
      <c r="B4926" s="75"/>
      <c r="C4926" s="75"/>
      <c r="D4926" s="75"/>
      <c r="E4926" s="75"/>
      <c r="F4926" s="75"/>
    </row>
    <row r="4927" spans="2:6">
      <c r="B4927" s="75"/>
      <c r="C4927" s="75"/>
      <c r="D4927" s="75"/>
      <c r="E4927" s="75"/>
      <c r="F4927" s="75"/>
    </row>
    <row r="4928" spans="2:6">
      <c r="B4928" s="75"/>
      <c r="C4928" s="75"/>
      <c r="D4928" s="75"/>
      <c r="E4928" s="75"/>
      <c r="F4928" s="75"/>
    </row>
    <row r="4929" spans="2:6">
      <c r="B4929" s="75"/>
      <c r="C4929" s="75"/>
      <c r="D4929" s="75"/>
      <c r="E4929" s="75"/>
      <c r="F4929" s="75"/>
    </row>
    <row r="4930" spans="2:6">
      <c r="B4930" s="75"/>
      <c r="C4930" s="75"/>
      <c r="D4930" s="75"/>
      <c r="E4930" s="75"/>
      <c r="F4930" s="75"/>
    </row>
    <row r="4931" spans="2:6">
      <c r="B4931" s="75"/>
      <c r="C4931" s="75"/>
      <c r="D4931" s="75"/>
      <c r="E4931" s="75"/>
      <c r="F4931" s="75"/>
    </row>
    <row r="4932" spans="2:6">
      <c r="B4932" s="75"/>
      <c r="C4932" s="75"/>
      <c r="D4932" s="75"/>
      <c r="E4932" s="75"/>
      <c r="F4932" s="75"/>
    </row>
    <row r="4933" spans="2:6">
      <c r="B4933" s="75"/>
      <c r="C4933" s="75"/>
      <c r="D4933" s="75"/>
      <c r="E4933" s="75"/>
      <c r="F4933" s="75"/>
    </row>
    <row r="4934" spans="2:6">
      <c r="B4934" s="75"/>
      <c r="C4934" s="75"/>
      <c r="D4934" s="75"/>
      <c r="E4934" s="75"/>
      <c r="F4934" s="75"/>
    </row>
    <row r="4935" spans="2:6">
      <c r="B4935" s="75"/>
      <c r="C4935" s="75"/>
      <c r="D4935" s="75"/>
      <c r="E4935" s="75"/>
      <c r="F4935" s="75"/>
    </row>
    <row r="4936" spans="2:6">
      <c r="B4936" s="75"/>
      <c r="C4936" s="75"/>
      <c r="D4936" s="75"/>
      <c r="E4936" s="75"/>
      <c r="F4936" s="75"/>
    </row>
    <row r="4937" spans="2:6">
      <c r="B4937" s="75"/>
      <c r="C4937" s="75"/>
      <c r="D4937" s="75"/>
      <c r="E4937" s="75"/>
      <c r="F4937" s="75"/>
    </row>
    <row r="4938" spans="2:6">
      <c r="B4938" s="75"/>
      <c r="C4938" s="75"/>
      <c r="D4938" s="75"/>
      <c r="E4938" s="75"/>
      <c r="F4938" s="75"/>
    </row>
    <row r="4939" spans="2:6">
      <c r="B4939" s="75"/>
      <c r="C4939" s="75"/>
      <c r="D4939" s="75"/>
      <c r="E4939" s="75"/>
      <c r="F4939" s="75"/>
    </row>
    <row r="4940" spans="2:6">
      <c r="B4940" s="75"/>
      <c r="C4940" s="75"/>
      <c r="D4940" s="75"/>
      <c r="E4940" s="75"/>
      <c r="F4940" s="75"/>
    </row>
    <row r="4941" spans="2:6">
      <c r="B4941" s="75"/>
      <c r="C4941" s="75"/>
      <c r="D4941" s="75"/>
      <c r="E4941" s="75"/>
      <c r="F4941" s="75"/>
    </row>
    <row r="4942" spans="2:6">
      <c r="B4942" s="75"/>
      <c r="C4942" s="75"/>
      <c r="D4942" s="75"/>
      <c r="E4942" s="75"/>
      <c r="F4942" s="75"/>
    </row>
    <row r="4943" spans="2:6">
      <c r="B4943" s="75"/>
      <c r="C4943" s="75"/>
      <c r="D4943" s="75"/>
      <c r="E4943" s="75"/>
      <c r="F4943" s="75"/>
    </row>
    <row r="4944" spans="2:6">
      <c r="B4944" s="75"/>
      <c r="C4944" s="75"/>
      <c r="D4944" s="75"/>
      <c r="E4944" s="75"/>
      <c r="F4944" s="75"/>
    </row>
    <row r="4945" spans="2:6">
      <c r="B4945" s="75"/>
      <c r="C4945" s="75"/>
      <c r="D4945" s="75"/>
      <c r="E4945" s="75"/>
      <c r="F4945" s="75"/>
    </row>
    <row r="4946" spans="2:6">
      <c r="B4946" s="75"/>
      <c r="C4946" s="75"/>
      <c r="D4946" s="75"/>
      <c r="E4946" s="75"/>
      <c r="F4946" s="75"/>
    </row>
    <row r="4947" spans="2:6">
      <c r="B4947" s="75"/>
      <c r="C4947" s="75"/>
      <c r="D4947" s="75"/>
      <c r="E4947" s="75"/>
      <c r="F4947" s="75"/>
    </row>
    <row r="4948" spans="2:6">
      <c r="B4948" s="75"/>
      <c r="C4948" s="75"/>
      <c r="D4948" s="75"/>
      <c r="E4948" s="75"/>
      <c r="F4948" s="75"/>
    </row>
    <row r="4949" spans="2:6">
      <c r="B4949" s="75"/>
      <c r="C4949" s="75"/>
      <c r="D4949" s="75"/>
      <c r="E4949" s="75"/>
      <c r="F4949" s="75"/>
    </row>
    <row r="4950" spans="2:6">
      <c r="B4950" s="75"/>
      <c r="C4950" s="75"/>
      <c r="D4950" s="75"/>
      <c r="E4950" s="75"/>
      <c r="F4950" s="75"/>
    </row>
    <row r="4951" spans="2:6">
      <c r="B4951" s="75"/>
      <c r="C4951" s="75"/>
      <c r="D4951" s="75"/>
      <c r="E4951" s="75"/>
      <c r="F4951" s="75"/>
    </row>
    <row r="4952" spans="2:6">
      <c r="B4952" s="75"/>
      <c r="C4952" s="75"/>
      <c r="D4952" s="75"/>
      <c r="E4952" s="75"/>
      <c r="F4952" s="75"/>
    </row>
    <row r="4953" spans="2:6">
      <c r="B4953" s="75"/>
      <c r="C4953" s="75"/>
      <c r="D4953" s="75"/>
      <c r="E4953" s="75"/>
      <c r="F4953" s="75"/>
    </row>
    <row r="4954" spans="2:6">
      <c r="B4954" s="75"/>
      <c r="C4954" s="75"/>
      <c r="D4954" s="75"/>
      <c r="E4954" s="75"/>
      <c r="F4954" s="75"/>
    </row>
    <row r="4955" spans="2:6">
      <c r="B4955" s="75"/>
      <c r="C4955" s="75"/>
      <c r="D4955" s="75"/>
      <c r="E4955" s="75"/>
      <c r="F4955" s="75"/>
    </row>
    <row r="4956" spans="2:6">
      <c r="B4956" s="75"/>
      <c r="C4956" s="75"/>
      <c r="D4956" s="75"/>
      <c r="E4956" s="75"/>
      <c r="F4956" s="75"/>
    </row>
    <row r="4957" spans="2:6">
      <c r="B4957" s="75"/>
      <c r="C4957" s="75"/>
      <c r="D4957" s="75"/>
      <c r="E4957" s="75"/>
      <c r="F4957" s="75"/>
    </row>
    <row r="4958" spans="2:6">
      <c r="B4958" s="75"/>
      <c r="C4958" s="75"/>
      <c r="D4958" s="75"/>
      <c r="E4958" s="75"/>
      <c r="F4958" s="75"/>
    </row>
    <row r="4959" spans="2:6">
      <c r="B4959" s="75"/>
      <c r="C4959" s="75"/>
      <c r="D4959" s="75"/>
      <c r="E4959" s="75"/>
      <c r="F4959" s="75"/>
    </row>
    <row r="4960" spans="2:6">
      <c r="B4960" s="75"/>
      <c r="C4960" s="75"/>
      <c r="D4960" s="75"/>
      <c r="E4960" s="75"/>
      <c r="F4960" s="75"/>
    </row>
    <row r="4961" spans="2:6">
      <c r="B4961" s="75"/>
      <c r="C4961" s="75"/>
      <c r="D4961" s="75"/>
      <c r="E4961" s="75"/>
      <c r="F4961" s="75"/>
    </row>
    <row r="4962" spans="2:6">
      <c r="B4962" s="75"/>
      <c r="C4962" s="75"/>
      <c r="D4962" s="75"/>
      <c r="E4962" s="75"/>
      <c r="F4962" s="75"/>
    </row>
    <row r="4963" spans="2:6">
      <c r="B4963" s="75"/>
      <c r="C4963" s="75"/>
      <c r="D4963" s="75"/>
      <c r="E4963" s="75"/>
      <c r="F4963" s="75"/>
    </row>
    <row r="4964" spans="2:6">
      <c r="B4964" s="75"/>
      <c r="C4964" s="75"/>
      <c r="D4964" s="75"/>
      <c r="E4964" s="75"/>
      <c r="F4964" s="75"/>
    </row>
    <row r="4965" spans="2:6">
      <c r="B4965" s="75"/>
      <c r="C4965" s="75"/>
      <c r="D4965" s="75"/>
      <c r="E4965" s="75"/>
      <c r="F4965" s="75"/>
    </row>
    <row r="4966" spans="2:6">
      <c r="B4966" s="75"/>
      <c r="C4966" s="75"/>
      <c r="D4966" s="75"/>
      <c r="E4966" s="75"/>
      <c r="F4966" s="75"/>
    </row>
    <row r="4967" spans="2:6">
      <c r="B4967" s="75"/>
      <c r="C4967" s="75"/>
      <c r="D4967" s="75"/>
      <c r="E4967" s="75"/>
      <c r="F4967" s="75"/>
    </row>
    <row r="4968" spans="2:6">
      <c r="B4968" s="75"/>
      <c r="C4968" s="75"/>
      <c r="D4968" s="75"/>
      <c r="E4968" s="75"/>
      <c r="F4968" s="75"/>
    </row>
    <row r="4969" spans="2:6">
      <c r="B4969" s="75"/>
      <c r="C4969" s="75"/>
      <c r="D4969" s="75"/>
      <c r="E4969" s="75"/>
      <c r="F4969" s="75"/>
    </row>
    <row r="4970" spans="2:6">
      <c r="B4970" s="75"/>
      <c r="C4970" s="75"/>
      <c r="D4970" s="75"/>
      <c r="E4970" s="75"/>
      <c r="F4970" s="75"/>
    </row>
    <row r="4971" spans="2:6">
      <c r="B4971" s="75"/>
      <c r="C4971" s="75"/>
      <c r="D4971" s="75"/>
      <c r="E4971" s="75"/>
      <c r="F4971" s="75"/>
    </row>
    <row r="4972" spans="2:6">
      <c r="B4972" s="75"/>
      <c r="C4972" s="75"/>
      <c r="D4972" s="75"/>
      <c r="E4972" s="75"/>
      <c r="F4972" s="75"/>
    </row>
    <row r="4973" spans="2:6">
      <c r="B4973" s="75"/>
      <c r="C4973" s="75"/>
      <c r="D4973" s="75"/>
      <c r="E4973" s="75"/>
      <c r="F4973" s="75"/>
    </row>
    <row r="4974" spans="2:6">
      <c r="B4974" s="75"/>
      <c r="C4974" s="75"/>
      <c r="D4974" s="75"/>
      <c r="E4974" s="75"/>
      <c r="F4974" s="75"/>
    </row>
    <row r="4975" spans="2:6">
      <c r="B4975" s="75"/>
      <c r="C4975" s="75"/>
      <c r="D4975" s="75"/>
      <c r="E4975" s="75"/>
      <c r="F4975" s="75"/>
    </row>
    <row r="4976" spans="2:6">
      <c r="B4976" s="75"/>
      <c r="C4976" s="75"/>
      <c r="D4976" s="75"/>
      <c r="E4976" s="75"/>
      <c r="F4976" s="75"/>
    </row>
    <row r="4977" spans="2:6">
      <c r="B4977" s="75"/>
      <c r="C4977" s="75"/>
      <c r="D4977" s="75"/>
      <c r="E4977" s="75"/>
      <c r="F4977" s="75"/>
    </row>
    <row r="4978" spans="2:6">
      <c r="B4978" s="75"/>
      <c r="C4978" s="75"/>
      <c r="D4978" s="75"/>
      <c r="E4978" s="75"/>
      <c r="F4978" s="75"/>
    </row>
    <row r="4979" spans="2:6">
      <c r="B4979" s="75"/>
      <c r="C4979" s="75"/>
      <c r="D4979" s="75"/>
      <c r="E4979" s="75"/>
      <c r="F4979" s="75"/>
    </row>
    <row r="4980" spans="2:6">
      <c r="B4980" s="75"/>
      <c r="C4980" s="75"/>
      <c r="D4980" s="75"/>
      <c r="E4980" s="75"/>
      <c r="F4980" s="75"/>
    </row>
    <row r="4981" spans="2:6">
      <c r="B4981" s="75"/>
      <c r="C4981" s="75"/>
      <c r="D4981" s="75"/>
      <c r="E4981" s="75"/>
      <c r="F4981" s="75"/>
    </row>
    <row r="4982" spans="2:6">
      <c r="B4982" s="75"/>
      <c r="C4982" s="75"/>
      <c r="D4982" s="75"/>
      <c r="E4982" s="75"/>
      <c r="F4982" s="75"/>
    </row>
    <row r="4983" spans="2:6">
      <c r="B4983" s="75"/>
      <c r="C4983" s="75"/>
      <c r="D4983" s="75"/>
      <c r="E4983" s="75"/>
      <c r="F4983" s="75"/>
    </row>
    <row r="4984" spans="2:6">
      <c r="B4984" s="75"/>
      <c r="C4984" s="75"/>
      <c r="D4984" s="75"/>
      <c r="E4984" s="75"/>
      <c r="F4984" s="75"/>
    </row>
    <row r="4985" spans="2:6">
      <c r="B4985" s="75"/>
      <c r="C4985" s="75"/>
      <c r="D4985" s="75"/>
      <c r="E4985" s="75"/>
      <c r="F4985" s="75"/>
    </row>
    <row r="4986" spans="2:6">
      <c r="B4986" s="75"/>
      <c r="C4986" s="75"/>
      <c r="D4986" s="75"/>
      <c r="E4986" s="75"/>
      <c r="F4986" s="75"/>
    </row>
    <row r="4987" spans="2:6">
      <c r="B4987" s="75"/>
      <c r="C4987" s="75"/>
      <c r="D4987" s="75"/>
      <c r="E4987" s="75"/>
      <c r="F4987" s="75"/>
    </row>
    <row r="4988" spans="2:6">
      <c r="B4988" s="75"/>
      <c r="C4988" s="75"/>
      <c r="D4988" s="75"/>
      <c r="E4988" s="75"/>
      <c r="F4988" s="75"/>
    </row>
    <row r="4989" spans="2:6">
      <c r="B4989" s="75"/>
      <c r="C4989" s="75"/>
      <c r="D4989" s="75"/>
      <c r="E4989" s="75"/>
      <c r="F4989" s="75"/>
    </row>
    <row r="4990" spans="2:6">
      <c r="B4990" s="75"/>
      <c r="C4990" s="75"/>
      <c r="D4990" s="75"/>
      <c r="E4990" s="75"/>
      <c r="F4990" s="75"/>
    </row>
    <row r="4991" spans="2:6">
      <c r="B4991" s="75"/>
      <c r="C4991" s="75"/>
      <c r="D4991" s="75"/>
      <c r="E4991" s="75"/>
      <c r="F4991" s="75"/>
    </row>
    <row r="4992" spans="2:6">
      <c r="B4992" s="75"/>
      <c r="C4992" s="75"/>
      <c r="D4992" s="75"/>
      <c r="E4992" s="75"/>
      <c r="F4992" s="75"/>
    </row>
    <row r="4993" spans="2:6">
      <c r="B4993" s="75"/>
      <c r="C4993" s="75"/>
      <c r="D4993" s="75"/>
      <c r="E4993" s="75"/>
      <c r="F4993" s="75"/>
    </row>
    <row r="4994" spans="2:6">
      <c r="B4994" s="75"/>
      <c r="C4994" s="75"/>
      <c r="D4994" s="75"/>
      <c r="E4994" s="75"/>
      <c r="F4994" s="75"/>
    </row>
    <row r="4995" spans="2:6">
      <c r="B4995" s="75"/>
      <c r="C4995" s="75"/>
      <c r="D4995" s="75"/>
      <c r="E4995" s="75"/>
      <c r="F4995" s="75"/>
    </row>
    <row r="4996" spans="2:6">
      <c r="B4996" s="75"/>
      <c r="C4996" s="75"/>
      <c r="D4996" s="75"/>
      <c r="E4996" s="75"/>
      <c r="F4996" s="75"/>
    </row>
    <row r="4997" spans="2:6">
      <c r="B4997" s="75"/>
      <c r="C4997" s="75"/>
      <c r="D4997" s="75"/>
      <c r="E4997" s="75"/>
      <c r="F4997" s="75"/>
    </row>
    <row r="4998" spans="2:6">
      <c r="B4998" s="75"/>
      <c r="C4998" s="75"/>
      <c r="D4998" s="75"/>
      <c r="E4998" s="75"/>
      <c r="F4998" s="75"/>
    </row>
    <row r="4999" spans="2:6">
      <c r="B4999" s="75"/>
      <c r="C4999" s="75"/>
      <c r="D4999" s="75"/>
      <c r="E4999" s="75"/>
      <c r="F4999" s="75"/>
    </row>
    <row r="5000" spans="2:6">
      <c r="B5000" s="75"/>
      <c r="C5000" s="75"/>
      <c r="D5000" s="75"/>
      <c r="E5000" s="75"/>
      <c r="F5000" s="75"/>
    </row>
    <row r="5001" spans="2:6">
      <c r="B5001" s="75"/>
      <c r="C5001" s="75"/>
      <c r="D5001" s="75"/>
      <c r="E5001" s="75"/>
      <c r="F5001" s="75"/>
    </row>
    <row r="5002" spans="2:6">
      <c r="B5002" s="75"/>
      <c r="C5002" s="75"/>
      <c r="D5002" s="75"/>
      <c r="E5002" s="75"/>
      <c r="F5002" s="75"/>
    </row>
    <row r="5003" spans="2:6">
      <c r="B5003" s="75"/>
      <c r="C5003" s="75"/>
      <c r="D5003" s="75"/>
      <c r="E5003" s="75"/>
      <c r="F5003" s="75"/>
    </row>
    <row r="5004" spans="2:6">
      <c r="B5004" s="75"/>
      <c r="C5004" s="75"/>
      <c r="D5004" s="75"/>
      <c r="E5004" s="75"/>
      <c r="F5004" s="75"/>
    </row>
    <row r="5005" spans="2:6">
      <c r="B5005" s="75"/>
      <c r="C5005" s="75"/>
      <c r="D5005" s="75"/>
      <c r="E5005" s="75"/>
      <c r="F5005" s="75"/>
    </row>
    <row r="5006" spans="2:6">
      <c r="B5006" s="75"/>
      <c r="C5006" s="75"/>
      <c r="D5006" s="75"/>
      <c r="E5006" s="75"/>
      <c r="F5006" s="75"/>
    </row>
    <row r="5007" spans="2:6">
      <c r="B5007" s="75"/>
      <c r="C5007" s="75"/>
      <c r="D5007" s="75"/>
      <c r="E5007" s="75"/>
      <c r="F5007" s="75"/>
    </row>
    <row r="5008" spans="2:6">
      <c r="B5008" s="75"/>
      <c r="C5008" s="75"/>
      <c r="D5008" s="75"/>
      <c r="E5008" s="75"/>
      <c r="F5008" s="75"/>
    </row>
    <row r="5009" spans="2:6">
      <c r="B5009" s="75"/>
      <c r="C5009" s="75"/>
      <c r="D5009" s="75"/>
      <c r="E5009" s="75"/>
      <c r="F5009" s="75"/>
    </row>
    <row r="5010" spans="2:6">
      <c r="B5010" s="75"/>
      <c r="C5010" s="75"/>
      <c r="D5010" s="75"/>
      <c r="E5010" s="75"/>
      <c r="F5010" s="75"/>
    </row>
    <row r="5011" spans="2:6">
      <c r="B5011" s="75"/>
      <c r="C5011" s="75"/>
      <c r="D5011" s="75"/>
      <c r="E5011" s="75"/>
      <c r="F5011" s="75"/>
    </row>
    <row r="5012" spans="2:6">
      <c r="B5012" s="75"/>
      <c r="C5012" s="75"/>
      <c r="D5012" s="75"/>
      <c r="E5012" s="75"/>
      <c r="F5012" s="75"/>
    </row>
    <row r="5013" spans="2:6">
      <c r="B5013" s="75"/>
      <c r="C5013" s="75"/>
      <c r="D5013" s="75"/>
      <c r="E5013" s="75"/>
      <c r="F5013" s="75"/>
    </row>
    <row r="5014" spans="2:6">
      <c r="B5014" s="75"/>
      <c r="C5014" s="75"/>
      <c r="D5014" s="75"/>
      <c r="E5014" s="75"/>
      <c r="F5014" s="75"/>
    </row>
    <row r="5015" spans="2:6">
      <c r="B5015" s="75"/>
      <c r="C5015" s="75"/>
      <c r="D5015" s="75"/>
      <c r="E5015" s="75"/>
      <c r="F5015" s="75"/>
    </row>
    <row r="5016" spans="2:6">
      <c r="B5016" s="75"/>
      <c r="C5016" s="75"/>
      <c r="D5016" s="75"/>
      <c r="E5016" s="75"/>
      <c r="F5016" s="75"/>
    </row>
    <row r="5017" spans="2:6">
      <c r="B5017" s="75"/>
      <c r="C5017" s="75"/>
      <c r="D5017" s="75"/>
      <c r="E5017" s="75"/>
      <c r="F5017" s="75"/>
    </row>
    <row r="5018" spans="2:6">
      <c r="B5018" s="75"/>
      <c r="C5018" s="75"/>
      <c r="D5018" s="75"/>
      <c r="E5018" s="75"/>
      <c r="F5018" s="75"/>
    </row>
    <row r="5019" spans="2:6">
      <c r="B5019" s="75"/>
      <c r="C5019" s="75"/>
      <c r="D5019" s="75"/>
      <c r="E5019" s="75"/>
      <c r="F5019" s="75"/>
    </row>
    <row r="5020" spans="2:6">
      <c r="B5020" s="75"/>
      <c r="C5020" s="75"/>
      <c r="D5020" s="75"/>
      <c r="E5020" s="75"/>
      <c r="F5020" s="75"/>
    </row>
    <row r="5021" spans="2:6">
      <c r="B5021" s="75"/>
      <c r="C5021" s="75"/>
      <c r="D5021" s="75"/>
      <c r="E5021" s="75"/>
      <c r="F5021" s="75"/>
    </row>
    <row r="5022" spans="2:6">
      <c r="B5022" s="75"/>
      <c r="C5022" s="75"/>
      <c r="D5022" s="75"/>
      <c r="E5022" s="75"/>
      <c r="F5022" s="75"/>
    </row>
    <row r="5023" spans="2:6">
      <c r="B5023" s="75"/>
      <c r="C5023" s="75"/>
      <c r="D5023" s="75"/>
      <c r="E5023" s="75"/>
      <c r="F5023" s="75"/>
    </row>
    <row r="5024" spans="2:6">
      <c r="B5024" s="75"/>
      <c r="C5024" s="75"/>
      <c r="D5024" s="75"/>
      <c r="E5024" s="75"/>
      <c r="F5024" s="75"/>
    </row>
    <row r="5025" spans="2:6">
      <c r="B5025" s="75"/>
      <c r="C5025" s="75"/>
      <c r="D5025" s="75"/>
      <c r="E5025" s="75"/>
      <c r="F5025" s="75"/>
    </row>
    <row r="5026" spans="2:6">
      <c r="B5026" s="75"/>
      <c r="C5026" s="75"/>
      <c r="D5026" s="75"/>
      <c r="E5026" s="75"/>
      <c r="F5026" s="75"/>
    </row>
    <row r="5027" spans="2:6">
      <c r="B5027" s="75"/>
      <c r="C5027" s="75"/>
      <c r="D5027" s="75"/>
      <c r="E5027" s="75"/>
      <c r="F5027" s="75"/>
    </row>
    <row r="5028" spans="2:6">
      <c r="B5028" s="75"/>
      <c r="C5028" s="75"/>
      <c r="D5028" s="75"/>
      <c r="E5028" s="75"/>
      <c r="F5028" s="75"/>
    </row>
    <row r="5029" spans="2:6">
      <c r="B5029" s="75"/>
      <c r="C5029" s="75"/>
      <c r="D5029" s="75"/>
      <c r="E5029" s="75"/>
      <c r="F5029" s="75"/>
    </row>
    <row r="5030" spans="2:6">
      <c r="B5030" s="75"/>
      <c r="C5030" s="75"/>
      <c r="D5030" s="75"/>
      <c r="E5030" s="75"/>
      <c r="F5030" s="75"/>
    </row>
    <row r="5031" spans="2:6">
      <c r="B5031" s="75"/>
      <c r="C5031" s="75"/>
      <c r="D5031" s="75"/>
      <c r="E5031" s="75"/>
      <c r="F5031" s="75"/>
    </row>
    <row r="5032" spans="2:6">
      <c r="B5032" s="75"/>
      <c r="C5032" s="75"/>
      <c r="D5032" s="75"/>
      <c r="E5032" s="75"/>
      <c r="F5032" s="75"/>
    </row>
    <row r="5033" spans="2:6">
      <c r="B5033" s="75"/>
      <c r="C5033" s="75"/>
      <c r="D5033" s="75"/>
      <c r="E5033" s="75"/>
      <c r="F5033" s="75"/>
    </row>
    <row r="5034" spans="2:6">
      <c r="B5034" s="75"/>
      <c r="C5034" s="75"/>
      <c r="D5034" s="75"/>
      <c r="E5034" s="75"/>
      <c r="F5034" s="75"/>
    </row>
    <row r="5035" spans="2:6">
      <c r="B5035" s="75"/>
      <c r="C5035" s="75"/>
      <c r="D5035" s="75"/>
      <c r="E5035" s="75"/>
      <c r="F5035" s="75"/>
    </row>
    <row r="5036" spans="2:6">
      <c r="B5036" s="75"/>
      <c r="C5036" s="75"/>
      <c r="D5036" s="75"/>
      <c r="E5036" s="75"/>
      <c r="F5036" s="75"/>
    </row>
    <row r="5037" spans="2:6">
      <c r="B5037" s="75"/>
      <c r="C5037" s="75"/>
      <c r="D5037" s="75"/>
      <c r="E5037" s="75"/>
      <c r="F5037" s="75"/>
    </row>
    <row r="5038" spans="2:6">
      <c r="B5038" s="75"/>
      <c r="C5038" s="75"/>
      <c r="D5038" s="75"/>
      <c r="E5038" s="75"/>
      <c r="F5038" s="75"/>
    </row>
    <row r="5039" spans="2:6">
      <c r="B5039" s="75"/>
      <c r="C5039" s="75"/>
      <c r="D5039" s="75"/>
      <c r="E5039" s="75"/>
      <c r="F5039" s="75"/>
    </row>
    <row r="5040" spans="2:6">
      <c r="B5040" s="75"/>
      <c r="C5040" s="75"/>
      <c r="D5040" s="75"/>
      <c r="E5040" s="75"/>
      <c r="F5040" s="75"/>
    </row>
    <row r="5041" spans="2:6">
      <c r="B5041" s="75"/>
      <c r="C5041" s="75"/>
      <c r="D5041" s="75"/>
      <c r="E5041" s="75"/>
      <c r="F5041" s="75"/>
    </row>
    <row r="5042" spans="2:6">
      <c r="B5042" s="75"/>
      <c r="C5042" s="75"/>
      <c r="D5042" s="75"/>
      <c r="E5042" s="75"/>
      <c r="F5042" s="75"/>
    </row>
    <row r="5043" spans="2:6">
      <c r="B5043" s="75"/>
      <c r="C5043" s="75"/>
      <c r="D5043" s="75"/>
      <c r="E5043" s="75"/>
      <c r="F5043" s="75"/>
    </row>
    <row r="5044" spans="2:6">
      <c r="B5044" s="75"/>
      <c r="C5044" s="75"/>
      <c r="D5044" s="75"/>
      <c r="E5044" s="75"/>
      <c r="F5044" s="75"/>
    </row>
    <row r="5045" spans="2:6">
      <c r="B5045" s="75"/>
      <c r="C5045" s="75"/>
      <c r="D5045" s="75"/>
      <c r="E5045" s="75"/>
      <c r="F5045" s="75"/>
    </row>
    <row r="5046" spans="2:6">
      <c r="B5046" s="75"/>
      <c r="C5046" s="75"/>
      <c r="D5046" s="75"/>
      <c r="E5046" s="75"/>
      <c r="F5046" s="75"/>
    </row>
    <row r="5047" spans="2:6">
      <c r="B5047" s="75"/>
      <c r="C5047" s="75"/>
      <c r="D5047" s="75"/>
      <c r="E5047" s="75"/>
      <c r="F5047" s="75"/>
    </row>
    <row r="5048" spans="2:6">
      <c r="B5048" s="75"/>
      <c r="C5048" s="75"/>
      <c r="D5048" s="75"/>
      <c r="E5048" s="75"/>
      <c r="F5048" s="75"/>
    </row>
    <row r="5049" spans="2:6">
      <c r="B5049" s="75"/>
      <c r="C5049" s="75"/>
      <c r="D5049" s="75"/>
      <c r="E5049" s="75"/>
      <c r="F5049" s="75"/>
    </row>
    <row r="5050" spans="2:6">
      <c r="B5050" s="75"/>
      <c r="C5050" s="75"/>
      <c r="D5050" s="75"/>
      <c r="E5050" s="75"/>
      <c r="F5050" s="75"/>
    </row>
    <row r="5051" spans="2:6">
      <c r="B5051" s="75"/>
      <c r="C5051" s="75"/>
      <c r="D5051" s="75"/>
      <c r="E5051" s="75"/>
      <c r="F5051" s="75"/>
    </row>
    <row r="5052" spans="2:6">
      <c r="B5052" s="75"/>
      <c r="C5052" s="75"/>
      <c r="D5052" s="75"/>
      <c r="E5052" s="75"/>
      <c r="F5052" s="75"/>
    </row>
    <row r="5053" spans="2:6">
      <c r="B5053" s="75"/>
      <c r="C5053" s="75"/>
      <c r="D5053" s="75"/>
      <c r="E5053" s="75"/>
      <c r="F5053" s="75"/>
    </row>
    <row r="5054" spans="2:6">
      <c r="B5054" s="75"/>
      <c r="C5054" s="75"/>
      <c r="D5054" s="75"/>
      <c r="E5054" s="75"/>
      <c r="F5054" s="75"/>
    </row>
    <row r="5055" spans="2:6">
      <c r="B5055" s="75"/>
      <c r="C5055" s="75"/>
      <c r="D5055" s="75"/>
      <c r="E5055" s="75"/>
      <c r="F5055" s="75"/>
    </row>
    <row r="5056" spans="2:6">
      <c r="B5056" s="75"/>
      <c r="C5056" s="75"/>
      <c r="D5056" s="75"/>
      <c r="E5056" s="75"/>
      <c r="F5056" s="75"/>
    </row>
    <row r="5057" spans="2:6">
      <c r="B5057" s="75"/>
      <c r="C5057" s="75"/>
      <c r="D5057" s="75"/>
      <c r="E5057" s="75"/>
      <c r="F5057" s="75"/>
    </row>
    <row r="5058" spans="2:6">
      <c r="B5058" s="75"/>
      <c r="C5058" s="75"/>
      <c r="D5058" s="75"/>
      <c r="E5058" s="75"/>
      <c r="F5058" s="75"/>
    </row>
    <row r="5059" spans="2:6">
      <c r="B5059" s="75"/>
      <c r="C5059" s="75"/>
      <c r="D5059" s="75"/>
      <c r="E5059" s="75"/>
      <c r="F5059" s="75"/>
    </row>
    <row r="5060" spans="2:6">
      <c r="B5060" s="75"/>
      <c r="C5060" s="75"/>
      <c r="D5060" s="75"/>
      <c r="E5060" s="75"/>
      <c r="F5060" s="75"/>
    </row>
    <row r="5061" spans="2:6">
      <c r="B5061" s="75"/>
      <c r="C5061" s="75"/>
      <c r="D5061" s="75"/>
      <c r="E5061" s="75"/>
      <c r="F5061" s="75"/>
    </row>
    <row r="5062" spans="2:6">
      <c r="B5062" s="75"/>
      <c r="C5062" s="75"/>
      <c r="D5062" s="75"/>
      <c r="E5062" s="75"/>
      <c r="F5062" s="75"/>
    </row>
    <row r="5063" spans="2:6">
      <c r="B5063" s="75"/>
      <c r="C5063" s="75"/>
      <c r="D5063" s="75"/>
      <c r="E5063" s="75"/>
      <c r="F5063" s="75"/>
    </row>
    <row r="5064" spans="2:6">
      <c r="B5064" s="75"/>
      <c r="C5064" s="75"/>
      <c r="D5064" s="75"/>
      <c r="E5064" s="75"/>
      <c r="F5064" s="75"/>
    </row>
    <row r="5065" spans="2:6">
      <c r="B5065" s="75"/>
      <c r="C5065" s="75"/>
      <c r="D5065" s="75"/>
      <c r="E5065" s="75"/>
      <c r="F5065" s="75"/>
    </row>
    <row r="5066" spans="2:6">
      <c r="B5066" s="75"/>
      <c r="C5066" s="75"/>
      <c r="D5066" s="75"/>
      <c r="E5066" s="75"/>
      <c r="F5066" s="75"/>
    </row>
    <row r="5067" spans="2:6">
      <c r="B5067" s="75"/>
      <c r="C5067" s="75"/>
      <c r="D5067" s="75"/>
      <c r="E5067" s="75"/>
      <c r="F5067" s="75"/>
    </row>
    <row r="5068" spans="2:6">
      <c r="B5068" s="75"/>
      <c r="C5068" s="75"/>
      <c r="D5068" s="75"/>
      <c r="E5068" s="75"/>
      <c r="F5068" s="75"/>
    </row>
    <row r="5069" spans="2:6">
      <c r="B5069" s="75"/>
      <c r="C5069" s="75"/>
      <c r="D5069" s="75"/>
      <c r="E5069" s="75"/>
      <c r="F5069" s="75"/>
    </row>
    <row r="5070" spans="2:6">
      <c r="B5070" s="75"/>
      <c r="C5070" s="75"/>
      <c r="D5070" s="75"/>
      <c r="E5070" s="75"/>
      <c r="F5070" s="75"/>
    </row>
    <row r="5071" spans="2:6">
      <c r="B5071" s="75"/>
      <c r="C5071" s="75"/>
      <c r="D5071" s="75"/>
      <c r="E5071" s="75"/>
      <c r="F5071" s="75"/>
    </row>
    <row r="5072" spans="2:6">
      <c r="B5072" s="75"/>
      <c r="C5072" s="75"/>
      <c r="D5072" s="75"/>
      <c r="E5072" s="75"/>
      <c r="F5072" s="75"/>
    </row>
    <row r="5073" spans="2:6">
      <c r="B5073" s="75"/>
      <c r="C5073" s="75"/>
      <c r="D5073" s="75"/>
      <c r="E5073" s="75"/>
      <c r="F5073" s="75"/>
    </row>
    <row r="5074" spans="2:6">
      <c r="B5074" s="75"/>
      <c r="C5074" s="75"/>
      <c r="D5074" s="75"/>
      <c r="E5074" s="75"/>
      <c r="F5074" s="75"/>
    </row>
    <row r="5075" spans="2:6">
      <c r="B5075" s="75"/>
      <c r="C5075" s="75"/>
      <c r="D5075" s="75"/>
      <c r="E5075" s="75"/>
      <c r="F5075" s="75"/>
    </row>
    <row r="5076" spans="2:6">
      <c r="B5076" s="75"/>
      <c r="C5076" s="75"/>
      <c r="D5076" s="75"/>
      <c r="E5076" s="75"/>
      <c r="F5076" s="75"/>
    </row>
    <row r="5077" spans="2:6">
      <c r="B5077" s="75"/>
      <c r="C5077" s="75"/>
      <c r="D5077" s="75"/>
      <c r="E5077" s="75"/>
      <c r="F5077" s="75"/>
    </row>
    <row r="5078" spans="2:6">
      <c r="B5078" s="75"/>
      <c r="C5078" s="75"/>
      <c r="D5078" s="75"/>
      <c r="E5078" s="75"/>
      <c r="F5078" s="75"/>
    </row>
    <row r="5079" spans="2:6">
      <c r="B5079" s="75"/>
      <c r="C5079" s="75"/>
      <c r="D5079" s="75"/>
      <c r="E5079" s="75"/>
      <c r="F5079" s="75"/>
    </row>
    <row r="5080" spans="2:6">
      <c r="B5080" s="75"/>
      <c r="C5080" s="75"/>
      <c r="D5080" s="75"/>
      <c r="E5080" s="75"/>
      <c r="F5080" s="75"/>
    </row>
    <row r="5081" spans="2:6">
      <c r="B5081" s="75"/>
      <c r="C5081" s="75"/>
      <c r="D5081" s="75"/>
      <c r="E5081" s="75"/>
      <c r="F5081" s="75"/>
    </row>
    <row r="5082" spans="2:6">
      <c r="B5082" s="75"/>
      <c r="C5082" s="75"/>
      <c r="D5082" s="75"/>
      <c r="E5082" s="75"/>
      <c r="F5082" s="75"/>
    </row>
    <row r="5083" spans="2:6">
      <c r="B5083" s="75"/>
      <c r="C5083" s="75"/>
      <c r="D5083" s="75"/>
      <c r="E5083" s="75"/>
      <c r="F5083" s="75"/>
    </row>
    <row r="5084" spans="2:6">
      <c r="B5084" s="75"/>
      <c r="C5084" s="75"/>
      <c r="D5084" s="75"/>
      <c r="E5084" s="75"/>
      <c r="F5084" s="75"/>
    </row>
    <row r="5085" spans="2:6">
      <c r="B5085" s="75"/>
      <c r="C5085" s="75"/>
      <c r="D5085" s="75"/>
      <c r="E5085" s="75"/>
      <c r="F5085" s="75"/>
    </row>
    <row r="5086" spans="2:6">
      <c r="B5086" s="75"/>
      <c r="C5086" s="75"/>
      <c r="D5086" s="75"/>
      <c r="E5086" s="75"/>
      <c r="F5086" s="75"/>
    </row>
    <row r="5087" spans="2:6">
      <c r="B5087" s="75"/>
      <c r="C5087" s="75"/>
      <c r="D5087" s="75"/>
      <c r="E5087" s="75"/>
      <c r="F5087" s="75"/>
    </row>
    <row r="5088" spans="2:6">
      <c r="B5088" s="75"/>
      <c r="C5088" s="75"/>
      <c r="D5088" s="75"/>
      <c r="E5088" s="75"/>
      <c r="F5088" s="75"/>
    </row>
    <row r="5089" spans="2:6">
      <c r="B5089" s="75"/>
      <c r="C5089" s="75"/>
      <c r="D5089" s="75"/>
      <c r="E5089" s="75"/>
      <c r="F5089" s="75"/>
    </row>
    <row r="5090" spans="2:6">
      <c r="B5090" s="75"/>
      <c r="C5090" s="75"/>
      <c r="D5090" s="75"/>
      <c r="E5090" s="75"/>
      <c r="F5090" s="75"/>
    </row>
    <row r="5091" spans="2:6">
      <c r="B5091" s="75"/>
      <c r="C5091" s="75"/>
      <c r="D5091" s="75"/>
      <c r="E5091" s="75"/>
      <c r="F5091" s="75"/>
    </row>
    <row r="5092" spans="2:6">
      <c r="B5092" s="75"/>
      <c r="C5092" s="75"/>
      <c r="D5092" s="75"/>
      <c r="E5092" s="75"/>
      <c r="F5092" s="75"/>
    </row>
    <row r="5093" spans="2:6">
      <c r="B5093" s="75"/>
      <c r="C5093" s="75"/>
      <c r="D5093" s="75"/>
      <c r="E5093" s="75"/>
      <c r="F5093" s="75"/>
    </row>
    <row r="5094" spans="2:6">
      <c r="B5094" s="75"/>
      <c r="C5094" s="75"/>
      <c r="D5094" s="75"/>
      <c r="E5094" s="75"/>
      <c r="F5094" s="75"/>
    </row>
    <row r="5095" spans="2:6">
      <c r="B5095" s="75"/>
      <c r="C5095" s="75"/>
      <c r="D5095" s="75"/>
      <c r="E5095" s="75"/>
      <c r="F5095" s="75"/>
    </row>
    <row r="5096" spans="2:6">
      <c r="B5096" s="75"/>
      <c r="C5096" s="75"/>
      <c r="D5096" s="75"/>
      <c r="E5096" s="75"/>
      <c r="F5096" s="75"/>
    </row>
    <row r="5097" spans="2:6">
      <c r="B5097" s="75"/>
      <c r="C5097" s="75"/>
      <c r="D5097" s="75"/>
      <c r="E5097" s="75"/>
      <c r="F5097" s="75"/>
    </row>
    <row r="5098" spans="2:6">
      <c r="B5098" s="75"/>
      <c r="C5098" s="75"/>
      <c r="D5098" s="75"/>
      <c r="E5098" s="75"/>
      <c r="F5098" s="75"/>
    </row>
    <row r="5099" spans="2:6">
      <c r="B5099" s="75"/>
      <c r="C5099" s="75"/>
      <c r="D5099" s="75"/>
      <c r="E5099" s="75"/>
      <c r="F5099" s="75"/>
    </row>
    <row r="5100" spans="2:6">
      <c r="B5100" s="75"/>
      <c r="C5100" s="75"/>
      <c r="D5100" s="75"/>
      <c r="E5100" s="75"/>
      <c r="F5100" s="75"/>
    </row>
    <row r="5101" spans="2:6">
      <c r="B5101" s="75"/>
      <c r="C5101" s="75"/>
      <c r="D5101" s="75"/>
      <c r="E5101" s="75"/>
      <c r="F5101" s="75"/>
    </row>
    <row r="5102" spans="2:6">
      <c r="B5102" s="75"/>
      <c r="C5102" s="75"/>
      <c r="D5102" s="75"/>
      <c r="E5102" s="75"/>
      <c r="F5102" s="75"/>
    </row>
    <row r="5103" spans="2:6">
      <c r="B5103" s="75"/>
      <c r="C5103" s="75"/>
      <c r="D5103" s="75"/>
      <c r="E5103" s="75"/>
      <c r="F5103" s="75"/>
    </row>
    <row r="5104" spans="2:6">
      <c r="B5104" s="75"/>
      <c r="C5104" s="75"/>
      <c r="D5104" s="75"/>
      <c r="E5104" s="75"/>
      <c r="F5104" s="75"/>
    </row>
    <row r="5105" spans="2:6">
      <c r="B5105" s="75"/>
      <c r="C5105" s="75"/>
      <c r="D5105" s="75"/>
      <c r="E5105" s="75"/>
      <c r="F5105" s="75"/>
    </row>
    <row r="5106" spans="2:6">
      <c r="B5106" s="75"/>
      <c r="C5106" s="75"/>
      <c r="D5106" s="75"/>
      <c r="E5106" s="75"/>
      <c r="F5106" s="75"/>
    </row>
    <row r="5107" spans="2:6">
      <c r="B5107" s="75"/>
      <c r="C5107" s="75"/>
      <c r="D5107" s="75"/>
      <c r="E5107" s="75"/>
      <c r="F5107" s="75"/>
    </row>
    <row r="5108" spans="2:6">
      <c r="B5108" s="75"/>
      <c r="C5108" s="75"/>
      <c r="D5108" s="75"/>
      <c r="E5108" s="75"/>
      <c r="F5108" s="75"/>
    </row>
    <row r="5109" spans="2:6">
      <c r="B5109" s="75"/>
      <c r="C5109" s="75"/>
      <c r="D5109" s="75"/>
      <c r="E5109" s="75"/>
      <c r="F5109" s="75"/>
    </row>
    <row r="5110" spans="2:6">
      <c r="B5110" s="75"/>
      <c r="C5110" s="75"/>
      <c r="D5110" s="75"/>
      <c r="E5110" s="75"/>
      <c r="F5110" s="75"/>
    </row>
    <row r="5111" spans="2:6">
      <c r="B5111" s="75"/>
      <c r="C5111" s="75"/>
      <c r="D5111" s="75"/>
      <c r="E5111" s="75"/>
      <c r="F5111" s="75"/>
    </row>
    <row r="5112" spans="2:6">
      <c r="B5112" s="75"/>
      <c r="C5112" s="75"/>
      <c r="D5112" s="75"/>
      <c r="E5112" s="75"/>
      <c r="F5112" s="75"/>
    </row>
    <row r="5113" spans="2:6">
      <c r="B5113" s="75"/>
      <c r="C5113" s="75"/>
      <c r="D5113" s="75"/>
      <c r="E5113" s="75"/>
      <c r="F5113" s="75"/>
    </row>
    <row r="5114" spans="2:6">
      <c r="B5114" s="75"/>
      <c r="C5114" s="75"/>
      <c r="D5114" s="75"/>
      <c r="E5114" s="75"/>
      <c r="F5114" s="75"/>
    </row>
    <row r="5115" spans="2:6">
      <c r="B5115" s="75"/>
      <c r="C5115" s="75"/>
      <c r="D5115" s="75"/>
      <c r="E5115" s="75"/>
      <c r="F5115" s="75"/>
    </row>
    <row r="5116" spans="2:6">
      <c r="B5116" s="75"/>
      <c r="C5116" s="75"/>
      <c r="D5116" s="75"/>
      <c r="E5116" s="75"/>
      <c r="F5116" s="75"/>
    </row>
    <row r="5117" spans="2:6">
      <c r="B5117" s="75"/>
      <c r="C5117" s="75"/>
      <c r="D5117" s="75"/>
      <c r="E5117" s="75"/>
      <c r="F5117" s="75"/>
    </row>
    <row r="5118" spans="2:6">
      <c r="B5118" s="75"/>
      <c r="C5118" s="75"/>
      <c r="D5118" s="75"/>
      <c r="E5118" s="75"/>
      <c r="F5118" s="75"/>
    </row>
    <row r="5119" spans="2:6">
      <c r="B5119" s="75"/>
      <c r="C5119" s="75"/>
      <c r="D5119" s="75"/>
      <c r="E5119" s="75"/>
      <c r="F5119" s="75"/>
    </row>
    <row r="5120" spans="2:6">
      <c r="B5120" s="75"/>
      <c r="C5120" s="75"/>
      <c r="D5120" s="75"/>
      <c r="E5120" s="75"/>
      <c r="F5120" s="75"/>
    </row>
    <row r="5121" spans="2:6">
      <c r="B5121" s="75"/>
      <c r="C5121" s="75"/>
      <c r="D5121" s="75"/>
      <c r="E5121" s="75"/>
      <c r="F5121" s="75"/>
    </row>
    <row r="5122" spans="2:6">
      <c r="B5122" s="75"/>
      <c r="C5122" s="75"/>
      <c r="D5122" s="75"/>
      <c r="E5122" s="75"/>
      <c r="F5122" s="75"/>
    </row>
    <row r="5123" spans="2:6">
      <c r="B5123" s="75"/>
      <c r="C5123" s="75"/>
      <c r="D5123" s="75"/>
      <c r="E5123" s="75"/>
      <c r="F5123" s="75"/>
    </row>
    <row r="5124" spans="2:6">
      <c r="B5124" s="75"/>
      <c r="C5124" s="75"/>
      <c r="D5124" s="75"/>
      <c r="E5124" s="75"/>
      <c r="F5124" s="75"/>
    </row>
    <row r="5125" spans="2:6">
      <c r="B5125" s="75"/>
      <c r="C5125" s="75"/>
      <c r="D5125" s="75"/>
      <c r="E5125" s="75"/>
      <c r="F5125" s="75"/>
    </row>
    <row r="5126" spans="2:6">
      <c r="B5126" s="75"/>
      <c r="C5126" s="75"/>
      <c r="D5126" s="75"/>
      <c r="E5126" s="75"/>
      <c r="F5126" s="75"/>
    </row>
    <row r="5127" spans="2:6">
      <c r="B5127" s="75"/>
      <c r="C5127" s="75"/>
      <c r="D5127" s="75"/>
      <c r="E5127" s="75"/>
      <c r="F5127" s="75"/>
    </row>
    <row r="5128" spans="2:6">
      <c r="B5128" s="75"/>
      <c r="C5128" s="75"/>
      <c r="D5128" s="75"/>
      <c r="E5128" s="75"/>
      <c r="F5128" s="75"/>
    </row>
    <row r="5129" spans="2:6">
      <c r="B5129" s="75"/>
      <c r="C5129" s="75"/>
      <c r="D5129" s="75"/>
      <c r="E5129" s="75"/>
      <c r="F5129" s="75"/>
    </row>
    <row r="5130" spans="2:6">
      <c r="B5130" s="75"/>
      <c r="C5130" s="75"/>
      <c r="D5130" s="75"/>
      <c r="E5130" s="75"/>
      <c r="F5130" s="75"/>
    </row>
    <row r="5131" spans="2:6">
      <c r="B5131" s="75"/>
      <c r="C5131" s="75"/>
      <c r="D5131" s="75"/>
      <c r="E5131" s="75"/>
      <c r="F5131" s="75"/>
    </row>
    <row r="5132" spans="2:6">
      <c r="B5132" s="75"/>
      <c r="C5132" s="75"/>
      <c r="D5132" s="75"/>
      <c r="E5132" s="75"/>
      <c r="F5132" s="75"/>
    </row>
    <row r="5133" spans="2:6">
      <c r="B5133" s="75"/>
      <c r="C5133" s="75"/>
      <c r="D5133" s="75"/>
      <c r="E5133" s="75"/>
      <c r="F5133" s="75"/>
    </row>
    <row r="5134" spans="2:6">
      <c r="B5134" s="75"/>
      <c r="C5134" s="75"/>
      <c r="D5134" s="75"/>
      <c r="E5134" s="75"/>
      <c r="F5134" s="75"/>
    </row>
    <row r="5135" spans="2:6">
      <c r="B5135" s="75"/>
      <c r="C5135" s="75"/>
      <c r="D5135" s="75"/>
      <c r="E5135" s="75"/>
      <c r="F5135" s="75"/>
    </row>
    <row r="5136" spans="2:6">
      <c r="B5136" s="75"/>
      <c r="C5136" s="75"/>
      <c r="D5136" s="75"/>
      <c r="E5136" s="75"/>
      <c r="F5136" s="75"/>
    </row>
    <row r="5137" spans="2:6">
      <c r="B5137" s="75"/>
      <c r="C5137" s="75"/>
      <c r="D5137" s="75"/>
      <c r="E5137" s="75"/>
      <c r="F5137" s="75"/>
    </row>
    <row r="5138" spans="2:6">
      <c r="B5138" s="75"/>
      <c r="C5138" s="75"/>
      <c r="D5138" s="75"/>
      <c r="E5138" s="75"/>
      <c r="F5138" s="75"/>
    </row>
    <row r="5139" spans="2:6">
      <c r="B5139" s="75"/>
      <c r="C5139" s="75"/>
      <c r="D5139" s="75"/>
      <c r="E5139" s="75"/>
      <c r="F5139" s="75"/>
    </row>
    <row r="5140" spans="2:6">
      <c r="B5140" s="75"/>
      <c r="C5140" s="75"/>
      <c r="D5140" s="75"/>
      <c r="E5140" s="75"/>
      <c r="F5140" s="75"/>
    </row>
    <row r="5141" spans="2:6">
      <c r="B5141" s="75"/>
      <c r="C5141" s="75"/>
      <c r="D5141" s="75"/>
      <c r="E5141" s="75"/>
      <c r="F5141" s="75"/>
    </row>
    <row r="5142" spans="2:6">
      <c r="B5142" s="75"/>
      <c r="C5142" s="75"/>
      <c r="D5142" s="75"/>
      <c r="E5142" s="75"/>
      <c r="F5142" s="75"/>
    </row>
    <row r="5143" spans="2:6">
      <c r="B5143" s="75"/>
      <c r="C5143" s="75"/>
      <c r="D5143" s="75"/>
      <c r="E5143" s="75"/>
      <c r="F5143" s="75"/>
    </row>
    <row r="5144" spans="2:6">
      <c r="B5144" s="75"/>
      <c r="C5144" s="75"/>
      <c r="D5144" s="75"/>
      <c r="E5144" s="75"/>
      <c r="F5144" s="75"/>
    </row>
    <row r="5145" spans="2:6">
      <c r="B5145" s="75"/>
      <c r="C5145" s="75"/>
      <c r="D5145" s="75"/>
      <c r="E5145" s="75"/>
      <c r="F5145" s="75"/>
    </row>
    <row r="5146" spans="2:6">
      <c r="B5146" s="75"/>
      <c r="C5146" s="75"/>
      <c r="D5146" s="75"/>
      <c r="E5146" s="75"/>
      <c r="F5146" s="75"/>
    </row>
    <row r="5147" spans="2:6">
      <c r="B5147" s="75"/>
      <c r="C5147" s="75"/>
      <c r="D5147" s="75"/>
      <c r="E5147" s="75"/>
      <c r="F5147" s="75"/>
    </row>
    <row r="5148" spans="2:6">
      <c r="B5148" s="75"/>
      <c r="C5148" s="75"/>
      <c r="D5148" s="75"/>
      <c r="E5148" s="75"/>
      <c r="F5148" s="75"/>
    </row>
    <row r="5149" spans="2:6">
      <c r="B5149" s="75"/>
      <c r="C5149" s="75"/>
      <c r="D5149" s="75"/>
      <c r="E5149" s="75"/>
      <c r="F5149" s="75"/>
    </row>
    <row r="5150" spans="2:6">
      <c r="B5150" s="75"/>
      <c r="C5150" s="75"/>
      <c r="D5150" s="75"/>
      <c r="E5150" s="75"/>
      <c r="F5150" s="75"/>
    </row>
    <row r="5151" spans="2:6">
      <c r="B5151" s="75"/>
      <c r="C5151" s="75"/>
      <c r="D5151" s="75"/>
      <c r="E5151" s="75"/>
      <c r="F5151" s="75"/>
    </row>
    <row r="5152" spans="2:6">
      <c r="B5152" s="75"/>
      <c r="C5152" s="75"/>
      <c r="D5152" s="75"/>
      <c r="E5152" s="75"/>
      <c r="F5152" s="75"/>
    </row>
    <row r="5153" spans="2:6">
      <c r="B5153" s="75"/>
      <c r="C5153" s="75"/>
      <c r="D5153" s="75"/>
      <c r="E5153" s="75"/>
      <c r="F5153" s="75"/>
    </row>
    <row r="5154" spans="2:6">
      <c r="B5154" s="75"/>
      <c r="C5154" s="75"/>
      <c r="D5154" s="75"/>
      <c r="E5154" s="75"/>
      <c r="F5154" s="75"/>
    </row>
    <row r="5155" spans="2:6">
      <c r="B5155" s="75"/>
      <c r="C5155" s="75"/>
      <c r="D5155" s="75"/>
      <c r="E5155" s="75"/>
      <c r="F5155" s="75"/>
    </row>
    <row r="5156" spans="2:6">
      <c r="B5156" s="75"/>
      <c r="C5156" s="75"/>
      <c r="D5156" s="75"/>
      <c r="E5156" s="75"/>
      <c r="F5156" s="75"/>
    </row>
    <row r="5157" spans="2:6">
      <c r="B5157" s="75"/>
      <c r="C5157" s="75"/>
      <c r="D5157" s="75"/>
      <c r="E5157" s="75"/>
      <c r="F5157" s="75"/>
    </row>
    <row r="5158" spans="2:6">
      <c r="B5158" s="75"/>
      <c r="C5158" s="75"/>
      <c r="D5158" s="75"/>
      <c r="E5158" s="75"/>
      <c r="F5158" s="75"/>
    </row>
    <row r="5159" spans="2:6">
      <c r="B5159" s="75"/>
      <c r="C5159" s="75"/>
      <c r="D5159" s="75"/>
      <c r="E5159" s="75"/>
      <c r="F5159" s="75"/>
    </row>
    <row r="5160" spans="2:6">
      <c r="B5160" s="75"/>
      <c r="C5160" s="75"/>
      <c r="D5160" s="75"/>
      <c r="E5160" s="75"/>
      <c r="F5160" s="75"/>
    </row>
    <row r="5161" spans="2:6">
      <c r="B5161" s="75"/>
      <c r="C5161" s="75"/>
      <c r="D5161" s="75"/>
      <c r="E5161" s="75"/>
      <c r="F5161" s="75"/>
    </row>
    <row r="5162" spans="2:6">
      <c r="B5162" s="75"/>
      <c r="C5162" s="75"/>
      <c r="D5162" s="75"/>
      <c r="E5162" s="75"/>
      <c r="F5162" s="75"/>
    </row>
    <row r="5163" spans="2:6">
      <c r="B5163" s="75"/>
      <c r="C5163" s="75"/>
      <c r="D5163" s="75"/>
      <c r="E5163" s="75"/>
      <c r="F5163" s="75"/>
    </row>
    <row r="5164" spans="2:6">
      <c r="B5164" s="75"/>
      <c r="C5164" s="75"/>
      <c r="D5164" s="75"/>
      <c r="E5164" s="75"/>
      <c r="F5164" s="75"/>
    </row>
    <row r="5165" spans="2:6">
      <c r="B5165" s="75"/>
      <c r="C5165" s="75"/>
      <c r="D5165" s="75"/>
      <c r="E5165" s="75"/>
      <c r="F5165" s="75"/>
    </row>
    <row r="5166" spans="2:6">
      <c r="B5166" s="75"/>
      <c r="C5166" s="75"/>
      <c r="D5166" s="75"/>
      <c r="E5166" s="75"/>
      <c r="F5166" s="75"/>
    </row>
    <row r="5167" spans="2:6">
      <c r="B5167" s="75"/>
      <c r="C5167" s="75"/>
      <c r="D5167" s="75"/>
      <c r="E5167" s="75"/>
      <c r="F5167" s="75"/>
    </row>
    <row r="5168" spans="2:6">
      <c r="B5168" s="75"/>
      <c r="C5168" s="75"/>
      <c r="D5168" s="75"/>
      <c r="E5168" s="75"/>
      <c r="F5168" s="75"/>
    </row>
    <row r="5169" spans="2:6">
      <c r="B5169" s="75"/>
      <c r="C5169" s="75"/>
      <c r="D5169" s="75"/>
      <c r="E5169" s="75"/>
      <c r="F5169" s="75"/>
    </row>
    <row r="5170" spans="2:6">
      <c r="B5170" s="75"/>
      <c r="C5170" s="75"/>
      <c r="D5170" s="75"/>
      <c r="E5170" s="75"/>
      <c r="F5170" s="75"/>
    </row>
    <row r="5171" spans="2:6">
      <c r="B5171" s="75"/>
      <c r="C5171" s="75"/>
      <c r="D5171" s="75"/>
      <c r="E5171" s="75"/>
      <c r="F5171" s="75"/>
    </row>
    <row r="5172" spans="2:6">
      <c r="B5172" s="75"/>
      <c r="C5172" s="75"/>
      <c r="D5172" s="75"/>
      <c r="E5172" s="75"/>
      <c r="F5172" s="75"/>
    </row>
    <row r="5173" spans="2:6">
      <c r="B5173" s="75"/>
      <c r="C5173" s="75"/>
      <c r="D5173" s="75"/>
      <c r="E5173" s="75"/>
      <c r="F5173" s="75"/>
    </row>
    <row r="5174" spans="2:6">
      <c r="B5174" s="75"/>
      <c r="C5174" s="75"/>
      <c r="D5174" s="75"/>
      <c r="E5174" s="75"/>
      <c r="F5174" s="75"/>
    </row>
    <row r="5175" spans="2:6">
      <c r="B5175" s="75"/>
      <c r="C5175" s="75"/>
      <c r="D5175" s="75"/>
      <c r="E5175" s="75"/>
      <c r="F5175" s="75"/>
    </row>
    <row r="5176" spans="2:6">
      <c r="B5176" s="75"/>
      <c r="C5176" s="75"/>
      <c r="D5176" s="75"/>
      <c r="E5176" s="75"/>
      <c r="F5176" s="75"/>
    </row>
    <row r="5177" spans="2:6">
      <c r="B5177" s="75"/>
      <c r="C5177" s="75"/>
      <c r="D5177" s="75"/>
      <c r="E5177" s="75"/>
      <c r="F5177" s="75"/>
    </row>
    <row r="5178" spans="2:6">
      <c r="B5178" s="75"/>
      <c r="C5178" s="75"/>
      <c r="D5178" s="75"/>
      <c r="E5178" s="75"/>
      <c r="F5178" s="75"/>
    </row>
    <row r="5179" spans="2:6">
      <c r="B5179" s="75"/>
      <c r="C5179" s="75"/>
      <c r="D5179" s="75"/>
      <c r="E5179" s="75"/>
      <c r="F5179" s="75"/>
    </row>
    <row r="5180" spans="2:6">
      <c r="B5180" s="75"/>
      <c r="C5180" s="75"/>
      <c r="D5180" s="75"/>
      <c r="E5180" s="75"/>
      <c r="F5180" s="75"/>
    </row>
    <row r="5181" spans="2:6">
      <c r="B5181" s="75"/>
      <c r="C5181" s="75"/>
      <c r="D5181" s="75"/>
      <c r="E5181" s="75"/>
      <c r="F5181" s="75"/>
    </row>
    <row r="5182" spans="2:6">
      <c r="B5182" s="75"/>
      <c r="C5182" s="75"/>
      <c r="D5182" s="75"/>
      <c r="E5182" s="75"/>
      <c r="F5182" s="75"/>
    </row>
    <row r="5183" spans="2:6">
      <c r="B5183" s="75"/>
      <c r="C5183" s="75"/>
      <c r="D5183" s="75"/>
      <c r="E5183" s="75"/>
      <c r="F5183" s="75"/>
    </row>
    <row r="5184" spans="2:6">
      <c r="B5184" s="75"/>
      <c r="C5184" s="75"/>
      <c r="D5184" s="75"/>
      <c r="E5184" s="75"/>
      <c r="F5184" s="75"/>
    </row>
    <row r="5185" spans="2:6">
      <c r="B5185" s="75"/>
      <c r="C5185" s="75"/>
      <c r="D5185" s="75"/>
      <c r="E5185" s="75"/>
      <c r="F5185" s="75"/>
    </row>
    <row r="5186" spans="2:6">
      <c r="B5186" s="75"/>
      <c r="C5186" s="75"/>
      <c r="D5186" s="75"/>
      <c r="E5186" s="75"/>
      <c r="F5186" s="75"/>
    </row>
    <row r="5187" spans="2:6">
      <c r="B5187" s="75"/>
      <c r="C5187" s="75"/>
      <c r="D5187" s="75"/>
      <c r="E5187" s="75"/>
      <c r="F5187" s="75"/>
    </row>
    <row r="5188" spans="2:6">
      <c r="B5188" s="75"/>
      <c r="C5188" s="75"/>
      <c r="D5188" s="75"/>
      <c r="E5188" s="75"/>
      <c r="F5188" s="75"/>
    </row>
    <row r="5189" spans="2:6">
      <c r="B5189" s="75"/>
      <c r="C5189" s="75"/>
      <c r="D5189" s="75"/>
      <c r="E5189" s="75"/>
      <c r="F5189" s="75"/>
    </row>
    <row r="5190" spans="2:6">
      <c r="B5190" s="75"/>
      <c r="C5190" s="75"/>
      <c r="D5190" s="75"/>
      <c r="E5190" s="75"/>
      <c r="F5190" s="75"/>
    </row>
    <row r="5191" spans="2:6">
      <c r="B5191" s="75"/>
      <c r="C5191" s="75"/>
      <c r="D5191" s="75"/>
      <c r="E5191" s="75"/>
      <c r="F5191" s="75"/>
    </row>
    <row r="5192" spans="2:6">
      <c r="B5192" s="75"/>
      <c r="C5192" s="75"/>
      <c r="D5192" s="75"/>
      <c r="E5192" s="75"/>
      <c r="F5192" s="75"/>
    </row>
    <row r="5193" spans="2:6">
      <c r="B5193" s="75"/>
      <c r="C5193" s="75"/>
      <c r="D5193" s="75"/>
      <c r="E5193" s="75"/>
      <c r="F5193" s="75"/>
    </row>
    <row r="5194" spans="2:6">
      <c r="B5194" s="75"/>
      <c r="C5194" s="75"/>
      <c r="D5194" s="75"/>
      <c r="E5194" s="75"/>
      <c r="F5194" s="75"/>
    </row>
    <row r="5195" spans="2:6">
      <c r="B5195" s="75"/>
      <c r="C5195" s="75"/>
      <c r="D5195" s="75"/>
      <c r="E5195" s="75"/>
      <c r="F5195" s="75"/>
    </row>
    <row r="5196" spans="2:6">
      <c r="B5196" s="75"/>
      <c r="C5196" s="75"/>
      <c r="D5196" s="75"/>
      <c r="E5196" s="75"/>
      <c r="F5196" s="75"/>
    </row>
    <row r="5197" spans="2:6">
      <c r="B5197" s="75"/>
      <c r="C5197" s="75"/>
      <c r="D5197" s="75"/>
      <c r="E5197" s="75"/>
      <c r="F5197" s="75"/>
    </row>
    <row r="5198" spans="2:6">
      <c r="B5198" s="75"/>
      <c r="C5198" s="75"/>
      <c r="D5198" s="75"/>
      <c r="E5198" s="75"/>
      <c r="F5198" s="75"/>
    </row>
    <row r="5199" spans="2:6">
      <c r="B5199" s="75"/>
      <c r="C5199" s="75"/>
      <c r="D5199" s="75"/>
      <c r="E5199" s="75"/>
      <c r="F5199" s="75"/>
    </row>
    <row r="5200" spans="2:6">
      <c r="B5200" s="75"/>
      <c r="C5200" s="75"/>
      <c r="D5200" s="75"/>
      <c r="E5200" s="75"/>
      <c r="F5200" s="75"/>
    </row>
    <row r="5201" spans="2:6">
      <c r="B5201" s="75"/>
      <c r="C5201" s="75"/>
      <c r="D5201" s="75"/>
      <c r="E5201" s="75"/>
      <c r="F5201" s="75"/>
    </row>
    <row r="5202" spans="2:6">
      <c r="B5202" s="75"/>
      <c r="C5202" s="75"/>
      <c r="D5202" s="75"/>
      <c r="E5202" s="75"/>
      <c r="F5202" s="75"/>
    </row>
    <row r="5203" spans="2:6">
      <c r="B5203" s="75"/>
      <c r="C5203" s="75"/>
      <c r="D5203" s="75"/>
      <c r="E5203" s="75"/>
      <c r="F5203" s="75"/>
    </row>
    <row r="5204" spans="2:6">
      <c r="B5204" s="75"/>
      <c r="C5204" s="75"/>
      <c r="D5204" s="75"/>
      <c r="E5204" s="75"/>
      <c r="F5204" s="75"/>
    </row>
    <row r="5205" spans="2:6">
      <c r="B5205" s="75"/>
      <c r="C5205" s="75"/>
      <c r="D5205" s="75"/>
      <c r="E5205" s="75"/>
      <c r="F5205" s="75"/>
    </row>
    <row r="5206" spans="2:6">
      <c r="B5206" s="75"/>
      <c r="C5206" s="75"/>
      <c r="D5206" s="75"/>
      <c r="E5206" s="75"/>
      <c r="F5206" s="75"/>
    </row>
    <row r="5207" spans="2:6">
      <c r="B5207" s="75"/>
      <c r="C5207" s="75"/>
      <c r="D5207" s="75"/>
      <c r="E5207" s="75"/>
      <c r="F5207" s="75"/>
    </row>
    <row r="5208" spans="2:6">
      <c r="B5208" s="75"/>
      <c r="C5208" s="75"/>
      <c r="D5208" s="75"/>
      <c r="E5208" s="75"/>
      <c r="F5208" s="75"/>
    </row>
    <row r="5209" spans="2:6">
      <c r="B5209" s="75"/>
      <c r="C5209" s="75"/>
      <c r="D5209" s="75"/>
      <c r="E5209" s="75"/>
      <c r="F5209" s="75"/>
    </row>
    <row r="5210" spans="2:6">
      <c r="B5210" s="75"/>
      <c r="C5210" s="75"/>
      <c r="D5210" s="75"/>
      <c r="E5210" s="75"/>
      <c r="F5210" s="75"/>
    </row>
    <row r="5211" spans="2:6">
      <c r="B5211" s="75"/>
      <c r="C5211" s="75"/>
      <c r="D5211" s="75"/>
      <c r="E5211" s="75"/>
      <c r="F5211" s="75"/>
    </row>
    <row r="5212" spans="2:6">
      <c r="B5212" s="75"/>
      <c r="C5212" s="75"/>
      <c r="D5212" s="75"/>
      <c r="E5212" s="75"/>
      <c r="F5212" s="75"/>
    </row>
    <row r="5213" spans="2:6">
      <c r="B5213" s="75"/>
      <c r="C5213" s="75"/>
      <c r="D5213" s="75"/>
      <c r="E5213" s="75"/>
      <c r="F5213" s="75"/>
    </row>
    <row r="5214" spans="2:6">
      <c r="B5214" s="75"/>
      <c r="C5214" s="75"/>
      <c r="D5214" s="75"/>
      <c r="E5214" s="75"/>
      <c r="F5214" s="75"/>
    </row>
    <row r="5215" spans="2:6">
      <c r="B5215" s="75"/>
      <c r="C5215" s="75"/>
      <c r="D5215" s="75"/>
      <c r="E5215" s="75"/>
      <c r="F5215" s="75"/>
    </row>
    <row r="5216" spans="2:6">
      <c r="B5216" s="75"/>
      <c r="C5216" s="75"/>
      <c r="D5216" s="75"/>
      <c r="E5216" s="75"/>
      <c r="F5216" s="75"/>
    </row>
    <row r="5217" spans="2:6">
      <c r="B5217" s="75"/>
      <c r="C5217" s="75"/>
      <c r="D5217" s="75"/>
      <c r="E5217" s="75"/>
      <c r="F5217" s="75"/>
    </row>
    <row r="5218" spans="2:6">
      <c r="B5218" s="75"/>
      <c r="C5218" s="75"/>
      <c r="D5218" s="75"/>
      <c r="E5218" s="75"/>
      <c r="F5218" s="75"/>
    </row>
    <row r="5219" spans="2:6">
      <c r="B5219" s="75"/>
      <c r="C5219" s="75"/>
      <c r="D5219" s="75"/>
      <c r="E5219" s="75"/>
      <c r="F5219" s="75"/>
    </row>
    <row r="5220" spans="2:6">
      <c r="B5220" s="75"/>
      <c r="C5220" s="75"/>
      <c r="D5220" s="75"/>
      <c r="E5220" s="75"/>
      <c r="F5220" s="75"/>
    </row>
    <row r="5221" spans="2:6">
      <c r="B5221" s="75"/>
      <c r="C5221" s="75"/>
      <c r="D5221" s="75"/>
      <c r="E5221" s="75"/>
      <c r="F5221" s="75"/>
    </row>
    <row r="5222" spans="2:6">
      <c r="B5222" s="75"/>
      <c r="C5222" s="75"/>
      <c r="D5222" s="75"/>
      <c r="E5222" s="75"/>
      <c r="F5222" s="75"/>
    </row>
    <row r="5223" spans="2:6">
      <c r="B5223" s="75"/>
      <c r="C5223" s="75"/>
      <c r="D5223" s="75"/>
      <c r="E5223" s="75"/>
      <c r="F5223" s="75"/>
    </row>
    <row r="5224" spans="2:6">
      <c r="B5224" s="75"/>
      <c r="C5224" s="75"/>
      <c r="D5224" s="75"/>
      <c r="E5224" s="75"/>
      <c r="F5224" s="75"/>
    </row>
    <row r="5225" spans="2:6">
      <c r="B5225" s="75"/>
      <c r="C5225" s="75"/>
      <c r="D5225" s="75"/>
      <c r="E5225" s="75"/>
      <c r="F5225" s="75"/>
    </row>
    <row r="5226" spans="2:6">
      <c r="B5226" s="75"/>
      <c r="C5226" s="75"/>
      <c r="D5226" s="75"/>
      <c r="E5226" s="75"/>
      <c r="F5226" s="75"/>
    </row>
    <row r="5227" spans="2:6">
      <c r="B5227" s="75"/>
      <c r="C5227" s="75"/>
      <c r="D5227" s="75"/>
      <c r="E5227" s="75"/>
      <c r="F5227" s="75"/>
    </row>
    <row r="5228" spans="2:6">
      <c r="B5228" s="75"/>
      <c r="C5228" s="75"/>
      <c r="D5228" s="75"/>
      <c r="E5228" s="75"/>
      <c r="F5228" s="75"/>
    </row>
    <row r="5229" spans="2:6">
      <c r="B5229" s="75"/>
      <c r="C5229" s="75"/>
      <c r="D5229" s="75"/>
      <c r="E5229" s="75"/>
      <c r="F5229" s="75"/>
    </row>
    <row r="5230" spans="2:6">
      <c r="B5230" s="75"/>
      <c r="C5230" s="75"/>
      <c r="D5230" s="75"/>
      <c r="E5230" s="75"/>
      <c r="F5230" s="75"/>
    </row>
    <row r="5231" spans="2:6">
      <c r="B5231" s="75"/>
      <c r="C5231" s="75"/>
      <c r="D5231" s="75"/>
      <c r="E5231" s="75"/>
      <c r="F5231" s="75"/>
    </row>
    <row r="5232" spans="2:6">
      <c r="B5232" s="75"/>
      <c r="C5232" s="75"/>
      <c r="D5232" s="75"/>
      <c r="E5232" s="75"/>
      <c r="F5232" s="75"/>
    </row>
    <row r="5233" spans="2:6">
      <c r="B5233" s="75"/>
      <c r="C5233" s="75"/>
      <c r="D5233" s="75"/>
      <c r="E5233" s="75"/>
      <c r="F5233" s="75"/>
    </row>
    <row r="5234" spans="2:6">
      <c r="B5234" s="75"/>
      <c r="C5234" s="75"/>
      <c r="D5234" s="75"/>
      <c r="E5234" s="75"/>
      <c r="F5234" s="75"/>
    </row>
    <row r="5235" spans="2:6">
      <c r="B5235" s="75"/>
      <c r="C5235" s="75"/>
      <c r="D5235" s="75"/>
      <c r="E5235" s="75"/>
      <c r="F5235" s="75"/>
    </row>
    <row r="5236" spans="2:6">
      <c r="B5236" s="75"/>
      <c r="C5236" s="75"/>
      <c r="D5236" s="75"/>
      <c r="E5236" s="75"/>
      <c r="F5236" s="75"/>
    </row>
    <row r="5237" spans="2:6">
      <c r="B5237" s="75"/>
      <c r="C5237" s="75"/>
      <c r="D5237" s="75"/>
      <c r="E5237" s="75"/>
      <c r="F5237" s="75"/>
    </row>
    <row r="5238" spans="2:6">
      <c r="B5238" s="75"/>
      <c r="C5238" s="75"/>
      <c r="D5238" s="75"/>
      <c r="E5238" s="75"/>
      <c r="F5238" s="75"/>
    </row>
    <row r="5239" spans="2:6">
      <c r="B5239" s="75"/>
      <c r="C5239" s="75"/>
      <c r="D5239" s="75"/>
      <c r="E5239" s="75"/>
      <c r="F5239" s="75"/>
    </row>
    <row r="5240" spans="2:6">
      <c r="B5240" s="75"/>
      <c r="C5240" s="75"/>
      <c r="D5240" s="75"/>
      <c r="E5240" s="75"/>
      <c r="F5240" s="75"/>
    </row>
    <row r="5241" spans="2:6">
      <c r="B5241" s="75"/>
      <c r="C5241" s="75"/>
      <c r="D5241" s="75"/>
      <c r="E5241" s="75"/>
      <c r="F5241" s="75"/>
    </row>
    <row r="5242" spans="2:6">
      <c r="B5242" s="75"/>
      <c r="C5242" s="75"/>
      <c r="D5242" s="75"/>
      <c r="E5242" s="75"/>
      <c r="F5242" s="75"/>
    </row>
    <row r="5243" spans="2:6">
      <c r="B5243" s="75"/>
      <c r="C5243" s="75"/>
      <c r="D5243" s="75"/>
      <c r="E5243" s="75"/>
      <c r="F5243" s="75"/>
    </row>
    <row r="5244" spans="2:6">
      <c r="B5244" s="75"/>
      <c r="C5244" s="75"/>
      <c r="D5244" s="75"/>
      <c r="E5244" s="75"/>
      <c r="F5244" s="75"/>
    </row>
    <row r="5245" spans="2:6">
      <c r="B5245" s="75"/>
      <c r="C5245" s="75"/>
      <c r="D5245" s="75"/>
      <c r="E5245" s="75"/>
      <c r="F5245" s="75"/>
    </row>
    <row r="5246" spans="2:6">
      <c r="B5246" s="75"/>
      <c r="C5246" s="75"/>
      <c r="D5246" s="75"/>
      <c r="E5246" s="75"/>
      <c r="F5246" s="75"/>
    </row>
    <row r="5247" spans="2:6">
      <c r="B5247" s="75"/>
      <c r="C5247" s="75"/>
      <c r="D5247" s="75"/>
      <c r="E5247" s="75"/>
      <c r="F5247" s="75"/>
    </row>
    <row r="5248" spans="2:6">
      <c r="B5248" s="75"/>
      <c r="C5248" s="75"/>
      <c r="D5248" s="75"/>
      <c r="E5248" s="75"/>
      <c r="F5248" s="75"/>
    </row>
    <row r="5249" spans="2:6">
      <c r="B5249" s="75"/>
      <c r="C5249" s="75"/>
      <c r="D5249" s="75"/>
      <c r="E5249" s="75"/>
      <c r="F5249" s="75"/>
    </row>
    <row r="5250" spans="2:6">
      <c r="B5250" s="75"/>
      <c r="C5250" s="75"/>
      <c r="D5250" s="75"/>
      <c r="E5250" s="75"/>
      <c r="F5250" s="75"/>
    </row>
    <row r="5251" spans="2:6">
      <c r="B5251" s="75"/>
      <c r="C5251" s="75"/>
      <c r="D5251" s="75"/>
      <c r="E5251" s="75"/>
      <c r="F5251" s="75"/>
    </row>
    <row r="5252" spans="2:6">
      <c r="B5252" s="75"/>
      <c r="C5252" s="75"/>
      <c r="D5252" s="75"/>
      <c r="E5252" s="75"/>
      <c r="F5252" s="75"/>
    </row>
    <row r="5253" spans="2:6">
      <c r="B5253" s="75"/>
      <c r="C5253" s="75"/>
      <c r="D5253" s="75"/>
      <c r="E5253" s="75"/>
      <c r="F5253" s="75"/>
    </row>
    <row r="5254" spans="2:6">
      <c r="B5254" s="75"/>
      <c r="C5254" s="75"/>
      <c r="D5254" s="75"/>
      <c r="E5254" s="75"/>
      <c r="F5254" s="75"/>
    </row>
    <row r="5255" spans="2:6">
      <c r="B5255" s="75"/>
      <c r="C5255" s="75"/>
      <c r="D5255" s="75"/>
      <c r="E5255" s="75"/>
      <c r="F5255" s="75"/>
    </row>
    <row r="5256" spans="2:6">
      <c r="B5256" s="75"/>
      <c r="C5256" s="75"/>
      <c r="D5256" s="75"/>
      <c r="E5256" s="75"/>
      <c r="F5256" s="75"/>
    </row>
    <row r="5257" spans="2:6">
      <c r="B5257" s="75"/>
      <c r="C5257" s="75"/>
      <c r="D5257" s="75"/>
      <c r="E5257" s="75"/>
      <c r="F5257" s="75"/>
    </row>
    <row r="5258" spans="2:6">
      <c r="B5258" s="75"/>
      <c r="C5258" s="75"/>
      <c r="D5258" s="75"/>
      <c r="E5258" s="75"/>
      <c r="F5258" s="75"/>
    </row>
    <row r="5259" spans="2:6">
      <c r="B5259" s="75"/>
      <c r="C5259" s="75"/>
      <c r="D5259" s="75"/>
      <c r="E5259" s="75"/>
      <c r="F5259" s="75"/>
    </row>
    <row r="5260" spans="2:6">
      <c r="B5260" s="75"/>
      <c r="C5260" s="75"/>
      <c r="D5260" s="75"/>
      <c r="E5260" s="75"/>
      <c r="F5260" s="75"/>
    </row>
    <row r="5261" spans="2:6">
      <c r="B5261" s="75"/>
      <c r="C5261" s="75"/>
      <c r="D5261" s="75"/>
      <c r="E5261" s="75"/>
      <c r="F5261" s="75"/>
    </row>
    <row r="5262" spans="2:6">
      <c r="B5262" s="75"/>
      <c r="C5262" s="75"/>
      <c r="D5262" s="75"/>
      <c r="E5262" s="75"/>
      <c r="F5262" s="75"/>
    </row>
    <row r="5263" spans="2:6">
      <c r="B5263" s="75"/>
      <c r="C5263" s="75"/>
      <c r="D5263" s="75"/>
      <c r="E5263" s="75"/>
      <c r="F5263" s="75"/>
    </row>
    <row r="5264" spans="2:6">
      <c r="B5264" s="75"/>
      <c r="C5264" s="75"/>
      <c r="D5264" s="75"/>
      <c r="E5264" s="75"/>
      <c r="F5264" s="75"/>
    </row>
    <row r="5265" spans="2:6">
      <c r="B5265" s="75"/>
      <c r="C5265" s="75"/>
      <c r="D5265" s="75"/>
      <c r="E5265" s="75"/>
      <c r="F5265" s="75"/>
    </row>
    <row r="5266" spans="2:6">
      <c r="B5266" s="75"/>
      <c r="C5266" s="75"/>
      <c r="D5266" s="75"/>
      <c r="E5266" s="75"/>
      <c r="F5266" s="75"/>
    </row>
    <row r="5267" spans="2:6">
      <c r="B5267" s="75"/>
      <c r="C5267" s="75"/>
      <c r="D5267" s="75"/>
      <c r="E5267" s="75"/>
      <c r="F5267" s="75"/>
    </row>
    <row r="5268" spans="2:6">
      <c r="B5268" s="75"/>
      <c r="C5268" s="75"/>
      <c r="D5268" s="75"/>
      <c r="E5268" s="75"/>
      <c r="F5268" s="75"/>
    </row>
    <row r="5269" spans="2:6">
      <c r="B5269" s="75"/>
      <c r="C5269" s="75"/>
      <c r="D5269" s="75"/>
      <c r="E5269" s="75"/>
      <c r="F5269" s="75"/>
    </row>
    <row r="5270" spans="2:6">
      <c r="B5270" s="75"/>
      <c r="C5270" s="75"/>
      <c r="D5270" s="75"/>
      <c r="E5270" s="75"/>
      <c r="F5270" s="75"/>
    </row>
    <row r="5271" spans="2:6">
      <c r="B5271" s="75"/>
      <c r="C5271" s="75"/>
      <c r="D5271" s="75"/>
      <c r="E5271" s="75"/>
      <c r="F5271" s="75"/>
    </row>
    <row r="5272" spans="2:6">
      <c r="B5272" s="75"/>
      <c r="C5272" s="75"/>
      <c r="D5272" s="75"/>
      <c r="E5272" s="75"/>
      <c r="F5272" s="75"/>
    </row>
    <row r="5273" spans="2:6">
      <c r="B5273" s="75"/>
      <c r="C5273" s="75"/>
      <c r="D5273" s="75"/>
      <c r="E5273" s="75"/>
      <c r="F5273" s="75"/>
    </row>
    <row r="5274" spans="2:6">
      <c r="B5274" s="75"/>
      <c r="C5274" s="75"/>
      <c r="D5274" s="75"/>
      <c r="E5274" s="75"/>
      <c r="F5274" s="75"/>
    </row>
    <row r="5275" spans="2:6">
      <c r="B5275" s="75"/>
      <c r="C5275" s="75"/>
      <c r="D5275" s="75"/>
      <c r="E5275" s="75"/>
      <c r="F5275" s="75"/>
    </row>
    <row r="5276" spans="2:6">
      <c r="B5276" s="75"/>
      <c r="C5276" s="75"/>
      <c r="D5276" s="75"/>
      <c r="E5276" s="75"/>
      <c r="F5276" s="75"/>
    </row>
    <row r="5277" spans="2:6">
      <c r="B5277" s="75"/>
      <c r="C5277" s="75"/>
      <c r="D5277" s="75"/>
      <c r="E5277" s="75"/>
      <c r="F5277" s="75"/>
    </row>
    <row r="5278" spans="2:6">
      <c r="B5278" s="75"/>
      <c r="C5278" s="75"/>
      <c r="D5278" s="75"/>
      <c r="E5278" s="75"/>
      <c r="F5278" s="75"/>
    </row>
    <row r="5279" spans="2:6">
      <c r="B5279" s="75"/>
      <c r="C5279" s="75"/>
      <c r="D5279" s="75"/>
      <c r="E5279" s="75"/>
      <c r="F5279" s="75"/>
    </row>
    <row r="5280" spans="2:6">
      <c r="B5280" s="75"/>
      <c r="C5280" s="75"/>
      <c r="D5280" s="75"/>
      <c r="E5280" s="75"/>
      <c r="F5280" s="75"/>
    </row>
    <row r="5281" spans="2:6">
      <c r="B5281" s="75"/>
      <c r="C5281" s="75"/>
      <c r="D5281" s="75"/>
      <c r="E5281" s="75"/>
      <c r="F5281" s="75"/>
    </row>
    <row r="5282" spans="2:6">
      <c r="B5282" s="75"/>
      <c r="C5282" s="75"/>
      <c r="D5282" s="75"/>
      <c r="E5282" s="75"/>
      <c r="F5282" s="75"/>
    </row>
    <row r="5283" spans="2:6">
      <c r="B5283" s="75"/>
      <c r="C5283" s="75"/>
      <c r="D5283" s="75"/>
      <c r="E5283" s="75"/>
      <c r="F5283" s="75"/>
    </row>
    <row r="5284" spans="2:6">
      <c r="B5284" s="75"/>
      <c r="C5284" s="75"/>
      <c r="D5284" s="75"/>
      <c r="E5284" s="75"/>
      <c r="F5284" s="75"/>
    </row>
    <row r="5285" spans="2:6">
      <c r="B5285" s="75"/>
      <c r="C5285" s="75"/>
      <c r="D5285" s="75"/>
      <c r="E5285" s="75"/>
      <c r="F5285" s="75"/>
    </row>
    <row r="5286" spans="2:6">
      <c r="B5286" s="75"/>
      <c r="C5286" s="75"/>
      <c r="D5286" s="75"/>
      <c r="E5286" s="75"/>
      <c r="F5286" s="75"/>
    </row>
    <row r="5287" spans="2:6">
      <c r="B5287" s="75"/>
      <c r="C5287" s="75"/>
      <c r="D5287" s="75"/>
      <c r="E5287" s="75"/>
      <c r="F5287" s="75"/>
    </row>
    <row r="5288" spans="2:6">
      <c r="B5288" s="75"/>
      <c r="C5288" s="75"/>
      <c r="D5288" s="75"/>
      <c r="E5288" s="75"/>
      <c r="F5288" s="75"/>
    </row>
    <row r="5289" spans="2:6">
      <c r="B5289" s="75"/>
      <c r="C5289" s="75"/>
      <c r="D5289" s="75"/>
      <c r="E5289" s="75"/>
      <c r="F5289" s="75"/>
    </row>
    <row r="5290" spans="2:6">
      <c r="B5290" s="75"/>
      <c r="C5290" s="75"/>
      <c r="D5290" s="75"/>
      <c r="E5290" s="75"/>
      <c r="F5290" s="75"/>
    </row>
    <row r="5291" spans="2:6">
      <c r="B5291" s="75"/>
      <c r="C5291" s="75"/>
      <c r="D5291" s="75"/>
      <c r="E5291" s="75"/>
      <c r="F5291" s="75"/>
    </row>
    <row r="5292" spans="2:6">
      <c r="B5292" s="75"/>
      <c r="C5292" s="75"/>
      <c r="D5292" s="75"/>
      <c r="E5292" s="75"/>
      <c r="F5292" s="75"/>
    </row>
    <row r="5293" spans="2:6">
      <c r="B5293" s="75"/>
      <c r="C5293" s="75"/>
      <c r="D5293" s="75"/>
      <c r="E5293" s="75"/>
      <c r="F5293" s="75"/>
    </row>
    <row r="5294" spans="2:6">
      <c r="B5294" s="75"/>
      <c r="C5294" s="75"/>
      <c r="D5294" s="75"/>
      <c r="E5294" s="75"/>
      <c r="F5294" s="75"/>
    </row>
    <row r="5295" spans="2:6">
      <c r="B5295" s="75"/>
      <c r="C5295" s="75"/>
      <c r="D5295" s="75"/>
      <c r="E5295" s="75"/>
      <c r="F5295" s="75"/>
    </row>
    <row r="5296" spans="2:6">
      <c r="B5296" s="75"/>
      <c r="C5296" s="75"/>
      <c r="D5296" s="75"/>
      <c r="E5296" s="75"/>
      <c r="F5296" s="75"/>
    </row>
    <row r="5297" spans="2:6">
      <c r="B5297" s="75"/>
      <c r="C5297" s="75"/>
      <c r="D5297" s="75"/>
      <c r="E5297" s="75"/>
      <c r="F5297" s="75"/>
    </row>
    <row r="5298" spans="2:6">
      <c r="B5298" s="75"/>
      <c r="C5298" s="75"/>
      <c r="D5298" s="75"/>
      <c r="E5298" s="75"/>
      <c r="F5298" s="75"/>
    </row>
    <row r="5299" spans="2:6">
      <c r="B5299" s="75"/>
      <c r="C5299" s="75"/>
      <c r="D5299" s="75"/>
      <c r="E5299" s="75"/>
      <c r="F5299" s="75"/>
    </row>
    <row r="5300" spans="2:6">
      <c r="B5300" s="75"/>
      <c r="C5300" s="75"/>
      <c r="D5300" s="75"/>
      <c r="E5300" s="75"/>
      <c r="F5300" s="75"/>
    </row>
    <row r="5301" spans="2:6">
      <c r="B5301" s="75"/>
      <c r="C5301" s="75"/>
      <c r="D5301" s="75"/>
      <c r="E5301" s="75"/>
      <c r="F5301" s="75"/>
    </row>
    <row r="5302" spans="2:6">
      <c r="B5302" s="75"/>
      <c r="C5302" s="75"/>
      <c r="D5302" s="75"/>
      <c r="E5302" s="75"/>
      <c r="F5302" s="75"/>
    </row>
    <row r="5303" spans="2:6">
      <c r="B5303" s="75"/>
      <c r="C5303" s="75"/>
      <c r="D5303" s="75"/>
      <c r="E5303" s="75"/>
      <c r="F5303" s="75"/>
    </row>
    <row r="5304" spans="2:6">
      <c r="B5304" s="75"/>
      <c r="C5304" s="75"/>
      <c r="D5304" s="75"/>
      <c r="E5304" s="75"/>
      <c r="F5304" s="75"/>
    </row>
    <row r="5305" spans="2:6">
      <c r="B5305" s="75"/>
      <c r="C5305" s="75"/>
      <c r="D5305" s="75"/>
      <c r="E5305" s="75"/>
      <c r="F5305" s="75"/>
    </row>
    <row r="5306" spans="2:6">
      <c r="B5306" s="75"/>
      <c r="C5306" s="75"/>
      <c r="D5306" s="75"/>
      <c r="E5306" s="75"/>
      <c r="F5306" s="75"/>
    </row>
    <row r="5307" spans="2:6">
      <c r="B5307" s="75"/>
      <c r="C5307" s="75"/>
      <c r="D5307" s="75"/>
      <c r="E5307" s="75"/>
      <c r="F5307" s="75"/>
    </row>
    <row r="5308" spans="2:6">
      <c r="B5308" s="75"/>
      <c r="C5308" s="75"/>
      <c r="D5308" s="75"/>
      <c r="E5308" s="75"/>
      <c r="F5308" s="75"/>
    </row>
    <row r="5309" spans="2:6">
      <c r="B5309" s="75"/>
      <c r="C5309" s="75"/>
      <c r="D5309" s="75"/>
      <c r="E5309" s="75"/>
      <c r="F5309" s="75"/>
    </row>
    <row r="5310" spans="2:6">
      <c r="B5310" s="75"/>
      <c r="C5310" s="75"/>
      <c r="D5310" s="75"/>
      <c r="E5310" s="75"/>
      <c r="F5310" s="75"/>
    </row>
    <row r="5311" spans="2:6">
      <c r="B5311" s="75"/>
      <c r="C5311" s="75"/>
      <c r="D5311" s="75"/>
      <c r="E5311" s="75"/>
      <c r="F5311" s="75"/>
    </row>
    <row r="5312" spans="2:6">
      <c r="B5312" s="75"/>
      <c r="C5312" s="75"/>
      <c r="D5312" s="75"/>
      <c r="E5312" s="75"/>
      <c r="F5312" s="75"/>
    </row>
    <row r="5313" spans="2:6">
      <c r="B5313" s="75"/>
      <c r="C5313" s="75"/>
      <c r="D5313" s="75"/>
      <c r="E5313" s="75"/>
      <c r="F5313" s="75"/>
    </row>
    <row r="5314" spans="2:6">
      <c r="B5314" s="75"/>
      <c r="C5314" s="75"/>
      <c r="D5314" s="75"/>
      <c r="E5314" s="75"/>
      <c r="F5314" s="75"/>
    </row>
    <row r="5315" spans="2:6">
      <c r="B5315" s="75"/>
      <c r="C5315" s="75"/>
      <c r="D5315" s="75"/>
      <c r="E5315" s="75"/>
      <c r="F5315" s="75"/>
    </row>
    <row r="5316" spans="2:6">
      <c r="B5316" s="75"/>
      <c r="C5316" s="75"/>
      <c r="D5316" s="75"/>
      <c r="E5316" s="75"/>
      <c r="F5316" s="75"/>
    </row>
    <row r="5317" spans="2:6">
      <c r="B5317" s="75"/>
      <c r="C5317" s="75"/>
      <c r="D5317" s="75"/>
      <c r="E5317" s="75"/>
      <c r="F5317" s="75"/>
    </row>
    <row r="5318" spans="2:6">
      <c r="B5318" s="75"/>
      <c r="C5318" s="75"/>
      <c r="D5318" s="75"/>
      <c r="E5318" s="75"/>
      <c r="F5318" s="75"/>
    </row>
    <row r="5319" spans="2:6">
      <c r="B5319" s="75"/>
      <c r="C5319" s="75"/>
      <c r="D5319" s="75"/>
      <c r="E5319" s="75"/>
      <c r="F5319" s="75"/>
    </row>
    <row r="5320" spans="2:6">
      <c r="B5320" s="75"/>
      <c r="C5320" s="75"/>
      <c r="D5320" s="75"/>
      <c r="E5320" s="75"/>
      <c r="F5320" s="75"/>
    </row>
    <row r="5321" spans="2:6">
      <c r="B5321" s="75"/>
      <c r="C5321" s="75"/>
      <c r="D5321" s="75"/>
      <c r="E5321" s="75"/>
      <c r="F5321" s="75"/>
    </row>
    <row r="5322" spans="2:6">
      <c r="B5322" s="75"/>
      <c r="C5322" s="75"/>
      <c r="D5322" s="75"/>
      <c r="E5322" s="75"/>
      <c r="F5322" s="75"/>
    </row>
    <row r="5323" spans="2:6">
      <c r="B5323" s="75"/>
      <c r="C5323" s="75"/>
      <c r="D5323" s="75"/>
      <c r="E5323" s="75"/>
      <c r="F5323" s="75"/>
    </row>
    <row r="5324" spans="2:6">
      <c r="B5324" s="75"/>
      <c r="C5324" s="75"/>
      <c r="D5324" s="75"/>
      <c r="E5324" s="75"/>
      <c r="F5324" s="75"/>
    </row>
    <row r="5325" spans="2:6">
      <c r="B5325" s="75"/>
      <c r="C5325" s="75"/>
      <c r="D5325" s="75"/>
      <c r="E5325" s="75"/>
      <c r="F5325" s="75"/>
    </row>
    <row r="5326" spans="2:6">
      <c r="B5326" s="75"/>
      <c r="C5326" s="75"/>
      <c r="D5326" s="75"/>
      <c r="E5326" s="75"/>
      <c r="F5326" s="75"/>
    </row>
    <row r="5327" spans="2:6">
      <c r="B5327" s="75"/>
      <c r="C5327" s="75"/>
      <c r="D5327" s="75"/>
      <c r="E5327" s="75"/>
      <c r="F5327" s="75"/>
    </row>
    <row r="5328" spans="2:6">
      <c r="B5328" s="75"/>
      <c r="C5328" s="75"/>
      <c r="D5328" s="75"/>
      <c r="E5328" s="75"/>
      <c r="F5328" s="75"/>
    </row>
    <row r="5329" spans="2:6">
      <c r="B5329" s="75"/>
      <c r="C5329" s="75"/>
      <c r="D5329" s="75"/>
      <c r="E5329" s="75"/>
      <c r="F5329" s="75"/>
    </row>
    <row r="5330" spans="2:6">
      <c r="B5330" s="75"/>
      <c r="C5330" s="75"/>
      <c r="D5330" s="75"/>
      <c r="E5330" s="75"/>
      <c r="F5330" s="75"/>
    </row>
    <row r="5331" spans="2:6">
      <c r="B5331" s="75"/>
      <c r="C5331" s="75"/>
      <c r="D5331" s="75"/>
      <c r="E5331" s="75"/>
      <c r="F5331" s="75"/>
    </row>
    <row r="5332" spans="2:6">
      <c r="B5332" s="75"/>
      <c r="C5332" s="75"/>
      <c r="D5332" s="75"/>
      <c r="E5332" s="75"/>
      <c r="F5332" s="75"/>
    </row>
    <row r="5333" spans="2:6">
      <c r="B5333" s="75"/>
      <c r="C5333" s="75"/>
      <c r="D5333" s="75"/>
      <c r="E5333" s="75"/>
      <c r="F5333" s="75"/>
    </row>
    <row r="5334" spans="2:6">
      <c r="B5334" s="75"/>
      <c r="C5334" s="75"/>
      <c r="D5334" s="75"/>
      <c r="E5334" s="75"/>
      <c r="F5334" s="75"/>
    </row>
    <row r="5335" spans="2:6">
      <c r="B5335" s="75"/>
      <c r="C5335" s="75"/>
      <c r="D5335" s="75"/>
      <c r="E5335" s="75"/>
      <c r="F5335" s="75"/>
    </row>
    <row r="5336" spans="2:6">
      <c r="B5336" s="75"/>
      <c r="C5336" s="75"/>
      <c r="D5336" s="75"/>
      <c r="E5336" s="75"/>
      <c r="F5336" s="75"/>
    </row>
    <row r="5337" spans="2:6">
      <c r="B5337" s="75"/>
      <c r="C5337" s="75"/>
      <c r="D5337" s="75"/>
      <c r="E5337" s="75"/>
      <c r="F5337" s="75"/>
    </row>
    <row r="5338" spans="2:6">
      <c r="B5338" s="75"/>
      <c r="C5338" s="75"/>
      <c r="D5338" s="75"/>
      <c r="E5338" s="75"/>
      <c r="F5338" s="75"/>
    </row>
    <row r="5339" spans="2:6">
      <c r="B5339" s="75"/>
      <c r="C5339" s="75"/>
      <c r="D5339" s="75"/>
      <c r="E5339" s="75"/>
      <c r="F5339" s="75"/>
    </row>
    <row r="5340" spans="2:6">
      <c r="B5340" s="75"/>
      <c r="C5340" s="75"/>
      <c r="D5340" s="75"/>
      <c r="E5340" s="75"/>
      <c r="F5340" s="75"/>
    </row>
    <row r="5341" spans="2:6">
      <c r="B5341" s="75"/>
      <c r="C5341" s="75"/>
      <c r="D5341" s="75"/>
      <c r="E5341" s="75"/>
      <c r="F5341" s="75"/>
    </row>
    <row r="5342" spans="2:6">
      <c r="B5342" s="75"/>
      <c r="C5342" s="75"/>
      <c r="D5342" s="75"/>
      <c r="E5342" s="75"/>
      <c r="F5342" s="75"/>
    </row>
    <row r="5343" spans="2:6">
      <c r="B5343" s="75"/>
      <c r="C5343" s="75"/>
      <c r="D5343" s="75"/>
      <c r="E5343" s="75"/>
      <c r="F5343" s="75"/>
    </row>
    <row r="5344" spans="2:6">
      <c r="B5344" s="75"/>
      <c r="C5344" s="75"/>
      <c r="D5344" s="75"/>
      <c r="E5344" s="75"/>
      <c r="F5344" s="75"/>
    </row>
    <row r="5345" spans="2:6">
      <c r="B5345" s="75"/>
      <c r="C5345" s="75"/>
      <c r="D5345" s="75"/>
      <c r="E5345" s="75"/>
      <c r="F5345" s="75"/>
    </row>
    <row r="5346" spans="2:6">
      <c r="B5346" s="75"/>
      <c r="C5346" s="75"/>
      <c r="D5346" s="75"/>
      <c r="E5346" s="75"/>
      <c r="F5346" s="75"/>
    </row>
    <row r="5347" spans="2:6">
      <c r="B5347" s="75"/>
      <c r="C5347" s="75"/>
      <c r="D5347" s="75"/>
      <c r="E5347" s="75"/>
      <c r="F5347" s="75"/>
    </row>
    <row r="5348" spans="2:6">
      <c r="B5348" s="75"/>
      <c r="C5348" s="75"/>
      <c r="D5348" s="75"/>
      <c r="E5348" s="75"/>
      <c r="F5348" s="75"/>
    </row>
    <row r="5349" spans="2:6">
      <c r="B5349" s="75"/>
      <c r="C5349" s="75"/>
      <c r="D5349" s="75"/>
      <c r="E5349" s="75"/>
      <c r="F5349" s="75"/>
    </row>
    <row r="5350" spans="2:6">
      <c r="B5350" s="75"/>
      <c r="C5350" s="75"/>
      <c r="D5350" s="75"/>
      <c r="E5350" s="75"/>
      <c r="F5350" s="75"/>
    </row>
    <row r="5351" spans="2:6">
      <c r="B5351" s="75"/>
      <c r="C5351" s="75"/>
      <c r="D5351" s="75"/>
      <c r="E5351" s="75"/>
      <c r="F5351" s="75"/>
    </row>
    <row r="5352" spans="2:6">
      <c r="B5352" s="75"/>
      <c r="C5352" s="75"/>
      <c r="D5352" s="75"/>
      <c r="E5352" s="75"/>
      <c r="F5352" s="75"/>
    </row>
    <row r="5353" spans="2:6">
      <c r="B5353" s="75"/>
      <c r="C5353" s="75"/>
      <c r="D5353" s="75"/>
      <c r="E5353" s="75"/>
      <c r="F5353" s="75"/>
    </row>
    <row r="5354" spans="2:6">
      <c r="B5354" s="75"/>
      <c r="C5354" s="75"/>
      <c r="D5354" s="75"/>
      <c r="E5354" s="75"/>
      <c r="F5354" s="75"/>
    </row>
    <row r="5355" spans="2:6">
      <c r="B5355" s="75"/>
      <c r="C5355" s="75"/>
      <c r="D5355" s="75"/>
      <c r="E5355" s="75"/>
      <c r="F5355" s="75"/>
    </row>
    <row r="5356" spans="2:6">
      <c r="B5356" s="75"/>
      <c r="C5356" s="75"/>
      <c r="D5356" s="75"/>
      <c r="E5356" s="75"/>
      <c r="F5356" s="75"/>
    </row>
    <row r="5357" spans="2:6">
      <c r="B5357" s="75"/>
      <c r="C5357" s="75"/>
      <c r="D5357" s="75"/>
      <c r="E5357" s="75"/>
      <c r="F5357" s="75"/>
    </row>
    <row r="5358" spans="2:6">
      <c r="B5358" s="75"/>
      <c r="C5358" s="75"/>
      <c r="D5358" s="75"/>
      <c r="E5358" s="75"/>
      <c r="F5358" s="75"/>
    </row>
    <row r="5359" spans="2:6">
      <c r="B5359" s="75"/>
      <c r="C5359" s="75"/>
      <c r="D5359" s="75"/>
      <c r="E5359" s="75"/>
      <c r="F5359" s="75"/>
    </row>
    <row r="5360" spans="2:6">
      <c r="B5360" s="75"/>
      <c r="C5360" s="75"/>
      <c r="D5360" s="75"/>
      <c r="E5360" s="75"/>
      <c r="F5360" s="75"/>
    </row>
    <row r="5361" spans="2:6">
      <c r="B5361" s="75"/>
      <c r="C5361" s="75"/>
      <c r="D5361" s="75"/>
      <c r="E5361" s="75"/>
      <c r="F5361" s="75"/>
    </row>
    <row r="5362" spans="2:6">
      <c r="B5362" s="75"/>
      <c r="C5362" s="75"/>
      <c r="D5362" s="75"/>
      <c r="E5362" s="75"/>
      <c r="F5362" s="75"/>
    </row>
    <row r="5363" spans="2:6">
      <c r="B5363" s="75"/>
      <c r="C5363" s="75"/>
      <c r="D5363" s="75"/>
      <c r="E5363" s="75"/>
      <c r="F5363" s="75"/>
    </row>
    <row r="5364" spans="2:6">
      <c r="B5364" s="75"/>
      <c r="C5364" s="75"/>
      <c r="D5364" s="75"/>
      <c r="E5364" s="75"/>
      <c r="F5364" s="75"/>
    </row>
    <row r="5365" spans="2:6">
      <c r="B5365" s="75"/>
      <c r="C5365" s="75"/>
      <c r="D5365" s="75"/>
      <c r="E5365" s="75"/>
      <c r="F5365" s="75"/>
    </row>
    <row r="5366" spans="2:6">
      <c r="B5366" s="75"/>
      <c r="C5366" s="75"/>
      <c r="D5366" s="75"/>
      <c r="E5366" s="75"/>
      <c r="F5366" s="75"/>
    </row>
    <row r="5367" spans="2:6">
      <c r="B5367" s="75"/>
      <c r="C5367" s="75"/>
      <c r="D5367" s="75"/>
      <c r="E5367" s="75"/>
      <c r="F5367" s="75"/>
    </row>
    <row r="5368" spans="2:6">
      <c r="B5368" s="75"/>
      <c r="C5368" s="75"/>
      <c r="D5368" s="75"/>
      <c r="E5368" s="75"/>
      <c r="F5368" s="75"/>
    </row>
    <row r="5369" spans="2:6">
      <c r="B5369" s="75"/>
      <c r="C5369" s="75"/>
      <c r="D5369" s="75"/>
      <c r="E5369" s="75"/>
      <c r="F5369" s="75"/>
    </row>
    <row r="5370" spans="2:6">
      <c r="B5370" s="75"/>
      <c r="C5370" s="75"/>
      <c r="D5370" s="75"/>
      <c r="E5370" s="75"/>
      <c r="F5370" s="75"/>
    </row>
    <row r="5371" spans="2:6">
      <c r="B5371" s="75"/>
      <c r="C5371" s="75"/>
      <c r="D5371" s="75"/>
      <c r="E5371" s="75"/>
      <c r="F5371" s="75"/>
    </row>
    <row r="5372" spans="2:6">
      <c r="B5372" s="75"/>
      <c r="C5372" s="75"/>
      <c r="D5372" s="75"/>
      <c r="E5372" s="75"/>
      <c r="F5372" s="75"/>
    </row>
    <row r="5373" spans="2:6">
      <c r="B5373" s="75"/>
      <c r="C5373" s="75"/>
      <c r="D5373" s="75"/>
      <c r="E5373" s="75"/>
      <c r="F5373" s="75"/>
    </row>
    <row r="5374" spans="2:6">
      <c r="B5374" s="75"/>
      <c r="C5374" s="75"/>
      <c r="D5374" s="75"/>
      <c r="E5374" s="75"/>
      <c r="F5374" s="75"/>
    </row>
    <row r="5375" spans="2:6">
      <c r="B5375" s="75"/>
      <c r="C5375" s="75"/>
      <c r="D5375" s="75"/>
      <c r="E5375" s="75"/>
      <c r="F5375" s="75"/>
    </row>
    <row r="5376" spans="2:6">
      <c r="B5376" s="75"/>
      <c r="C5376" s="75"/>
      <c r="D5376" s="75"/>
      <c r="E5376" s="75"/>
      <c r="F5376" s="75"/>
    </row>
    <row r="5377" spans="2:6">
      <c r="B5377" s="75"/>
      <c r="C5377" s="75"/>
      <c r="D5377" s="75"/>
      <c r="E5377" s="75"/>
      <c r="F5377" s="75"/>
    </row>
    <row r="5378" spans="2:6">
      <c r="B5378" s="75"/>
      <c r="C5378" s="75"/>
      <c r="D5378" s="75"/>
      <c r="E5378" s="75"/>
      <c r="F5378" s="75"/>
    </row>
    <row r="5379" spans="2:6">
      <c r="B5379" s="75"/>
      <c r="C5379" s="75"/>
      <c r="D5379" s="75"/>
      <c r="E5379" s="75"/>
      <c r="F5379" s="75"/>
    </row>
    <row r="5380" spans="2:6">
      <c r="B5380" s="75"/>
      <c r="C5380" s="75"/>
      <c r="D5380" s="75"/>
      <c r="E5380" s="75"/>
      <c r="F5380" s="75"/>
    </row>
    <row r="5381" spans="2:6">
      <c r="B5381" s="75"/>
      <c r="C5381" s="75"/>
      <c r="D5381" s="75"/>
      <c r="E5381" s="75"/>
      <c r="F5381" s="75"/>
    </row>
    <row r="5382" spans="2:6">
      <c r="B5382" s="75"/>
      <c r="C5382" s="75"/>
      <c r="D5382" s="75"/>
      <c r="E5382" s="75"/>
      <c r="F5382" s="75"/>
    </row>
    <row r="5383" spans="2:6">
      <c r="B5383" s="75"/>
      <c r="C5383" s="75"/>
      <c r="D5383" s="75"/>
      <c r="E5383" s="75"/>
      <c r="F5383" s="75"/>
    </row>
    <row r="5384" spans="2:6">
      <c r="B5384" s="75"/>
      <c r="C5384" s="75"/>
      <c r="D5384" s="75"/>
      <c r="E5384" s="75"/>
      <c r="F5384" s="75"/>
    </row>
    <row r="5385" spans="2:6">
      <c r="B5385" s="75"/>
      <c r="C5385" s="75"/>
      <c r="D5385" s="75"/>
      <c r="E5385" s="75"/>
      <c r="F5385" s="75"/>
    </row>
    <row r="5386" spans="2:6">
      <c r="B5386" s="75"/>
      <c r="C5386" s="75"/>
      <c r="D5386" s="75"/>
      <c r="E5386" s="75"/>
      <c r="F5386" s="75"/>
    </row>
    <row r="5387" spans="2:6">
      <c r="B5387" s="75"/>
      <c r="C5387" s="75"/>
      <c r="D5387" s="75"/>
      <c r="E5387" s="75"/>
      <c r="F5387" s="75"/>
    </row>
    <row r="5388" spans="2:6">
      <c r="B5388" s="75"/>
      <c r="C5388" s="75"/>
      <c r="D5388" s="75"/>
      <c r="E5388" s="75"/>
      <c r="F5388" s="75"/>
    </row>
    <row r="5389" spans="2:6">
      <c r="B5389" s="75"/>
      <c r="C5389" s="75"/>
      <c r="D5389" s="75"/>
      <c r="E5389" s="75"/>
      <c r="F5389" s="75"/>
    </row>
    <row r="5390" spans="2:6">
      <c r="B5390" s="75"/>
      <c r="C5390" s="75"/>
      <c r="D5390" s="75"/>
      <c r="E5390" s="75"/>
      <c r="F5390" s="75"/>
    </row>
    <row r="5391" spans="2:6">
      <c r="B5391" s="75"/>
      <c r="C5391" s="75"/>
      <c r="D5391" s="75"/>
      <c r="E5391" s="75"/>
      <c r="F5391" s="75"/>
    </row>
    <row r="5392" spans="2:6">
      <c r="B5392" s="75"/>
      <c r="C5392" s="75"/>
      <c r="D5392" s="75"/>
      <c r="E5392" s="75"/>
      <c r="F5392" s="75"/>
    </row>
    <row r="5393" spans="2:6">
      <c r="B5393" s="75"/>
      <c r="C5393" s="75"/>
      <c r="D5393" s="75"/>
      <c r="E5393" s="75"/>
      <c r="F5393" s="75"/>
    </row>
    <row r="5394" spans="2:6">
      <c r="B5394" s="75"/>
      <c r="C5394" s="75"/>
      <c r="D5394" s="75"/>
      <c r="E5394" s="75"/>
      <c r="F5394" s="75"/>
    </row>
    <row r="5395" spans="2:6">
      <c r="B5395" s="75"/>
      <c r="C5395" s="75"/>
      <c r="D5395" s="75"/>
      <c r="E5395" s="75"/>
      <c r="F5395" s="75"/>
    </row>
    <row r="5396" spans="2:6">
      <c r="B5396" s="75"/>
      <c r="C5396" s="75"/>
      <c r="D5396" s="75"/>
      <c r="E5396" s="75"/>
      <c r="F5396" s="75"/>
    </row>
    <row r="5397" spans="2:6">
      <c r="B5397" s="75"/>
      <c r="C5397" s="75"/>
      <c r="D5397" s="75"/>
      <c r="E5397" s="75"/>
      <c r="F5397" s="75"/>
    </row>
    <row r="5398" spans="2:6">
      <c r="B5398" s="75"/>
      <c r="C5398" s="75"/>
      <c r="D5398" s="75"/>
      <c r="E5398" s="75"/>
      <c r="F5398" s="75"/>
    </row>
    <row r="5399" spans="2:6">
      <c r="B5399" s="75"/>
      <c r="C5399" s="75"/>
      <c r="D5399" s="75"/>
      <c r="E5399" s="75"/>
      <c r="F5399" s="75"/>
    </row>
    <row r="5400" spans="2:6">
      <c r="B5400" s="75"/>
      <c r="C5400" s="75"/>
      <c r="D5400" s="75"/>
      <c r="E5400" s="75"/>
      <c r="F5400" s="75"/>
    </row>
    <row r="5401" spans="2:6">
      <c r="B5401" s="75"/>
      <c r="C5401" s="75"/>
      <c r="D5401" s="75"/>
      <c r="E5401" s="75"/>
      <c r="F5401" s="75"/>
    </row>
    <row r="5402" spans="2:6">
      <c r="B5402" s="75"/>
      <c r="C5402" s="75"/>
      <c r="D5402" s="75"/>
      <c r="E5402" s="75"/>
      <c r="F5402" s="75"/>
    </row>
    <row r="5403" spans="2:6">
      <c r="B5403" s="75"/>
      <c r="C5403" s="75"/>
      <c r="D5403" s="75"/>
      <c r="E5403" s="75"/>
      <c r="F5403" s="75"/>
    </row>
    <row r="5404" spans="2:6">
      <c r="B5404" s="75"/>
      <c r="C5404" s="75"/>
      <c r="D5404" s="75"/>
      <c r="E5404" s="75"/>
      <c r="F5404" s="75"/>
    </row>
    <row r="5405" spans="2:6">
      <c r="B5405" s="75"/>
      <c r="C5405" s="75"/>
      <c r="D5405" s="75"/>
      <c r="E5405" s="75"/>
      <c r="F5405" s="75"/>
    </row>
    <row r="5406" spans="2:6">
      <c r="B5406" s="75"/>
      <c r="C5406" s="75"/>
      <c r="D5406" s="75"/>
      <c r="E5406" s="75"/>
      <c r="F5406" s="75"/>
    </row>
    <row r="5407" spans="2:6">
      <c r="B5407" s="75"/>
      <c r="C5407" s="75"/>
      <c r="D5407" s="75"/>
      <c r="E5407" s="75"/>
      <c r="F5407" s="75"/>
    </row>
    <row r="5408" spans="2:6">
      <c r="B5408" s="75"/>
      <c r="C5408" s="75"/>
      <c r="D5408" s="75"/>
      <c r="E5408" s="75"/>
      <c r="F5408" s="75"/>
    </row>
    <row r="5409" spans="2:6">
      <c r="B5409" s="75"/>
      <c r="C5409" s="75"/>
      <c r="D5409" s="75"/>
      <c r="E5409" s="75"/>
      <c r="F5409" s="75"/>
    </row>
    <row r="5410" spans="2:6">
      <c r="B5410" s="75"/>
      <c r="C5410" s="75"/>
      <c r="D5410" s="75"/>
      <c r="E5410" s="75"/>
      <c r="F5410" s="75"/>
    </row>
    <row r="5411" spans="2:6">
      <c r="B5411" s="75"/>
      <c r="C5411" s="75"/>
      <c r="D5411" s="75"/>
      <c r="E5411" s="75"/>
      <c r="F5411" s="75"/>
    </row>
    <row r="5412" spans="2:6">
      <c r="B5412" s="75"/>
      <c r="C5412" s="75"/>
      <c r="D5412" s="75"/>
      <c r="E5412" s="75"/>
      <c r="F5412" s="75"/>
    </row>
    <row r="5413" spans="2:6">
      <c r="B5413" s="75"/>
      <c r="C5413" s="75"/>
      <c r="D5413" s="75"/>
      <c r="E5413" s="75"/>
      <c r="F5413" s="75"/>
    </row>
    <row r="5414" spans="2:6">
      <c r="B5414" s="75"/>
      <c r="C5414" s="75"/>
      <c r="D5414" s="75"/>
      <c r="E5414" s="75"/>
      <c r="F5414" s="75"/>
    </row>
    <row r="5415" spans="2:6">
      <c r="B5415" s="75"/>
      <c r="C5415" s="75"/>
      <c r="D5415" s="75"/>
      <c r="E5415" s="75"/>
      <c r="F5415" s="75"/>
    </row>
    <row r="5416" spans="2:6">
      <c r="B5416" s="75"/>
      <c r="C5416" s="75"/>
      <c r="D5416" s="75"/>
      <c r="E5416" s="75"/>
      <c r="F5416" s="75"/>
    </row>
    <row r="5417" spans="2:6">
      <c r="B5417" s="75"/>
      <c r="C5417" s="75"/>
      <c r="D5417" s="75"/>
      <c r="E5417" s="75"/>
      <c r="F5417" s="75"/>
    </row>
    <row r="5418" spans="2:6">
      <c r="B5418" s="75"/>
      <c r="C5418" s="75"/>
      <c r="D5418" s="75"/>
      <c r="E5418" s="75"/>
      <c r="F5418" s="75"/>
    </row>
    <row r="5419" spans="2:6">
      <c r="B5419" s="75"/>
      <c r="C5419" s="75"/>
      <c r="D5419" s="75"/>
      <c r="E5419" s="75"/>
      <c r="F5419" s="75"/>
    </row>
    <row r="5420" spans="2:6">
      <c r="B5420" s="75"/>
      <c r="C5420" s="75"/>
      <c r="D5420" s="75"/>
      <c r="E5420" s="75"/>
      <c r="F5420" s="75"/>
    </row>
    <row r="5421" spans="2:6">
      <c r="B5421" s="75"/>
      <c r="C5421" s="75"/>
      <c r="D5421" s="75"/>
      <c r="E5421" s="75"/>
      <c r="F5421" s="75"/>
    </row>
    <row r="5422" spans="2:6">
      <c r="B5422" s="75"/>
      <c r="C5422" s="75"/>
      <c r="D5422" s="75"/>
      <c r="E5422" s="75"/>
      <c r="F5422" s="75"/>
    </row>
    <row r="5423" spans="2:6">
      <c r="B5423" s="75"/>
      <c r="C5423" s="75"/>
      <c r="D5423" s="75"/>
      <c r="E5423" s="75"/>
      <c r="F5423" s="75"/>
    </row>
    <row r="5424" spans="2:6">
      <c r="B5424" s="75"/>
      <c r="C5424" s="75"/>
      <c r="D5424" s="75"/>
      <c r="E5424" s="75"/>
      <c r="F5424" s="75"/>
    </row>
    <row r="5425" spans="2:6">
      <c r="B5425" s="75"/>
      <c r="C5425" s="75"/>
      <c r="D5425" s="75"/>
      <c r="E5425" s="75"/>
      <c r="F5425" s="75"/>
    </row>
    <row r="5426" spans="2:6">
      <c r="B5426" s="75"/>
      <c r="C5426" s="75"/>
      <c r="D5426" s="75"/>
      <c r="E5426" s="75"/>
      <c r="F5426" s="75"/>
    </row>
    <row r="5427" spans="2:6">
      <c r="B5427" s="75"/>
      <c r="C5427" s="75"/>
      <c r="D5427" s="75"/>
      <c r="E5427" s="75"/>
      <c r="F5427" s="75"/>
    </row>
    <row r="5428" spans="2:6">
      <c r="B5428" s="75"/>
      <c r="C5428" s="75"/>
      <c r="D5428" s="75"/>
      <c r="E5428" s="75"/>
      <c r="F5428" s="75"/>
    </row>
    <row r="5429" spans="2:6">
      <c r="B5429" s="75"/>
      <c r="C5429" s="75"/>
      <c r="D5429" s="75"/>
      <c r="E5429" s="75"/>
      <c r="F5429" s="75"/>
    </row>
    <row r="5430" spans="2:6">
      <c r="B5430" s="75"/>
      <c r="C5430" s="75"/>
      <c r="D5430" s="75"/>
      <c r="E5430" s="75"/>
      <c r="F5430" s="75"/>
    </row>
    <row r="5431" spans="2:6">
      <c r="B5431" s="75"/>
      <c r="C5431" s="75"/>
      <c r="D5431" s="75"/>
      <c r="E5431" s="75"/>
      <c r="F5431" s="75"/>
    </row>
    <row r="5432" spans="2:6">
      <c r="B5432" s="75"/>
      <c r="C5432" s="75"/>
      <c r="D5432" s="75"/>
      <c r="E5432" s="75"/>
      <c r="F5432" s="75"/>
    </row>
    <row r="5433" spans="2:6">
      <c r="B5433" s="75"/>
      <c r="C5433" s="75"/>
      <c r="D5433" s="75"/>
      <c r="E5433" s="75"/>
      <c r="F5433" s="75"/>
    </row>
    <row r="5434" spans="2:6">
      <c r="B5434" s="75"/>
      <c r="C5434" s="75"/>
      <c r="D5434" s="75"/>
      <c r="E5434" s="75"/>
      <c r="F5434" s="75"/>
    </row>
    <row r="5435" spans="2:6">
      <c r="B5435" s="75"/>
      <c r="C5435" s="75"/>
      <c r="D5435" s="75"/>
      <c r="E5435" s="75"/>
      <c r="F5435" s="75"/>
    </row>
    <row r="5436" spans="2:6">
      <c r="B5436" s="75"/>
      <c r="C5436" s="75"/>
      <c r="D5436" s="75"/>
      <c r="E5436" s="75"/>
      <c r="F5436" s="75"/>
    </row>
    <row r="5437" spans="2:6">
      <c r="B5437" s="75"/>
      <c r="C5437" s="75"/>
      <c r="D5437" s="75"/>
      <c r="E5437" s="75"/>
      <c r="F5437" s="75"/>
    </row>
    <row r="5438" spans="2:6">
      <c r="B5438" s="75"/>
      <c r="C5438" s="75"/>
      <c r="D5438" s="75"/>
      <c r="E5438" s="75"/>
      <c r="F5438" s="75"/>
    </row>
    <row r="5439" spans="2:6">
      <c r="B5439" s="75"/>
      <c r="C5439" s="75"/>
      <c r="D5439" s="75"/>
      <c r="E5439" s="75"/>
      <c r="F5439" s="75"/>
    </row>
    <row r="5440" spans="2:6">
      <c r="B5440" s="75"/>
      <c r="C5440" s="75"/>
      <c r="D5440" s="75"/>
      <c r="E5440" s="75"/>
      <c r="F5440" s="75"/>
    </row>
    <row r="5441" spans="2:6">
      <c r="B5441" s="75"/>
      <c r="C5441" s="75"/>
      <c r="D5441" s="75"/>
      <c r="E5441" s="75"/>
      <c r="F5441" s="75"/>
    </row>
    <row r="5442" spans="2:6">
      <c r="B5442" s="75"/>
      <c r="C5442" s="75"/>
      <c r="D5442" s="75"/>
      <c r="E5442" s="75"/>
      <c r="F5442" s="75"/>
    </row>
    <row r="5443" spans="2:6">
      <c r="B5443" s="75"/>
      <c r="C5443" s="75"/>
      <c r="D5443" s="75"/>
      <c r="E5443" s="75"/>
      <c r="F5443" s="75"/>
    </row>
    <row r="5444" spans="2:6">
      <c r="B5444" s="75"/>
      <c r="C5444" s="75"/>
      <c r="D5444" s="75"/>
      <c r="E5444" s="75"/>
      <c r="F5444" s="75"/>
    </row>
    <row r="5445" spans="2:6">
      <c r="B5445" s="75"/>
      <c r="C5445" s="75"/>
      <c r="D5445" s="75"/>
      <c r="E5445" s="75"/>
      <c r="F5445" s="75"/>
    </row>
    <row r="5446" spans="2:6">
      <c r="B5446" s="75"/>
      <c r="C5446" s="75"/>
      <c r="D5446" s="75"/>
      <c r="E5446" s="75"/>
      <c r="F5446" s="75"/>
    </row>
    <row r="5447" spans="2:6">
      <c r="B5447" s="75"/>
      <c r="C5447" s="75"/>
      <c r="D5447" s="75"/>
      <c r="E5447" s="75"/>
      <c r="F5447" s="75"/>
    </row>
    <row r="5448" spans="2:6">
      <c r="B5448" s="75"/>
      <c r="C5448" s="75"/>
      <c r="D5448" s="75"/>
      <c r="E5448" s="75"/>
      <c r="F5448" s="75"/>
    </row>
    <row r="5449" spans="2:6">
      <c r="B5449" s="75"/>
      <c r="C5449" s="75"/>
      <c r="D5449" s="75"/>
      <c r="E5449" s="75"/>
      <c r="F5449" s="75"/>
    </row>
    <row r="5450" spans="2:6">
      <c r="B5450" s="75"/>
      <c r="C5450" s="75"/>
      <c r="D5450" s="75"/>
      <c r="E5450" s="75"/>
      <c r="F5450" s="75"/>
    </row>
    <row r="5451" spans="2:6">
      <c r="B5451" s="75"/>
      <c r="C5451" s="75"/>
      <c r="D5451" s="75"/>
      <c r="E5451" s="75"/>
      <c r="F5451" s="75"/>
    </row>
    <row r="5452" spans="2:6">
      <c r="B5452" s="75"/>
      <c r="C5452" s="75"/>
      <c r="D5452" s="75"/>
      <c r="E5452" s="75"/>
      <c r="F5452" s="75"/>
    </row>
    <row r="5453" spans="2:6">
      <c r="B5453" s="75"/>
      <c r="C5453" s="75"/>
      <c r="D5453" s="75"/>
      <c r="E5453" s="75"/>
      <c r="F5453" s="75"/>
    </row>
    <row r="5454" spans="2:6">
      <c r="B5454" s="75"/>
      <c r="C5454" s="75"/>
      <c r="D5454" s="75"/>
      <c r="E5454" s="75"/>
      <c r="F5454" s="75"/>
    </row>
    <row r="5455" spans="2:6">
      <c r="B5455" s="75"/>
      <c r="C5455" s="75"/>
      <c r="D5455" s="75"/>
      <c r="E5455" s="75"/>
      <c r="F5455" s="75"/>
    </row>
    <row r="5456" spans="2:6">
      <c r="B5456" s="75"/>
      <c r="C5456" s="75"/>
      <c r="D5456" s="75"/>
      <c r="E5456" s="75"/>
      <c r="F5456" s="75"/>
    </row>
    <row r="5457" spans="2:6">
      <c r="B5457" s="75"/>
      <c r="C5457" s="75"/>
      <c r="D5457" s="75"/>
      <c r="E5457" s="75"/>
      <c r="F5457" s="75"/>
    </row>
    <row r="5458" spans="2:6">
      <c r="B5458" s="75"/>
      <c r="C5458" s="75"/>
      <c r="D5458" s="75"/>
      <c r="E5458" s="75"/>
      <c r="F5458" s="75"/>
    </row>
    <row r="5459" spans="2:6">
      <c r="B5459" s="75"/>
      <c r="C5459" s="75"/>
      <c r="D5459" s="75"/>
      <c r="E5459" s="75"/>
      <c r="F5459" s="75"/>
    </row>
    <row r="5460" spans="2:6">
      <c r="B5460" s="75"/>
      <c r="C5460" s="75"/>
      <c r="D5460" s="75"/>
      <c r="E5460" s="75"/>
      <c r="F5460" s="75"/>
    </row>
    <row r="5461" spans="2:6">
      <c r="B5461" s="75"/>
      <c r="C5461" s="75"/>
      <c r="D5461" s="75"/>
      <c r="E5461" s="75"/>
      <c r="F5461" s="75"/>
    </row>
    <row r="5462" spans="2:6">
      <c r="B5462" s="75"/>
      <c r="C5462" s="75"/>
      <c r="D5462" s="75"/>
      <c r="E5462" s="75"/>
      <c r="F5462" s="75"/>
    </row>
    <row r="5463" spans="2:6">
      <c r="B5463" s="75"/>
      <c r="C5463" s="75"/>
      <c r="D5463" s="75"/>
      <c r="E5463" s="75"/>
      <c r="F5463" s="75"/>
    </row>
    <row r="5464" spans="2:6">
      <c r="B5464" s="75"/>
      <c r="C5464" s="75"/>
      <c r="D5464" s="75"/>
      <c r="E5464" s="75"/>
      <c r="F5464" s="75"/>
    </row>
    <row r="5465" spans="2:6">
      <c r="B5465" s="75"/>
      <c r="C5465" s="75"/>
      <c r="D5465" s="75"/>
      <c r="E5465" s="75"/>
      <c r="F5465" s="75"/>
    </row>
    <row r="5466" spans="2:6">
      <c r="B5466" s="75"/>
      <c r="C5466" s="75"/>
      <c r="D5466" s="75"/>
      <c r="E5466" s="75"/>
      <c r="F5466" s="75"/>
    </row>
    <row r="5467" spans="2:6">
      <c r="B5467" s="75"/>
      <c r="C5467" s="75"/>
      <c r="D5467" s="75"/>
      <c r="E5467" s="75"/>
      <c r="F5467" s="75"/>
    </row>
    <row r="5468" spans="2:6">
      <c r="B5468" s="75"/>
      <c r="C5468" s="75"/>
      <c r="D5468" s="75"/>
      <c r="E5468" s="75"/>
      <c r="F5468" s="75"/>
    </row>
    <row r="5469" spans="2:6">
      <c r="B5469" s="75"/>
      <c r="C5469" s="75"/>
      <c r="D5469" s="75"/>
      <c r="E5469" s="75"/>
      <c r="F5469" s="75"/>
    </row>
    <row r="5470" spans="2:6">
      <c r="B5470" s="75"/>
      <c r="C5470" s="75"/>
      <c r="D5470" s="75"/>
      <c r="E5470" s="75"/>
      <c r="F5470" s="75"/>
    </row>
    <row r="5471" spans="2:6">
      <c r="B5471" s="75"/>
      <c r="C5471" s="75"/>
      <c r="D5471" s="75"/>
      <c r="E5471" s="75"/>
      <c r="F5471" s="75"/>
    </row>
    <row r="5472" spans="2:6">
      <c r="B5472" s="75"/>
      <c r="C5472" s="75"/>
      <c r="D5472" s="75"/>
      <c r="E5472" s="75"/>
      <c r="F5472" s="75"/>
    </row>
    <row r="5473" spans="2:6">
      <c r="B5473" s="75"/>
      <c r="C5473" s="75"/>
      <c r="D5473" s="75"/>
      <c r="E5473" s="75"/>
      <c r="F5473" s="75"/>
    </row>
    <row r="5474" spans="2:6">
      <c r="B5474" s="75"/>
      <c r="C5474" s="75"/>
      <c r="D5474" s="75"/>
      <c r="E5474" s="75"/>
      <c r="F5474" s="75"/>
    </row>
    <row r="5475" spans="2:6">
      <c r="B5475" s="75"/>
      <c r="C5475" s="75"/>
      <c r="D5475" s="75"/>
      <c r="E5475" s="75"/>
      <c r="F5475" s="75"/>
    </row>
    <row r="5476" spans="2:6">
      <c r="B5476" s="75"/>
      <c r="C5476" s="75"/>
      <c r="D5476" s="75"/>
      <c r="E5476" s="75"/>
      <c r="F5476" s="75"/>
    </row>
    <row r="5477" spans="2:6">
      <c r="B5477" s="75"/>
      <c r="C5477" s="75"/>
      <c r="D5477" s="75"/>
      <c r="E5477" s="75"/>
      <c r="F5477" s="75"/>
    </row>
    <row r="5478" spans="2:6">
      <c r="B5478" s="75"/>
      <c r="C5478" s="75"/>
      <c r="D5478" s="75"/>
      <c r="E5478" s="75"/>
      <c r="F5478" s="75"/>
    </row>
    <row r="5479" spans="2:6">
      <c r="B5479" s="75"/>
      <c r="C5479" s="75"/>
      <c r="D5479" s="75"/>
      <c r="E5479" s="75"/>
      <c r="F5479" s="75"/>
    </row>
    <row r="5480" spans="2:6">
      <c r="B5480" s="75"/>
      <c r="C5480" s="75"/>
      <c r="D5480" s="75"/>
      <c r="E5480" s="75"/>
      <c r="F5480" s="75"/>
    </row>
    <row r="5481" spans="2:6">
      <c r="B5481" s="75"/>
      <c r="C5481" s="75"/>
      <c r="D5481" s="75"/>
      <c r="E5481" s="75"/>
      <c r="F5481" s="75"/>
    </row>
    <row r="5482" spans="2:6">
      <c r="B5482" s="75"/>
      <c r="C5482" s="75"/>
      <c r="D5482" s="75"/>
      <c r="E5482" s="75"/>
      <c r="F5482" s="75"/>
    </row>
    <row r="5483" spans="2:6">
      <c r="B5483" s="75"/>
      <c r="C5483" s="75"/>
      <c r="D5483" s="75"/>
      <c r="E5483" s="75"/>
      <c r="F5483" s="75"/>
    </row>
    <row r="5484" spans="2:6">
      <c r="B5484" s="75"/>
      <c r="C5484" s="75"/>
      <c r="D5484" s="75"/>
      <c r="E5484" s="75"/>
      <c r="F5484" s="75"/>
    </row>
    <row r="5485" spans="2:6">
      <c r="B5485" s="75"/>
      <c r="C5485" s="75"/>
      <c r="D5485" s="75"/>
      <c r="E5485" s="75"/>
      <c r="F5485" s="75"/>
    </row>
    <row r="5486" spans="2:6">
      <c r="B5486" s="75"/>
      <c r="C5486" s="75"/>
      <c r="D5486" s="75"/>
      <c r="E5486" s="75"/>
      <c r="F5486" s="75"/>
    </row>
    <row r="5487" spans="2:6">
      <c r="B5487" s="75"/>
      <c r="C5487" s="75"/>
      <c r="D5487" s="75"/>
      <c r="E5487" s="75"/>
      <c r="F5487" s="75"/>
    </row>
    <row r="5488" spans="2:6">
      <c r="B5488" s="75"/>
      <c r="C5488" s="75"/>
      <c r="D5488" s="75"/>
      <c r="E5488" s="75"/>
      <c r="F5488" s="75"/>
    </row>
    <row r="5489" spans="2:6">
      <c r="B5489" s="75"/>
      <c r="C5489" s="75"/>
      <c r="D5489" s="75"/>
      <c r="E5489" s="75"/>
      <c r="F5489" s="75"/>
    </row>
    <row r="5490" spans="2:6">
      <c r="B5490" s="75"/>
      <c r="C5490" s="75"/>
      <c r="D5490" s="75"/>
      <c r="E5490" s="75"/>
      <c r="F5490" s="75"/>
    </row>
    <row r="5491" spans="2:6">
      <c r="B5491" s="75"/>
      <c r="C5491" s="75"/>
      <c r="D5491" s="75"/>
      <c r="E5491" s="75"/>
      <c r="F5491" s="75"/>
    </row>
    <row r="5492" spans="2:6">
      <c r="B5492" s="75"/>
      <c r="C5492" s="75"/>
      <c r="D5492" s="75"/>
      <c r="E5492" s="75"/>
      <c r="F5492" s="75"/>
    </row>
    <row r="5493" spans="2:6">
      <c r="B5493" s="75"/>
      <c r="C5493" s="75"/>
      <c r="D5493" s="75"/>
      <c r="E5493" s="75"/>
      <c r="F5493" s="75"/>
    </row>
    <row r="5494" spans="2:6">
      <c r="B5494" s="75"/>
      <c r="C5494" s="75"/>
      <c r="D5494" s="75"/>
      <c r="E5494" s="75"/>
      <c r="F5494" s="75"/>
    </row>
    <row r="5495" spans="2:6">
      <c r="B5495" s="75"/>
      <c r="C5495" s="75"/>
      <c r="D5495" s="75"/>
      <c r="E5495" s="75"/>
      <c r="F5495" s="75"/>
    </row>
    <row r="5496" spans="2:6">
      <c r="B5496" s="75"/>
      <c r="C5496" s="75"/>
      <c r="D5496" s="75"/>
      <c r="E5496" s="75"/>
      <c r="F5496" s="75"/>
    </row>
    <row r="5497" spans="2:6">
      <c r="B5497" s="75"/>
      <c r="C5497" s="75"/>
      <c r="D5497" s="75"/>
      <c r="E5497" s="75"/>
      <c r="F5497" s="75"/>
    </row>
    <row r="5498" spans="2:6">
      <c r="B5498" s="75"/>
      <c r="C5498" s="75"/>
      <c r="D5498" s="75"/>
      <c r="E5498" s="75"/>
      <c r="F5498" s="75"/>
    </row>
    <row r="5499" spans="2:6">
      <c r="B5499" s="75"/>
      <c r="C5499" s="75"/>
      <c r="D5499" s="75"/>
      <c r="E5499" s="75"/>
      <c r="F5499" s="75"/>
    </row>
    <row r="5500" spans="2:6">
      <c r="B5500" s="75"/>
      <c r="C5500" s="75"/>
      <c r="D5500" s="75"/>
      <c r="E5500" s="75"/>
      <c r="F5500" s="75"/>
    </row>
    <row r="5501" spans="2:6">
      <c r="B5501" s="75"/>
      <c r="C5501" s="75"/>
      <c r="D5501" s="75"/>
      <c r="E5501" s="75"/>
      <c r="F5501" s="75"/>
    </row>
    <row r="5502" spans="2:6">
      <c r="B5502" s="75"/>
      <c r="C5502" s="75"/>
      <c r="D5502" s="75"/>
      <c r="E5502" s="75"/>
      <c r="F5502" s="75"/>
    </row>
    <row r="5503" spans="2:6">
      <c r="B5503" s="75"/>
      <c r="C5503" s="75"/>
      <c r="D5503" s="75"/>
      <c r="E5503" s="75"/>
      <c r="F5503" s="75"/>
    </row>
    <row r="5504" spans="2:6">
      <c r="B5504" s="75"/>
      <c r="C5504" s="75"/>
      <c r="D5504" s="75"/>
      <c r="E5504" s="75"/>
      <c r="F5504" s="75"/>
    </row>
    <row r="5505" spans="2:6">
      <c r="B5505" s="75"/>
      <c r="C5505" s="75"/>
      <c r="D5505" s="75"/>
      <c r="E5505" s="75"/>
      <c r="F5505" s="75"/>
    </row>
    <row r="5506" spans="2:6">
      <c r="B5506" s="75"/>
      <c r="C5506" s="75"/>
      <c r="D5506" s="75"/>
      <c r="E5506" s="75"/>
      <c r="F5506" s="75"/>
    </row>
    <row r="5507" spans="2:6">
      <c r="B5507" s="75"/>
      <c r="C5507" s="75"/>
      <c r="D5507" s="75"/>
      <c r="E5507" s="75"/>
      <c r="F5507" s="75"/>
    </row>
    <row r="5508" spans="2:6">
      <c r="B5508" s="75"/>
      <c r="C5508" s="75"/>
      <c r="D5508" s="75"/>
      <c r="E5508" s="75"/>
      <c r="F5508" s="75"/>
    </row>
    <row r="5509" spans="2:6">
      <c r="B5509" s="75"/>
      <c r="C5509" s="75"/>
      <c r="D5509" s="75"/>
      <c r="E5509" s="75"/>
      <c r="F5509" s="75"/>
    </row>
    <row r="5510" spans="2:6">
      <c r="B5510" s="75"/>
      <c r="C5510" s="75"/>
      <c r="D5510" s="75"/>
      <c r="E5510" s="75"/>
      <c r="F5510" s="75"/>
    </row>
    <row r="5511" spans="2:6">
      <c r="B5511" s="75"/>
      <c r="C5511" s="75"/>
      <c r="D5511" s="75"/>
      <c r="E5511" s="75"/>
      <c r="F5511" s="75"/>
    </row>
    <row r="5512" spans="2:6">
      <c r="B5512" s="75"/>
      <c r="C5512" s="75"/>
      <c r="D5512" s="75"/>
      <c r="E5512" s="75"/>
      <c r="F5512" s="75"/>
    </row>
    <row r="5513" spans="2:6">
      <c r="B5513" s="75"/>
      <c r="C5513" s="75"/>
      <c r="D5513" s="75"/>
      <c r="E5513" s="75"/>
      <c r="F5513" s="75"/>
    </row>
    <row r="5514" spans="2:6">
      <c r="B5514" s="75"/>
      <c r="C5514" s="75"/>
      <c r="D5514" s="75"/>
      <c r="E5514" s="75"/>
      <c r="F5514" s="75"/>
    </row>
    <row r="5515" spans="2:6">
      <c r="B5515" s="75"/>
      <c r="C5515" s="75"/>
      <c r="D5515" s="75"/>
      <c r="E5515" s="75"/>
      <c r="F5515" s="75"/>
    </row>
    <row r="5516" spans="2:6">
      <c r="B5516" s="75"/>
      <c r="C5516" s="75"/>
      <c r="D5516" s="75"/>
      <c r="E5516" s="75"/>
      <c r="F5516" s="75"/>
    </row>
    <row r="5517" spans="2:6">
      <c r="B5517" s="75"/>
      <c r="C5517" s="75"/>
      <c r="D5517" s="75"/>
      <c r="E5517" s="75"/>
      <c r="F5517" s="75"/>
    </row>
    <row r="5518" spans="2:6">
      <c r="B5518" s="75"/>
      <c r="C5518" s="75"/>
      <c r="D5518" s="75"/>
      <c r="E5518" s="75"/>
      <c r="F5518" s="75"/>
    </row>
    <row r="5519" spans="2:6">
      <c r="B5519" s="75"/>
      <c r="C5519" s="75"/>
      <c r="D5519" s="75"/>
      <c r="E5519" s="75"/>
      <c r="F5519" s="75"/>
    </row>
    <row r="5520" spans="2:6">
      <c r="B5520" s="75"/>
      <c r="C5520" s="75"/>
      <c r="D5520" s="75"/>
      <c r="E5520" s="75"/>
      <c r="F5520" s="75"/>
    </row>
    <row r="5521" spans="2:6">
      <c r="B5521" s="75"/>
      <c r="C5521" s="75"/>
      <c r="D5521" s="75"/>
      <c r="E5521" s="75"/>
      <c r="F5521" s="75"/>
    </row>
    <row r="5522" spans="2:6">
      <c r="B5522" s="75"/>
      <c r="C5522" s="75"/>
      <c r="D5522" s="75"/>
      <c r="E5522" s="75"/>
      <c r="F5522" s="75"/>
    </row>
    <row r="5523" spans="2:6">
      <c r="B5523" s="75"/>
      <c r="C5523" s="75"/>
      <c r="D5523" s="75"/>
      <c r="E5523" s="75"/>
      <c r="F5523" s="75"/>
    </row>
    <row r="5524" spans="2:6">
      <c r="B5524" s="75"/>
      <c r="C5524" s="75"/>
      <c r="D5524" s="75"/>
      <c r="E5524" s="75"/>
      <c r="F5524" s="75"/>
    </row>
    <row r="5525" spans="2:6">
      <c r="B5525" s="75"/>
      <c r="C5525" s="75"/>
      <c r="D5525" s="75"/>
      <c r="E5525" s="75"/>
      <c r="F5525" s="75"/>
    </row>
    <row r="5526" spans="2:6">
      <c r="B5526" s="75"/>
      <c r="C5526" s="75"/>
      <c r="D5526" s="75"/>
      <c r="E5526" s="75"/>
      <c r="F5526" s="75"/>
    </row>
    <row r="5527" spans="2:6">
      <c r="B5527" s="75"/>
      <c r="C5527" s="75"/>
      <c r="D5527" s="75"/>
      <c r="E5527" s="75"/>
      <c r="F5527" s="75"/>
    </row>
    <row r="5528" spans="2:6">
      <c r="B5528" s="75"/>
      <c r="C5528" s="75"/>
      <c r="D5528" s="75"/>
      <c r="E5528" s="75"/>
      <c r="F5528" s="75"/>
    </row>
    <row r="5529" spans="2:6">
      <c r="B5529" s="75"/>
      <c r="C5529" s="75"/>
      <c r="D5529" s="75"/>
      <c r="E5529" s="75"/>
      <c r="F5529" s="75"/>
    </row>
    <row r="5530" spans="2:6">
      <c r="B5530" s="75"/>
      <c r="C5530" s="75"/>
      <c r="D5530" s="75"/>
      <c r="E5530" s="75"/>
      <c r="F5530" s="75"/>
    </row>
    <row r="5531" spans="2:6">
      <c r="B5531" s="75"/>
      <c r="C5531" s="75"/>
      <c r="D5531" s="75"/>
      <c r="E5531" s="75"/>
      <c r="F5531" s="75"/>
    </row>
    <row r="5532" spans="2:6">
      <c r="B5532" s="75"/>
      <c r="C5532" s="75"/>
      <c r="D5532" s="75"/>
      <c r="E5532" s="75"/>
      <c r="F5532" s="75"/>
    </row>
    <row r="5533" spans="2:6">
      <c r="B5533" s="75"/>
      <c r="C5533" s="75"/>
      <c r="D5533" s="75"/>
      <c r="E5533" s="75"/>
      <c r="F5533" s="75"/>
    </row>
    <row r="5534" spans="2:6">
      <c r="B5534" s="75"/>
      <c r="C5534" s="75"/>
      <c r="D5534" s="75"/>
      <c r="E5534" s="75"/>
      <c r="F5534" s="75"/>
    </row>
    <row r="5535" spans="2:6">
      <c r="B5535" s="75"/>
      <c r="C5535" s="75"/>
      <c r="D5535" s="75"/>
      <c r="E5535" s="75"/>
      <c r="F5535" s="75"/>
    </row>
    <row r="5536" spans="2:6">
      <c r="B5536" s="75"/>
      <c r="C5536" s="75"/>
      <c r="D5536" s="75"/>
      <c r="E5536" s="75"/>
      <c r="F5536" s="75"/>
    </row>
    <row r="5537" spans="2:6">
      <c r="B5537" s="75"/>
      <c r="C5537" s="75"/>
      <c r="D5537" s="75"/>
      <c r="E5537" s="75"/>
      <c r="F5537" s="75"/>
    </row>
    <row r="5538" spans="2:6">
      <c r="B5538" s="75"/>
      <c r="C5538" s="75"/>
      <c r="D5538" s="75"/>
      <c r="E5538" s="75"/>
      <c r="F5538" s="75"/>
    </row>
    <row r="5539" spans="2:6">
      <c r="B5539" s="75"/>
      <c r="C5539" s="75"/>
      <c r="D5539" s="75"/>
      <c r="E5539" s="75"/>
      <c r="F5539" s="75"/>
    </row>
    <row r="5540" spans="2:6">
      <c r="B5540" s="75"/>
      <c r="C5540" s="75"/>
      <c r="D5540" s="75"/>
      <c r="E5540" s="75"/>
      <c r="F5540" s="75"/>
    </row>
    <row r="5541" spans="2:6">
      <c r="B5541" s="75"/>
      <c r="C5541" s="75"/>
      <c r="D5541" s="75"/>
      <c r="E5541" s="75"/>
      <c r="F5541" s="75"/>
    </row>
    <row r="5542" spans="2:6">
      <c r="B5542" s="75"/>
      <c r="C5542" s="75"/>
      <c r="D5542" s="75"/>
      <c r="E5542" s="75"/>
      <c r="F5542" s="75"/>
    </row>
    <row r="5543" spans="2:6">
      <c r="B5543" s="75"/>
      <c r="C5543" s="75"/>
      <c r="D5543" s="75"/>
      <c r="E5543" s="75"/>
      <c r="F5543" s="75"/>
    </row>
    <row r="5544" spans="2:6">
      <c r="B5544" s="75"/>
      <c r="C5544" s="75"/>
      <c r="D5544" s="75"/>
      <c r="E5544" s="75"/>
      <c r="F5544" s="75"/>
    </row>
    <row r="5545" spans="2:6">
      <c r="B5545" s="75"/>
      <c r="C5545" s="75"/>
      <c r="D5545" s="75"/>
      <c r="E5545" s="75"/>
      <c r="F5545" s="75"/>
    </row>
    <row r="5546" spans="2:6">
      <c r="B5546" s="75"/>
      <c r="C5546" s="75"/>
      <c r="D5546" s="75"/>
      <c r="E5546" s="75"/>
      <c r="F5546" s="75"/>
    </row>
    <row r="5547" spans="2:6">
      <c r="B5547" s="75"/>
      <c r="C5547" s="75"/>
      <c r="D5547" s="75"/>
      <c r="E5547" s="75"/>
      <c r="F5547" s="75"/>
    </row>
    <row r="5548" spans="2:6">
      <c r="B5548" s="75"/>
      <c r="C5548" s="75"/>
      <c r="D5548" s="75"/>
      <c r="E5548" s="75"/>
      <c r="F5548" s="75"/>
    </row>
    <row r="5549" spans="2:6">
      <c r="B5549" s="75"/>
      <c r="C5549" s="75"/>
      <c r="D5549" s="75"/>
      <c r="E5549" s="75"/>
      <c r="F5549" s="75"/>
    </row>
    <row r="5550" spans="2:6">
      <c r="B5550" s="75"/>
      <c r="C5550" s="75"/>
      <c r="D5550" s="75"/>
      <c r="E5550" s="75"/>
      <c r="F5550" s="75"/>
    </row>
    <row r="5551" spans="2:6">
      <c r="B5551" s="75"/>
      <c r="C5551" s="75"/>
      <c r="D5551" s="75"/>
      <c r="E5551" s="75"/>
      <c r="F5551" s="75"/>
    </row>
    <row r="5552" spans="2:6">
      <c r="B5552" s="75"/>
      <c r="C5552" s="75"/>
      <c r="D5552" s="75"/>
      <c r="E5552" s="75"/>
      <c r="F5552" s="75"/>
    </row>
    <row r="5553" spans="2:6">
      <c r="B5553" s="75"/>
      <c r="C5553" s="75"/>
      <c r="D5553" s="75"/>
      <c r="E5553" s="75"/>
      <c r="F5553" s="75"/>
    </row>
    <row r="5554" spans="2:6">
      <c r="B5554" s="75"/>
      <c r="C5554" s="75"/>
      <c r="D5554" s="75"/>
      <c r="E5554" s="75"/>
      <c r="F5554" s="75"/>
    </row>
    <row r="5555" spans="2:6">
      <c r="B5555" s="75"/>
      <c r="C5555" s="75"/>
      <c r="D5555" s="75"/>
      <c r="E5555" s="75"/>
      <c r="F5555" s="75"/>
    </row>
    <row r="5556" spans="2:6">
      <c r="B5556" s="75"/>
      <c r="C5556" s="75"/>
      <c r="D5556" s="75"/>
      <c r="E5556" s="75"/>
      <c r="F5556" s="75"/>
    </row>
    <row r="5557" spans="2:6">
      <c r="B5557" s="75"/>
      <c r="C5557" s="75"/>
      <c r="D5557" s="75"/>
      <c r="E5557" s="75"/>
      <c r="F5557" s="75"/>
    </row>
    <row r="5558" spans="2:6">
      <c r="B5558" s="75"/>
      <c r="C5558" s="75"/>
      <c r="D5558" s="75"/>
      <c r="E5558" s="75"/>
      <c r="F5558" s="75"/>
    </row>
    <row r="5559" spans="2:6">
      <c r="B5559" s="75"/>
      <c r="C5559" s="75"/>
      <c r="D5559" s="75"/>
      <c r="E5559" s="75"/>
      <c r="F5559" s="75"/>
    </row>
    <row r="5560" spans="2:6">
      <c r="B5560" s="75"/>
      <c r="C5560" s="75"/>
      <c r="D5560" s="75"/>
      <c r="E5560" s="75"/>
      <c r="F5560" s="75"/>
    </row>
    <row r="5561" spans="2:6">
      <c r="B5561" s="75"/>
      <c r="C5561" s="75"/>
      <c r="D5561" s="75"/>
      <c r="E5561" s="75"/>
      <c r="F5561" s="75"/>
    </row>
    <row r="5562" spans="2:6">
      <c r="B5562" s="75"/>
      <c r="C5562" s="75"/>
      <c r="D5562" s="75"/>
      <c r="E5562" s="75"/>
      <c r="F5562" s="75"/>
    </row>
    <row r="5563" spans="2:6">
      <c r="B5563" s="75"/>
      <c r="C5563" s="75"/>
      <c r="D5563" s="75"/>
      <c r="E5563" s="75"/>
      <c r="F5563" s="75"/>
    </row>
    <row r="5564" spans="2:6">
      <c r="B5564" s="75"/>
      <c r="C5564" s="75"/>
      <c r="D5564" s="75"/>
      <c r="E5564" s="75"/>
      <c r="F5564" s="75"/>
    </row>
    <row r="5565" spans="2:6">
      <c r="B5565" s="75"/>
      <c r="C5565" s="75"/>
      <c r="D5565" s="75"/>
      <c r="E5565" s="75"/>
      <c r="F5565" s="75"/>
    </row>
    <row r="5566" spans="2:6">
      <c r="B5566" s="75"/>
      <c r="C5566" s="75"/>
      <c r="D5566" s="75"/>
      <c r="E5566" s="75"/>
      <c r="F5566" s="75"/>
    </row>
    <row r="5567" spans="2:6">
      <c r="B5567" s="75"/>
      <c r="C5567" s="75"/>
      <c r="D5567" s="75"/>
      <c r="E5567" s="75"/>
      <c r="F5567" s="75"/>
    </row>
    <row r="5568" spans="2:6">
      <c r="B5568" s="75"/>
      <c r="C5568" s="75"/>
      <c r="D5568" s="75"/>
      <c r="E5568" s="75"/>
      <c r="F5568" s="75"/>
    </row>
    <row r="5569" spans="2:6">
      <c r="B5569" s="75"/>
      <c r="C5569" s="75"/>
      <c r="D5569" s="75"/>
      <c r="E5569" s="75"/>
      <c r="F5569" s="75"/>
    </row>
    <row r="5570" spans="2:6">
      <c r="B5570" s="75"/>
      <c r="C5570" s="75"/>
      <c r="D5570" s="75"/>
      <c r="E5570" s="75"/>
      <c r="F5570" s="75"/>
    </row>
    <row r="5571" spans="2:6">
      <c r="B5571" s="75"/>
      <c r="C5571" s="75"/>
      <c r="D5571" s="75"/>
      <c r="E5571" s="75"/>
      <c r="F5571" s="75"/>
    </row>
    <row r="5572" spans="2:6">
      <c r="B5572" s="75"/>
      <c r="C5572" s="75"/>
      <c r="D5572" s="75"/>
      <c r="E5572" s="75"/>
      <c r="F5572" s="75"/>
    </row>
    <row r="5573" spans="2:6">
      <c r="B5573" s="75"/>
      <c r="C5573" s="75"/>
      <c r="D5573" s="75"/>
      <c r="E5573" s="75"/>
      <c r="F5573" s="75"/>
    </row>
    <row r="5574" spans="2:6">
      <c r="B5574" s="75"/>
      <c r="C5574" s="75"/>
      <c r="D5574" s="75"/>
      <c r="E5574" s="75"/>
      <c r="F5574" s="75"/>
    </row>
    <row r="5575" spans="2:6">
      <c r="B5575" s="75"/>
      <c r="C5575" s="75"/>
      <c r="D5575" s="75"/>
      <c r="E5575" s="75"/>
      <c r="F5575" s="75"/>
    </row>
    <row r="5576" spans="2:6">
      <c r="B5576" s="75"/>
      <c r="C5576" s="75"/>
      <c r="D5576" s="75"/>
      <c r="E5576" s="75"/>
      <c r="F5576" s="75"/>
    </row>
    <row r="5577" spans="2:6">
      <c r="B5577" s="75"/>
      <c r="C5577" s="75"/>
      <c r="D5577" s="75"/>
      <c r="E5577" s="75"/>
      <c r="F5577" s="75"/>
    </row>
    <row r="5578" spans="2:6">
      <c r="B5578" s="75"/>
      <c r="C5578" s="75"/>
      <c r="D5578" s="75"/>
      <c r="E5578" s="75"/>
      <c r="F5578" s="75"/>
    </row>
    <row r="5579" spans="2:6">
      <c r="B5579" s="75"/>
      <c r="C5579" s="75"/>
      <c r="D5579" s="75"/>
      <c r="E5579" s="75"/>
      <c r="F5579" s="75"/>
    </row>
    <row r="5580" spans="2:6">
      <c r="B5580" s="75"/>
      <c r="C5580" s="75"/>
      <c r="D5580" s="75"/>
      <c r="E5580" s="75"/>
      <c r="F5580" s="75"/>
    </row>
    <row r="5581" spans="2:6">
      <c r="B5581" s="75"/>
      <c r="C5581" s="75"/>
      <c r="D5581" s="75"/>
      <c r="E5581" s="75"/>
      <c r="F5581" s="75"/>
    </row>
    <row r="5582" spans="2:6">
      <c r="B5582" s="75"/>
      <c r="C5582" s="75"/>
      <c r="D5582" s="75"/>
      <c r="E5582" s="75"/>
      <c r="F5582" s="75"/>
    </row>
    <row r="5583" spans="2:6">
      <c r="B5583" s="75"/>
      <c r="C5583" s="75"/>
      <c r="D5583" s="75"/>
      <c r="E5583" s="75"/>
      <c r="F5583" s="75"/>
    </row>
    <row r="5584" spans="2:6">
      <c r="B5584" s="75"/>
      <c r="C5584" s="75"/>
      <c r="D5584" s="75"/>
      <c r="E5584" s="75"/>
      <c r="F5584" s="75"/>
    </row>
    <row r="5585" spans="2:6">
      <c r="B5585" s="75"/>
      <c r="C5585" s="75"/>
      <c r="D5585" s="75"/>
      <c r="E5585" s="75"/>
      <c r="F5585" s="75"/>
    </row>
    <row r="5586" spans="2:6">
      <c r="B5586" s="75"/>
      <c r="C5586" s="75"/>
      <c r="D5586" s="75"/>
      <c r="E5586" s="75"/>
      <c r="F5586" s="75"/>
    </row>
    <row r="5587" spans="2:6">
      <c r="B5587" s="75"/>
      <c r="C5587" s="75"/>
      <c r="D5587" s="75"/>
      <c r="E5587" s="75"/>
      <c r="F5587" s="75"/>
    </row>
    <row r="5588" spans="2:6">
      <c r="B5588" s="75"/>
      <c r="C5588" s="75"/>
      <c r="D5588" s="75"/>
      <c r="E5588" s="75"/>
      <c r="F5588" s="75"/>
    </row>
    <row r="5589" spans="2:6">
      <c r="B5589" s="75"/>
      <c r="C5589" s="75"/>
      <c r="D5589" s="75"/>
      <c r="E5589" s="75"/>
      <c r="F5589" s="75"/>
    </row>
    <row r="5590" spans="2:6">
      <c r="B5590" s="75"/>
      <c r="C5590" s="75"/>
      <c r="D5590" s="75"/>
      <c r="E5590" s="75"/>
      <c r="F5590" s="75"/>
    </row>
    <row r="5591" spans="2:6">
      <c r="B5591" s="75"/>
      <c r="C5591" s="75"/>
      <c r="D5591" s="75"/>
      <c r="E5591" s="75"/>
      <c r="F5591" s="75"/>
    </row>
    <row r="5592" spans="2:6">
      <c r="B5592" s="75"/>
      <c r="C5592" s="75"/>
      <c r="D5592" s="75"/>
      <c r="E5592" s="75"/>
      <c r="F5592" s="75"/>
    </row>
    <row r="5593" spans="2:6">
      <c r="B5593" s="75"/>
      <c r="C5593" s="75"/>
      <c r="D5593" s="75"/>
      <c r="E5593" s="75"/>
      <c r="F5593" s="75"/>
    </row>
    <row r="5594" spans="2:6">
      <c r="B5594" s="75"/>
      <c r="C5594" s="75"/>
      <c r="D5594" s="75"/>
      <c r="E5594" s="75"/>
      <c r="F5594" s="75"/>
    </row>
    <row r="5595" spans="2:6">
      <c r="B5595" s="75"/>
      <c r="C5595" s="75"/>
      <c r="D5595" s="75"/>
      <c r="E5595" s="75"/>
      <c r="F5595" s="75"/>
    </row>
    <row r="5596" spans="2:6">
      <c r="B5596" s="75"/>
      <c r="C5596" s="75"/>
      <c r="D5596" s="75"/>
      <c r="E5596" s="75"/>
      <c r="F5596" s="75"/>
    </row>
    <row r="5597" spans="2:6">
      <c r="B5597" s="75"/>
      <c r="C5597" s="75"/>
      <c r="D5597" s="75"/>
      <c r="E5597" s="75"/>
      <c r="F5597" s="75"/>
    </row>
    <row r="5598" spans="2:6">
      <c r="B5598" s="75"/>
      <c r="C5598" s="75"/>
      <c r="D5598" s="75"/>
      <c r="E5598" s="75"/>
      <c r="F5598" s="75"/>
    </row>
    <row r="5599" spans="2:6">
      <c r="B5599" s="75"/>
      <c r="C5599" s="75"/>
      <c r="D5599" s="75"/>
      <c r="E5599" s="75"/>
      <c r="F5599" s="75"/>
    </row>
    <row r="5600" spans="2:6">
      <c r="B5600" s="75"/>
      <c r="C5600" s="75"/>
      <c r="D5600" s="75"/>
      <c r="E5600" s="75"/>
      <c r="F5600" s="75"/>
    </row>
    <row r="5601" spans="2:6">
      <c r="B5601" s="75"/>
      <c r="C5601" s="75"/>
      <c r="D5601" s="75"/>
      <c r="E5601" s="75"/>
      <c r="F5601" s="75"/>
    </row>
    <row r="5602" spans="2:6">
      <c r="B5602" s="75"/>
      <c r="C5602" s="75"/>
      <c r="D5602" s="75"/>
      <c r="E5602" s="75"/>
      <c r="F5602" s="75"/>
    </row>
    <row r="5603" spans="2:6">
      <c r="B5603" s="75"/>
      <c r="C5603" s="75"/>
      <c r="D5603" s="75"/>
      <c r="E5603" s="75"/>
      <c r="F5603" s="75"/>
    </row>
    <row r="5604" spans="2:6">
      <c r="B5604" s="75"/>
      <c r="C5604" s="75"/>
      <c r="D5604" s="75"/>
      <c r="E5604" s="75"/>
      <c r="F5604" s="75"/>
    </row>
    <row r="5605" spans="2:6">
      <c r="B5605" s="75"/>
      <c r="C5605" s="75"/>
      <c r="D5605" s="75"/>
      <c r="E5605" s="75"/>
      <c r="F5605" s="75"/>
    </row>
    <row r="5606" spans="2:6">
      <c r="B5606" s="75"/>
      <c r="C5606" s="75"/>
      <c r="D5606" s="75"/>
      <c r="E5606" s="75"/>
      <c r="F5606" s="75"/>
    </row>
    <row r="5607" spans="2:6">
      <c r="B5607" s="75"/>
      <c r="C5607" s="75"/>
      <c r="D5607" s="75"/>
      <c r="E5607" s="75"/>
      <c r="F5607" s="75"/>
    </row>
    <row r="5608" spans="2:6">
      <c r="B5608" s="75"/>
      <c r="C5608" s="75"/>
      <c r="D5608" s="75"/>
      <c r="E5608" s="75"/>
      <c r="F5608" s="75"/>
    </row>
    <row r="5609" spans="2:6">
      <c r="B5609" s="75"/>
      <c r="C5609" s="75"/>
      <c r="D5609" s="75"/>
      <c r="E5609" s="75"/>
      <c r="F5609" s="75"/>
    </row>
    <row r="5610" spans="2:6">
      <c r="B5610" s="75"/>
      <c r="C5610" s="75"/>
      <c r="D5610" s="75"/>
      <c r="E5610" s="75"/>
      <c r="F5610" s="75"/>
    </row>
    <row r="5611" spans="2:6">
      <c r="B5611" s="75"/>
      <c r="C5611" s="75"/>
      <c r="D5611" s="75"/>
      <c r="E5611" s="75"/>
      <c r="F5611" s="75"/>
    </row>
    <row r="5612" spans="2:6">
      <c r="B5612" s="75"/>
      <c r="C5612" s="75"/>
      <c r="D5612" s="75"/>
      <c r="E5612" s="75"/>
      <c r="F5612" s="75"/>
    </row>
    <row r="5613" spans="2:6">
      <c r="B5613" s="75"/>
      <c r="C5613" s="75"/>
      <c r="D5613" s="75"/>
      <c r="E5613" s="75"/>
      <c r="F5613" s="75"/>
    </row>
    <row r="5614" spans="2:6">
      <c r="B5614" s="75"/>
      <c r="C5614" s="75"/>
      <c r="D5614" s="75"/>
      <c r="E5614" s="75"/>
      <c r="F5614" s="75"/>
    </row>
    <row r="5615" spans="2:6">
      <c r="B5615" s="75"/>
      <c r="C5615" s="75"/>
      <c r="D5615" s="75"/>
      <c r="E5615" s="75"/>
      <c r="F5615" s="75"/>
    </row>
    <row r="5616" spans="2:6">
      <c r="B5616" s="75"/>
      <c r="C5616" s="75"/>
      <c r="D5616" s="75"/>
      <c r="E5616" s="75"/>
      <c r="F5616" s="75"/>
    </row>
    <row r="5617" spans="2:6">
      <c r="B5617" s="75"/>
      <c r="C5617" s="75"/>
      <c r="D5617" s="75"/>
      <c r="E5617" s="75"/>
      <c r="F5617" s="75"/>
    </row>
    <row r="5618" spans="2:6">
      <c r="B5618" s="75"/>
      <c r="C5618" s="75"/>
      <c r="D5618" s="75"/>
      <c r="E5618" s="75"/>
      <c r="F5618" s="75"/>
    </row>
    <row r="5619" spans="2:6">
      <c r="B5619" s="75"/>
      <c r="C5619" s="75"/>
      <c r="D5619" s="75"/>
      <c r="E5619" s="75"/>
      <c r="F5619" s="75"/>
    </row>
    <row r="5620" spans="2:6">
      <c r="B5620" s="75"/>
      <c r="C5620" s="75"/>
      <c r="D5620" s="75"/>
      <c r="E5620" s="75"/>
      <c r="F5620" s="75"/>
    </row>
    <row r="5621" spans="2:6">
      <c r="B5621" s="75"/>
      <c r="C5621" s="75"/>
      <c r="D5621" s="75"/>
      <c r="E5621" s="75"/>
      <c r="F5621" s="75"/>
    </row>
    <row r="5622" spans="2:6">
      <c r="B5622" s="75"/>
      <c r="C5622" s="75"/>
      <c r="D5622" s="75"/>
      <c r="E5622" s="75"/>
      <c r="F5622" s="75"/>
    </row>
    <row r="5623" spans="2:6">
      <c r="B5623" s="75"/>
      <c r="C5623" s="75"/>
      <c r="D5623" s="75"/>
      <c r="E5623" s="75"/>
      <c r="F5623" s="75"/>
    </row>
    <row r="5624" spans="2:6">
      <c r="B5624" s="75"/>
      <c r="C5624" s="75"/>
      <c r="D5624" s="75"/>
      <c r="E5624" s="75"/>
      <c r="F5624" s="75"/>
    </row>
    <row r="5625" spans="2:6">
      <c r="B5625" s="75"/>
      <c r="C5625" s="75"/>
      <c r="D5625" s="75"/>
      <c r="E5625" s="75"/>
      <c r="F5625" s="75"/>
    </row>
    <row r="5626" spans="2:6">
      <c r="B5626" s="75"/>
      <c r="C5626" s="75"/>
      <c r="D5626" s="75"/>
      <c r="E5626" s="75"/>
      <c r="F5626" s="75"/>
    </row>
    <row r="5627" spans="2:6">
      <c r="B5627" s="75"/>
      <c r="C5627" s="75"/>
      <c r="D5627" s="75"/>
      <c r="E5627" s="75"/>
      <c r="F5627" s="75"/>
    </row>
    <row r="5628" spans="2:6">
      <c r="B5628" s="75"/>
      <c r="C5628" s="75"/>
      <c r="D5628" s="75"/>
      <c r="E5628" s="75"/>
      <c r="F5628" s="75"/>
    </row>
    <row r="5629" spans="2:6">
      <c r="B5629" s="75"/>
      <c r="C5629" s="75"/>
      <c r="D5629" s="75"/>
      <c r="E5629" s="75"/>
      <c r="F5629" s="75"/>
    </row>
    <row r="5630" spans="2:6">
      <c r="B5630" s="75"/>
      <c r="C5630" s="75"/>
      <c r="D5630" s="75"/>
      <c r="E5630" s="75"/>
      <c r="F5630" s="75"/>
    </row>
    <row r="5631" spans="2:6">
      <c r="B5631" s="75"/>
      <c r="C5631" s="75"/>
      <c r="D5631" s="75"/>
      <c r="E5631" s="75"/>
      <c r="F5631" s="75"/>
    </row>
    <row r="5632" spans="2:6">
      <c r="B5632" s="75"/>
      <c r="C5632" s="75"/>
      <c r="D5632" s="75"/>
      <c r="E5632" s="75"/>
      <c r="F5632" s="75"/>
    </row>
    <row r="5633" spans="2:6">
      <c r="B5633" s="75"/>
      <c r="C5633" s="75"/>
      <c r="D5633" s="75"/>
      <c r="E5633" s="75"/>
      <c r="F5633" s="75"/>
    </row>
    <row r="5634" spans="2:6">
      <c r="B5634" s="75"/>
      <c r="C5634" s="75"/>
      <c r="D5634" s="75"/>
      <c r="E5634" s="75"/>
      <c r="F5634" s="75"/>
    </row>
    <row r="5635" spans="2:6">
      <c r="B5635" s="75"/>
      <c r="C5635" s="75"/>
      <c r="D5635" s="75"/>
      <c r="E5635" s="75"/>
      <c r="F5635" s="75"/>
    </row>
    <row r="5636" spans="2:6">
      <c r="B5636" s="75"/>
      <c r="C5636" s="75"/>
      <c r="D5636" s="75"/>
      <c r="E5636" s="75"/>
      <c r="F5636" s="75"/>
    </row>
    <row r="5637" spans="2:6">
      <c r="B5637" s="75"/>
      <c r="C5637" s="75"/>
      <c r="D5637" s="75"/>
      <c r="E5637" s="75"/>
      <c r="F5637" s="75"/>
    </row>
    <row r="5638" spans="2:6">
      <c r="B5638" s="75"/>
      <c r="C5638" s="75"/>
      <c r="D5638" s="75"/>
      <c r="E5638" s="75"/>
      <c r="F5638" s="75"/>
    </row>
    <row r="5639" spans="2:6">
      <c r="B5639" s="75"/>
      <c r="C5639" s="75"/>
      <c r="D5639" s="75"/>
      <c r="E5639" s="75"/>
      <c r="F5639" s="75"/>
    </row>
    <row r="5640" spans="2:6">
      <c r="B5640" s="75"/>
      <c r="C5640" s="75"/>
      <c r="D5640" s="75"/>
      <c r="E5640" s="75"/>
      <c r="F5640" s="75"/>
    </row>
    <row r="5641" spans="2:6">
      <c r="B5641" s="75"/>
      <c r="C5641" s="75"/>
      <c r="D5641" s="75"/>
      <c r="E5641" s="75"/>
      <c r="F5641" s="75"/>
    </row>
    <row r="5642" spans="2:6">
      <c r="B5642" s="75"/>
      <c r="C5642" s="75"/>
      <c r="D5642" s="75"/>
      <c r="E5642" s="75"/>
      <c r="F5642" s="75"/>
    </row>
    <row r="5643" spans="2:6">
      <c r="B5643" s="75"/>
      <c r="C5643" s="75"/>
      <c r="D5643" s="75"/>
      <c r="E5643" s="75"/>
      <c r="F5643" s="75"/>
    </row>
    <row r="5644" spans="2:6">
      <c r="B5644" s="75"/>
      <c r="C5644" s="75"/>
      <c r="D5644" s="75"/>
      <c r="E5644" s="75"/>
      <c r="F5644" s="75"/>
    </row>
    <row r="5645" spans="2:6">
      <c r="B5645" s="75"/>
      <c r="C5645" s="75"/>
      <c r="D5645" s="75"/>
      <c r="E5645" s="75"/>
      <c r="F5645" s="75"/>
    </row>
    <row r="5646" spans="2:6">
      <c r="B5646" s="75"/>
      <c r="C5646" s="75"/>
      <c r="D5646" s="75"/>
      <c r="E5646" s="75"/>
      <c r="F5646" s="75"/>
    </row>
    <row r="5647" spans="2:6">
      <c r="B5647" s="75"/>
      <c r="C5647" s="75"/>
      <c r="D5647" s="75"/>
      <c r="E5647" s="75"/>
      <c r="F5647" s="75"/>
    </row>
    <row r="5648" spans="2:6">
      <c r="B5648" s="75"/>
      <c r="C5648" s="75"/>
      <c r="D5648" s="75"/>
      <c r="E5648" s="75"/>
      <c r="F5648" s="75"/>
    </row>
    <row r="5649" spans="2:6">
      <c r="B5649" s="75"/>
      <c r="C5649" s="75"/>
      <c r="D5649" s="75"/>
      <c r="E5649" s="75"/>
      <c r="F5649" s="75"/>
    </row>
    <row r="5650" spans="2:6">
      <c r="B5650" s="75"/>
      <c r="C5650" s="75"/>
      <c r="D5650" s="75"/>
      <c r="E5650" s="75"/>
      <c r="F5650" s="75"/>
    </row>
    <row r="5651" spans="2:6">
      <c r="B5651" s="75"/>
      <c r="C5651" s="75"/>
      <c r="D5651" s="75"/>
      <c r="E5651" s="75"/>
      <c r="F5651" s="75"/>
    </row>
    <row r="5652" spans="2:6">
      <c r="B5652" s="75"/>
      <c r="C5652" s="75"/>
      <c r="D5652" s="75"/>
      <c r="E5652" s="75"/>
      <c r="F5652" s="75"/>
    </row>
    <row r="5653" spans="2:6">
      <c r="B5653" s="75"/>
      <c r="C5653" s="75"/>
      <c r="D5653" s="75"/>
      <c r="E5653" s="75"/>
      <c r="F5653" s="75"/>
    </row>
    <row r="5654" spans="2:6">
      <c r="B5654" s="75"/>
      <c r="C5654" s="75"/>
      <c r="D5654" s="75"/>
      <c r="E5654" s="75"/>
      <c r="F5654" s="75"/>
    </row>
    <row r="5655" spans="2:6">
      <c r="B5655" s="75"/>
      <c r="C5655" s="75"/>
      <c r="D5655" s="75"/>
      <c r="E5655" s="75"/>
      <c r="F5655" s="75"/>
    </row>
    <row r="5656" spans="2:6">
      <c r="B5656" s="75"/>
      <c r="C5656" s="75"/>
      <c r="D5656" s="75"/>
      <c r="E5656" s="75"/>
      <c r="F5656" s="75"/>
    </row>
    <row r="5657" spans="2:6">
      <c r="B5657" s="75"/>
      <c r="C5657" s="75"/>
      <c r="D5657" s="75"/>
      <c r="E5657" s="75"/>
      <c r="F5657" s="75"/>
    </row>
    <row r="5658" spans="2:6">
      <c r="B5658" s="75"/>
      <c r="C5658" s="75"/>
      <c r="D5658" s="75"/>
      <c r="E5658" s="75"/>
      <c r="F5658" s="75"/>
    </row>
    <row r="5659" spans="2:6">
      <c r="B5659" s="75"/>
      <c r="C5659" s="75"/>
      <c r="D5659" s="75"/>
      <c r="E5659" s="75"/>
      <c r="F5659" s="75"/>
    </row>
    <row r="5660" spans="2:6">
      <c r="B5660" s="75"/>
      <c r="C5660" s="75"/>
      <c r="D5660" s="75"/>
      <c r="E5660" s="75"/>
      <c r="F5660" s="75"/>
    </row>
    <row r="5661" spans="2:6">
      <c r="B5661" s="75"/>
      <c r="C5661" s="75"/>
      <c r="D5661" s="75"/>
      <c r="E5661" s="75"/>
      <c r="F5661" s="75"/>
    </row>
    <row r="5662" spans="2:6">
      <c r="B5662" s="75"/>
      <c r="C5662" s="75"/>
      <c r="D5662" s="75"/>
      <c r="E5662" s="75"/>
      <c r="F5662" s="75"/>
    </row>
    <row r="5663" spans="2:6">
      <c r="B5663" s="75"/>
      <c r="C5663" s="75"/>
      <c r="D5663" s="75"/>
      <c r="E5663" s="75"/>
      <c r="F5663" s="75"/>
    </row>
    <row r="5664" spans="2:6">
      <c r="B5664" s="75"/>
      <c r="C5664" s="75"/>
      <c r="D5664" s="75"/>
      <c r="E5664" s="75"/>
      <c r="F5664" s="75"/>
    </row>
    <row r="5665" spans="2:6">
      <c r="B5665" s="75"/>
      <c r="C5665" s="75"/>
      <c r="D5665" s="75"/>
      <c r="E5665" s="75"/>
      <c r="F5665" s="75"/>
    </row>
    <row r="5666" spans="2:6">
      <c r="B5666" s="75"/>
      <c r="C5666" s="75"/>
      <c r="D5666" s="75"/>
      <c r="E5666" s="75"/>
      <c r="F5666" s="75"/>
    </row>
    <row r="5667" spans="2:6">
      <c r="B5667" s="75"/>
      <c r="C5667" s="75"/>
      <c r="D5667" s="75"/>
      <c r="E5667" s="75"/>
      <c r="F5667" s="75"/>
    </row>
    <row r="5668" spans="2:6">
      <c r="B5668" s="75"/>
      <c r="C5668" s="75"/>
      <c r="D5668" s="75"/>
      <c r="E5668" s="75"/>
      <c r="F5668" s="75"/>
    </row>
    <row r="5669" spans="2:6">
      <c r="B5669" s="75"/>
      <c r="C5669" s="75"/>
      <c r="D5669" s="75"/>
      <c r="E5669" s="75"/>
      <c r="F5669" s="75"/>
    </row>
    <row r="5670" spans="2:6">
      <c r="B5670" s="75"/>
      <c r="C5670" s="75"/>
      <c r="D5670" s="75"/>
      <c r="E5670" s="75"/>
      <c r="F5670" s="75"/>
    </row>
    <row r="5671" spans="2:6">
      <c r="B5671" s="75"/>
      <c r="C5671" s="75"/>
      <c r="D5671" s="75"/>
      <c r="E5671" s="75"/>
      <c r="F5671" s="75"/>
    </row>
    <row r="5672" spans="2:6">
      <c r="B5672" s="75"/>
      <c r="C5672" s="75"/>
      <c r="D5672" s="75"/>
      <c r="E5672" s="75"/>
      <c r="F5672" s="75"/>
    </row>
    <row r="5673" spans="2:6">
      <c r="B5673" s="75"/>
      <c r="C5673" s="75"/>
      <c r="D5673" s="75"/>
      <c r="E5673" s="75"/>
      <c r="F5673" s="75"/>
    </row>
    <row r="5674" spans="2:6">
      <c r="B5674" s="75"/>
      <c r="C5674" s="75"/>
      <c r="D5674" s="75"/>
      <c r="E5674" s="75"/>
      <c r="F5674" s="75"/>
    </row>
    <row r="5675" spans="2:6">
      <c r="B5675" s="75"/>
      <c r="C5675" s="75"/>
      <c r="D5675" s="75"/>
      <c r="E5675" s="75"/>
      <c r="F5675" s="75"/>
    </row>
    <row r="5676" spans="2:6">
      <c r="B5676" s="75"/>
      <c r="C5676" s="75"/>
      <c r="D5676" s="75"/>
      <c r="E5676" s="75"/>
      <c r="F5676" s="75"/>
    </row>
    <row r="5677" spans="2:6">
      <c r="B5677" s="75"/>
      <c r="C5677" s="75"/>
      <c r="D5677" s="75"/>
      <c r="E5677" s="75"/>
      <c r="F5677" s="75"/>
    </row>
    <row r="5678" spans="2:6">
      <c r="B5678" s="75"/>
      <c r="C5678" s="75"/>
      <c r="D5678" s="75"/>
      <c r="E5678" s="75"/>
      <c r="F5678" s="75"/>
    </row>
    <row r="5679" spans="2:6">
      <c r="B5679" s="75"/>
      <c r="C5679" s="75"/>
      <c r="D5679" s="75"/>
      <c r="E5679" s="75"/>
      <c r="F5679" s="75"/>
    </row>
    <row r="5680" spans="2:6">
      <c r="B5680" s="75"/>
      <c r="C5680" s="75"/>
      <c r="D5680" s="75"/>
      <c r="E5680" s="75"/>
      <c r="F5680" s="75"/>
    </row>
    <row r="5681" spans="2:6">
      <c r="B5681" s="75"/>
      <c r="C5681" s="75"/>
      <c r="D5681" s="75"/>
      <c r="E5681" s="75"/>
      <c r="F5681" s="75"/>
    </row>
    <row r="5682" spans="2:6">
      <c r="B5682" s="75"/>
      <c r="C5682" s="75"/>
      <c r="D5682" s="75"/>
      <c r="E5682" s="75"/>
      <c r="F5682" s="75"/>
    </row>
    <row r="5683" spans="2:6">
      <c r="B5683" s="75"/>
      <c r="C5683" s="75"/>
      <c r="D5683" s="75"/>
      <c r="E5683" s="75"/>
      <c r="F5683" s="75"/>
    </row>
    <row r="5684" spans="2:6">
      <c r="B5684" s="75"/>
      <c r="C5684" s="75"/>
      <c r="D5684" s="75"/>
      <c r="E5684" s="75"/>
      <c r="F5684" s="75"/>
    </row>
    <row r="5685" spans="2:6">
      <c r="B5685" s="75"/>
      <c r="C5685" s="75"/>
      <c r="D5685" s="75"/>
      <c r="E5685" s="75"/>
      <c r="F5685" s="75"/>
    </row>
    <row r="5686" spans="2:6">
      <c r="B5686" s="75"/>
      <c r="C5686" s="75"/>
      <c r="D5686" s="75"/>
      <c r="E5686" s="75"/>
      <c r="F5686" s="75"/>
    </row>
    <row r="5687" spans="2:6">
      <c r="B5687" s="75"/>
      <c r="C5687" s="75"/>
      <c r="D5687" s="75"/>
      <c r="E5687" s="75"/>
      <c r="F5687" s="75"/>
    </row>
    <row r="5688" spans="2:6">
      <c r="B5688" s="75"/>
      <c r="C5688" s="75"/>
      <c r="D5688" s="75"/>
      <c r="E5688" s="75"/>
      <c r="F5688" s="75"/>
    </row>
    <row r="5689" spans="2:6">
      <c r="B5689" s="75"/>
      <c r="C5689" s="75"/>
      <c r="D5689" s="75"/>
      <c r="E5689" s="75"/>
      <c r="F5689" s="75"/>
    </row>
    <row r="5690" spans="2:6">
      <c r="B5690" s="75"/>
      <c r="C5690" s="75"/>
      <c r="D5690" s="75"/>
      <c r="E5690" s="75"/>
      <c r="F5690" s="75"/>
    </row>
    <row r="5691" spans="2:6">
      <c r="B5691" s="75"/>
      <c r="C5691" s="75"/>
      <c r="D5691" s="75"/>
      <c r="E5691" s="75"/>
      <c r="F5691" s="75"/>
    </row>
    <row r="5692" spans="2:6">
      <c r="B5692" s="75"/>
      <c r="C5692" s="75"/>
      <c r="D5692" s="75"/>
      <c r="E5692" s="75"/>
      <c r="F5692" s="75"/>
    </row>
    <row r="5693" spans="2:6">
      <c r="B5693" s="75"/>
      <c r="C5693" s="75"/>
      <c r="D5693" s="75"/>
      <c r="E5693" s="75"/>
      <c r="F5693" s="75"/>
    </row>
    <row r="5694" spans="2:6">
      <c r="B5694" s="75"/>
      <c r="C5694" s="75"/>
      <c r="D5694" s="75"/>
      <c r="E5694" s="75"/>
      <c r="F5694" s="75"/>
    </row>
    <row r="5695" spans="2:6">
      <c r="B5695" s="75"/>
      <c r="C5695" s="75"/>
      <c r="D5695" s="75"/>
      <c r="E5695" s="75"/>
      <c r="F5695" s="75"/>
    </row>
    <row r="5696" spans="2:6">
      <c r="B5696" s="75"/>
      <c r="C5696" s="75"/>
      <c r="D5696" s="75"/>
      <c r="E5696" s="75"/>
      <c r="F5696" s="75"/>
    </row>
    <row r="5697" spans="2:6">
      <c r="B5697" s="75"/>
      <c r="C5697" s="75"/>
      <c r="D5697" s="75"/>
      <c r="E5697" s="75"/>
      <c r="F5697" s="75"/>
    </row>
    <row r="5698" spans="2:6">
      <c r="B5698" s="75"/>
      <c r="C5698" s="75"/>
      <c r="D5698" s="75"/>
      <c r="E5698" s="75"/>
      <c r="F5698" s="75"/>
    </row>
    <row r="5699" spans="2:6">
      <c r="B5699" s="75"/>
      <c r="C5699" s="75"/>
      <c r="D5699" s="75"/>
      <c r="E5699" s="75"/>
      <c r="F5699" s="75"/>
    </row>
    <row r="5700" spans="2:6">
      <c r="B5700" s="75"/>
      <c r="C5700" s="75"/>
      <c r="D5700" s="75"/>
      <c r="E5700" s="75"/>
      <c r="F5700" s="75"/>
    </row>
    <row r="5701" spans="2:6">
      <c r="B5701" s="75"/>
      <c r="C5701" s="75"/>
      <c r="D5701" s="75"/>
      <c r="E5701" s="75"/>
      <c r="F5701" s="75"/>
    </row>
    <row r="5702" spans="2:6">
      <c r="B5702" s="75"/>
      <c r="C5702" s="75"/>
      <c r="D5702" s="75"/>
      <c r="E5702" s="75"/>
      <c r="F5702" s="75"/>
    </row>
    <row r="5703" spans="2:6">
      <c r="B5703" s="75"/>
      <c r="C5703" s="75"/>
      <c r="D5703" s="75"/>
      <c r="E5703" s="75"/>
      <c r="F5703" s="75"/>
    </row>
    <row r="5704" spans="2:6">
      <c r="B5704" s="75"/>
      <c r="C5704" s="75"/>
      <c r="D5704" s="75"/>
      <c r="E5704" s="75"/>
      <c r="F5704" s="75"/>
    </row>
    <row r="5705" spans="2:6">
      <c r="B5705" s="75"/>
      <c r="C5705" s="75"/>
      <c r="D5705" s="75"/>
      <c r="E5705" s="75"/>
      <c r="F5705" s="75"/>
    </row>
    <row r="5706" spans="2:6">
      <c r="B5706" s="75"/>
      <c r="C5706" s="75"/>
      <c r="D5706" s="75"/>
      <c r="E5706" s="75"/>
      <c r="F5706" s="75"/>
    </row>
    <row r="5707" spans="2:6">
      <c r="B5707" s="75"/>
      <c r="C5707" s="75"/>
      <c r="D5707" s="75"/>
      <c r="E5707" s="75"/>
      <c r="F5707" s="75"/>
    </row>
    <row r="5708" spans="2:6">
      <c r="B5708" s="75"/>
      <c r="C5708" s="75"/>
      <c r="D5708" s="75"/>
      <c r="E5708" s="75"/>
      <c r="F5708" s="75"/>
    </row>
    <row r="5709" spans="2:6">
      <c r="B5709" s="75"/>
      <c r="C5709" s="75"/>
      <c r="D5709" s="75"/>
      <c r="E5709" s="75"/>
      <c r="F5709" s="75"/>
    </row>
    <row r="5710" spans="2:6">
      <c r="B5710" s="75"/>
      <c r="C5710" s="75"/>
      <c r="D5710" s="75"/>
      <c r="E5710" s="75"/>
      <c r="F5710" s="75"/>
    </row>
    <row r="5711" spans="2:6">
      <c r="B5711" s="75"/>
      <c r="C5711" s="75"/>
      <c r="D5711" s="75"/>
      <c r="E5711" s="75"/>
      <c r="F5711" s="75"/>
    </row>
    <row r="5712" spans="2:6">
      <c r="B5712" s="75"/>
      <c r="C5712" s="75"/>
      <c r="D5712" s="75"/>
      <c r="E5712" s="75"/>
      <c r="F5712" s="75"/>
    </row>
    <row r="5713" spans="2:6">
      <c r="B5713" s="75"/>
      <c r="C5713" s="75"/>
      <c r="D5713" s="75"/>
      <c r="E5713" s="75"/>
      <c r="F5713" s="75"/>
    </row>
    <row r="5714" spans="2:6">
      <c r="B5714" s="75"/>
      <c r="C5714" s="75"/>
      <c r="D5714" s="75"/>
      <c r="E5714" s="75"/>
      <c r="F5714" s="75"/>
    </row>
    <row r="5715" spans="2:6">
      <c r="B5715" s="75"/>
      <c r="C5715" s="75"/>
      <c r="D5715" s="75"/>
      <c r="E5715" s="75"/>
      <c r="F5715" s="75"/>
    </row>
    <row r="5716" spans="2:6">
      <c r="B5716" s="75"/>
      <c r="C5716" s="75"/>
      <c r="D5716" s="75"/>
      <c r="E5716" s="75"/>
      <c r="F5716" s="75"/>
    </row>
    <row r="5717" spans="2:6">
      <c r="B5717" s="75"/>
      <c r="C5717" s="75"/>
      <c r="D5717" s="75"/>
      <c r="E5717" s="75"/>
      <c r="F5717" s="75"/>
    </row>
    <row r="5718" spans="2:6">
      <c r="B5718" s="75"/>
      <c r="C5718" s="75"/>
      <c r="D5718" s="75"/>
      <c r="E5718" s="75"/>
      <c r="F5718" s="75"/>
    </row>
    <row r="5719" spans="2:6">
      <c r="B5719" s="75"/>
      <c r="C5719" s="75"/>
      <c r="D5719" s="75"/>
      <c r="E5719" s="75"/>
      <c r="F5719" s="75"/>
    </row>
    <row r="5720" spans="2:6">
      <c r="B5720" s="75"/>
      <c r="C5720" s="75"/>
      <c r="D5720" s="75"/>
      <c r="E5720" s="75"/>
      <c r="F5720" s="75"/>
    </row>
    <row r="5721" spans="2:6">
      <c r="B5721" s="75"/>
      <c r="C5721" s="75"/>
      <c r="D5721" s="75"/>
      <c r="E5721" s="75"/>
      <c r="F5721" s="75"/>
    </row>
    <row r="5722" spans="2:6">
      <c r="B5722" s="75"/>
      <c r="C5722" s="75"/>
      <c r="D5722" s="75"/>
      <c r="E5722" s="75"/>
      <c r="F5722" s="75"/>
    </row>
    <row r="5723" spans="2:6">
      <c r="B5723" s="75"/>
      <c r="C5723" s="75"/>
      <c r="D5723" s="75"/>
      <c r="E5723" s="75"/>
      <c r="F5723" s="75"/>
    </row>
    <row r="5724" spans="2:6">
      <c r="B5724" s="75"/>
      <c r="C5724" s="75"/>
      <c r="D5724" s="75"/>
      <c r="E5724" s="75"/>
      <c r="F5724" s="75"/>
    </row>
    <row r="5725" spans="2:6">
      <c r="B5725" s="75"/>
      <c r="C5725" s="75"/>
      <c r="D5725" s="75"/>
      <c r="E5725" s="75"/>
      <c r="F5725" s="75"/>
    </row>
    <row r="5726" spans="2:6">
      <c r="B5726" s="75"/>
      <c r="C5726" s="75"/>
      <c r="D5726" s="75"/>
      <c r="E5726" s="75"/>
      <c r="F5726" s="75"/>
    </row>
    <row r="5727" spans="2:6">
      <c r="B5727" s="75"/>
      <c r="C5727" s="75"/>
      <c r="D5727" s="75"/>
      <c r="E5727" s="75"/>
      <c r="F5727" s="75"/>
    </row>
    <row r="5728" spans="2:6">
      <c r="B5728" s="75"/>
      <c r="C5728" s="75"/>
      <c r="D5728" s="75"/>
      <c r="E5728" s="75"/>
      <c r="F5728" s="75"/>
    </row>
    <row r="5729" spans="2:6">
      <c r="B5729" s="75"/>
      <c r="C5729" s="75"/>
      <c r="D5729" s="75"/>
      <c r="E5729" s="75"/>
      <c r="F5729" s="75"/>
    </row>
    <row r="5730" spans="2:6">
      <c r="B5730" s="75"/>
      <c r="C5730" s="75"/>
      <c r="D5730" s="75"/>
      <c r="E5730" s="75"/>
      <c r="F5730" s="75"/>
    </row>
    <row r="5731" spans="2:6">
      <c r="B5731" s="75"/>
      <c r="C5731" s="75"/>
      <c r="D5731" s="75"/>
      <c r="E5731" s="75"/>
      <c r="F5731" s="75"/>
    </row>
    <row r="5732" spans="2:6">
      <c r="B5732" s="75"/>
      <c r="C5732" s="75"/>
      <c r="D5732" s="75"/>
      <c r="E5732" s="75"/>
      <c r="F5732" s="75"/>
    </row>
    <row r="5733" spans="2:6">
      <c r="B5733" s="75"/>
      <c r="C5733" s="75"/>
      <c r="D5733" s="75"/>
      <c r="E5733" s="75"/>
      <c r="F5733" s="75"/>
    </row>
    <row r="5734" spans="2:6">
      <c r="B5734" s="75"/>
      <c r="C5734" s="75"/>
      <c r="D5734" s="75"/>
      <c r="E5734" s="75"/>
      <c r="F5734" s="75"/>
    </row>
    <row r="5735" spans="2:6">
      <c r="B5735" s="75"/>
      <c r="C5735" s="75"/>
      <c r="D5735" s="75"/>
      <c r="E5735" s="75"/>
      <c r="F5735" s="75"/>
    </row>
    <row r="5736" spans="2:6">
      <c r="B5736" s="75"/>
      <c r="C5736" s="75"/>
      <c r="D5736" s="75"/>
      <c r="E5736" s="75"/>
      <c r="F5736" s="75"/>
    </row>
    <row r="5737" spans="2:6">
      <c r="B5737" s="75"/>
      <c r="C5737" s="75"/>
      <c r="D5737" s="75"/>
      <c r="E5737" s="75"/>
      <c r="F5737" s="75"/>
    </row>
    <row r="5738" spans="2:6">
      <c r="B5738" s="75"/>
      <c r="C5738" s="75"/>
      <c r="D5738" s="75"/>
      <c r="E5738" s="75"/>
      <c r="F5738" s="75"/>
    </row>
    <row r="5739" spans="2:6">
      <c r="B5739" s="75"/>
      <c r="C5739" s="75"/>
      <c r="D5739" s="75"/>
      <c r="E5739" s="75"/>
      <c r="F5739" s="75"/>
    </row>
    <row r="5740" spans="2:6">
      <c r="B5740" s="75"/>
      <c r="C5740" s="75"/>
      <c r="D5740" s="75"/>
      <c r="E5740" s="75"/>
      <c r="F5740" s="75"/>
    </row>
    <row r="5741" spans="2:6">
      <c r="B5741" s="75"/>
      <c r="C5741" s="75"/>
      <c r="D5741" s="75"/>
      <c r="E5741" s="75"/>
      <c r="F5741" s="75"/>
    </row>
    <row r="5742" spans="2:6">
      <c r="B5742" s="75"/>
      <c r="C5742" s="75"/>
      <c r="D5742" s="75"/>
      <c r="E5742" s="75"/>
      <c r="F5742" s="75"/>
    </row>
    <row r="5743" spans="2:6">
      <c r="B5743" s="75"/>
      <c r="C5743" s="75"/>
      <c r="D5743" s="75"/>
      <c r="E5743" s="75"/>
      <c r="F5743" s="75"/>
    </row>
    <row r="5744" spans="2:6">
      <c r="B5744" s="75"/>
      <c r="C5744" s="75"/>
      <c r="D5744" s="75"/>
      <c r="E5744" s="75"/>
      <c r="F5744" s="75"/>
    </row>
    <row r="5745" spans="2:6">
      <c r="B5745" s="75"/>
      <c r="C5745" s="75"/>
      <c r="D5745" s="75"/>
      <c r="E5745" s="75"/>
      <c r="F5745" s="75"/>
    </row>
    <row r="5746" spans="2:6">
      <c r="B5746" s="75"/>
      <c r="C5746" s="75"/>
      <c r="D5746" s="75"/>
      <c r="E5746" s="75"/>
      <c r="F5746" s="75"/>
    </row>
    <row r="5747" spans="2:6">
      <c r="B5747" s="75"/>
      <c r="C5747" s="75"/>
      <c r="D5747" s="75"/>
      <c r="E5747" s="75"/>
      <c r="F5747" s="75"/>
    </row>
    <row r="5748" spans="2:6">
      <c r="B5748" s="75"/>
      <c r="C5748" s="75"/>
      <c r="D5748" s="75"/>
      <c r="E5748" s="75"/>
      <c r="F5748" s="75"/>
    </row>
    <row r="5749" spans="2:6">
      <c r="B5749" s="75"/>
      <c r="C5749" s="75"/>
      <c r="D5749" s="75"/>
      <c r="E5749" s="75"/>
      <c r="F5749" s="75"/>
    </row>
    <row r="5750" spans="2:6">
      <c r="B5750" s="75"/>
      <c r="C5750" s="75"/>
      <c r="D5750" s="75"/>
      <c r="E5750" s="75"/>
      <c r="F5750" s="75"/>
    </row>
    <row r="5751" spans="2:6">
      <c r="B5751" s="75"/>
      <c r="C5751" s="75"/>
      <c r="D5751" s="75"/>
      <c r="E5751" s="75"/>
      <c r="F5751" s="75"/>
    </row>
    <row r="5752" spans="2:6">
      <c r="B5752" s="75"/>
      <c r="C5752" s="75"/>
      <c r="D5752" s="75"/>
      <c r="E5752" s="75"/>
      <c r="F5752" s="75"/>
    </row>
    <row r="5753" spans="2:6">
      <c r="B5753" s="75"/>
      <c r="C5753" s="75"/>
      <c r="D5753" s="75"/>
      <c r="E5753" s="75"/>
      <c r="F5753" s="75"/>
    </row>
    <row r="5754" spans="2:6">
      <c r="B5754" s="75"/>
      <c r="C5754" s="75"/>
      <c r="D5754" s="75"/>
      <c r="E5754" s="75"/>
      <c r="F5754" s="75"/>
    </row>
    <row r="5755" spans="2:6">
      <c r="B5755" s="75"/>
      <c r="C5755" s="75"/>
      <c r="D5755" s="75"/>
      <c r="E5755" s="75"/>
      <c r="F5755" s="75"/>
    </row>
    <row r="5756" spans="2:6">
      <c r="B5756" s="75"/>
      <c r="C5756" s="75"/>
      <c r="D5756" s="75"/>
      <c r="E5756" s="75"/>
      <c r="F5756" s="75"/>
    </row>
    <row r="5757" spans="2:6">
      <c r="B5757" s="75"/>
      <c r="C5757" s="75"/>
      <c r="D5757" s="75"/>
      <c r="E5757" s="75"/>
      <c r="F5757" s="75"/>
    </row>
    <row r="5758" spans="2:6">
      <c r="B5758" s="75"/>
      <c r="C5758" s="75"/>
      <c r="D5758" s="75"/>
      <c r="E5758" s="75"/>
      <c r="F5758" s="75"/>
    </row>
    <row r="5759" spans="2:6">
      <c r="B5759" s="75"/>
      <c r="C5759" s="75"/>
      <c r="D5759" s="75"/>
      <c r="E5759" s="75"/>
      <c r="F5759" s="75"/>
    </row>
    <row r="5760" spans="2:6">
      <c r="B5760" s="75"/>
      <c r="C5760" s="75"/>
      <c r="D5760" s="75"/>
      <c r="E5760" s="75"/>
      <c r="F5760" s="75"/>
    </row>
    <row r="5761" spans="2:6">
      <c r="B5761" s="75"/>
      <c r="C5761" s="75"/>
      <c r="D5761" s="75"/>
      <c r="E5761" s="75"/>
      <c r="F5761" s="75"/>
    </row>
    <row r="5762" spans="2:6">
      <c r="B5762" s="75"/>
      <c r="C5762" s="75"/>
      <c r="D5762" s="75"/>
      <c r="E5762" s="75"/>
      <c r="F5762" s="75"/>
    </row>
    <row r="5763" spans="2:6">
      <c r="B5763" s="75"/>
      <c r="C5763" s="75"/>
      <c r="D5763" s="75"/>
      <c r="E5763" s="75"/>
      <c r="F5763" s="75"/>
    </row>
    <row r="5764" spans="2:6">
      <c r="B5764" s="75"/>
      <c r="C5764" s="75"/>
      <c r="D5764" s="75"/>
      <c r="E5764" s="75"/>
      <c r="F5764" s="75"/>
    </row>
    <row r="5765" spans="2:6">
      <c r="B5765" s="75"/>
      <c r="C5765" s="75"/>
      <c r="D5765" s="75"/>
      <c r="E5765" s="75"/>
      <c r="F5765" s="75"/>
    </row>
    <row r="5766" spans="2:6">
      <c r="B5766" s="75"/>
      <c r="C5766" s="75"/>
      <c r="D5766" s="75"/>
      <c r="E5766" s="75"/>
      <c r="F5766" s="75"/>
    </row>
    <row r="5767" spans="2:6">
      <c r="B5767" s="75"/>
      <c r="C5767" s="75"/>
      <c r="D5767" s="75"/>
      <c r="E5767" s="75"/>
      <c r="F5767" s="75"/>
    </row>
    <row r="5768" spans="2:6">
      <c r="B5768" s="75"/>
      <c r="C5768" s="75"/>
      <c r="D5768" s="75"/>
      <c r="E5768" s="75"/>
      <c r="F5768" s="75"/>
    </row>
    <row r="5769" spans="2:6">
      <c r="B5769" s="75"/>
      <c r="C5769" s="75"/>
      <c r="D5769" s="75"/>
      <c r="E5769" s="75"/>
      <c r="F5769" s="75"/>
    </row>
    <row r="5770" spans="2:6">
      <c r="B5770" s="75"/>
      <c r="C5770" s="75"/>
      <c r="D5770" s="75"/>
      <c r="E5770" s="75"/>
      <c r="F5770" s="75"/>
    </row>
    <row r="5771" spans="2:6">
      <c r="B5771" s="75"/>
      <c r="C5771" s="75"/>
      <c r="D5771" s="75"/>
      <c r="E5771" s="75"/>
      <c r="F5771" s="75"/>
    </row>
    <row r="5772" spans="2:6">
      <c r="B5772" s="75"/>
      <c r="C5772" s="75"/>
      <c r="D5772" s="75"/>
      <c r="E5772" s="75"/>
      <c r="F5772" s="75"/>
    </row>
    <row r="5773" spans="2:6">
      <c r="B5773" s="75"/>
      <c r="C5773" s="75"/>
      <c r="D5773" s="75"/>
      <c r="E5773" s="75"/>
      <c r="F5773" s="75"/>
    </row>
    <row r="5774" spans="2:6">
      <c r="B5774" s="75"/>
      <c r="C5774" s="75"/>
      <c r="D5774" s="75"/>
      <c r="E5774" s="75"/>
      <c r="F5774" s="75"/>
    </row>
    <row r="5775" spans="2:6">
      <c r="B5775" s="75"/>
      <c r="C5775" s="75"/>
      <c r="D5775" s="75"/>
      <c r="E5775" s="75"/>
      <c r="F5775" s="75"/>
    </row>
    <row r="5776" spans="2:6">
      <c r="B5776" s="75"/>
      <c r="C5776" s="75"/>
      <c r="D5776" s="75"/>
      <c r="E5776" s="75"/>
      <c r="F5776" s="75"/>
    </row>
    <row r="5777" spans="2:6">
      <c r="B5777" s="75"/>
      <c r="C5777" s="75"/>
      <c r="D5777" s="75"/>
      <c r="E5777" s="75"/>
      <c r="F5777" s="75"/>
    </row>
    <row r="5778" spans="2:6">
      <c r="B5778" s="75"/>
      <c r="C5778" s="75"/>
      <c r="D5778" s="75"/>
      <c r="E5778" s="75"/>
      <c r="F5778" s="75"/>
    </row>
    <row r="5779" spans="2:6">
      <c r="B5779" s="75"/>
      <c r="C5779" s="75"/>
      <c r="D5779" s="75"/>
      <c r="E5779" s="75"/>
      <c r="F5779" s="75"/>
    </row>
    <row r="5780" spans="2:6">
      <c r="B5780" s="75"/>
      <c r="C5780" s="75"/>
      <c r="D5780" s="75"/>
      <c r="E5780" s="75"/>
      <c r="F5780" s="75"/>
    </row>
    <row r="5781" spans="2:6">
      <c r="B5781" s="75"/>
      <c r="C5781" s="75"/>
      <c r="D5781" s="75"/>
      <c r="E5781" s="75"/>
      <c r="F5781" s="75"/>
    </row>
    <row r="5782" spans="2:6">
      <c r="B5782" s="75"/>
      <c r="C5782" s="75"/>
      <c r="D5782" s="75"/>
      <c r="E5782" s="75"/>
      <c r="F5782" s="75"/>
    </row>
    <row r="5783" spans="2:6">
      <c r="B5783" s="75"/>
      <c r="C5783" s="75"/>
      <c r="D5783" s="75"/>
      <c r="E5783" s="75"/>
      <c r="F5783" s="75"/>
    </row>
    <row r="5784" spans="2:6">
      <c r="B5784" s="75"/>
      <c r="C5784" s="75"/>
      <c r="D5784" s="75"/>
      <c r="E5784" s="75"/>
      <c r="F5784" s="75"/>
    </row>
    <row r="5785" spans="2:6">
      <c r="B5785" s="75"/>
      <c r="C5785" s="75"/>
      <c r="D5785" s="75"/>
      <c r="E5785" s="75"/>
      <c r="F5785" s="75"/>
    </row>
    <row r="5786" spans="2:6">
      <c r="B5786" s="75"/>
      <c r="C5786" s="75"/>
      <c r="D5786" s="75"/>
      <c r="E5786" s="75"/>
      <c r="F5786" s="75"/>
    </row>
    <row r="5787" spans="2:6">
      <c r="B5787" s="75"/>
      <c r="C5787" s="75"/>
      <c r="D5787" s="75"/>
      <c r="E5787" s="75"/>
      <c r="F5787" s="75"/>
    </row>
    <row r="5788" spans="2:6">
      <c r="B5788" s="75"/>
      <c r="C5788" s="75"/>
      <c r="D5788" s="75"/>
      <c r="E5788" s="75"/>
      <c r="F5788" s="75"/>
    </row>
    <row r="5789" spans="2:6">
      <c r="B5789" s="75"/>
      <c r="C5789" s="75"/>
      <c r="D5789" s="75"/>
      <c r="E5789" s="75"/>
      <c r="F5789" s="75"/>
    </row>
    <row r="5790" spans="2:6">
      <c r="B5790" s="75"/>
      <c r="C5790" s="75"/>
      <c r="D5790" s="75"/>
      <c r="E5790" s="75"/>
      <c r="F5790" s="75"/>
    </row>
    <row r="5791" spans="2:6">
      <c r="B5791" s="75"/>
      <c r="C5791" s="75"/>
      <c r="D5791" s="75"/>
      <c r="E5791" s="75"/>
      <c r="F5791" s="75"/>
    </row>
    <row r="5792" spans="2:6">
      <c r="B5792" s="75"/>
      <c r="C5792" s="75"/>
      <c r="D5792" s="75"/>
      <c r="E5792" s="75"/>
      <c r="F5792" s="75"/>
    </row>
    <row r="5793" spans="2:6">
      <c r="B5793" s="75"/>
      <c r="C5793" s="75"/>
      <c r="D5793" s="75"/>
      <c r="E5793" s="75"/>
      <c r="F5793" s="75"/>
    </row>
    <row r="5794" spans="2:6">
      <c r="B5794" s="75"/>
      <c r="C5794" s="75"/>
      <c r="D5794" s="75"/>
      <c r="E5794" s="75"/>
      <c r="F5794" s="75"/>
    </row>
    <row r="5795" spans="2:6">
      <c r="B5795" s="75"/>
      <c r="C5795" s="75"/>
      <c r="D5795" s="75"/>
      <c r="E5795" s="75"/>
      <c r="F5795" s="75"/>
    </row>
    <row r="5796" spans="2:6">
      <c r="B5796" s="75"/>
      <c r="C5796" s="75"/>
      <c r="D5796" s="75"/>
      <c r="E5796" s="75"/>
      <c r="F5796" s="75"/>
    </row>
    <row r="5797" spans="2:6">
      <c r="B5797" s="75"/>
      <c r="C5797" s="75"/>
      <c r="D5797" s="75"/>
      <c r="E5797" s="75"/>
      <c r="F5797" s="75"/>
    </row>
    <row r="5798" spans="2:6">
      <c r="B5798" s="75"/>
      <c r="C5798" s="75"/>
      <c r="D5798" s="75"/>
      <c r="E5798" s="75"/>
      <c r="F5798" s="75"/>
    </row>
    <row r="5799" spans="2:6">
      <c r="B5799" s="75"/>
      <c r="C5799" s="75"/>
      <c r="D5799" s="75"/>
      <c r="E5799" s="75"/>
      <c r="F5799" s="75"/>
    </row>
    <row r="5800" spans="2:6">
      <c r="B5800" s="75"/>
      <c r="C5800" s="75"/>
      <c r="D5800" s="75"/>
      <c r="E5800" s="75"/>
      <c r="F5800" s="75"/>
    </row>
    <row r="5801" spans="2:6">
      <c r="B5801" s="75"/>
      <c r="C5801" s="75"/>
      <c r="D5801" s="75"/>
      <c r="E5801" s="75"/>
      <c r="F5801" s="75"/>
    </row>
    <row r="5802" spans="2:6">
      <c r="B5802" s="75"/>
      <c r="C5802" s="75"/>
      <c r="D5802" s="75"/>
      <c r="E5802" s="75"/>
      <c r="F5802" s="75"/>
    </row>
    <row r="5803" spans="2:6">
      <c r="B5803" s="75"/>
      <c r="C5803" s="75"/>
      <c r="D5803" s="75"/>
      <c r="E5803" s="75"/>
      <c r="F5803" s="75"/>
    </row>
    <row r="5804" spans="2:6">
      <c r="B5804" s="75"/>
      <c r="C5804" s="75"/>
      <c r="D5804" s="75"/>
      <c r="E5804" s="75"/>
      <c r="F5804" s="75"/>
    </row>
    <row r="5805" spans="2:6">
      <c r="B5805" s="75"/>
      <c r="C5805" s="75"/>
      <c r="D5805" s="75"/>
      <c r="E5805" s="75"/>
      <c r="F5805" s="75"/>
    </row>
    <row r="5806" spans="2:6">
      <c r="B5806" s="75"/>
      <c r="C5806" s="75"/>
      <c r="D5806" s="75"/>
      <c r="E5806" s="75"/>
      <c r="F5806" s="75"/>
    </row>
    <row r="5807" spans="2:6">
      <c r="B5807" s="75"/>
      <c r="C5807" s="75"/>
      <c r="D5807" s="75"/>
      <c r="E5807" s="75"/>
      <c r="F5807" s="75"/>
    </row>
    <row r="5808" spans="2:6">
      <c r="B5808" s="75"/>
      <c r="C5808" s="75"/>
      <c r="D5808" s="75"/>
      <c r="E5808" s="75"/>
      <c r="F5808" s="75"/>
    </row>
    <row r="5809" spans="2:6">
      <c r="B5809" s="75"/>
      <c r="C5809" s="75"/>
      <c r="D5809" s="75"/>
      <c r="E5809" s="75"/>
      <c r="F5809" s="75"/>
    </row>
    <row r="5810" spans="2:6">
      <c r="B5810" s="75"/>
      <c r="C5810" s="75"/>
      <c r="D5810" s="75"/>
      <c r="E5810" s="75"/>
      <c r="F5810" s="75"/>
    </row>
    <row r="5811" spans="2:6">
      <c r="B5811" s="75"/>
      <c r="C5811" s="75"/>
      <c r="D5811" s="75"/>
      <c r="E5811" s="75"/>
      <c r="F5811" s="75"/>
    </row>
    <row r="5812" spans="2:6">
      <c r="B5812" s="75"/>
      <c r="C5812" s="75"/>
      <c r="D5812" s="75"/>
      <c r="E5812" s="75"/>
      <c r="F5812" s="75"/>
    </row>
    <row r="5813" spans="2:6">
      <c r="B5813" s="75"/>
      <c r="C5813" s="75"/>
      <c r="D5813" s="75"/>
      <c r="E5813" s="75"/>
      <c r="F5813" s="75"/>
    </row>
    <row r="5814" spans="2:6">
      <c r="B5814" s="75"/>
      <c r="C5814" s="75"/>
      <c r="D5814" s="75"/>
      <c r="E5814" s="75"/>
      <c r="F5814" s="75"/>
    </row>
    <row r="5815" spans="2:6">
      <c r="B5815" s="75"/>
      <c r="C5815" s="75"/>
      <c r="D5815" s="75"/>
      <c r="E5815" s="75"/>
      <c r="F5815" s="75"/>
    </row>
    <row r="5816" spans="2:6">
      <c r="B5816" s="75"/>
      <c r="C5816" s="75"/>
      <c r="D5816" s="75"/>
      <c r="E5816" s="75"/>
      <c r="F5816" s="75"/>
    </row>
    <row r="5817" spans="2:6">
      <c r="B5817" s="75"/>
      <c r="C5817" s="75"/>
      <c r="D5817" s="75"/>
      <c r="E5817" s="75"/>
      <c r="F5817" s="75"/>
    </row>
    <row r="5818" spans="2:6">
      <c r="B5818" s="75"/>
      <c r="C5818" s="75"/>
      <c r="D5818" s="75"/>
      <c r="E5818" s="75"/>
      <c r="F5818" s="75"/>
    </row>
    <row r="5819" spans="2:6">
      <c r="B5819" s="75"/>
      <c r="C5819" s="75"/>
      <c r="D5819" s="75"/>
      <c r="E5819" s="75"/>
      <c r="F5819" s="75"/>
    </row>
    <row r="5820" spans="2:6">
      <c r="B5820" s="75"/>
      <c r="C5820" s="75"/>
      <c r="D5820" s="75"/>
      <c r="E5820" s="75"/>
      <c r="F5820" s="75"/>
    </row>
    <row r="5821" spans="2:6">
      <c r="B5821" s="75"/>
      <c r="C5821" s="75"/>
      <c r="D5821" s="75"/>
      <c r="E5821" s="75"/>
      <c r="F5821" s="75"/>
    </row>
    <row r="5822" spans="2:6">
      <c r="B5822" s="75"/>
      <c r="C5822" s="75"/>
      <c r="D5822" s="75"/>
      <c r="E5822" s="75"/>
      <c r="F5822" s="75"/>
    </row>
    <row r="5823" spans="2:6">
      <c r="B5823" s="75"/>
      <c r="C5823" s="75"/>
      <c r="D5823" s="75"/>
      <c r="E5823" s="75"/>
      <c r="F5823" s="75"/>
    </row>
    <row r="5824" spans="2:6">
      <c r="B5824" s="75"/>
      <c r="C5824" s="75"/>
      <c r="D5824" s="75"/>
      <c r="E5824" s="75"/>
      <c r="F5824" s="75"/>
    </row>
    <row r="5825" spans="2:6">
      <c r="B5825" s="75"/>
      <c r="C5825" s="75"/>
      <c r="D5825" s="75"/>
      <c r="E5825" s="75"/>
      <c r="F5825" s="75"/>
    </row>
    <row r="5826" spans="2:6">
      <c r="B5826" s="75"/>
      <c r="C5826" s="75"/>
      <c r="D5826" s="75"/>
      <c r="E5826" s="75"/>
      <c r="F5826" s="75"/>
    </row>
    <row r="5827" spans="2:6">
      <c r="B5827" s="75"/>
      <c r="C5827" s="75"/>
      <c r="D5827" s="75"/>
      <c r="E5827" s="75"/>
      <c r="F5827" s="75"/>
    </row>
    <row r="5828" spans="2:6">
      <c r="B5828" s="75"/>
      <c r="C5828" s="75"/>
      <c r="D5828" s="75"/>
      <c r="E5828" s="75"/>
      <c r="F5828" s="75"/>
    </row>
    <row r="5829" spans="2:6">
      <c r="B5829" s="75"/>
      <c r="C5829" s="75"/>
      <c r="D5829" s="75"/>
      <c r="E5829" s="75"/>
      <c r="F5829" s="75"/>
    </row>
    <row r="5830" spans="2:6">
      <c r="B5830" s="75"/>
      <c r="C5830" s="75"/>
      <c r="D5830" s="75"/>
      <c r="E5830" s="75"/>
      <c r="F5830" s="75"/>
    </row>
    <row r="5831" spans="2:6">
      <c r="B5831" s="75"/>
      <c r="C5831" s="75"/>
      <c r="D5831" s="75"/>
      <c r="E5831" s="75"/>
      <c r="F5831" s="75"/>
    </row>
    <row r="5832" spans="2:6">
      <c r="B5832" s="75"/>
      <c r="C5832" s="75"/>
      <c r="D5832" s="75"/>
      <c r="E5832" s="75"/>
      <c r="F5832" s="75"/>
    </row>
    <row r="5833" spans="2:6">
      <c r="B5833" s="75"/>
      <c r="C5833" s="75"/>
      <c r="D5833" s="75"/>
      <c r="E5833" s="75"/>
      <c r="F5833" s="75"/>
    </row>
    <row r="5834" spans="2:6">
      <c r="B5834" s="75"/>
      <c r="C5834" s="75"/>
      <c r="D5834" s="75"/>
      <c r="E5834" s="75"/>
      <c r="F5834" s="75"/>
    </row>
    <row r="5835" spans="2:6">
      <c r="B5835" s="75"/>
      <c r="C5835" s="75"/>
      <c r="D5835" s="75"/>
      <c r="E5835" s="75"/>
      <c r="F5835" s="75"/>
    </row>
    <row r="5836" spans="2:6">
      <c r="B5836" s="75"/>
      <c r="C5836" s="75"/>
      <c r="D5836" s="75"/>
      <c r="E5836" s="75"/>
      <c r="F5836" s="75"/>
    </row>
    <row r="5837" spans="2:6">
      <c r="B5837" s="75"/>
      <c r="C5837" s="75"/>
      <c r="D5837" s="75"/>
      <c r="E5837" s="75"/>
      <c r="F5837" s="75"/>
    </row>
    <row r="5838" spans="2:6">
      <c r="B5838" s="75"/>
      <c r="C5838" s="75"/>
      <c r="D5838" s="75"/>
      <c r="E5838" s="75"/>
      <c r="F5838" s="75"/>
    </row>
    <row r="5839" spans="2:6">
      <c r="B5839" s="75"/>
      <c r="C5839" s="75"/>
      <c r="D5839" s="75"/>
      <c r="E5839" s="75"/>
      <c r="F5839" s="75"/>
    </row>
    <row r="5840" spans="2:6">
      <c r="B5840" s="75"/>
      <c r="C5840" s="75"/>
      <c r="D5840" s="75"/>
      <c r="E5840" s="75"/>
      <c r="F5840" s="75"/>
    </row>
    <row r="5841" spans="2:6">
      <c r="B5841" s="75"/>
      <c r="C5841" s="75"/>
      <c r="D5841" s="75"/>
      <c r="E5841" s="75"/>
      <c r="F5841" s="75"/>
    </row>
    <row r="5842" spans="2:6">
      <c r="B5842" s="75"/>
      <c r="C5842" s="75"/>
      <c r="D5842" s="75"/>
      <c r="E5842" s="75"/>
      <c r="F5842" s="75"/>
    </row>
    <row r="5843" spans="2:6">
      <c r="B5843" s="75"/>
      <c r="C5843" s="75"/>
      <c r="D5843" s="75"/>
      <c r="E5843" s="75"/>
      <c r="F5843" s="75"/>
    </row>
    <row r="5844" spans="2:6">
      <c r="B5844" s="75"/>
      <c r="C5844" s="75"/>
      <c r="D5844" s="75"/>
      <c r="E5844" s="75"/>
      <c r="F5844" s="75"/>
    </row>
    <row r="5845" spans="2:6">
      <c r="B5845" s="75"/>
      <c r="C5845" s="75"/>
      <c r="D5845" s="75"/>
      <c r="E5845" s="75"/>
      <c r="F5845" s="75"/>
    </row>
    <row r="5846" spans="2:6">
      <c r="B5846" s="75"/>
      <c r="C5846" s="75"/>
      <c r="D5846" s="75"/>
      <c r="E5846" s="75"/>
      <c r="F5846" s="75"/>
    </row>
    <row r="5847" spans="2:6">
      <c r="B5847" s="75"/>
      <c r="C5847" s="75"/>
      <c r="D5847" s="75"/>
      <c r="E5847" s="75"/>
      <c r="F5847" s="75"/>
    </row>
    <row r="5848" spans="2:6">
      <c r="B5848" s="75"/>
      <c r="C5848" s="75"/>
      <c r="D5848" s="75"/>
      <c r="E5848" s="75"/>
      <c r="F5848" s="75"/>
    </row>
    <row r="5849" spans="2:6">
      <c r="B5849" s="75"/>
      <c r="C5849" s="75"/>
      <c r="D5849" s="75"/>
      <c r="E5849" s="75"/>
      <c r="F5849" s="75"/>
    </row>
    <row r="5850" spans="2:6">
      <c r="B5850" s="75"/>
      <c r="C5850" s="75"/>
      <c r="D5850" s="75"/>
      <c r="E5850" s="75"/>
      <c r="F5850" s="75"/>
    </row>
    <row r="5851" spans="2:6">
      <c r="B5851" s="75"/>
      <c r="C5851" s="75"/>
      <c r="D5851" s="75"/>
      <c r="E5851" s="75"/>
      <c r="F5851" s="75"/>
    </row>
    <row r="5852" spans="2:6">
      <c r="B5852" s="75"/>
      <c r="C5852" s="75"/>
      <c r="D5852" s="75"/>
      <c r="E5852" s="75"/>
      <c r="F5852" s="75"/>
    </row>
    <row r="5853" spans="2:6">
      <c r="B5853" s="75"/>
      <c r="C5853" s="75"/>
      <c r="D5853" s="75"/>
      <c r="E5853" s="75"/>
      <c r="F5853" s="75"/>
    </row>
    <row r="5854" spans="2:6">
      <c r="B5854" s="75"/>
      <c r="C5854" s="75"/>
      <c r="D5854" s="75"/>
      <c r="E5854" s="75"/>
      <c r="F5854" s="75"/>
    </row>
    <row r="5855" spans="2:6">
      <c r="B5855" s="75"/>
      <c r="C5855" s="75"/>
      <c r="D5855" s="75"/>
      <c r="E5855" s="75"/>
      <c r="F5855" s="75"/>
    </row>
    <row r="5856" spans="2:6">
      <c r="B5856" s="75"/>
      <c r="C5856" s="75"/>
      <c r="D5856" s="75"/>
      <c r="E5856" s="75"/>
      <c r="F5856" s="75"/>
    </row>
    <row r="5857" spans="2:6">
      <c r="B5857" s="75"/>
      <c r="C5857" s="75"/>
      <c r="D5857" s="75"/>
      <c r="E5857" s="75"/>
      <c r="F5857" s="75"/>
    </row>
    <row r="5858" spans="2:6">
      <c r="B5858" s="75"/>
      <c r="C5858" s="75"/>
      <c r="D5858" s="75"/>
      <c r="E5858" s="75"/>
      <c r="F5858" s="75"/>
    </row>
    <row r="5859" spans="2:6">
      <c r="B5859" s="75"/>
      <c r="C5859" s="75"/>
      <c r="D5859" s="75"/>
      <c r="E5859" s="75"/>
      <c r="F5859" s="75"/>
    </row>
    <row r="5860" spans="2:6">
      <c r="B5860" s="75"/>
      <c r="C5860" s="75"/>
      <c r="D5860" s="75"/>
      <c r="E5860" s="75"/>
      <c r="F5860" s="75"/>
    </row>
    <row r="5861" spans="2:6">
      <c r="B5861" s="75"/>
      <c r="C5861" s="75"/>
      <c r="D5861" s="75"/>
      <c r="E5861" s="75"/>
      <c r="F5861" s="75"/>
    </row>
    <row r="5862" spans="2:6">
      <c r="B5862" s="75"/>
      <c r="C5862" s="75"/>
      <c r="D5862" s="75"/>
      <c r="E5862" s="75"/>
      <c r="F5862" s="75"/>
    </row>
    <row r="5863" spans="2:6">
      <c r="B5863" s="75"/>
      <c r="C5863" s="75"/>
      <c r="D5863" s="75"/>
      <c r="E5863" s="75"/>
      <c r="F5863" s="75"/>
    </row>
    <row r="5864" spans="2:6">
      <c r="B5864" s="75"/>
      <c r="C5864" s="75"/>
      <c r="D5864" s="75"/>
      <c r="E5864" s="75"/>
      <c r="F5864" s="75"/>
    </row>
    <row r="5865" spans="2:6">
      <c r="B5865" s="75"/>
      <c r="C5865" s="75"/>
      <c r="D5865" s="75"/>
      <c r="E5865" s="75"/>
      <c r="F5865" s="75"/>
    </row>
    <row r="5866" spans="2:6">
      <c r="B5866" s="75"/>
      <c r="C5866" s="75"/>
      <c r="D5866" s="75"/>
      <c r="E5866" s="75"/>
      <c r="F5866" s="75"/>
    </row>
    <row r="5867" spans="2:6">
      <c r="B5867" s="75"/>
      <c r="C5867" s="75"/>
      <c r="D5867" s="75"/>
      <c r="E5867" s="75"/>
      <c r="F5867" s="75"/>
    </row>
    <row r="5868" spans="2:6">
      <c r="B5868" s="75"/>
      <c r="C5868" s="75"/>
      <c r="D5868" s="75"/>
      <c r="E5868" s="75"/>
      <c r="F5868" s="75"/>
    </row>
    <row r="5869" spans="2:6">
      <c r="B5869" s="75"/>
      <c r="C5869" s="75"/>
      <c r="D5869" s="75"/>
      <c r="E5869" s="75"/>
      <c r="F5869" s="75"/>
    </row>
    <row r="5870" spans="2:6">
      <c r="B5870" s="75"/>
      <c r="C5870" s="75"/>
      <c r="D5870" s="75"/>
      <c r="E5870" s="75"/>
      <c r="F5870" s="75"/>
    </row>
    <row r="5871" spans="2:6">
      <c r="B5871" s="75"/>
      <c r="C5871" s="75"/>
      <c r="D5871" s="75"/>
      <c r="E5871" s="75"/>
      <c r="F5871" s="75"/>
    </row>
    <row r="5872" spans="2:6">
      <c r="B5872" s="75"/>
      <c r="C5872" s="75"/>
      <c r="D5872" s="75"/>
      <c r="E5872" s="75"/>
      <c r="F5872" s="75"/>
    </row>
    <row r="5873" spans="2:6">
      <c r="B5873" s="75"/>
      <c r="C5873" s="75"/>
      <c r="D5873" s="75"/>
      <c r="E5873" s="75"/>
      <c r="F5873" s="75"/>
    </row>
    <row r="5874" spans="2:6">
      <c r="B5874" s="75"/>
      <c r="C5874" s="75"/>
      <c r="D5874" s="75"/>
      <c r="E5874" s="75"/>
      <c r="F5874" s="75"/>
    </row>
    <row r="5875" spans="2:6">
      <c r="B5875" s="75"/>
      <c r="C5875" s="75"/>
      <c r="D5875" s="75"/>
      <c r="E5875" s="75"/>
      <c r="F5875" s="75"/>
    </row>
    <row r="5876" spans="2:6">
      <c r="B5876" s="75"/>
      <c r="C5876" s="75"/>
      <c r="D5876" s="75"/>
      <c r="E5876" s="75"/>
      <c r="F5876" s="75"/>
    </row>
    <row r="5877" spans="2:6">
      <c r="B5877" s="75"/>
      <c r="C5877" s="75"/>
      <c r="D5877" s="75"/>
      <c r="E5877" s="75"/>
      <c r="F5877" s="75"/>
    </row>
    <row r="5878" spans="2:6">
      <c r="B5878" s="75"/>
      <c r="C5878" s="75"/>
      <c r="D5878" s="75"/>
      <c r="E5878" s="75"/>
      <c r="F5878" s="75"/>
    </row>
    <row r="5879" spans="2:6">
      <c r="B5879" s="75"/>
      <c r="C5879" s="75"/>
      <c r="D5879" s="75"/>
      <c r="E5879" s="75"/>
      <c r="F5879" s="75"/>
    </row>
    <row r="5880" spans="2:6">
      <c r="B5880" s="75"/>
      <c r="C5880" s="75"/>
      <c r="D5880" s="75"/>
      <c r="E5880" s="75"/>
      <c r="F5880" s="75"/>
    </row>
    <row r="5881" spans="2:6">
      <c r="B5881" s="75"/>
      <c r="C5881" s="75"/>
      <c r="D5881" s="75"/>
      <c r="E5881" s="75"/>
      <c r="F5881" s="75"/>
    </row>
    <row r="5882" spans="2:6">
      <c r="B5882" s="75"/>
      <c r="C5882" s="75"/>
      <c r="D5882" s="75"/>
      <c r="E5882" s="75"/>
      <c r="F5882" s="75"/>
    </row>
    <row r="5883" spans="2:6">
      <c r="B5883" s="75"/>
      <c r="C5883" s="75"/>
      <c r="D5883" s="75"/>
      <c r="E5883" s="75"/>
      <c r="F5883" s="75"/>
    </row>
    <row r="5884" spans="2:6">
      <c r="B5884" s="75"/>
      <c r="C5884" s="75"/>
      <c r="D5884" s="75"/>
      <c r="E5884" s="75"/>
      <c r="F5884" s="75"/>
    </row>
    <row r="5885" spans="2:6">
      <c r="B5885" s="75"/>
      <c r="C5885" s="75"/>
      <c r="D5885" s="75"/>
      <c r="E5885" s="75"/>
      <c r="F5885" s="75"/>
    </row>
    <row r="5886" spans="2:6">
      <c r="B5886" s="75"/>
      <c r="C5886" s="75"/>
      <c r="D5886" s="75"/>
      <c r="E5886" s="75"/>
      <c r="F5886" s="75"/>
    </row>
    <row r="5887" spans="2:6">
      <c r="B5887" s="75"/>
      <c r="C5887" s="75"/>
      <c r="D5887" s="75"/>
      <c r="E5887" s="75"/>
      <c r="F5887" s="75"/>
    </row>
    <row r="5888" spans="2:6">
      <c r="B5888" s="75"/>
      <c r="C5888" s="75"/>
      <c r="D5888" s="75"/>
      <c r="E5888" s="75"/>
      <c r="F5888" s="75"/>
    </row>
    <row r="5889" spans="2:6">
      <c r="B5889" s="75"/>
      <c r="C5889" s="75"/>
      <c r="D5889" s="75"/>
      <c r="E5889" s="75"/>
      <c r="F5889" s="75"/>
    </row>
    <row r="5890" spans="2:6">
      <c r="B5890" s="75"/>
      <c r="C5890" s="75"/>
      <c r="D5890" s="75"/>
      <c r="E5890" s="75"/>
      <c r="F5890" s="75"/>
    </row>
    <row r="5891" spans="2:6">
      <c r="B5891" s="75"/>
      <c r="C5891" s="75"/>
      <c r="D5891" s="75"/>
      <c r="E5891" s="75"/>
      <c r="F5891" s="75"/>
    </row>
    <row r="5892" spans="2:6">
      <c r="B5892" s="75"/>
      <c r="C5892" s="75"/>
      <c r="D5892" s="75"/>
      <c r="E5892" s="75"/>
      <c r="F5892" s="75"/>
    </row>
    <row r="5893" spans="2:6">
      <c r="B5893" s="75"/>
      <c r="C5893" s="75"/>
      <c r="D5893" s="75"/>
      <c r="E5893" s="75"/>
      <c r="F5893" s="75"/>
    </row>
    <row r="5894" spans="2:6">
      <c r="B5894" s="75"/>
      <c r="C5894" s="75"/>
      <c r="D5894" s="75"/>
      <c r="E5894" s="75"/>
      <c r="F5894" s="75"/>
    </row>
    <row r="5895" spans="2:6">
      <c r="B5895" s="75"/>
      <c r="C5895" s="75"/>
      <c r="D5895" s="75"/>
      <c r="E5895" s="75"/>
      <c r="F5895" s="75"/>
    </row>
    <row r="5896" spans="2:6">
      <c r="B5896" s="75"/>
      <c r="C5896" s="75"/>
      <c r="D5896" s="75"/>
      <c r="E5896" s="75"/>
      <c r="F5896" s="75"/>
    </row>
    <row r="5897" spans="2:6">
      <c r="B5897" s="75"/>
      <c r="C5897" s="75"/>
      <c r="D5897" s="75"/>
      <c r="E5897" s="75"/>
      <c r="F5897" s="75"/>
    </row>
    <row r="5898" spans="2:6">
      <c r="B5898" s="75"/>
      <c r="C5898" s="75"/>
      <c r="D5898" s="75"/>
      <c r="E5898" s="75"/>
      <c r="F5898" s="75"/>
    </row>
    <row r="5899" spans="2:6">
      <c r="B5899" s="75"/>
      <c r="C5899" s="75"/>
      <c r="D5899" s="75"/>
      <c r="E5899" s="75"/>
      <c r="F5899" s="75"/>
    </row>
    <row r="5900" spans="2:6">
      <c r="B5900" s="75"/>
      <c r="C5900" s="75"/>
      <c r="D5900" s="75"/>
      <c r="E5900" s="75"/>
      <c r="F5900" s="75"/>
    </row>
    <row r="5901" spans="2:6">
      <c r="B5901" s="75"/>
      <c r="C5901" s="75"/>
      <c r="D5901" s="75"/>
      <c r="E5901" s="75"/>
      <c r="F5901" s="75"/>
    </row>
    <row r="5902" spans="2:6">
      <c r="B5902" s="75"/>
      <c r="C5902" s="75"/>
      <c r="D5902" s="75"/>
      <c r="E5902" s="75"/>
      <c r="F5902" s="75"/>
    </row>
    <row r="5903" spans="2:6">
      <c r="B5903" s="75"/>
      <c r="C5903" s="75"/>
      <c r="D5903" s="75"/>
      <c r="E5903" s="75"/>
      <c r="F5903" s="75"/>
    </row>
    <row r="5904" spans="2:6">
      <c r="B5904" s="75"/>
      <c r="C5904" s="75"/>
      <c r="D5904" s="75"/>
      <c r="E5904" s="75"/>
      <c r="F5904" s="75"/>
    </row>
    <row r="5905" spans="2:6">
      <c r="B5905" s="75"/>
      <c r="C5905" s="75"/>
      <c r="D5905" s="75"/>
      <c r="E5905" s="75"/>
      <c r="F5905" s="75"/>
    </row>
    <row r="5906" spans="2:6">
      <c r="B5906" s="75"/>
      <c r="C5906" s="75"/>
      <c r="D5906" s="75"/>
      <c r="E5906" s="75"/>
      <c r="F5906" s="75"/>
    </row>
    <row r="5907" spans="2:6">
      <c r="B5907" s="75"/>
      <c r="C5907" s="75"/>
      <c r="D5907" s="75"/>
      <c r="E5907" s="75"/>
      <c r="F5907" s="75"/>
    </row>
    <row r="5908" spans="2:6">
      <c r="B5908" s="75"/>
      <c r="C5908" s="75"/>
      <c r="D5908" s="75"/>
      <c r="E5908" s="75"/>
      <c r="F5908" s="75"/>
    </row>
    <row r="5909" spans="2:6">
      <c r="B5909" s="75"/>
      <c r="C5909" s="75"/>
      <c r="D5909" s="75"/>
      <c r="E5909" s="75"/>
      <c r="F5909" s="75"/>
    </row>
    <row r="5910" spans="2:6">
      <c r="B5910" s="75"/>
      <c r="C5910" s="75"/>
      <c r="D5910" s="75"/>
      <c r="E5910" s="75"/>
      <c r="F5910" s="75"/>
    </row>
    <row r="5911" spans="2:6">
      <c r="B5911" s="75"/>
      <c r="C5911" s="75"/>
      <c r="D5911" s="75"/>
      <c r="E5911" s="75"/>
      <c r="F5911" s="75"/>
    </row>
    <row r="5912" spans="2:6">
      <c r="B5912" s="75"/>
      <c r="C5912" s="75"/>
      <c r="D5912" s="75"/>
      <c r="E5912" s="75"/>
      <c r="F5912" s="75"/>
    </row>
    <row r="5913" spans="2:6">
      <c r="B5913" s="75"/>
      <c r="C5913" s="75"/>
      <c r="D5913" s="75"/>
      <c r="E5913" s="75"/>
      <c r="F5913" s="75"/>
    </row>
    <row r="5914" spans="2:6">
      <c r="B5914" s="75"/>
      <c r="C5914" s="75"/>
      <c r="D5914" s="75"/>
      <c r="E5914" s="75"/>
      <c r="F5914" s="75"/>
    </row>
    <row r="5915" spans="2:6">
      <c r="B5915" s="75"/>
      <c r="C5915" s="75"/>
      <c r="D5915" s="75"/>
      <c r="E5915" s="75"/>
      <c r="F5915" s="75"/>
    </row>
    <row r="5916" spans="2:6">
      <c r="B5916" s="75"/>
      <c r="C5916" s="75"/>
      <c r="D5916" s="75"/>
      <c r="E5916" s="75"/>
      <c r="F5916" s="75"/>
    </row>
    <row r="5917" spans="2:6">
      <c r="B5917" s="75"/>
      <c r="C5917" s="75"/>
      <c r="D5917" s="75"/>
      <c r="E5917" s="75"/>
      <c r="F5917" s="75"/>
    </row>
    <row r="5918" spans="2:6">
      <c r="B5918" s="75"/>
      <c r="C5918" s="75"/>
      <c r="D5918" s="75"/>
      <c r="E5918" s="75"/>
      <c r="F5918" s="75"/>
    </row>
    <row r="5919" spans="2:6">
      <c r="B5919" s="75"/>
      <c r="C5919" s="75"/>
      <c r="D5919" s="75"/>
      <c r="E5919" s="75"/>
      <c r="F5919" s="75"/>
    </row>
    <row r="5920" spans="2:6">
      <c r="B5920" s="75"/>
      <c r="C5920" s="75"/>
      <c r="D5920" s="75"/>
      <c r="E5920" s="75"/>
      <c r="F5920" s="75"/>
    </row>
    <row r="5921" spans="2:6">
      <c r="B5921" s="75"/>
      <c r="C5921" s="75"/>
      <c r="D5921" s="75"/>
      <c r="E5921" s="75"/>
      <c r="F5921" s="75"/>
    </row>
    <row r="5922" spans="2:6">
      <c r="B5922" s="75"/>
      <c r="C5922" s="75"/>
      <c r="D5922" s="75"/>
      <c r="E5922" s="75"/>
      <c r="F5922" s="75"/>
    </row>
    <row r="5923" spans="2:6">
      <c r="B5923" s="75"/>
      <c r="C5923" s="75"/>
      <c r="D5923" s="75"/>
      <c r="E5923" s="75"/>
      <c r="F5923" s="75"/>
    </row>
    <row r="5924" spans="2:6">
      <c r="B5924" s="75"/>
      <c r="C5924" s="75"/>
      <c r="D5924" s="75"/>
      <c r="E5924" s="75"/>
      <c r="F5924" s="75"/>
    </row>
    <row r="5925" spans="2:6">
      <c r="B5925" s="75"/>
      <c r="C5925" s="75"/>
      <c r="D5925" s="75"/>
      <c r="E5925" s="75"/>
      <c r="F5925" s="75"/>
    </row>
    <row r="5926" spans="2:6">
      <c r="B5926" s="75"/>
      <c r="C5926" s="75"/>
      <c r="D5926" s="75"/>
      <c r="E5926" s="75"/>
      <c r="F5926" s="75"/>
    </row>
    <row r="5927" spans="2:6">
      <c r="B5927" s="75"/>
      <c r="C5927" s="75"/>
      <c r="D5927" s="75"/>
      <c r="E5927" s="75"/>
      <c r="F5927" s="75"/>
    </row>
    <row r="5928" spans="2:6">
      <c r="B5928" s="75"/>
      <c r="C5928" s="75"/>
      <c r="D5928" s="75"/>
      <c r="E5928" s="75"/>
      <c r="F5928" s="75"/>
    </row>
    <row r="5929" spans="2:6">
      <c r="B5929" s="75"/>
      <c r="C5929" s="75"/>
      <c r="D5929" s="75"/>
      <c r="E5929" s="75"/>
      <c r="F5929" s="75"/>
    </row>
    <row r="5930" spans="2:6">
      <c r="B5930" s="75"/>
      <c r="C5930" s="75"/>
      <c r="D5930" s="75"/>
      <c r="E5930" s="75"/>
      <c r="F5930" s="75"/>
    </row>
    <row r="5931" spans="2:6">
      <c r="B5931" s="75"/>
      <c r="C5931" s="75"/>
      <c r="D5931" s="75"/>
      <c r="E5931" s="75"/>
      <c r="F5931" s="75"/>
    </row>
    <row r="5932" spans="2:6">
      <c r="B5932" s="75"/>
      <c r="C5932" s="75"/>
      <c r="D5932" s="75"/>
      <c r="E5932" s="75"/>
      <c r="F5932" s="75"/>
    </row>
    <row r="5933" spans="2:6">
      <c r="B5933" s="75"/>
      <c r="C5933" s="75"/>
      <c r="D5933" s="75"/>
      <c r="E5933" s="75"/>
      <c r="F5933" s="75"/>
    </row>
    <row r="5934" spans="2:6">
      <c r="B5934" s="75"/>
      <c r="C5934" s="75"/>
      <c r="D5934" s="75"/>
      <c r="E5934" s="75"/>
      <c r="F5934" s="75"/>
    </row>
    <row r="5935" spans="2:6">
      <c r="B5935" s="75"/>
      <c r="C5935" s="75"/>
      <c r="D5935" s="75"/>
      <c r="E5935" s="75"/>
      <c r="F5935" s="75"/>
    </row>
    <row r="5936" spans="2:6">
      <c r="B5936" s="75"/>
      <c r="C5936" s="75"/>
      <c r="D5936" s="75"/>
      <c r="E5936" s="75"/>
      <c r="F5936" s="75"/>
    </row>
    <row r="5937" spans="2:6">
      <c r="B5937" s="75"/>
      <c r="C5937" s="75"/>
      <c r="D5937" s="75"/>
      <c r="E5937" s="75"/>
      <c r="F5937" s="75"/>
    </row>
    <row r="5938" spans="2:6">
      <c r="B5938" s="75"/>
      <c r="C5938" s="75"/>
      <c r="D5938" s="75"/>
      <c r="E5938" s="75"/>
      <c r="F5938" s="75"/>
    </row>
    <row r="5939" spans="2:6">
      <c r="B5939" s="75"/>
      <c r="C5939" s="75"/>
      <c r="D5939" s="75"/>
      <c r="E5939" s="75"/>
      <c r="F5939" s="75"/>
    </row>
    <row r="5940" spans="2:6">
      <c r="B5940" s="75"/>
      <c r="C5940" s="75"/>
      <c r="D5940" s="75"/>
      <c r="E5940" s="75"/>
      <c r="F5940" s="75"/>
    </row>
    <row r="5941" spans="2:6">
      <c r="B5941" s="75"/>
      <c r="C5941" s="75"/>
      <c r="D5941" s="75"/>
      <c r="E5941" s="75"/>
      <c r="F5941" s="75"/>
    </row>
    <row r="5942" spans="2:6">
      <c r="B5942" s="75"/>
      <c r="C5942" s="75"/>
      <c r="D5942" s="75"/>
      <c r="E5942" s="75"/>
      <c r="F5942" s="75"/>
    </row>
    <row r="5943" spans="2:6">
      <c r="B5943" s="75"/>
      <c r="C5943" s="75"/>
      <c r="D5943" s="75"/>
      <c r="E5943" s="75"/>
      <c r="F5943" s="75"/>
    </row>
    <row r="5944" spans="2:6">
      <c r="B5944" s="75"/>
      <c r="C5944" s="75"/>
      <c r="D5944" s="75"/>
      <c r="E5944" s="75"/>
      <c r="F5944" s="75"/>
    </row>
    <row r="5945" spans="2:6">
      <c r="B5945" s="75"/>
      <c r="C5945" s="75"/>
      <c r="D5945" s="75"/>
      <c r="E5945" s="75"/>
      <c r="F5945" s="75"/>
    </row>
    <row r="5946" spans="2:6">
      <c r="B5946" s="75"/>
      <c r="C5946" s="75"/>
      <c r="D5946" s="75"/>
      <c r="E5946" s="75"/>
      <c r="F5946" s="75"/>
    </row>
    <row r="5947" spans="2:6">
      <c r="B5947" s="75"/>
      <c r="C5947" s="75"/>
      <c r="D5947" s="75"/>
      <c r="E5947" s="75"/>
      <c r="F5947" s="75"/>
    </row>
    <row r="5948" spans="2:6">
      <c r="B5948" s="75"/>
      <c r="C5948" s="75"/>
      <c r="D5948" s="75"/>
      <c r="E5948" s="75"/>
      <c r="F5948" s="75"/>
    </row>
    <row r="5949" spans="2:6">
      <c r="B5949" s="75"/>
      <c r="C5949" s="75"/>
      <c r="D5949" s="75"/>
      <c r="E5949" s="75"/>
      <c r="F5949" s="75"/>
    </row>
    <row r="5950" spans="2:6">
      <c r="B5950" s="75"/>
      <c r="C5950" s="75"/>
      <c r="D5950" s="75"/>
      <c r="E5950" s="75"/>
      <c r="F5950" s="75"/>
    </row>
    <row r="5951" spans="2:6">
      <c r="B5951" s="75"/>
      <c r="C5951" s="75"/>
      <c r="D5951" s="75"/>
      <c r="E5951" s="75"/>
      <c r="F5951" s="75"/>
    </row>
    <row r="5952" spans="2:6">
      <c r="B5952" s="75"/>
      <c r="C5952" s="75"/>
      <c r="D5952" s="75"/>
      <c r="E5952" s="75"/>
      <c r="F5952" s="75"/>
    </row>
    <row r="5953" spans="2:6">
      <c r="B5953" s="75"/>
      <c r="C5953" s="75"/>
      <c r="D5953" s="75"/>
      <c r="E5953" s="75"/>
      <c r="F5953" s="75"/>
    </row>
    <row r="5954" spans="2:6">
      <c r="B5954" s="75"/>
      <c r="C5954" s="75"/>
      <c r="D5954" s="75"/>
      <c r="E5954" s="75"/>
      <c r="F5954" s="75"/>
    </row>
    <row r="5955" spans="2:6">
      <c r="B5955" s="75"/>
      <c r="C5955" s="75"/>
      <c r="D5955" s="75"/>
      <c r="E5955" s="75"/>
      <c r="F5955" s="75"/>
    </row>
    <row r="5956" spans="2:6">
      <c r="B5956" s="75"/>
      <c r="C5956" s="75"/>
      <c r="D5956" s="75"/>
      <c r="E5956" s="75"/>
      <c r="F5956" s="75"/>
    </row>
    <row r="5957" spans="2:6">
      <c r="B5957" s="75"/>
      <c r="C5957" s="75"/>
      <c r="D5957" s="75"/>
      <c r="E5957" s="75"/>
      <c r="F5957" s="75"/>
    </row>
    <row r="5958" spans="2:6">
      <c r="B5958" s="75"/>
      <c r="C5958" s="75"/>
      <c r="D5958" s="75"/>
      <c r="E5958" s="75"/>
      <c r="F5958" s="75"/>
    </row>
    <row r="5959" spans="2:6">
      <c r="B5959" s="75"/>
      <c r="C5959" s="75"/>
      <c r="D5959" s="75"/>
      <c r="E5959" s="75"/>
      <c r="F5959" s="75"/>
    </row>
    <row r="5960" spans="2:6">
      <c r="B5960" s="75"/>
      <c r="C5960" s="75"/>
      <c r="D5960" s="75"/>
      <c r="E5960" s="75"/>
      <c r="F5960" s="75"/>
    </row>
    <row r="5961" spans="2:6">
      <c r="B5961" s="75"/>
      <c r="C5961" s="75"/>
      <c r="D5961" s="75"/>
      <c r="E5961" s="75"/>
      <c r="F5961" s="75"/>
    </row>
    <row r="5962" spans="2:6">
      <c r="B5962" s="75"/>
      <c r="C5962" s="75"/>
      <c r="D5962" s="75"/>
      <c r="E5962" s="75"/>
      <c r="F5962" s="75"/>
    </row>
    <row r="5963" spans="2:6">
      <c r="B5963" s="75"/>
      <c r="C5963" s="75"/>
      <c r="D5963" s="75"/>
      <c r="E5963" s="75"/>
      <c r="F5963" s="75"/>
    </row>
    <row r="5964" spans="2:6">
      <c r="B5964" s="75"/>
      <c r="C5964" s="75"/>
      <c r="D5964" s="75"/>
      <c r="E5964" s="75"/>
      <c r="F5964" s="75"/>
    </row>
    <row r="5965" spans="2:6">
      <c r="B5965" s="75"/>
      <c r="C5965" s="75"/>
      <c r="D5965" s="75"/>
      <c r="E5965" s="75"/>
      <c r="F5965" s="75"/>
    </row>
    <row r="5966" spans="2:6">
      <c r="B5966" s="75"/>
      <c r="C5966" s="75"/>
      <c r="D5966" s="75"/>
      <c r="E5966" s="75"/>
      <c r="F5966" s="75"/>
    </row>
    <row r="5967" spans="2:6">
      <c r="B5967" s="75"/>
      <c r="C5967" s="75"/>
      <c r="D5967" s="75"/>
      <c r="E5967" s="75"/>
      <c r="F5967" s="75"/>
    </row>
    <row r="5968" spans="2:6">
      <c r="B5968" s="75"/>
      <c r="C5968" s="75"/>
      <c r="D5968" s="75"/>
      <c r="E5968" s="75"/>
      <c r="F5968" s="75"/>
    </row>
    <row r="5969" spans="2:6">
      <c r="B5969" s="75"/>
      <c r="C5969" s="75"/>
      <c r="D5969" s="75"/>
      <c r="E5969" s="75"/>
      <c r="F5969" s="75"/>
    </row>
    <row r="5970" spans="2:6">
      <c r="B5970" s="75"/>
      <c r="C5970" s="75"/>
      <c r="D5970" s="75"/>
      <c r="E5970" s="75"/>
      <c r="F5970" s="75"/>
    </row>
    <row r="5971" spans="2:6">
      <c r="B5971" s="75"/>
      <c r="C5971" s="75"/>
      <c r="D5971" s="75"/>
      <c r="E5971" s="75"/>
      <c r="F5971" s="75"/>
    </row>
    <row r="5972" spans="2:6">
      <c r="B5972" s="75"/>
      <c r="C5972" s="75"/>
      <c r="D5972" s="75"/>
      <c r="E5972" s="75"/>
      <c r="F5972" s="75"/>
    </row>
    <row r="5973" spans="2:6">
      <c r="B5973" s="75"/>
      <c r="C5973" s="75"/>
      <c r="D5973" s="75"/>
      <c r="E5973" s="75"/>
      <c r="F5973" s="75"/>
    </row>
    <row r="5974" spans="2:6">
      <c r="B5974" s="75"/>
      <c r="C5974" s="75"/>
      <c r="D5974" s="75"/>
      <c r="E5974" s="75"/>
      <c r="F5974" s="75"/>
    </row>
    <row r="5975" spans="2:6">
      <c r="B5975" s="75"/>
      <c r="C5975" s="75"/>
      <c r="D5975" s="75"/>
      <c r="E5975" s="75"/>
      <c r="F5975" s="75"/>
    </row>
    <row r="5976" spans="2:6">
      <c r="B5976" s="75"/>
      <c r="C5976" s="75"/>
      <c r="D5976" s="75"/>
      <c r="E5976" s="75"/>
      <c r="F5976" s="75"/>
    </row>
    <row r="5977" spans="2:6">
      <c r="B5977" s="75"/>
      <c r="C5977" s="75"/>
      <c r="D5977" s="75"/>
      <c r="E5977" s="75"/>
      <c r="F5977" s="75"/>
    </row>
    <row r="5978" spans="2:6">
      <c r="B5978" s="75"/>
      <c r="C5978" s="75"/>
      <c r="D5978" s="75"/>
      <c r="E5978" s="75"/>
      <c r="F5978" s="75"/>
    </row>
    <row r="5979" spans="2:6">
      <c r="B5979" s="75"/>
      <c r="C5979" s="75"/>
      <c r="D5979" s="75"/>
      <c r="E5979" s="75"/>
      <c r="F5979" s="75"/>
    </row>
    <row r="5980" spans="2:6">
      <c r="B5980" s="75"/>
      <c r="C5980" s="75"/>
      <c r="D5980" s="75"/>
      <c r="E5980" s="75"/>
      <c r="F5980" s="75"/>
    </row>
    <row r="5981" spans="2:6">
      <c r="B5981" s="75"/>
      <c r="C5981" s="75"/>
      <c r="D5981" s="75"/>
      <c r="E5981" s="75"/>
      <c r="F5981" s="75"/>
    </row>
    <row r="5982" spans="2:6">
      <c r="B5982" s="75"/>
      <c r="C5982" s="75"/>
      <c r="D5982" s="75"/>
      <c r="E5982" s="75"/>
      <c r="F5982" s="75"/>
    </row>
    <row r="5983" spans="2:6">
      <c r="B5983" s="75"/>
      <c r="C5983" s="75"/>
      <c r="D5983" s="75"/>
      <c r="E5983" s="75"/>
      <c r="F5983" s="75"/>
    </row>
    <row r="5984" spans="2:6">
      <c r="B5984" s="75"/>
      <c r="C5984" s="75"/>
      <c r="D5984" s="75"/>
      <c r="E5984" s="75"/>
      <c r="F5984" s="75"/>
    </row>
    <row r="5985" spans="2:6">
      <c r="B5985" s="75"/>
      <c r="C5985" s="75"/>
      <c r="D5985" s="75"/>
      <c r="E5985" s="75"/>
      <c r="F5985" s="75"/>
    </row>
    <row r="5986" spans="2:6">
      <c r="B5986" s="75"/>
      <c r="C5986" s="75"/>
      <c r="D5986" s="75"/>
      <c r="E5986" s="75"/>
      <c r="F5986" s="75"/>
    </row>
    <row r="5987" spans="2:6">
      <c r="B5987" s="75"/>
      <c r="C5987" s="75"/>
      <c r="D5987" s="75"/>
      <c r="E5987" s="75"/>
      <c r="F5987" s="75"/>
    </row>
    <row r="5988" spans="2:6">
      <c r="B5988" s="75"/>
      <c r="C5988" s="75"/>
      <c r="D5988" s="75"/>
      <c r="E5988" s="75"/>
      <c r="F5988" s="75"/>
    </row>
    <row r="5989" spans="2:6">
      <c r="B5989" s="75"/>
      <c r="C5989" s="75"/>
      <c r="D5989" s="75"/>
      <c r="E5989" s="75"/>
      <c r="F5989" s="75"/>
    </row>
    <row r="5990" spans="2:6">
      <c r="B5990" s="75"/>
      <c r="C5990" s="75"/>
      <c r="D5990" s="75"/>
      <c r="E5990" s="75"/>
      <c r="F5990" s="75"/>
    </row>
    <row r="5991" spans="2:6">
      <c r="B5991" s="75"/>
      <c r="C5991" s="75"/>
      <c r="D5991" s="75"/>
      <c r="E5991" s="75"/>
      <c r="F5991" s="75"/>
    </row>
    <row r="5992" spans="2:6">
      <c r="B5992" s="75"/>
      <c r="C5992" s="75"/>
      <c r="D5992" s="75"/>
      <c r="E5992" s="75"/>
      <c r="F5992" s="75"/>
    </row>
    <row r="5993" spans="2:6">
      <c r="B5993" s="75"/>
      <c r="C5993" s="75"/>
      <c r="D5993" s="75"/>
      <c r="E5993" s="75"/>
      <c r="F5993" s="75"/>
    </row>
    <row r="5994" spans="2:6">
      <c r="B5994" s="75"/>
      <c r="C5994" s="75"/>
      <c r="D5994" s="75"/>
      <c r="E5994" s="75"/>
      <c r="F5994" s="75"/>
    </row>
    <row r="5995" spans="2:6">
      <c r="B5995" s="75"/>
      <c r="C5995" s="75"/>
      <c r="D5995" s="75"/>
      <c r="E5995" s="75"/>
      <c r="F5995" s="75"/>
    </row>
    <row r="5996" spans="2:6">
      <c r="B5996" s="75"/>
      <c r="C5996" s="75"/>
      <c r="D5996" s="75"/>
      <c r="E5996" s="75"/>
      <c r="F5996" s="75"/>
    </row>
    <row r="5997" spans="2:6">
      <c r="B5997" s="75"/>
      <c r="C5997" s="75"/>
      <c r="D5997" s="75"/>
      <c r="E5997" s="75"/>
      <c r="F5997" s="75"/>
    </row>
    <row r="5998" spans="2:6">
      <c r="B5998" s="75"/>
      <c r="C5998" s="75"/>
      <c r="D5998" s="75"/>
      <c r="E5998" s="75"/>
      <c r="F5998" s="75"/>
    </row>
    <row r="5999" spans="2:6">
      <c r="B5999" s="75"/>
      <c r="C5999" s="75"/>
      <c r="D5999" s="75"/>
      <c r="E5999" s="75"/>
      <c r="F5999" s="75"/>
    </row>
    <row r="6000" spans="2:6">
      <c r="B6000" s="75"/>
      <c r="C6000" s="75"/>
      <c r="D6000" s="75"/>
      <c r="E6000" s="75"/>
      <c r="F6000" s="75"/>
    </row>
    <row r="6001" spans="2:6">
      <c r="B6001" s="75"/>
      <c r="C6001" s="75"/>
      <c r="D6001" s="75"/>
      <c r="E6001" s="75"/>
      <c r="F6001" s="75"/>
    </row>
    <row r="6002" spans="2:6">
      <c r="B6002" s="75"/>
      <c r="C6002" s="75"/>
      <c r="D6002" s="75"/>
      <c r="E6002" s="75"/>
      <c r="F6002" s="75"/>
    </row>
    <row r="6003" spans="2:6">
      <c r="B6003" s="75"/>
      <c r="C6003" s="75"/>
      <c r="D6003" s="75"/>
      <c r="E6003" s="75"/>
      <c r="F6003" s="75"/>
    </row>
    <row r="6004" spans="2:6">
      <c r="B6004" s="75"/>
      <c r="C6004" s="75"/>
      <c r="D6004" s="75"/>
      <c r="E6004" s="75"/>
      <c r="F6004" s="75"/>
    </row>
    <row r="6005" spans="2:6">
      <c r="B6005" s="75"/>
      <c r="C6005" s="75"/>
      <c r="D6005" s="75"/>
      <c r="E6005" s="75"/>
      <c r="F6005" s="75"/>
    </row>
    <row r="6006" spans="2:6">
      <c r="B6006" s="75"/>
      <c r="C6006" s="75"/>
      <c r="D6006" s="75"/>
      <c r="E6006" s="75"/>
      <c r="F6006" s="75"/>
    </row>
    <row r="6007" spans="2:6">
      <c r="B6007" s="75"/>
      <c r="C6007" s="75"/>
      <c r="D6007" s="75"/>
      <c r="E6007" s="75"/>
      <c r="F6007" s="75"/>
    </row>
    <row r="6008" spans="2:6">
      <c r="B6008" s="75"/>
      <c r="C6008" s="75"/>
      <c r="D6008" s="75"/>
      <c r="E6008" s="75"/>
      <c r="F6008" s="75"/>
    </row>
    <row r="6009" spans="2:6">
      <c r="B6009" s="75"/>
      <c r="C6009" s="75"/>
      <c r="D6009" s="75"/>
      <c r="E6009" s="75"/>
      <c r="F6009" s="75"/>
    </row>
    <row r="6010" spans="2:6">
      <c r="B6010" s="75"/>
      <c r="C6010" s="75"/>
      <c r="D6010" s="75"/>
      <c r="E6010" s="75"/>
      <c r="F6010" s="75"/>
    </row>
    <row r="6011" spans="2:6">
      <c r="B6011" s="75"/>
      <c r="C6011" s="75"/>
      <c r="D6011" s="75"/>
      <c r="E6011" s="75"/>
      <c r="F6011" s="75"/>
    </row>
    <row r="6012" spans="2:6">
      <c r="B6012" s="75"/>
      <c r="C6012" s="75"/>
      <c r="D6012" s="75"/>
      <c r="E6012" s="75"/>
      <c r="F6012" s="75"/>
    </row>
    <row r="6013" spans="2:6">
      <c r="B6013" s="75"/>
      <c r="C6013" s="75"/>
      <c r="D6013" s="75"/>
      <c r="E6013" s="75"/>
      <c r="F6013" s="75"/>
    </row>
    <row r="6014" spans="2:6">
      <c r="B6014" s="75"/>
      <c r="C6014" s="75"/>
      <c r="D6014" s="75"/>
      <c r="E6014" s="75"/>
      <c r="F6014" s="75"/>
    </row>
    <row r="6015" spans="2:6">
      <c r="B6015" s="75"/>
      <c r="C6015" s="75"/>
      <c r="D6015" s="75"/>
      <c r="E6015" s="75"/>
      <c r="F6015" s="75"/>
    </row>
    <row r="6016" spans="2:6">
      <c r="B6016" s="75"/>
      <c r="C6016" s="75"/>
      <c r="D6016" s="75"/>
      <c r="E6016" s="75"/>
      <c r="F6016" s="75"/>
    </row>
    <row r="6017" spans="2:6">
      <c r="B6017" s="75"/>
      <c r="C6017" s="75"/>
      <c r="D6017" s="75"/>
      <c r="E6017" s="75"/>
      <c r="F6017" s="75"/>
    </row>
    <row r="6018" spans="2:6">
      <c r="B6018" s="75"/>
      <c r="C6018" s="75"/>
      <c r="D6018" s="75"/>
      <c r="E6018" s="75"/>
      <c r="F6018" s="75"/>
    </row>
    <row r="6019" spans="2:6">
      <c r="B6019" s="75"/>
      <c r="C6019" s="75"/>
      <c r="D6019" s="75"/>
      <c r="E6019" s="75"/>
      <c r="F6019" s="75"/>
    </row>
    <row r="6020" spans="2:6">
      <c r="B6020" s="75"/>
      <c r="C6020" s="75"/>
      <c r="D6020" s="75"/>
      <c r="E6020" s="75"/>
      <c r="F6020" s="75"/>
    </row>
    <row r="6021" spans="2:6">
      <c r="B6021" s="75"/>
      <c r="C6021" s="75"/>
      <c r="D6021" s="75"/>
      <c r="E6021" s="75"/>
      <c r="F6021" s="75"/>
    </row>
    <row r="6022" spans="2:6">
      <c r="B6022" s="75"/>
      <c r="C6022" s="75"/>
      <c r="D6022" s="75"/>
      <c r="E6022" s="75"/>
      <c r="F6022" s="75"/>
    </row>
    <row r="6023" spans="2:6">
      <c r="B6023" s="75"/>
      <c r="C6023" s="75"/>
      <c r="D6023" s="75"/>
      <c r="E6023" s="75"/>
      <c r="F6023" s="75"/>
    </row>
    <row r="6024" spans="2:6">
      <c r="B6024" s="75"/>
      <c r="C6024" s="75"/>
      <c r="D6024" s="75"/>
      <c r="E6024" s="75"/>
      <c r="F6024" s="75"/>
    </row>
    <row r="6025" spans="2:6">
      <c r="B6025" s="75"/>
      <c r="C6025" s="75"/>
      <c r="D6025" s="75"/>
      <c r="E6025" s="75"/>
      <c r="F6025" s="75"/>
    </row>
    <row r="6026" spans="2:6">
      <c r="B6026" s="75"/>
      <c r="C6026" s="75"/>
      <c r="D6026" s="75"/>
      <c r="E6026" s="75"/>
      <c r="F6026" s="75"/>
    </row>
    <row r="6027" spans="2:6">
      <c r="B6027" s="75"/>
      <c r="C6027" s="75"/>
      <c r="D6027" s="75"/>
      <c r="E6027" s="75"/>
      <c r="F6027" s="75"/>
    </row>
    <row r="6028" spans="2:6">
      <c r="B6028" s="75"/>
      <c r="C6028" s="75"/>
      <c r="D6028" s="75"/>
      <c r="E6028" s="75"/>
      <c r="F6028" s="75"/>
    </row>
    <row r="6029" spans="2:6">
      <c r="B6029" s="75"/>
      <c r="C6029" s="75"/>
      <c r="D6029" s="75"/>
      <c r="E6029" s="75"/>
      <c r="F6029" s="75"/>
    </row>
    <row r="6030" spans="2:6">
      <c r="B6030" s="75"/>
      <c r="C6030" s="75"/>
      <c r="D6030" s="75"/>
      <c r="E6030" s="75"/>
      <c r="F6030" s="75"/>
    </row>
    <row r="6031" spans="2:6">
      <c r="B6031" s="75"/>
      <c r="C6031" s="75"/>
      <c r="D6031" s="75"/>
      <c r="E6031" s="75"/>
      <c r="F6031" s="75"/>
    </row>
    <row r="6032" spans="2:6">
      <c r="B6032" s="75"/>
      <c r="C6032" s="75"/>
      <c r="D6032" s="75"/>
      <c r="E6032" s="75"/>
      <c r="F6032" s="75"/>
    </row>
    <row r="6033" spans="2:6">
      <c r="B6033" s="75"/>
      <c r="C6033" s="75"/>
      <c r="D6033" s="75"/>
      <c r="E6033" s="75"/>
      <c r="F6033" s="75"/>
    </row>
    <row r="6034" spans="2:6">
      <c r="B6034" s="75"/>
      <c r="C6034" s="75"/>
      <c r="D6034" s="75"/>
      <c r="E6034" s="75"/>
      <c r="F6034" s="75"/>
    </row>
    <row r="6035" spans="2:6">
      <c r="B6035" s="75"/>
      <c r="C6035" s="75"/>
      <c r="D6035" s="75"/>
      <c r="E6035" s="75"/>
      <c r="F6035" s="75"/>
    </row>
    <row r="6036" spans="2:6">
      <c r="B6036" s="75"/>
      <c r="C6036" s="75"/>
      <c r="D6036" s="75"/>
      <c r="E6036" s="75"/>
      <c r="F6036" s="75"/>
    </row>
    <row r="6037" spans="2:6">
      <c r="B6037" s="75"/>
      <c r="C6037" s="75"/>
      <c r="D6037" s="75"/>
      <c r="E6037" s="75"/>
      <c r="F6037" s="75"/>
    </row>
    <row r="6038" spans="2:6">
      <c r="B6038" s="75"/>
      <c r="C6038" s="75"/>
      <c r="D6038" s="75"/>
      <c r="E6038" s="75"/>
      <c r="F6038" s="75"/>
    </row>
    <row r="6039" spans="2:6">
      <c r="B6039" s="75"/>
      <c r="C6039" s="75"/>
      <c r="D6039" s="75"/>
      <c r="E6039" s="75"/>
      <c r="F6039" s="75"/>
    </row>
    <row r="6040" spans="2:6">
      <c r="B6040" s="75"/>
      <c r="C6040" s="75"/>
      <c r="D6040" s="75"/>
      <c r="E6040" s="75"/>
      <c r="F6040" s="75"/>
    </row>
    <row r="6041" spans="2:6">
      <c r="B6041" s="75"/>
      <c r="C6041" s="75"/>
      <c r="D6041" s="75"/>
      <c r="E6041" s="75"/>
      <c r="F6041" s="75"/>
    </row>
    <row r="6042" spans="2:6">
      <c r="B6042" s="75"/>
      <c r="C6042" s="75"/>
      <c r="D6042" s="75"/>
      <c r="E6042" s="75"/>
      <c r="F6042" s="75"/>
    </row>
    <row r="6043" spans="2:6">
      <c r="B6043" s="75"/>
      <c r="C6043" s="75"/>
      <c r="D6043" s="75"/>
      <c r="E6043" s="75"/>
      <c r="F6043" s="75"/>
    </row>
    <row r="6044" spans="2:6">
      <c r="B6044" s="75"/>
      <c r="C6044" s="75"/>
      <c r="D6044" s="75"/>
      <c r="E6044" s="75"/>
      <c r="F6044" s="75"/>
    </row>
    <row r="6045" spans="2:6">
      <c r="B6045" s="75"/>
      <c r="C6045" s="75"/>
      <c r="D6045" s="75"/>
      <c r="E6045" s="75"/>
      <c r="F6045" s="75"/>
    </row>
    <row r="6046" spans="2:6">
      <c r="B6046" s="75"/>
      <c r="C6046" s="75"/>
      <c r="D6046" s="75"/>
      <c r="E6046" s="75"/>
      <c r="F6046" s="75"/>
    </row>
    <row r="6047" spans="2:6">
      <c r="B6047" s="75"/>
      <c r="C6047" s="75"/>
      <c r="D6047" s="75"/>
      <c r="E6047" s="75"/>
      <c r="F6047" s="75"/>
    </row>
    <row r="6048" spans="2:6">
      <c r="B6048" s="75"/>
      <c r="C6048" s="75"/>
      <c r="D6048" s="75"/>
      <c r="E6048" s="75"/>
      <c r="F6048" s="75"/>
    </row>
    <row r="6049" spans="2:6">
      <c r="B6049" s="75"/>
      <c r="C6049" s="75"/>
      <c r="D6049" s="75"/>
      <c r="E6049" s="75"/>
      <c r="F6049" s="75"/>
    </row>
    <row r="6050" spans="2:6">
      <c r="B6050" s="75"/>
      <c r="C6050" s="75"/>
      <c r="D6050" s="75"/>
      <c r="E6050" s="75"/>
      <c r="F6050" s="75"/>
    </row>
    <row r="6051" spans="2:6">
      <c r="B6051" s="75"/>
      <c r="C6051" s="75"/>
      <c r="D6051" s="75"/>
      <c r="E6051" s="75"/>
      <c r="F6051" s="75"/>
    </row>
    <row r="6052" spans="2:6">
      <c r="B6052" s="75"/>
      <c r="C6052" s="75"/>
      <c r="D6052" s="75"/>
      <c r="E6052" s="75"/>
      <c r="F6052" s="75"/>
    </row>
    <row r="6053" spans="2:6">
      <c r="B6053" s="75"/>
      <c r="C6053" s="75"/>
      <c r="D6053" s="75"/>
      <c r="E6053" s="75"/>
      <c r="F6053" s="75"/>
    </row>
    <row r="6054" spans="2:6">
      <c r="B6054" s="75"/>
      <c r="C6054" s="75"/>
      <c r="D6054" s="75"/>
      <c r="E6054" s="75"/>
      <c r="F6054" s="75"/>
    </row>
    <row r="6055" spans="2:6">
      <c r="B6055" s="75"/>
      <c r="C6055" s="75"/>
      <c r="D6055" s="75"/>
      <c r="E6055" s="75"/>
      <c r="F6055" s="75"/>
    </row>
    <row r="6056" spans="2:6">
      <c r="B6056" s="75"/>
      <c r="C6056" s="75"/>
      <c r="D6056" s="75"/>
      <c r="E6056" s="75"/>
      <c r="F6056" s="75"/>
    </row>
    <row r="6057" spans="2:6">
      <c r="B6057" s="75"/>
      <c r="C6057" s="75"/>
      <c r="D6057" s="75"/>
      <c r="E6057" s="75"/>
      <c r="F6057" s="75"/>
    </row>
    <row r="6058" spans="2:6">
      <c r="B6058" s="75"/>
      <c r="C6058" s="75"/>
      <c r="D6058" s="75"/>
      <c r="E6058" s="75"/>
      <c r="F6058" s="75"/>
    </row>
    <row r="6059" spans="2:6">
      <c r="B6059" s="75"/>
      <c r="C6059" s="75"/>
      <c r="D6059" s="75"/>
      <c r="E6059" s="75"/>
      <c r="F6059" s="75"/>
    </row>
    <row r="6060" spans="2:6">
      <c r="B6060" s="75"/>
      <c r="C6060" s="75"/>
      <c r="D6060" s="75"/>
      <c r="E6060" s="75"/>
      <c r="F6060" s="75"/>
    </row>
    <row r="6061" spans="2:6">
      <c r="B6061" s="75"/>
      <c r="C6061" s="75"/>
      <c r="D6061" s="75"/>
      <c r="E6061" s="75"/>
      <c r="F6061" s="75"/>
    </row>
    <row r="6062" spans="2:6">
      <c r="B6062" s="75"/>
      <c r="C6062" s="75"/>
      <c r="D6062" s="75"/>
      <c r="E6062" s="75"/>
      <c r="F6062" s="75"/>
    </row>
    <row r="6063" spans="2:6">
      <c r="B6063" s="75"/>
      <c r="C6063" s="75"/>
      <c r="D6063" s="75"/>
      <c r="E6063" s="75"/>
      <c r="F6063" s="75"/>
    </row>
    <row r="6064" spans="2:6">
      <c r="B6064" s="75"/>
      <c r="C6064" s="75"/>
      <c r="D6064" s="75"/>
      <c r="E6064" s="75"/>
      <c r="F6064" s="75"/>
    </row>
    <row r="6065" spans="2:6">
      <c r="B6065" s="75"/>
      <c r="C6065" s="75"/>
      <c r="D6065" s="75"/>
      <c r="E6065" s="75"/>
      <c r="F6065" s="75"/>
    </row>
    <row r="6066" spans="2:6">
      <c r="B6066" s="75"/>
      <c r="C6066" s="75"/>
      <c r="D6066" s="75"/>
      <c r="E6066" s="75"/>
      <c r="F6066" s="75"/>
    </row>
    <row r="6067" spans="2:6">
      <c r="B6067" s="75"/>
      <c r="C6067" s="75"/>
      <c r="D6067" s="75"/>
      <c r="E6067" s="75"/>
      <c r="F6067" s="75"/>
    </row>
    <row r="6068" spans="2:6">
      <c r="B6068" s="75"/>
      <c r="C6068" s="75"/>
      <c r="D6068" s="75"/>
      <c r="E6068" s="75"/>
      <c r="F6068" s="75"/>
    </row>
    <row r="6069" spans="2:6">
      <c r="B6069" s="75"/>
      <c r="C6069" s="75"/>
      <c r="D6069" s="75"/>
      <c r="E6069" s="75"/>
      <c r="F6069" s="75"/>
    </row>
    <row r="6070" spans="2:6">
      <c r="B6070" s="75"/>
      <c r="C6070" s="75"/>
      <c r="D6070" s="75"/>
      <c r="E6070" s="75"/>
      <c r="F6070" s="75"/>
    </row>
    <row r="6071" spans="2:6">
      <c r="B6071" s="75"/>
      <c r="C6071" s="75"/>
      <c r="D6071" s="75"/>
      <c r="E6071" s="75"/>
      <c r="F6071" s="75"/>
    </row>
    <row r="6072" spans="2:6">
      <c r="B6072" s="75"/>
      <c r="C6072" s="75"/>
      <c r="D6072" s="75"/>
      <c r="E6072" s="75"/>
      <c r="F6072" s="75"/>
    </row>
    <row r="6073" spans="2:6">
      <c r="B6073" s="75"/>
      <c r="C6073" s="75"/>
      <c r="D6073" s="75"/>
      <c r="E6073" s="75"/>
      <c r="F6073" s="75"/>
    </row>
    <row r="6074" spans="2:6">
      <c r="B6074" s="75"/>
      <c r="C6074" s="75"/>
      <c r="D6074" s="75"/>
      <c r="E6074" s="75"/>
      <c r="F6074" s="75"/>
    </row>
    <row r="6075" spans="2:6">
      <c r="B6075" s="75"/>
      <c r="C6075" s="75"/>
      <c r="D6075" s="75"/>
      <c r="E6075" s="75"/>
      <c r="F6075" s="75"/>
    </row>
    <row r="6076" spans="2:6">
      <c r="B6076" s="75"/>
      <c r="C6076" s="75"/>
      <c r="D6076" s="75"/>
      <c r="E6076" s="75"/>
      <c r="F6076" s="75"/>
    </row>
    <row r="6077" spans="2:6">
      <c r="B6077" s="75"/>
      <c r="C6077" s="75"/>
      <c r="D6077" s="75"/>
      <c r="E6077" s="75"/>
      <c r="F6077" s="75"/>
    </row>
    <row r="6078" spans="2:6">
      <c r="B6078" s="75"/>
      <c r="C6078" s="75"/>
      <c r="D6078" s="75"/>
      <c r="E6078" s="75"/>
      <c r="F6078" s="75"/>
    </row>
    <row r="6079" spans="2:6">
      <c r="B6079" s="75"/>
      <c r="C6079" s="75"/>
      <c r="D6079" s="75"/>
      <c r="E6079" s="75"/>
      <c r="F6079" s="75"/>
    </row>
    <row r="6080" spans="2:6">
      <c r="B6080" s="75"/>
      <c r="C6080" s="75"/>
      <c r="D6080" s="75"/>
      <c r="E6080" s="75"/>
      <c r="F6080" s="75"/>
    </row>
    <row r="6081" spans="2:6">
      <c r="B6081" s="75"/>
      <c r="C6081" s="75"/>
      <c r="D6081" s="75"/>
      <c r="E6081" s="75"/>
      <c r="F6081" s="75"/>
    </row>
    <row r="6082" spans="2:6">
      <c r="B6082" s="75"/>
      <c r="C6082" s="75"/>
      <c r="D6082" s="75"/>
      <c r="E6082" s="75"/>
      <c r="F6082" s="75"/>
    </row>
    <row r="6083" spans="2:6">
      <c r="B6083" s="75"/>
      <c r="C6083" s="75"/>
      <c r="D6083" s="75"/>
      <c r="E6083" s="75"/>
      <c r="F6083" s="75"/>
    </row>
    <row r="6084" spans="2:6">
      <c r="B6084" s="75"/>
      <c r="C6084" s="75"/>
      <c r="D6084" s="75"/>
      <c r="E6084" s="75"/>
      <c r="F6084" s="75"/>
    </row>
    <row r="6085" spans="2:6">
      <c r="B6085" s="75"/>
      <c r="C6085" s="75"/>
      <c r="D6085" s="75"/>
      <c r="E6085" s="75"/>
      <c r="F6085" s="75"/>
    </row>
    <row r="6086" spans="2:6">
      <c r="B6086" s="75"/>
      <c r="C6086" s="75"/>
      <c r="D6086" s="75"/>
      <c r="E6086" s="75"/>
      <c r="F6086" s="75"/>
    </row>
    <row r="6087" spans="2:6">
      <c r="B6087" s="75"/>
      <c r="C6087" s="75"/>
      <c r="D6087" s="75"/>
      <c r="E6087" s="75"/>
      <c r="F6087" s="75"/>
    </row>
    <row r="6088" spans="2:6">
      <c r="B6088" s="75"/>
      <c r="C6088" s="75"/>
      <c r="D6088" s="75"/>
      <c r="E6088" s="75"/>
      <c r="F6088" s="75"/>
    </row>
    <row r="6089" spans="2:6">
      <c r="B6089" s="75"/>
      <c r="C6089" s="75"/>
      <c r="D6089" s="75"/>
      <c r="E6089" s="75"/>
      <c r="F6089" s="75"/>
    </row>
    <row r="6090" spans="2:6">
      <c r="B6090" s="75"/>
      <c r="C6090" s="75"/>
      <c r="D6090" s="75"/>
      <c r="E6090" s="75"/>
      <c r="F6090" s="75"/>
    </row>
    <row r="6091" spans="2:6">
      <c r="B6091" s="75"/>
      <c r="C6091" s="75"/>
      <c r="D6091" s="75"/>
      <c r="E6091" s="75"/>
      <c r="F6091" s="75"/>
    </row>
    <row r="6092" spans="2:6">
      <c r="B6092" s="75"/>
      <c r="C6092" s="75"/>
      <c r="D6092" s="75"/>
      <c r="E6092" s="75"/>
      <c r="F6092" s="75"/>
    </row>
    <row r="6093" spans="2:6">
      <c r="B6093" s="75"/>
      <c r="C6093" s="75"/>
      <c r="D6093" s="75"/>
      <c r="E6093" s="75"/>
      <c r="F6093" s="75"/>
    </row>
    <row r="6094" spans="2:6">
      <c r="B6094" s="75"/>
      <c r="C6094" s="75"/>
      <c r="D6094" s="75"/>
      <c r="E6094" s="75"/>
      <c r="F6094" s="75"/>
    </row>
    <row r="6095" spans="2:6">
      <c r="B6095" s="75"/>
      <c r="C6095" s="75"/>
      <c r="D6095" s="75"/>
      <c r="E6095" s="75"/>
      <c r="F6095" s="75"/>
    </row>
    <row r="6096" spans="2:6">
      <c r="B6096" s="75"/>
      <c r="C6096" s="75"/>
      <c r="D6096" s="75"/>
      <c r="E6096" s="75"/>
      <c r="F6096" s="75"/>
    </row>
    <row r="6097" spans="2:6">
      <c r="B6097" s="75"/>
      <c r="C6097" s="75"/>
      <c r="D6097" s="75"/>
      <c r="E6097" s="75"/>
      <c r="F6097" s="75"/>
    </row>
    <row r="6098" spans="2:6">
      <c r="B6098" s="75"/>
      <c r="C6098" s="75"/>
      <c r="D6098" s="75"/>
      <c r="E6098" s="75"/>
      <c r="F6098" s="75"/>
    </row>
    <row r="6099" spans="2:6">
      <c r="B6099" s="75"/>
      <c r="C6099" s="75"/>
      <c r="D6099" s="75"/>
      <c r="E6099" s="75"/>
      <c r="F6099" s="75"/>
    </row>
    <row r="6100" spans="2:6">
      <c r="B6100" s="75"/>
      <c r="C6100" s="75"/>
      <c r="D6100" s="75"/>
      <c r="E6100" s="75"/>
      <c r="F6100" s="75"/>
    </row>
    <row r="6101" spans="2:6">
      <c r="B6101" s="75"/>
      <c r="C6101" s="75"/>
      <c r="D6101" s="75"/>
      <c r="E6101" s="75"/>
      <c r="F6101" s="75"/>
    </row>
    <row r="6102" spans="2:6">
      <c r="B6102" s="75"/>
      <c r="C6102" s="75"/>
      <c r="D6102" s="75"/>
      <c r="E6102" s="75"/>
      <c r="F6102" s="75"/>
    </row>
    <row r="6103" spans="2:6">
      <c r="B6103" s="75"/>
      <c r="C6103" s="75"/>
      <c r="D6103" s="75"/>
      <c r="E6103" s="75"/>
      <c r="F6103" s="75"/>
    </row>
    <row r="6104" spans="2:6">
      <c r="B6104" s="75"/>
      <c r="C6104" s="75"/>
      <c r="D6104" s="75"/>
      <c r="E6104" s="75"/>
      <c r="F6104" s="75"/>
    </row>
    <row r="6105" spans="2:6">
      <c r="B6105" s="75"/>
      <c r="C6105" s="75"/>
      <c r="D6105" s="75"/>
      <c r="E6105" s="75"/>
      <c r="F6105" s="75"/>
    </row>
    <row r="6106" spans="2:6">
      <c r="B6106" s="75"/>
      <c r="C6106" s="75"/>
      <c r="D6106" s="75"/>
      <c r="E6106" s="75"/>
      <c r="F6106" s="75"/>
    </row>
    <row r="6107" spans="2:6">
      <c r="B6107" s="75"/>
      <c r="C6107" s="75"/>
      <c r="D6107" s="75"/>
      <c r="E6107" s="75"/>
      <c r="F6107" s="75"/>
    </row>
    <row r="6108" spans="2:6">
      <c r="B6108" s="75"/>
      <c r="C6108" s="75"/>
      <c r="D6108" s="75"/>
      <c r="E6108" s="75"/>
      <c r="F6108" s="75"/>
    </row>
    <row r="6109" spans="2:6">
      <c r="B6109" s="75"/>
      <c r="C6109" s="75"/>
      <c r="D6109" s="75"/>
      <c r="E6109" s="75"/>
      <c r="F6109" s="75"/>
    </row>
    <row r="6110" spans="2:6">
      <c r="B6110" s="75"/>
      <c r="C6110" s="75"/>
      <c r="D6110" s="75"/>
      <c r="E6110" s="75"/>
      <c r="F6110" s="75"/>
    </row>
    <row r="6111" spans="2:6">
      <c r="B6111" s="75"/>
      <c r="C6111" s="75"/>
      <c r="D6111" s="75"/>
      <c r="E6111" s="75"/>
      <c r="F6111" s="75"/>
    </row>
    <row r="6112" spans="2:6">
      <c r="B6112" s="75"/>
      <c r="C6112" s="75"/>
      <c r="D6112" s="75"/>
      <c r="E6112" s="75"/>
      <c r="F6112" s="75"/>
    </row>
    <row r="6113" spans="2:6">
      <c r="B6113" s="75"/>
      <c r="C6113" s="75"/>
      <c r="D6113" s="75"/>
      <c r="E6113" s="75"/>
      <c r="F6113" s="75"/>
    </row>
    <row r="6114" spans="2:6">
      <c r="B6114" s="75"/>
      <c r="C6114" s="75"/>
      <c r="D6114" s="75"/>
      <c r="E6114" s="75"/>
      <c r="F6114" s="75"/>
    </row>
    <row r="6115" spans="2:6">
      <c r="B6115" s="75"/>
      <c r="C6115" s="75"/>
      <c r="D6115" s="75"/>
      <c r="E6115" s="75"/>
      <c r="F6115" s="75"/>
    </row>
    <row r="6116" spans="2:6">
      <c r="B6116" s="75"/>
      <c r="C6116" s="75"/>
      <c r="D6116" s="75"/>
      <c r="E6116" s="75"/>
      <c r="F6116" s="75"/>
    </row>
    <row r="6117" spans="2:6">
      <c r="B6117" s="75"/>
      <c r="C6117" s="75"/>
      <c r="D6117" s="75"/>
      <c r="E6117" s="75"/>
      <c r="F6117" s="75"/>
    </row>
    <row r="6118" spans="2:6">
      <c r="B6118" s="75"/>
      <c r="C6118" s="75"/>
      <c r="D6118" s="75"/>
      <c r="E6118" s="75"/>
      <c r="F6118" s="75"/>
    </row>
    <row r="6119" spans="2:6">
      <c r="B6119" s="75"/>
      <c r="C6119" s="75"/>
      <c r="D6119" s="75"/>
      <c r="E6119" s="75"/>
      <c r="F6119" s="75"/>
    </row>
    <row r="6120" spans="2:6">
      <c r="B6120" s="75"/>
      <c r="C6120" s="75"/>
      <c r="D6120" s="75"/>
      <c r="E6120" s="75"/>
      <c r="F6120" s="75"/>
    </row>
    <row r="6121" spans="2:6">
      <c r="B6121" s="75"/>
      <c r="C6121" s="75"/>
      <c r="D6121" s="75"/>
      <c r="E6121" s="75"/>
      <c r="F6121" s="75"/>
    </row>
    <row r="6122" spans="2:6">
      <c r="B6122" s="75"/>
      <c r="C6122" s="75"/>
      <c r="D6122" s="75"/>
      <c r="E6122" s="75"/>
      <c r="F6122" s="75"/>
    </row>
    <row r="6123" spans="2:6">
      <c r="B6123" s="75"/>
      <c r="C6123" s="75"/>
      <c r="D6123" s="75"/>
      <c r="E6123" s="75"/>
      <c r="F6123" s="75"/>
    </row>
    <row r="6124" spans="2:6">
      <c r="B6124" s="75"/>
      <c r="C6124" s="75"/>
      <c r="D6124" s="75"/>
      <c r="E6124" s="75"/>
      <c r="F6124" s="75"/>
    </row>
    <row r="6125" spans="2:6">
      <c r="B6125" s="75"/>
      <c r="C6125" s="75"/>
      <c r="D6125" s="75"/>
      <c r="E6125" s="75"/>
      <c r="F6125" s="75"/>
    </row>
    <row r="6126" spans="2:6">
      <c r="B6126" s="75"/>
      <c r="C6126" s="75"/>
      <c r="D6126" s="75"/>
      <c r="E6126" s="75"/>
      <c r="F6126" s="75"/>
    </row>
    <row r="6127" spans="2:6">
      <c r="B6127" s="75"/>
      <c r="C6127" s="75"/>
      <c r="D6127" s="75"/>
      <c r="E6127" s="75"/>
      <c r="F6127" s="75"/>
    </row>
    <row r="6128" spans="2:6">
      <c r="B6128" s="75"/>
      <c r="C6128" s="75"/>
      <c r="D6128" s="75"/>
      <c r="E6128" s="75"/>
      <c r="F6128" s="75"/>
    </row>
    <row r="6129" spans="2:6">
      <c r="B6129" s="75"/>
      <c r="C6129" s="75"/>
      <c r="D6129" s="75"/>
      <c r="E6129" s="75"/>
      <c r="F6129" s="75"/>
    </row>
    <row r="6130" spans="2:6">
      <c r="B6130" s="75"/>
      <c r="C6130" s="75"/>
      <c r="D6130" s="75"/>
      <c r="E6130" s="75"/>
      <c r="F6130" s="75"/>
    </row>
    <row r="6131" spans="2:6">
      <c r="B6131" s="75"/>
      <c r="C6131" s="75"/>
      <c r="D6131" s="75"/>
      <c r="E6131" s="75"/>
      <c r="F6131" s="75"/>
    </row>
    <row r="6132" spans="2:6">
      <c r="B6132" s="75"/>
      <c r="C6132" s="75"/>
      <c r="D6132" s="75"/>
      <c r="E6132" s="75"/>
      <c r="F6132" s="75"/>
    </row>
    <row r="6133" spans="2:6">
      <c r="B6133" s="75"/>
      <c r="C6133" s="75"/>
      <c r="D6133" s="75"/>
      <c r="E6133" s="75"/>
      <c r="F6133" s="75"/>
    </row>
    <row r="6134" spans="2:6">
      <c r="B6134" s="75"/>
      <c r="C6134" s="75"/>
      <c r="D6134" s="75"/>
      <c r="E6134" s="75"/>
      <c r="F6134" s="75"/>
    </row>
    <row r="6135" spans="2:6">
      <c r="B6135" s="75"/>
      <c r="C6135" s="75"/>
      <c r="D6135" s="75"/>
      <c r="E6135" s="75"/>
      <c r="F6135" s="75"/>
    </row>
    <row r="6136" spans="2:6">
      <c r="B6136" s="75"/>
      <c r="C6136" s="75"/>
      <c r="D6136" s="75"/>
      <c r="E6136" s="75"/>
      <c r="F6136" s="75"/>
    </row>
    <row r="6137" spans="2:6">
      <c r="B6137" s="75"/>
      <c r="C6137" s="75"/>
      <c r="D6137" s="75"/>
      <c r="E6137" s="75"/>
      <c r="F6137" s="75"/>
    </row>
    <row r="6138" spans="2:6">
      <c r="B6138" s="75"/>
      <c r="C6138" s="75"/>
      <c r="D6138" s="75"/>
      <c r="E6138" s="75"/>
      <c r="F6138" s="75"/>
    </row>
    <row r="6139" spans="2:6">
      <c r="B6139" s="75"/>
      <c r="C6139" s="75"/>
      <c r="D6139" s="75"/>
      <c r="E6139" s="75"/>
      <c r="F6139" s="75"/>
    </row>
    <row r="6140" spans="2:6">
      <c r="B6140" s="75"/>
      <c r="C6140" s="75"/>
      <c r="D6140" s="75"/>
      <c r="E6140" s="75"/>
      <c r="F6140" s="75"/>
    </row>
    <row r="6141" spans="2:6">
      <c r="B6141" s="75"/>
      <c r="C6141" s="75"/>
      <c r="D6141" s="75"/>
      <c r="E6141" s="75"/>
      <c r="F6141" s="75"/>
    </row>
    <row r="6142" spans="2:6">
      <c r="B6142" s="75"/>
      <c r="C6142" s="75"/>
      <c r="D6142" s="75"/>
      <c r="E6142" s="75"/>
      <c r="F6142" s="75"/>
    </row>
    <row r="6143" spans="2:6">
      <c r="B6143" s="75"/>
      <c r="C6143" s="75"/>
      <c r="D6143" s="75"/>
      <c r="E6143" s="75"/>
      <c r="F6143" s="75"/>
    </row>
    <row r="6144" spans="2:6">
      <c r="B6144" s="75"/>
      <c r="C6144" s="75"/>
      <c r="D6144" s="75"/>
      <c r="E6144" s="75"/>
      <c r="F6144" s="75"/>
    </row>
    <row r="6145" spans="2:6">
      <c r="B6145" s="75"/>
      <c r="C6145" s="75"/>
      <c r="D6145" s="75"/>
      <c r="E6145" s="75"/>
      <c r="F6145" s="75"/>
    </row>
    <row r="6146" spans="2:6">
      <c r="B6146" s="75"/>
      <c r="C6146" s="75"/>
      <c r="D6146" s="75"/>
      <c r="E6146" s="75"/>
      <c r="F6146" s="75"/>
    </row>
    <row r="6147" spans="2:6">
      <c r="B6147" s="75"/>
      <c r="C6147" s="75"/>
      <c r="D6147" s="75"/>
      <c r="E6147" s="75"/>
      <c r="F6147" s="75"/>
    </row>
    <row r="6148" spans="2:6">
      <c r="B6148" s="75"/>
      <c r="C6148" s="75"/>
      <c r="D6148" s="75"/>
      <c r="E6148" s="75"/>
      <c r="F6148" s="75"/>
    </row>
    <row r="6149" spans="2:6">
      <c r="B6149" s="75"/>
      <c r="C6149" s="75"/>
      <c r="D6149" s="75"/>
      <c r="E6149" s="75"/>
      <c r="F6149" s="75"/>
    </row>
    <row r="6150" spans="2:6">
      <c r="B6150" s="75"/>
      <c r="C6150" s="75"/>
      <c r="D6150" s="75"/>
      <c r="E6150" s="75"/>
      <c r="F6150" s="75"/>
    </row>
    <row r="6151" spans="2:6">
      <c r="B6151" s="75"/>
      <c r="C6151" s="75"/>
      <c r="D6151" s="75"/>
      <c r="E6151" s="75"/>
      <c r="F6151" s="75"/>
    </row>
    <row r="6152" spans="2:6">
      <c r="B6152" s="75"/>
      <c r="C6152" s="75"/>
      <c r="D6152" s="75"/>
      <c r="E6152" s="75"/>
      <c r="F6152" s="75"/>
    </row>
    <row r="6153" spans="2:6">
      <c r="B6153" s="75"/>
      <c r="C6153" s="75"/>
      <c r="D6153" s="75"/>
      <c r="E6153" s="75"/>
      <c r="F6153" s="75"/>
    </row>
    <row r="6154" spans="2:6">
      <c r="B6154" s="75"/>
      <c r="C6154" s="75"/>
      <c r="D6154" s="75"/>
      <c r="E6154" s="75"/>
      <c r="F6154" s="75"/>
    </row>
    <row r="6155" spans="2:6">
      <c r="B6155" s="75"/>
      <c r="C6155" s="75"/>
      <c r="D6155" s="75"/>
      <c r="E6155" s="75"/>
      <c r="F6155" s="75"/>
    </row>
    <row r="6156" spans="2:6">
      <c r="B6156" s="75"/>
      <c r="C6156" s="75"/>
      <c r="D6156" s="75"/>
      <c r="E6156" s="75"/>
      <c r="F6156" s="75"/>
    </row>
    <row r="6157" spans="2:6">
      <c r="B6157" s="75"/>
      <c r="C6157" s="75"/>
      <c r="D6157" s="75"/>
      <c r="E6157" s="75"/>
      <c r="F6157" s="75"/>
    </row>
    <row r="6158" spans="2:6">
      <c r="B6158" s="75"/>
      <c r="C6158" s="75"/>
      <c r="D6158" s="75"/>
      <c r="E6158" s="75"/>
      <c r="F6158" s="75"/>
    </row>
    <row r="6159" spans="2:6">
      <c r="B6159" s="75"/>
      <c r="C6159" s="75"/>
      <c r="D6159" s="75"/>
      <c r="E6159" s="75"/>
      <c r="F6159" s="75"/>
    </row>
    <row r="6160" spans="2:6">
      <c r="B6160" s="75"/>
      <c r="C6160" s="75"/>
      <c r="D6160" s="75"/>
      <c r="E6160" s="75"/>
      <c r="F6160" s="75"/>
    </row>
    <row r="6161" spans="2:6">
      <c r="B6161" s="75"/>
      <c r="C6161" s="75"/>
      <c r="D6161" s="75"/>
      <c r="E6161" s="75"/>
      <c r="F6161" s="75"/>
    </row>
    <row r="6162" spans="2:6">
      <c r="B6162" s="75"/>
      <c r="C6162" s="75"/>
      <c r="D6162" s="75"/>
      <c r="E6162" s="75"/>
      <c r="F6162" s="75"/>
    </row>
    <row r="6163" spans="2:6">
      <c r="B6163" s="75"/>
      <c r="C6163" s="75"/>
      <c r="D6163" s="75"/>
      <c r="E6163" s="75"/>
      <c r="F6163" s="75"/>
    </row>
    <row r="6164" spans="2:6">
      <c r="B6164" s="75"/>
      <c r="C6164" s="75"/>
      <c r="D6164" s="75"/>
      <c r="E6164" s="75"/>
      <c r="F6164" s="75"/>
    </row>
    <row r="6165" spans="2:6">
      <c r="B6165" s="75"/>
      <c r="C6165" s="75"/>
      <c r="D6165" s="75"/>
      <c r="E6165" s="75"/>
      <c r="F6165" s="75"/>
    </row>
    <row r="6166" spans="2:6">
      <c r="B6166" s="75"/>
      <c r="C6166" s="75"/>
      <c r="D6166" s="75"/>
      <c r="E6166" s="75"/>
      <c r="F6166" s="75"/>
    </row>
    <row r="6167" spans="2:6">
      <c r="B6167" s="75"/>
      <c r="C6167" s="75"/>
      <c r="D6167" s="75"/>
      <c r="E6167" s="75"/>
      <c r="F6167" s="75"/>
    </row>
    <row r="6168" spans="2:6">
      <c r="B6168" s="75"/>
      <c r="C6168" s="75"/>
      <c r="D6168" s="75"/>
      <c r="E6168" s="75"/>
      <c r="F6168" s="75"/>
    </row>
    <row r="6169" spans="2:6">
      <c r="B6169" s="75"/>
      <c r="C6169" s="75"/>
      <c r="D6169" s="75"/>
      <c r="E6169" s="75"/>
      <c r="F6169" s="75"/>
    </row>
    <row r="6170" spans="2:6">
      <c r="B6170" s="75"/>
      <c r="C6170" s="75"/>
      <c r="D6170" s="75"/>
      <c r="E6170" s="75"/>
      <c r="F6170" s="75"/>
    </row>
    <row r="6171" spans="2:6">
      <c r="B6171" s="75"/>
      <c r="C6171" s="75"/>
      <c r="D6171" s="75"/>
      <c r="E6171" s="75"/>
      <c r="F6171" s="75"/>
    </row>
    <row r="6172" spans="2:6">
      <c r="B6172" s="75"/>
      <c r="C6172" s="75"/>
      <c r="D6172" s="75"/>
      <c r="E6172" s="75"/>
      <c r="F6172" s="75"/>
    </row>
    <row r="6173" spans="2:6">
      <c r="B6173" s="75"/>
      <c r="C6173" s="75"/>
      <c r="D6173" s="75"/>
      <c r="E6173" s="75"/>
      <c r="F6173" s="75"/>
    </row>
    <row r="6174" spans="2:6">
      <c r="B6174" s="75"/>
      <c r="C6174" s="75"/>
      <c r="D6174" s="75"/>
      <c r="E6174" s="75"/>
      <c r="F6174" s="75"/>
    </row>
    <row r="6175" spans="2:6">
      <c r="B6175" s="75"/>
      <c r="C6175" s="75"/>
      <c r="D6175" s="75"/>
      <c r="E6175" s="75"/>
      <c r="F6175" s="75"/>
    </row>
    <row r="6176" spans="2:6">
      <c r="B6176" s="75"/>
      <c r="C6176" s="75"/>
      <c r="D6176" s="75"/>
      <c r="E6176" s="75"/>
      <c r="F6176" s="75"/>
    </row>
    <row r="6177" spans="2:6">
      <c r="B6177" s="75"/>
      <c r="C6177" s="75"/>
      <c r="D6177" s="75"/>
      <c r="E6177" s="75"/>
      <c r="F6177" s="75"/>
    </row>
    <row r="6178" spans="2:6">
      <c r="B6178" s="75"/>
      <c r="C6178" s="75"/>
      <c r="D6178" s="75"/>
      <c r="E6178" s="75"/>
      <c r="F6178" s="75"/>
    </row>
    <row r="6179" spans="2:6">
      <c r="B6179" s="75"/>
      <c r="C6179" s="75"/>
      <c r="D6179" s="75"/>
      <c r="E6179" s="75"/>
      <c r="F6179" s="75"/>
    </row>
    <row r="6180" spans="2:6">
      <c r="B6180" s="75"/>
      <c r="C6180" s="75"/>
      <c r="D6180" s="75"/>
      <c r="E6180" s="75"/>
      <c r="F6180" s="75"/>
    </row>
    <row r="6181" spans="2:6">
      <c r="B6181" s="75"/>
      <c r="C6181" s="75"/>
      <c r="D6181" s="75"/>
      <c r="E6181" s="75"/>
      <c r="F6181" s="75"/>
    </row>
    <row r="6182" spans="2:6">
      <c r="B6182" s="75"/>
      <c r="C6182" s="75"/>
      <c r="D6182" s="75"/>
      <c r="E6182" s="75"/>
      <c r="F6182" s="75"/>
    </row>
    <row r="6183" spans="2:6">
      <c r="B6183" s="75"/>
      <c r="C6183" s="75"/>
      <c r="D6183" s="75"/>
      <c r="E6183" s="75"/>
      <c r="F6183" s="75"/>
    </row>
    <row r="6184" spans="2:6">
      <c r="B6184" s="75"/>
      <c r="C6184" s="75"/>
      <c r="D6184" s="75"/>
      <c r="E6184" s="75"/>
      <c r="F6184" s="75"/>
    </row>
    <row r="6185" spans="2:6">
      <c r="B6185" s="75"/>
      <c r="C6185" s="75"/>
      <c r="D6185" s="75"/>
      <c r="E6185" s="75"/>
      <c r="F6185" s="75"/>
    </row>
    <row r="6186" spans="2:6">
      <c r="B6186" s="75"/>
      <c r="C6186" s="75"/>
      <c r="D6186" s="75"/>
      <c r="E6186" s="75"/>
      <c r="F6186" s="75"/>
    </row>
    <row r="6187" spans="2:6">
      <c r="B6187" s="75"/>
      <c r="C6187" s="75"/>
      <c r="D6187" s="75"/>
      <c r="E6187" s="75"/>
      <c r="F6187" s="75"/>
    </row>
    <row r="6188" spans="2:6">
      <c r="B6188" s="75"/>
      <c r="C6188" s="75"/>
      <c r="D6188" s="75"/>
      <c r="E6188" s="75"/>
      <c r="F6188" s="75"/>
    </row>
    <row r="6189" spans="2:6">
      <c r="B6189" s="75"/>
      <c r="C6189" s="75"/>
      <c r="D6189" s="75"/>
      <c r="E6189" s="75"/>
      <c r="F6189" s="75"/>
    </row>
    <row r="6190" spans="2:6">
      <c r="B6190" s="75"/>
      <c r="C6190" s="75"/>
      <c r="D6190" s="75"/>
      <c r="E6190" s="75"/>
      <c r="F6190" s="75"/>
    </row>
    <row r="6191" spans="2:6">
      <c r="B6191" s="75"/>
      <c r="C6191" s="75"/>
      <c r="D6191" s="75"/>
      <c r="E6191" s="75"/>
      <c r="F6191" s="75"/>
    </row>
    <row r="6192" spans="2:6">
      <c r="B6192" s="75"/>
      <c r="C6192" s="75"/>
      <c r="D6192" s="75"/>
      <c r="E6192" s="75"/>
      <c r="F6192" s="75"/>
    </row>
    <row r="6193" spans="2:6">
      <c r="B6193" s="75"/>
      <c r="C6193" s="75"/>
      <c r="D6193" s="75"/>
      <c r="E6193" s="75"/>
      <c r="F6193" s="75"/>
    </row>
    <row r="6194" spans="2:6">
      <c r="B6194" s="75"/>
      <c r="C6194" s="75"/>
      <c r="D6194" s="75"/>
      <c r="E6194" s="75"/>
      <c r="F6194" s="75"/>
    </row>
    <row r="6195" spans="2:6">
      <c r="B6195" s="75"/>
      <c r="C6195" s="75"/>
      <c r="D6195" s="75"/>
      <c r="E6195" s="75"/>
      <c r="F6195" s="75"/>
    </row>
    <row r="6196" spans="2:6">
      <c r="B6196" s="75"/>
      <c r="C6196" s="75"/>
      <c r="D6196" s="75"/>
      <c r="E6196" s="75"/>
      <c r="F6196" s="75"/>
    </row>
    <row r="6197" spans="2:6">
      <c r="B6197" s="75"/>
      <c r="C6197" s="75"/>
      <c r="D6197" s="75"/>
      <c r="E6197" s="75"/>
      <c r="F6197" s="75"/>
    </row>
    <row r="6198" spans="2:6">
      <c r="B6198" s="75"/>
      <c r="C6198" s="75"/>
      <c r="D6198" s="75"/>
      <c r="E6198" s="75"/>
      <c r="F6198" s="75"/>
    </row>
    <row r="6199" spans="2:6">
      <c r="B6199" s="75"/>
      <c r="C6199" s="75"/>
      <c r="D6199" s="75"/>
      <c r="E6199" s="75"/>
      <c r="F6199" s="75"/>
    </row>
    <row r="6200" spans="2:6">
      <c r="B6200" s="75"/>
      <c r="C6200" s="75"/>
      <c r="D6200" s="75"/>
      <c r="E6200" s="75"/>
      <c r="F6200" s="75"/>
    </row>
    <row r="6201" spans="2:6">
      <c r="B6201" s="75"/>
      <c r="C6201" s="75"/>
      <c r="D6201" s="75"/>
      <c r="E6201" s="75"/>
      <c r="F6201" s="75"/>
    </row>
    <row r="6202" spans="2:6">
      <c r="B6202" s="75"/>
      <c r="C6202" s="75"/>
      <c r="D6202" s="75"/>
      <c r="E6202" s="75"/>
      <c r="F6202" s="75"/>
    </row>
    <row r="6203" spans="2:6">
      <c r="B6203" s="75"/>
      <c r="C6203" s="75"/>
      <c r="D6203" s="75"/>
      <c r="E6203" s="75"/>
      <c r="F6203" s="75"/>
    </row>
    <row r="6204" spans="2:6">
      <c r="B6204" s="75"/>
      <c r="C6204" s="75"/>
      <c r="D6204" s="75"/>
      <c r="E6204" s="75"/>
      <c r="F6204" s="75"/>
    </row>
    <row r="6205" spans="2:6">
      <c r="B6205" s="75"/>
      <c r="C6205" s="75"/>
      <c r="D6205" s="75"/>
      <c r="E6205" s="75"/>
      <c r="F6205" s="75"/>
    </row>
    <row r="6206" spans="2:6">
      <c r="B6206" s="75"/>
      <c r="C6206" s="75"/>
      <c r="D6206" s="75"/>
      <c r="E6206" s="75"/>
      <c r="F6206" s="75"/>
    </row>
    <row r="6207" spans="2:6">
      <c r="B6207" s="75"/>
      <c r="C6207" s="75"/>
      <c r="D6207" s="75"/>
      <c r="E6207" s="75"/>
      <c r="F6207" s="75"/>
    </row>
    <row r="6208" spans="2:6">
      <c r="B6208" s="75"/>
      <c r="C6208" s="75"/>
      <c r="D6208" s="75"/>
      <c r="E6208" s="75"/>
      <c r="F6208" s="75"/>
    </row>
    <row r="6209" spans="2:6">
      <c r="B6209" s="75"/>
      <c r="C6209" s="75"/>
      <c r="D6209" s="75"/>
      <c r="E6209" s="75"/>
      <c r="F6209" s="75"/>
    </row>
    <row r="6210" spans="2:6">
      <c r="B6210" s="75"/>
      <c r="C6210" s="75"/>
      <c r="D6210" s="75"/>
      <c r="E6210" s="75"/>
      <c r="F6210" s="75"/>
    </row>
    <row r="6211" spans="2:6">
      <c r="B6211" s="75"/>
      <c r="C6211" s="75"/>
      <c r="D6211" s="75"/>
      <c r="E6211" s="75"/>
      <c r="F6211" s="75"/>
    </row>
    <row r="6212" spans="2:6">
      <c r="B6212" s="75"/>
      <c r="C6212" s="75"/>
      <c r="D6212" s="75"/>
      <c r="E6212" s="75"/>
      <c r="F6212" s="75"/>
    </row>
    <row r="6213" spans="2:6">
      <c r="B6213" s="75"/>
      <c r="C6213" s="75"/>
      <c r="D6213" s="75"/>
      <c r="E6213" s="75"/>
      <c r="F6213" s="75"/>
    </row>
    <row r="6214" spans="2:6">
      <c r="B6214" s="75"/>
      <c r="C6214" s="75"/>
      <c r="D6214" s="75"/>
      <c r="E6214" s="75"/>
      <c r="F6214" s="75"/>
    </row>
    <row r="6215" spans="2:6">
      <c r="B6215" s="75"/>
      <c r="C6215" s="75"/>
      <c r="D6215" s="75"/>
      <c r="E6215" s="75"/>
      <c r="F6215" s="75"/>
    </row>
    <row r="6216" spans="2:6">
      <c r="B6216" s="75"/>
      <c r="C6216" s="75"/>
      <c r="D6216" s="75"/>
      <c r="E6216" s="75"/>
      <c r="F6216" s="75"/>
    </row>
    <row r="6217" spans="2:6">
      <c r="B6217" s="75"/>
      <c r="C6217" s="75"/>
      <c r="D6217" s="75"/>
      <c r="E6217" s="75"/>
      <c r="F6217" s="75"/>
    </row>
    <row r="6218" spans="2:6">
      <c r="B6218" s="75"/>
      <c r="C6218" s="75"/>
      <c r="D6218" s="75"/>
      <c r="E6218" s="75"/>
      <c r="F6218" s="75"/>
    </row>
    <row r="6219" spans="2:6">
      <c r="B6219" s="75"/>
      <c r="C6219" s="75"/>
      <c r="D6219" s="75"/>
      <c r="E6219" s="75"/>
      <c r="F6219" s="75"/>
    </row>
    <row r="6220" spans="2:6">
      <c r="B6220" s="75"/>
      <c r="C6220" s="75"/>
      <c r="D6220" s="75"/>
      <c r="E6220" s="75"/>
      <c r="F6220" s="75"/>
    </row>
    <row r="6221" spans="2:6">
      <c r="B6221" s="75"/>
      <c r="C6221" s="75"/>
      <c r="D6221" s="75"/>
      <c r="E6221" s="75"/>
      <c r="F6221" s="75"/>
    </row>
    <row r="6222" spans="2:6">
      <c r="B6222" s="75"/>
      <c r="C6222" s="75"/>
      <c r="D6222" s="75"/>
      <c r="E6222" s="75"/>
      <c r="F6222" s="75"/>
    </row>
    <row r="6223" spans="2:6">
      <c r="B6223" s="75"/>
      <c r="C6223" s="75"/>
      <c r="D6223" s="75"/>
      <c r="E6223" s="75"/>
      <c r="F6223" s="75"/>
    </row>
    <row r="6224" spans="2:6">
      <c r="B6224" s="75"/>
      <c r="C6224" s="75"/>
      <c r="D6224" s="75"/>
      <c r="E6224" s="75"/>
      <c r="F6224" s="75"/>
    </row>
    <row r="6225" spans="2:6">
      <c r="B6225" s="75"/>
      <c r="C6225" s="75"/>
      <c r="D6225" s="75"/>
      <c r="E6225" s="75"/>
      <c r="F6225" s="75"/>
    </row>
    <row r="6226" spans="2:6">
      <c r="B6226" s="75"/>
      <c r="C6226" s="75"/>
      <c r="D6226" s="75"/>
      <c r="E6226" s="75"/>
      <c r="F6226" s="75"/>
    </row>
    <row r="6227" spans="2:6">
      <c r="B6227" s="75"/>
      <c r="C6227" s="75"/>
      <c r="D6227" s="75"/>
      <c r="E6227" s="75"/>
      <c r="F6227" s="75"/>
    </row>
    <row r="6228" spans="2:6">
      <c r="B6228" s="75"/>
      <c r="C6228" s="75"/>
      <c r="D6228" s="75"/>
      <c r="E6228" s="75"/>
      <c r="F6228" s="75"/>
    </row>
    <row r="6229" spans="2:6">
      <c r="B6229" s="75"/>
      <c r="C6229" s="75"/>
      <c r="D6229" s="75"/>
      <c r="E6229" s="75"/>
      <c r="F6229" s="75"/>
    </row>
    <row r="6230" spans="2:6">
      <c r="B6230" s="75"/>
      <c r="C6230" s="75"/>
      <c r="D6230" s="75"/>
      <c r="E6230" s="75"/>
      <c r="F6230" s="75"/>
    </row>
    <row r="6231" spans="2:6">
      <c r="B6231" s="75"/>
      <c r="C6231" s="75"/>
      <c r="D6231" s="75"/>
      <c r="E6231" s="75"/>
      <c r="F6231" s="75"/>
    </row>
    <row r="6232" spans="2:6">
      <c r="B6232" s="75"/>
      <c r="C6232" s="75"/>
      <c r="D6232" s="75"/>
      <c r="E6232" s="75"/>
      <c r="F6232" s="75"/>
    </row>
    <row r="6233" spans="2:6">
      <c r="B6233" s="75"/>
      <c r="C6233" s="75"/>
      <c r="D6233" s="75"/>
      <c r="E6233" s="75"/>
      <c r="F6233" s="75"/>
    </row>
    <row r="6234" spans="2:6">
      <c r="B6234" s="75"/>
      <c r="C6234" s="75"/>
      <c r="D6234" s="75"/>
      <c r="E6234" s="75"/>
      <c r="F6234" s="75"/>
    </row>
    <row r="6235" spans="2:6">
      <c r="B6235" s="75"/>
      <c r="C6235" s="75"/>
      <c r="D6235" s="75"/>
      <c r="E6235" s="75"/>
      <c r="F6235" s="75"/>
    </row>
    <row r="6236" spans="2:6">
      <c r="B6236" s="75"/>
      <c r="C6236" s="75"/>
      <c r="D6236" s="75"/>
      <c r="E6236" s="75"/>
      <c r="F6236" s="75"/>
    </row>
    <row r="6237" spans="2:6">
      <c r="B6237" s="75"/>
      <c r="C6237" s="75"/>
      <c r="D6237" s="75"/>
      <c r="E6237" s="75"/>
      <c r="F6237" s="75"/>
    </row>
    <row r="6238" spans="2:6">
      <c r="B6238" s="75"/>
      <c r="C6238" s="75"/>
      <c r="D6238" s="75"/>
      <c r="E6238" s="75"/>
      <c r="F6238" s="75"/>
    </row>
    <row r="6239" spans="2:6">
      <c r="B6239" s="75"/>
      <c r="C6239" s="75"/>
      <c r="D6239" s="75"/>
      <c r="E6239" s="75"/>
      <c r="F6239" s="75"/>
    </row>
    <row r="6240" spans="2:6">
      <c r="B6240" s="75"/>
      <c r="C6240" s="75"/>
      <c r="D6240" s="75"/>
      <c r="E6240" s="75"/>
      <c r="F6240" s="75"/>
    </row>
    <row r="6241" spans="2:6">
      <c r="B6241" s="75"/>
      <c r="C6241" s="75"/>
      <c r="D6241" s="75"/>
      <c r="E6241" s="75"/>
      <c r="F6241" s="75"/>
    </row>
    <row r="6242" spans="2:6">
      <c r="B6242" s="75"/>
      <c r="C6242" s="75"/>
      <c r="D6242" s="75"/>
      <c r="E6242" s="75"/>
      <c r="F6242" s="75"/>
    </row>
    <row r="6243" spans="2:6">
      <c r="B6243" s="75"/>
      <c r="C6243" s="75"/>
      <c r="D6243" s="75"/>
      <c r="E6243" s="75"/>
      <c r="F6243" s="75"/>
    </row>
    <row r="6244" spans="2:6">
      <c r="B6244" s="75"/>
      <c r="C6244" s="75"/>
      <c r="D6244" s="75"/>
      <c r="E6244" s="75"/>
      <c r="F6244" s="75"/>
    </row>
    <row r="6245" spans="2:6">
      <c r="B6245" s="75"/>
      <c r="C6245" s="75"/>
      <c r="D6245" s="75"/>
      <c r="E6245" s="75"/>
      <c r="F6245" s="75"/>
    </row>
    <row r="6246" spans="2:6">
      <c r="B6246" s="75"/>
      <c r="C6246" s="75"/>
      <c r="D6246" s="75"/>
      <c r="E6246" s="75"/>
      <c r="F6246" s="75"/>
    </row>
    <row r="6247" spans="2:6">
      <c r="B6247" s="75"/>
      <c r="C6247" s="75"/>
      <c r="D6247" s="75"/>
      <c r="E6247" s="75"/>
      <c r="F6247" s="75"/>
    </row>
    <row r="6248" spans="2:6">
      <c r="B6248" s="75"/>
      <c r="C6248" s="75"/>
      <c r="D6248" s="75"/>
      <c r="E6248" s="75"/>
      <c r="F6248" s="75"/>
    </row>
    <row r="6249" spans="2:6">
      <c r="B6249" s="75"/>
      <c r="C6249" s="75"/>
      <c r="D6249" s="75"/>
      <c r="E6249" s="75"/>
      <c r="F6249" s="75"/>
    </row>
    <row r="6250" spans="2:6">
      <c r="B6250" s="75"/>
      <c r="C6250" s="75"/>
      <c r="D6250" s="75"/>
      <c r="E6250" s="75"/>
      <c r="F6250" s="75"/>
    </row>
    <row r="6251" spans="2:6">
      <c r="B6251" s="75"/>
      <c r="C6251" s="75"/>
      <c r="D6251" s="75"/>
      <c r="E6251" s="75"/>
      <c r="F6251" s="75"/>
    </row>
    <row r="6252" spans="2:6">
      <c r="B6252" s="75"/>
      <c r="C6252" s="75"/>
      <c r="D6252" s="75"/>
      <c r="E6252" s="75"/>
      <c r="F6252" s="75"/>
    </row>
    <row r="6253" spans="2:6">
      <c r="B6253" s="75"/>
      <c r="C6253" s="75"/>
      <c r="D6253" s="75"/>
      <c r="E6253" s="75"/>
      <c r="F6253" s="75"/>
    </row>
    <row r="6254" spans="2:6">
      <c r="B6254" s="75"/>
      <c r="C6254" s="75"/>
      <c r="D6254" s="75"/>
      <c r="E6254" s="75"/>
      <c r="F6254" s="75"/>
    </row>
    <row r="6255" spans="2:6">
      <c r="B6255" s="75"/>
      <c r="C6255" s="75"/>
      <c r="D6255" s="75"/>
      <c r="E6255" s="75"/>
      <c r="F6255" s="75"/>
    </row>
    <row r="6256" spans="2:6">
      <c r="B6256" s="75"/>
      <c r="C6256" s="75"/>
      <c r="D6256" s="75"/>
      <c r="E6256" s="75"/>
      <c r="F6256" s="75"/>
    </row>
    <row r="6257" spans="2:6">
      <c r="B6257" s="75"/>
      <c r="C6257" s="75"/>
      <c r="D6257" s="75"/>
      <c r="E6257" s="75"/>
      <c r="F6257" s="75"/>
    </row>
    <row r="6258" spans="2:6">
      <c r="B6258" s="75"/>
      <c r="C6258" s="75"/>
      <c r="D6258" s="75"/>
      <c r="E6258" s="75"/>
      <c r="F6258" s="75"/>
    </row>
    <row r="6259" spans="2:6">
      <c r="B6259" s="75"/>
      <c r="C6259" s="75"/>
      <c r="D6259" s="75"/>
      <c r="E6259" s="75"/>
      <c r="F6259" s="75"/>
    </row>
    <row r="6260" spans="2:6">
      <c r="B6260" s="75"/>
      <c r="C6260" s="75"/>
      <c r="D6260" s="75"/>
      <c r="E6260" s="75"/>
      <c r="F6260" s="75"/>
    </row>
    <row r="6261" spans="2:6">
      <c r="B6261" s="75"/>
      <c r="C6261" s="75"/>
      <c r="D6261" s="75"/>
      <c r="E6261" s="75"/>
      <c r="F6261" s="75"/>
    </row>
    <row r="6262" spans="2:6">
      <c r="B6262" s="75"/>
      <c r="C6262" s="75"/>
      <c r="D6262" s="75"/>
      <c r="E6262" s="75"/>
      <c r="F6262" s="75"/>
    </row>
    <row r="6263" spans="2:6">
      <c r="B6263" s="75"/>
      <c r="C6263" s="75"/>
      <c r="D6263" s="75"/>
      <c r="E6263" s="75"/>
      <c r="F6263" s="75"/>
    </row>
    <row r="6264" spans="2:6">
      <c r="B6264" s="75"/>
      <c r="C6264" s="75"/>
      <c r="D6264" s="75"/>
      <c r="E6264" s="75"/>
      <c r="F6264" s="75"/>
    </row>
    <row r="6265" spans="2:6">
      <c r="B6265" s="75"/>
      <c r="C6265" s="75"/>
      <c r="D6265" s="75"/>
      <c r="E6265" s="75"/>
      <c r="F6265" s="75"/>
    </row>
    <row r="6266" spans="2:6">
      <c r="B6266" s="75"/>
      <c r="C6266" s="75"/>
      <c r="D6266" s="75"/>
      <c r="E6266" s="75"/>
      <c r="F6266" s="75"/>
    </row>
    <row r="6267" spans="2:6">
      <c r="B6267" s="75"/>
      <c r="C6267" s="75"/>
      <c r="D6267" s="75"/>
      <c r="E6267" s="75"/>
      <c r="F6267" s="75"/>
    </row>
    <row r="6268" spans="2:6">
      <c r="B6268" s="75"/>
      <c r="C6268" s="75"/>
      <c r="D6268" s="75"/>
      <c r="E6268" s="75"/>
      <c r="F6268" s="75"/>
    </row>
    <row r="6269" spans="2:6">
      <c r="B6269" s="75"/>
      <c r="C6269" s="75"/>
      <c r="D6269" s="75"/>
      <c r="E6269" s="75"/>
      <c r="F6269" s="75"/>
    </row>
    <row r="6270" spans="2:6">
      <c r="B6270" s="75"/>
      <c r="C6270" s="75"/>
      <c r="D6270" s="75"/>
      <c r="E6270" s="75"/>
      <c r="F6270" s="75"/>
    </row>
    <row r="6271" spans="2:6">
      <c r="B6271" s="75"/>
      <c r="C6271" s="75"/>
      <c r="D6271" s="75"/>
      <c r="E6271" s="75"/>
      <c r="F6271" s="75"/>
    </row>
    <row r="6272" spans="2:6">
      <c r="B6272" s="75"/>
      <c r="C6272" s="75"/>
      <c r="D6272" s="75"/>
      <c r="E6272" s="75"/>
      <c r="F6272" s="75"/>
    </row>
    <row r="6273" spans="2:6">
      <c r="B6273" s="75"/>
      <c r="C6273" s="75"/>
      <c r="D6273" s="75"/>
      <c r="E6273" s="75"/>
      <c r="F6273" s="75"/>
    </row>
    <row r="6274" spans="2:6">
      <c r="B6274" s="75"/>
      <c r="C6274" s="75"/>
      <c r="D6274" s="75"/>
      <c r="E6274" s="75"/>
      <c r="F6274" s="75"/>
    </row>
    <row r="6275" spans="2:6">
      <c r="B6275" s="75"/>
      <c r="C6275" s="75"/>
      <c r="D6275" s="75"/>
      <c r="E6275" s="75"/>
      <c r="F6275" s="75"/>
    </row>
    <row r="6276" spans="2:6">
      <c r="B6276" s="75"/>
      <c r="C6276" s="75"/>
      <c r="D6276" s="75"/>
      <c r="E6276" s="75"/>
      <c r="F6276" s="75"/>
    </row>
    <row r="6277" spans="2:6">
      <c r="B6277" s="75"/>
      <c r="C6277" s="75"/>
      <c r="D6277" s="75"/>
      <c r="E6277" s="75"/>
      <c r="F6277" s="75"/>
    </row>
    <row r="6278" spans="2:6">
      <c r="B6278" s="75"/>
      <c r="C6278" s="75"/>
      <c r="D6278" s="75"/>
      <c r="E6278" s="75"/>
      <c r="F6278" s="75"/>
    </row>
    <row r="6279" spans="2:6">
      <c r="B6279" s="75"/>
      <c r="C6279" s="75"/>
      <c r="D6279" s="75"/>
      <c r="E6279" s="75"/>
      <c r="F6279" s="75"/>
    </row>
    <row r="6280" spans="2:6">
      <c r="B6280" s="75"/>
      <c r="C6280" s="75"/>
      <c r="D6280" s="75"/>
      <c r="E6280" s="75"/>
      <c r="F6280" s="75"/>
    </row>
    <row r="6281" spans="2:6">
      <c r="B6281" s="75"/>
      <c r="C6281" s="75"/>
      <c r="D6281" s="75"/>
      <c r="E6281" s="75"/>
      <c r="F6281" s="75"/>
    </row>
    <row r="6282" spans="2:6">
      <c r="B6282" s="75"/>
      <c r="C6282" s="75"/>
      <c r="D6282" s="75"/>
      <c r="E6282" s="75"/>
      <c r="F6282" s="75"/>
    </row>
    <row r="6283" spans="2:6">
      <c r="B6283" s="75"/>
      <c r="C6283" s="75"/>
      <c r="D6283" s="75"/>
      <c r="E6283" s="75"/>
      <c r="F6283" s="75"/>
    </row>
    <row r="6284" spans="2:6">
      <c r="B6284" s="75"/>
      <c r="C6284" s="75"/>
      <c r="D6284" s="75"/>
      <c r="E6284" s="75"/>
      <c r="F6284" s="75"/>
    </row>
    <row r="6285" spans="2:6">
      <c r="B6285" s="75"/>
      <c r="C6285" s="75"/>
      <c r="D6285" s="75"/>
      <c r="E6285" s="75"/>
      <c r="F6285" s="75"/>
    </row>
    <row r="6286" spans="2:6">
      <c r="B6286" s="75"/>
      <c r="C6286" s="75"/>
      <c r="D6286" s="75"/>
      <c r="E6286" s="75"/>
      <c r="F6286" s="75"/>
    </row>
    <row r="6287" spans="2:6">
      <c r="B6287" s="75"/>
      <c r="C6287" s="75"/>
      <c r="D6287" s="75"/>
      <c r="E6287" s="75"/>
      <c r="F6287" s="75"/>
    </row>
    <row r="6288" spans="2:6">
      <c r="B6288" s="75"/>
      <c r="C6288" s="75"/>
      <c r="D6288" s="75"/>
      <c r="E6288" s="75"/>
      <c r="F6288" s="75"/>
    </row>
    <row r="6289" spans="2:6">
      <c r="B6289" s="75"/>
      <c r="C6289" s="75"/>
      <c r="D6289" s="75"/>
      <c r="E6289" s="75"/>
      <c r="F6289" s="75"/>
    </row>
    <row r="6290" spans="2:6">
      <c r="B6290" s="75"/>
      <c r="C6290" s="75"/>
      <c r="D6290" s="75"/>
      <c r="E6290" s="75"/>
      <c r="F6290" s="75"/>
    </row>
    <row r="6291" spans="2:6">
      <c r="B6291" s="75"/>
      <c r="C6291" s="75"/>
      <c r="D6291" s="75"/>
      <c r="E6291" s="75"/>
      <c r="F6291" s="75"/>
    </row>
    <row r="6292" spans="2:6">
      <c r="B6292" s="75"/>
      <c r="C6292" s="75"/>
      <c r="D6292" s="75"/>
      <c r="E6292" s="75"/>
      <c r="F6292" s="75"/>
    </row>
    <row r="6293" spans="2:6">
      <c r="B6293" s="75"/>
      <c r="C6293" s="75"/>
      <c r="D6293" s="75"/>
      <c r="E6293" s="75"/>
      <c r="F6293" s="75"/>
    </row>
    <row r="6294" spans="2:6">
      <c r="B6294" s="75"/>
      <c r="C6294" s="75"/>
      <c r="D6294" s="75"/>
      <c r="E6294" s="75"/>
      <c r="F6294" s="75"/>
    </row>
    <row r="6295" spans="2:6">
      <c r="B6295" s="75"/>
      <c r="C6295" s="75"/>
      <c r="D6295" s="75"/>
      <c r="E6295" s="75"/>
      <c r="F6295" s="75"/>
    </row>
    <row r="6296" spans="2:6">
      <c r="B6296" s="75"/>
      <c r="C6296" s="75"/>
      <c r="D6296" s="75"/>
      <c r="E6296" s="75"/>
      <c r="F6296" s="75"/>
    </row>
    <row r="6297" spans="2:6">
      <c r="B6297" s="75"/>
      <c r="C6297" s="75"/>
      <c r="D6297" s="75"/>
      <c r="E6297" s="75"/>
      <c r="F6297" s="75"/>
    </row>
    <row r="6298" spans="2:6">
      <c r="B6298" s="75"/>
      <c r="C6298" s="75"/>
      <c r="D6298" s="75"/>
      <c r="E6298" s="75"/>
      <c r="F6298" s="75"/>
    </row>
    <row r="6299" spans="2:6">
      <c r="B6299" s="75"/>
      <c r="C6299" s="75"/>
      <c r="D6299" s="75"/>
      <c r="E6299" s="75"/>
      <c r="F6299" s="75"/>
    </row>
    <row r="6300" spans="2:6">
      <c r="B6300" s="75"/>
      <c r="C6300" s="75"/>
      <c r="D6300" s="75"/>
      <c r="E6300" s="75"/>
      <c r="F6300" s="75"/>
    </row>
    <row r="6301" spans="2:6">
      <c r="B6301" s="75"/>
      <c r="C6301" s="75"/>
      <c r="D6301" s="75"/>
      <c r="E6301" s="75"/>
      <c r="F6301" s="75"/>
    </row>
    <row r="6302" spans="2:6">
      <c r="B6302" s="75"/>
      <c r="C6302" s="75"/>
      <c r="D6302" s="75"/>
      <c r="E6302" s="75"/>
      <c r="F6302" s="75"/>
    </row>
    <row r="6303" spans="2:6">
      <c r="B6303" s="75"/>
      <c r="C6303" s="75"/>
      <c r="D6303" s="75"/>
      <c r="E6303" s="75"/>
      <c r="F6303" s="75"/>
    </row>
    <row r="6304" spans="2:6">
      <c r="B6304" s="75"/>
      <c r="C6304" s="75"/>
      <c r="D6304" s="75"/>
      <c r="E6304" s="75"/>
      <c r="F6304" s="75"/>
    </row>
    <row r="6305" spans="2:6">
      <c r="B6305" s="75"/>
      <c r="C6305" s="75"/>
      <c r="D6305" s="75"/>
      <c r="E6305" s="75"/>
      <c r="F6305" s="75"/>
    </row>
    <row r="6306" spans="2:6">
      <c r="B6306" s="75"/>
      <c r="C6306" s="75"/>
      <c r="D6306" s="75"/>
      <c r="E6306" s="75"/>
      <c r="F6306" s="75"/>
    </row>
    <row r="6307" spans="2:6">
      <c r="B6307" s="75"/>
      <c r="C6307" s="75"/>
      <c r="D6307" s="75"/>
      <c r="E6307" s="75"/>
      <c r="F6307" s="75"/>
    </row>
    <row r="6308" spans="2:6">
      <c r="B6308" s="75"/>
      <c r="C6308" s="75"/>
      <c r="D6308" s="75"/>
      <c r="E6308" s="75"/>
      <c r="F6308" s="75"/>
    </row>
    <row r="6309" spans="2:6">
      <c r="B6309" s="75"/>
      <c r="C6309" s="75"/>
      <c r="D6309" s="75"/>
      <c r="E6309" s="75"/>
      <c r="F6309" s="75"/>
    </row>
    <row r="6310" spans="2:6">
      <c r="B6310" s="75"/>
      <c r="C6310" s="75"/>
      <c r="D6310" s="75"/>
      <c r="E6310" s="75"/>
      <c r="F6310" s="75"/>
    </row>
    <row r="6311" spans="2:6">
      <c r="B6311" s="75"/>
      <c r="C6311" s="75"/>
      <c r="D6311" s="75"/>
      <c r="E6311" s="75"/>
      <c r="F6311" s="75"/>
    </row>
    <row r="6312" spans="2:6">
      <c r="B6312" s="75"/>
      <c r="C6312" s="75"/>
      <c r="D6312" s="75"/>
      <c r="E6312" s="75"/>
      <c r="F6312" s="75"/>
    </row>
    <row r="6313" spans="2:6">
      <c r="B6313" s="75"/>
      <c r="C6313" s="75"/>
      <c r="D6313" s="75"/>
      <c r="E6313" s="75"/>
      <c r="F6313" s="75"/>
    </row>
    <row r="6314" spans="2:6">
      <c r="B6314" s="75"/>
      <c r="C6314" s="75"/>
      <c r="D6314" s="75"/>
      <c r="E6314" s="75"/>
      <c r="F6314" s="75"/>
    </row>
    <row r="6315" spans="2:6">
      <c r="B6315" s="75"/>
      <c r="C6315" s="75"/>
      <c r="D6315" s="75"/>
      <c r="E6315" s="75"/>
      <c r="F6315" s="75"/>
    </row>
    <row r="6316" spans="2:6">
      <c r="B6316" s="75"/>
      <c r="C6316" s="75"/>
      <c r="D6316" s="75"/>
      <c r="E6316" s="75"/>
      <c r="F6316" s="75"/>
    </row>
    <row r="6317" spans="2:6">
      <c r="B6317" s="75"/>
      <c r="C6317" s="75"/>
      <c r="D6317" s="75"/>
      <c r="E6317" s="75"/>
      <c r="F6317" s="75"/>
    </row>
    <row r="6318" spans="2:6">
      <c r="B6318" s="75"/>
      <c r="C6318" s="75"/>
      <c r="D6318" s="75"/>
      <c r="E6318" s="75"/>
      <c r="F6318" s="75"/>
    </row>
    <row r="6319" spans="2:6">
      <c r="B6319" s="75"/>
      <c r="C6319" s="75"/>
      <c r="D6319" s="75"/>
      <c r="E6319" s="75"/>
      <c r="F6319" s="75"/>
    </row>
    <row r="6320" spans="2:6">
      <c r="B6320" s="75"/>
      <c r="C6320" s="75"/>
      <c r="D6320" s="75"/>
      <c r="E6320" s="75"/>
      <c r="F6320" s="75"/>
    </row>
    <row r="6321" spans="2:6">
      <c r="B6321" s="75"/>
      <c r="C6321" s="75"/>
      <c r="D6321" s="75"/>
      <c r="E6321" s="75"/>
      <c r="F6321" s="75"/>
    </row>
    <row r="6322" spans="2:6">
      <c r="B6322" s="75"/>
      <c r="C6322" s="75"/>
      <c r="D6322" s="75"/>
      <c r="E6322" s="75"/>
      <c r="F6322" s="75"/>
    </row>
    <row r="6323" spans="2:6">
      <c r="B6323" s="75"/>
      <c r="C6323" s="75"/>
      <c r="D6323" s="75"/>
      <c r="E6323" s="75"/>
      <c r="F6323" s="75"/>
    </row>
    <row r="6324" spans="2:6">
      <c r="B6324" s="75"/>
      <c r="C6324" s="75"/>
      <c r="D6324" s="75"/>
      <c r="E6324" s="75"/>
      <c r="F6324" s="75"/>
    </row>
    <row r="6325" spans="2:6">
      <c r="B6325" s="75"/>
      <c r="C6325" s="75"/>
      <c r="D6325" s="75"/>
      <c r="E6325" s="75"/>
      <c r="F6325" s="75"/>
    </row>
    <row r="6326" spans="2:6">
      <c r="B6326" s="75"/>
      <c r="C6326" s="75"/>
      <c r="D6326" s="75"/>
      <c r="E6326" s="75"/>
      <c r="F6326" s="75"/>
    </row>
    <row r="6327" spans="2:6">
      <c r="B6327" s="75"/>
      <c r="C6327" s="75"/>
      <c r="D6327" s="75"/>
      <c r="E6327" s="75"/>
      <c r="F6327" s="75"/>
    </row>
    <row r="6328" spans="2:6">
      <c r="B6328" s="75"/>
      <c r="C6328" s="75"/>
      <c r="D6328" s="75"/>
      <c r="E6328" s="75"/>
      <c r="F6328" s="75"/>
    </row>
    <row r="6329" spans="2:6">
      <c r="B6329" s="75"/>
      <c r="C6329" s="75"/>
      <c r="D6329" s="75"/>
      <c r="E6329" s="75"/>
      <c r="F6329" s="75"/>
    </row>
    <row r="6330" spans="2:6">
      <c r="B6330" s="75"/>
      <c r="C6330" s="75"/>
      <c r="D6330" s="75"/>
      <c r="E6330" s="75"/>
      <c r="F6330" s="75"/>
    </row>
    <row r="6331" spans="2:6">
      <c r="B6331" s="75"/>
      <c r="C6331" s="75"/>
      <c r="D6331" s="75"/>
      <c r="E6331" s="75"/>
      <c r="F6331" s="75"/>
    </row>
    <row r="6332" spans="2:6">
      <c r="B6332" s="75"/>
      <c r="C6332" s="75"/>
      <c r="D6332" s="75"/>
      <c r="E6332" s="75"/>
      <c r="F6332" s="75"/>
    </row>
    <row r="6333" spans="2:6">
      <c r="B6333" s="75"/>
      <c r="C6333" s="75"/>
      <c r="D6333" s="75"/>
      <c r="E6333" s="75"/>
      <c r="F6333" s="75"/>
    </row>
    <row r="6334" spans="2:6">
      <c r="B6334" s="75"/>
      <c r="C6334" s="75"/>
      <c r="D6334" s="75"/>
      <c r="E6334" s="75"/>
      <c r="F6334" s="75"/>
    </row>
    <row r="6335" spans="2:6">
      <c r="B6335" s="75"/>
      <c r="C6335" s="75"/>
      <c r="D6335" s="75"/>
      <c r="E6335" s="75"/>
      <c r="F6335" s="75"/>
    </row>
    <row r="6336" spans="2:6">
      <c r="B6336" s="75"/>
      <c r="C6336" s="75"/>
      <c r="D6336" s="75"/>
      <c r="E6336" s="75"/>
      <c r="F6336" s="75"/>
    </row>
    <row r="6337" spans="2:6">
      <c r="B6337" s="75"/>
      <c r="C6337" s="75"/>
      <c r="D6337" s="75"/>
      <c r="E6337" s="75"/>
      <c r="F6337" s="75"/>
    </row>
    <row r="6338" spans="2:6">
      <c r="B6338" s="75"/>
      <c r="C6338" s="75"/>
      <c r="D6338" s="75"/>
      <c r="E6338" s="75"/>
      <c r="F6338" s="75"/>
    </row>
    <row r="6339" spans="2:6">
      <c r="B6339" s="75"/>
      <c r="C6339" s="75"/>
      <c r="D6339" s="75"/>
      <c r="E6339" s="75"/>
      <c r="F6339" s="75"/>
    </row>
    <row r="6340" spans="2:6">
      <c r="B6340" s="75"/>
      <c r="C6340" s="75"/>
      <c r="D6340" s="75"/>
      <c r="E6340" s="75"/>
      <c r="F6340" s="75"/>
    </row>
    <row r="6341" spans="2:6">
      <c r="B6341" s="75"/>
      <c r="C6341" s="75"/>
      <c r="D6341" s="75"/>
      <c r="E6341" s="75"/>
      <c r="F6341" s="75"/>
    </row>
    <row r="6342" spans="2:6">
      <c r="B6342" s="75"/>
      <c r="C6342" s="75"/>
      <c r="D6342" s="75"/>
      <c r="E6342" s="75"/>
      <c r="F6342" s="75"/>
    </row>
    <row r="6343" spans="2:6">
      <c r="B6343" s="75"/>
      <c r="C6343" s="75"/>
      <c r="D6343" s="75"/>
      <c r="E6343" s="75"/>
      <c r="F6343" s="75"/>
    </row>
    <row r="6344" spans="2:6">
      <c r="B6344" s="75"/>
      <c r="C6344" s="75"/>
      <c r="D6344" s="75"/>
      <c r="E6344" s="75"/>
      <c r="F6344" s="75"/>
    </row>
    <row r="6345" spans="2:6">
      <c r="B6345" s="75"/>
      <c r="C6345" s="75"/>
      <c r="D6345" s="75"/>
      <c r="E6345" s="75"/>
      <c r="F6345" s="75"/>
    </row>
    <row r="6346" spans="2:6">
      <c r="B6346" s="75"/>
      <c r="C6346" s="75"/>
      <c r="D6346" s="75"/>
      <c r="E6346" s="75"/>
      <c r="F6346" s="75"/>
    </row>
    <row r="6347" spans="2:6">
      <c r="B6347" s="75"/>
      <c r="C6347" s="75"/>
      <c r="D6347" s="75"/>
      <c r="E6347" s="75"/>
      <c r="F6347" s="75"/>
    </row>
    <row r="6348" spans="2:6">
      <c r="B6348" s="75"/>
      <c r="C6348" s="75"/>
      <c r="D6348" s="75"/>
      <c r="E6348" s="75"/>
      <c r="F6348" s="75"/>
    </row>
    <row r="6349" spans="2:6">
      <c r="B6349" s="75"/>
      <c r="C6349" s="75"/>
      <c r="D6349" s="75"/>
      <c r="E6349" s="75"/>
      <c r="F6349" s="75"/>
    </row>
    <row r="6350" spans="2:6">
      <c r="B6350" s="75"/>
      <c r="C6350" s="75"/>
      <c r="D6350" s="75"/>
      <c r="E6350" s="75"/>
      <c r="F6350" s="75"/>
    </row>
    <row r="6351" spans="2:6">
      <c r="B6351" s="75"/>
      <c r="C6351" s="75"/>
      <c r="D6351" s="75"/>
      <c r="E6351" s="75"/>
      <c r="F6351" s="75"/>
    </row>
    <row r="6352" spans="2:6">
      <c r="B6352" s="75"/>
      <c r="C6352" s="75"/>
      <c r="D6352" s="75"/>
      <c r="E6352" s="75"/>
      <c r="F6352" s="75"/>
    </row>
    <row r="6353" spans="2:6">
      <c r="B6353" s="75"/>
      <c r="C6353" s="75"/>
      <c r="D6353" s="75"/>
      <c r="E6353" s="75"/>
      <c r="F6353" s="75"/>
    </row>
    <row r="6354" spans="2:6">
      <c r="B6354" s="75"/>
      <c r="C6354" s="75"/>
      <c r="D6354" s="75"/>
      <c r="E6354" s="75"/>
      <c r="F6354" s="75"/>
    </row>
    <row r="6355" spans="2:6">
      <c r="B6355" s="75"/>
      <c r="C6355" s="75"/>
      <c r="D6355" s="75"/>
      <c r="E6355" s="75"/>
      <c r="F6355" s="75"/>
    </row>
    <row r="6356" spans="2:6">
      <c r="B6356" s="75"/>
      <c r="C6356" s="75"/>
      <c r="D6356" s="75"/>
      <c r="E6356" s="75"/>
      <c r="F6356" s="75"/>
    </row>
    <row r="6357" spans="2:6">
      <c r="B6357" s="75"/>
      <c r="C6357" s="75"/>
      <c r="D6357" s="75"/>
      <c r="E6357" s="75"/>
      <c r="F6357" s="75"/>
    </row>
    <row r="6358" spans="2:6">
      <c r="B6358" s="75"/>
      <c r="C6358" s="75"/>
      <c r="D6358" s="75"/>
      <c r="E6358" s="75"/>
      <c r="F6358" s="75"/>
    </row>
    <row r="6359" spans="2:6">
      <c r="B6359" s="75"/>
      <c r="C6359" s="75"/>
      <c r="D6359" s="75"/>
      <c r="E6359" s="75"/>
      <c r="F6359" s="75"/>
    </row>
    <row r="6360" spans="2:6">
      <c r="B6360" s="75"/>
      <c r="C6360" s="75"/>
      <c r="D6360" s="75"/>
      <c r="E6360" s="75"/>
      <c r="F6360" s="75"/>
    </row>
    <row r="6361" spans="2:6">
      <c r="B6361" s="75"/>
      <c r="C6361" s="75"/>
      <c r="D6361" s="75"/>
      <c r="E6361" s="75"/>
      <c r="F6361" s="75"/>
    </row>
    <row r="6362" spans="2:6">
      <c r="B6362" s="75"/>
      <c r="C6362" s="75"/>
      <c r="D6362" s="75"/>
      <c r="E6362" s="75"/>
      <c r="F6362" s="75"/>
    </row>
    <row r="6363" spans="2:6">
      <c r="B6363" s="75"/>
      <c r="C6363" s="75"/>
      <c r="D6363" s="75"/>
      <c r="E6363" s="75"/>
      <c r="F6363" s="75"/>
    </row>
    <row r="6364" spans="2:6">
      <c r="B6364" s="75"/>
      <c r="C6364" s="75"/>
      <c r="D6364" s="75"/>
      <c r="E6364" s="75"/>
      <c r="F6364" s="75"/>
    </row>
    <row r="6365" spans="2:6">
      <c r="B6365" s="75"/>
      <c r="C6365" s="75"/>
      <c r="D6365" s="75"/>
      <c r="E6365" s="75"/>
      <c r="F6365" s="75"/>
    </row>
    <row r="6366" spans="2:6">
      <c r="B6366" s="75"/>
      <c r="C6366" s="75"/>
      <c r="D6366" s="75"/>
      <c r="E6366" s="75"/>
      <c r="F6366" s="75"/>
    </row>
    <row r="6367" spans="2:6">
      <c r="B6367" s="75"/>
      <c r="C6367" s="75"/>
      <c r="D6367" s="75"/>
      <c r="E6367" s="75"/>
      <c r="F6367" s="75"/>
    </row>
    <row r="6368" spans="2:6">
      <c r="B6368" s="75"/>
      <c r="C6368" s="75"/>
      <c r="D6368" s="75"/>
      <c r="E6368" s="75"/>
      <c r="F6368" s="75"/>
    </row>
    <row r="6369" spans="2:6">
      <c r="B6369" s="75"/>
      <c r="C6369" s="75"/>
      <c r="D6369" s="75"/>
      <c r="E6369" s="75"/>
      <c r="F6369" s="75"/>
    </row>
    <row r="6370" spans="2:6">
      <c r="B6370" s="75"/>
      <c r="C6370" s="75"/>
      <c r="D6370" s="75"/>
      <c r="E6370" s="75"/>
      <c r="F6370" s="75"/>
    </row>
    <row r="6371" spans="2:6">
      <c r="B6371" s="75"/>
      <c r="C6371" s="75"/>
      <c r="D6371" s="75"/>
      <c r="E6371" s="75"/>
      <c r="F6371" s="75"/>
    </row>
    <row r="6372" spans="2:6">
      <c r="B6372" s="75"/>
      <c r="C6372" s="75"/>
      <c r="D6372" s="75"/>
      <c r="E6372" s="75"/>
      <c r="F6372" s="75"/>
    </row>
    <row r="6373" spans="2:6">
      <c r="B6373" s="75"/>
      <c r="C6373" s="75"/>
      <c r="D6373" s="75"/>
      <c r="E6373" s="75"/>
      <c r="F6373" s="75"/>
    </row>
    <row r="6374" spans="2:6">
      <c r="B6374" s="75"/>
      <c r="C6374" s="75"/>
      <c r="D6374" s="75"/>
      <c r="E6374" s="75"/>
      <c r="F6374" s="75"/>
    </row>
    <row r="6375" spans="2:6">
      <c r="B6375" s="75"/>
      <c r="C6375" s="75"/>
      <c r="D6375" s="75"/>
      <c r="E6375" s="75"/>
      <c r="F6375" s="75"/>
    </row>
    <row r="6376" spans="2:6">
      <c r="B6376" s="75"/>
      <c r="C6376" s="75"/>
      <c r="D6376" s="75"/>
      <c r="E6376" s="75"/>
      <c r="F6376" s="75"/>
    </row>
    <row r="6377" spans="2:6">
      <c r="B6377" s="75"/>
      <c r="C6377" s="75"/>
      <c r="D6377" s="75"/>
      <c r="E6377" s="75"/>
      <c r="F6377" s="75"/>
    </row>
    <row r="6378" spans="2:6">
      <c r="B6378" s="75"/>
      <c r="C6378" s="75"/>
      <c r="D6378" s="75"/>
      <c r="E6378" s="75"/>
      <c r="F6378" s="75"/>
    </row>
    <row r="6379" spans="2:6">
      <c r="B6379" s="75"/>
      <c r="C6379" s="75"/>
      <c r="D6379" s="75"/>
      <c r="E6379" s="75"/>
      <c r="F6379" s="75"/>
    </row>
    <row r="6380" spans="2:6">
      <c r="B6380" s="75"/>
      <c r="C6380" s="75"/>
      <c r="D6380" s="75"/>
      <c r="E6380" s="75"/>
      <c r="F6380" s="75"/>
    </row>
    <row r="6381" spans="2:6">
      <c r="B6381" s="75"/>
      <c r="C6381" s="75"/>
      <c r="D6381" s="75"/>
      <c r="E6381" s="75"/>
      <c r="F6381" s="75"/>
    </row>
    <row r="6382" spans="2:6">
      <c r="B6382" s="75"/>
      <c r="C6382" s="75"/>
      <c r="D6382" s="75"/>
      <c r="E6382" s="75"/>
      <c r="F6382" s="75"/>
    </row>
    <row r="6383" spans="2:6">
      <c r="B6383" s="75"/>
      <c r="C6383" s="75"/>
      <c r="D6383" s="75"/>
      <c r="E6383" s="75"/>
      <c r="F6383" s="75"/>
    </row>
    <row r="6384" spans="2:6">
      <c r="B6384" s="75"/>
      <c r="C6384" s="75"/>
      <c r="D6384" s="75"/>
      <c r="E6384" s="75"/>
      <c r="F6384" s="75"/>
    </row>
    <row r="6385" spans="2:6">
      <c r="B6385" s="75"/>
      <c r="C6385" s="75"/>
      <c r="D6385" s="75"/>
      <c r="E6385" s="75"/>
      <c r="F6385" s="75"/>
    </row>
    <row r="6386" spans="2:6">
      <c r="B6386" s="75"/>
      <c r="C6386" s="75"/>
      <c r="D6386" s="75"/>
      <c r="E6386" s="75"/>
      <c r="F6386" s="75"/>
    </row>
    <row r="6387" spans="2:6">
      <c r="B6387" s="75"/>
      <c r="C6387" s="75"/>
      <c r="D6387" s="75"/>
      <c r="E6387" s="75"/>
      <c r="F6387" s="75"/>
    </row>
    <row r="6388" spans="2:6">
      <c r="B6388" s="75"/>
      <c r="C6388" s="75"/>
      <c r="D6388" s="75"/>
      <c r="E6388" s="75"/>
      <c r="F6388" s="75"/>
    </row>
    <row r="6389" spans="2:6">
      <c r="B6389" s="75"/>
      <c r="C6389" s="75"/>
      <c r="D6389" s="75"/>
      <c r="E6389" s="75"/>
      <c r="F6389" s="75"/>
    </row>
    <row r="6390" spans="2:6">
      <c r="B6390" s="75"/>
      <c r="C6390" s="75"/>
      <c r="D6390" s="75"/>
      <c r="E6390" s="75"/>
      <c r="F6390" s="75"/>
    </row>
    <row r="6391" spans="2:6">
      <c r="B6391" s="75"/>
      <c r="C6391" s="75"/>
      <c r="D6391" s="75"/>
      <c r="E6391" s="75"/>
      <c r="F6391" s="75"/>
    </row>
    <row r="6392" spans="2:6">
      <c r="B6392" s="75"/>
      <c r="C6392" s="75"/>
      <c r="D6392" s="75"/>
      <c r="E6392" s="75"/>
      <c r="F6392" s="75"/>
    </row>
    <row r="6393" spans="2:6">
      <c r="B6393" s="75"/>
      <c r="C6393" s="75"/>
      <c r="D6393" s="75"/>
      <c r="E6393" s="75"/>
      <c r="F6393" s="75"/>
    </row>
    <row r="6394" spans="2:6">
      <c r="B6394" s="75"/>
      <c r="C6394" s="75"/>
      <c r="D6394" s="75"/>
      <c r="E6394" s="75"/>
      <c r="F6394" s="75"/>
    </row>
    <row r="6395" spans="2:6">
      <c r="B6395" s="75"/>
      <c r="C6395" s="75"/>
      <c r="D6395" s="75"/>
      <c r="E6395" s="75"/>
      <c r="F6395" s="75"/>
    </row>
    <row r="6396" spans="2:6">
      <c r="B6396" s="75"/>
      <c r="C6396" s="75"/>
      <c r="D6396" s="75"/>
      <c r="E6396" s="75"/>
      <c r="F6396" s="75"/>
    </row>
    <row r="6397" spans="2:6">
      <c r="B6397" s="75"/>
      <c r="C6397" s="75"/>
      <c r="D6397" s="75"/>
      <c r="E6397" s="75"/>
      <c r="F6397" s="75"/>
    </row>
    <row r="6398" spans="2:6">
      <c r="B6398" s="75"/>
      <c r="C6398" s="75"/>
      <c r="D6398" s="75"/>
      <c r="E6398" s="75"/>
      <c r="F6398" s="75"/>
    </row>
    <row r="6399" spans="2:6">
      <c r="B6399" s="75"/>
      <c r="C6399" s="75"/>
      <c r="D6399" s="75"/>
      <c r="E6399" s="75"/>
      <c r="F6399" s="75"/>
    </row>
    <row r="6400" spans="2:6">
      <c r="B6400" s="75"/>
      <c r="C6400" s="75"/>
      <c r="D6400" s="75"/>
      <c r="E6400" s="75"/>
      <c r="F6400" s="75"/>
    </row>
    <row r="6401" spans="2:6">
      <c r="B6401" s="75"/>
      <c r="C6401" s="75"/>
      <c r="D6401" s="75"/>
      <c r="E6401" s="75"/>
      <c r="F6401" s="75"/>
    </row>
    <row r="6402" spans="2:6">
      <c r="B6402" s="75"/>
      <c r="C6402" s="75"/>
      <c r="D6402" s="75"/>
      <c r="E6402" s="75"/>
      <c r="F6402" s="75"/>
    </row>
    <row r="6403" spans="2:6">
      <c r="B6403" s="75"/>
      <c r="C6403" s="75"/>
      <c r="D6403" s="75"/>
      <c r="E6403" s="75"/>
      <c r="F6403" s="75"/>
    </row>
    <row r="6404" spans="2:6">
      <c r="B6404" s="75"/>
      <c r="C6404" s="75"/>
      <c r="D6404" s="75"/>
      <c r="E6404" s="75"/>
      <c r="F6404" s="75"/>
    </row>
    <row r="6405" spans="2:6">
      <c r="B6405" s="75"/>
      <c r="C6405" s="75"/>
      <c r="D6405" s="75"/>
      <c r="E6405" s="75"/>
      <c r="F6405" s="75"/>
    </row>
    <row r="6406" spans="2:6">
      <c r="B6406" s="75"/>
      <c r="C6406" s="75"/>
      <c r="D6406" s="75"/>
      <c r="E6406" s="75"/>
      <c r="F6406" s="75"/>
    </row>
    <row r="6407" spans="2:6">
      <c r="B6407" s="75"/>
      <c r="C6407" s="75"/>
      <c r="D6407" s="75"/>
      <c r="E6407" s="75"/>
      <c r="F6407" s="75"/>
    </row>
    <row r="6408" spans="2:6">
      <c r="B6408" s="75"/>
      <c r="C6408" s="75"/>
      <c r="D6408" s="75"/>
      <c r="E6408" s="75"/>
      <c r="F6408" s="75"/>
    </row>
    <row r="6409" spans="2:6">
      <c r="B6409" s="75"/>
      <c r="C6409" s="75"/>
      <c r="D6409" s="75"/>
      <c r="E6409" s="75"/>
      <c r="F6409" s="75"/>
    </row>
    <row r="6410" spans="2:6">
      <c r="B6410" s="75"/>
      <c r="C6410" s="75"/>
      <c r="D6410" s="75"/>
      <c r="E6410" s="75"/>
      <c r="F6410" s="75"/>
    </row>
    <row r="6411" spans="2:6">
      <c r="B6411" s="75"/>
      <c r="C6411" s="75"/>
      <c r="D6411" s="75"/>
      <c r="E6411" s="75"/>
      <c r="F6411" s="75"/>
    </row>
    <row r="6412" spans="2:6">
      <c r="B6412" s="75"/>
      <c r="C6412" s="75"/>
      <c r="D6412" s="75"/>
      <c r="E6412" s="75"/>
      <c r="F6412" s="75"/>
    </row>
    <row r="6413" spans="2:6">
      <c r="B6413" s="75"/>
      <c r="C6413" s="75"/>
      <c r="D6413" s="75"/>
      <c r="E6413" s="75"/>
      <c r="F6413" s="75"/>
    </row>
    <row r="6414" spans="2:6">
      <c r="B6414" s="75"/>
      <c r="C6414" s="75"/>
      <c r="D6414" s="75"/>
      <c r="E6414" s="75"/>
      <c r="F6414" s="75"/>
    </row>
    <row r="6415" spans="2:6">
      <c r="B6415" s="75"/>
      <c r="C6415" s="75"/>
      <c r="D6415" s="75"/>
      <c r="E6415" s="75"/>
      <c r="F6415" s="75"/>
    </row>
    <row r="6416" spans="2:6">
      <c r="B6416" s="75"/>
      <c r="C6416" s="75"/>
      <c r="D6416" s="75"/>
      <c r="E6416" s="75"/>
      <c r="F6416" s="75"/>
    </row>
    <row r="6417" spans="2:6">
      <c r="B6417" s="75"/>
      <c r="C6417" s="75"/>
      <c r="D6417" s="75"/>
      <c r="E6417" s="75"/>
      <c r="F6417" s="75"/>
    </row>
    <row r="6418" spans="2:6">
      <c r="B6418" s="75"/>
      <c r="C6418" s="75"/>
      <c r="D6418" s="75"/>
      <c r="E6418" s="75"/>
      <c r="F6418" s="75"/>
    </row>
    <row r="6419" spans="2:6">
      <c r="B6419" s="75"/>
      <c r="C6419" s="75"/>
      <c r="D6419" s="75"/>
      <c r="E6419" s="75"/>
      <c r="F6419" s="75"/>
    </row>
    <row r="6420" spans="2:6">
      <c r="B6420" s="75"/>
      <c r="C6420" s="75"/>
      <c r="D6420" s="75"/>
      <c r="E6420" s="75"/>
      <c r="F6420" s="75"/>
    </row>
    <row r="6421" spans="2:6">
      <c r="B6421" s="75"/>
      <c r="C6421" s="75"/>
      <c r="D6421" s="75"/>
      <c r="E6421" s="75"/>
      <c r="F6421" s="75"/>
    </row>
    <row r="6422" spans="2:6">
      <c r="B6422" s="75"/>
      <c r="C6422" s="75"/>
      <c r="D6422" s="75"/>
      <c r="E6422" s="75"/>
      <c r="F6422" s="75"/>
    </row>
    <row r="6423" spans="2:6">
      <c r="B6423" s="75"/>
      <c r="C6423" s="75"/>
      <c r="D6423" s="75"/>
      <c r="E6423" s="75"/>
      <c r="F6423" s="75"/>
    </row>
    <row r="6424" spans="2:6">
      <c r="B6424" s="75"/>
      <c r="C6424" s="75"/>
      <c r="D6424" s="75"/>
      <c r="E6424" s="75"/>
      <c r="F6424" s="75"/>
    </row>
    <row r="6425" spans="2:6">
      <c r="B6425" s="75"/>
      <c r="C6425" s="75"/>
      <c r="D6425" s="75"/>
      <c r="E6425" s="75"/>
      <c r="F6425" s="75"/>
    </row>
    <row r="6426" spans="2:6">
      <c r="B6426" s="75"/>
      <c r="C6426" s="75"/>
      <c r="D6426" s="75"/>
      <c r="E6426" s="75"/>
      <c r="F6426" s="75"/>
    </row>
    <row r="6427" spans="2:6">
      <c r="B6427" s="75"/>
      <c r="C6427" s="75"/>
      <c r="D6427" s="75"/>
      <c r="E6427" s="75"/>
      <c r="F6427" s="75"/>
    </row>
    <row r="6428" spans="2:6">
      <c r="B6428" s="75"/>
      <c r="C6428" s="75"/>
      <c r="D6428" s="75"/>
      <c r="E6428" s="75"/>
      <c r="F6428" s="75"/>
    </row>
    <row r="6429" spans="2:6">
      <c r="B6429" s="75"/>
      <c r="C6429" s="75"/>
      <c r="D6429" s="75"/>
      <c r="E6429" s="75"/>
      <c r="F6429" s="75"/>
    </row>
    <row r="6430" spans="2:6">
      <c r="B6430" s="75"/>
      <c r="C6430" s="75"/>
      <c r="D6430" s="75"/>
      <c r="E6430" s="75"/>
      <c r="F6430" s="75"/>
    </row>
    <row r="6431" spans="2:6">
      <c r="B6431" s="75"/>
      <c r="C6431" s="75"/>
      <c r="D6431" s="75"/>
      <c r="E6431" s="75"/>
      <c r="F6431" s="75"/>
    </row>
    <row r="6432" spans="2:6">
      <c r="B6432" s="75"/>
      <c r="C6432" s="75"/>
      <c r="D6432" s="75"/>
      <c r="E6432" s="75"/>
      <c r="F6432" s="75"/>
    </row>
    <row r="6433" spans="2:6">
      <c r="B6433" s="75"/>
      <c r="C6433" s="75"/>
      <c r="D6433" s="75"/>
      <c r="E6433" s="75"/>
      <c r="F6433" s="75"/>
    </row>
    <row r="6434" spans="2:6">
      <c r="B6434" s="75"/>
      <c r="C6434" s="75"/>
      <c r="D6434" s="75"/>
      <c r="E6434" s="75"/>
      <c r="F6434" s="75"/>
    </row>
    <row r="6435" spans="2:6">
      <c r="B6435" s="75"/>
      <c r="C6435" s="75"/>
      <c r="D6435" s="75"/>
      <c r="E6435" s="75"/>
      <c r="F6435" s="75"/>
    </row>
    <row r="6436" spans="2:6">
      <c r="B6436" s="75"/>
      <c r="C6436" s="75"/>
      <c r="D6436" s="75"/>
      <c r="E6436" s="75"/>
      <c r="F6436" s="75"/>
    </row>
    <row r="6437" spans="2:6">
      <c r="B6437" s="75"/>
      <c r="C6437" s="75"/>
      <c r="D6437" s="75"/>
      <c r="E6437" s="75"/>
      <c r="F6437" s="75"/>
    </row>
    <row r="6438" spans="2:6">
      <c r="B6438" s="75"/>
      <c r="C6438" s="75"/>
      <c r="D6438" s="75"/>
      <c r="E6438" s="75"/>
      <c r="F6438" s="75"/>
    </row>
    <row r="6439" spans="2:6">
      <c r="B6439" s="75"/>
      <c r="C6439" s="75"/>
      <c r="D6439" s="75"/>
      <c r="E6439" s="75"/>
      <c r="F6439" s="75"/>
    </row>
    <row r="6440" spans="2:6">
      <c r="B6440" s="75"/>
      <c r="C6440" s="75"/>
      <c r="D6440" s="75"/>
      <c r="E6440" s="75"/>
      <c r="F6440" s="75"/>
    </row>
    <row r="6441" spans="2:6">
      <c r="B6441" s="75"/>
      <c r="C6441" s="75"/>
      <c r="D6441" s="75"/>
      <c r="E6441" s="75"/>
      <c r="F6441" s="75"/>
    </row>
    <row r="6442" spans="2:6">
      <c r="B6442" s="75"/>
      <c r="C6442" s="75"/>
      <c r="D6442" s="75"/>
      <c r="E6442" s="75"/>
      <c r="F6442" s="75"/>
    </row>
    <row r="6443" spans="2:6">
      <c r="B6443" s="75"/>
      <c r="C6443" s="75"/>
      <c r="D6443" s="75"/>
      <c r="E6443" s="75"/>
      <c r="F6443" s="75"/>
    </row>
    <row r="6444" spans="2:6">
      <c r="B6444" s="75"/>
      <c r="C6444" s="75"/>
      <c r="D6444" s="75"/>
      <c r="E6444" s="75"/>
      <c r="F6444" s="75"/>
    </row>
    <row r="6445" spans="2:6">
      <c r="B6445" s="75"/>
      <c r="C6445" s="75"/>
      <c r="D6445" s="75"/>
      <c r="E6445" s="75"/>
      <c r="F6445" s="75"/>
    </row>
    <row r="6446" spans="2:6">
      <c r="B6446" s="75"/>
      <c r="C6446" s="75"/>
      <c r="D6446" s="75"/>
      <c r="E6446" s="75"/>
      <c r="F6446" s="75"/>
    </row>
    <row r="6447" spans="2:6">
      <c r="B6447" s="75"/>
      <c r="C6447" s="75"/>
      <c r="D6447" s="75"/>
      <c r="E6447" s="75"/>
      <c r="F6447" s="75"/>
    </row>
    <row r="6448" spans="2:6">
      <c r="B6448" s="75"/>
      <c r="C6448" s="75"/>
      <c r="D6448" s="75"/>
      <c r="E6448" s="75"/>
      <c r="F6448" s="75"/>
    </row>
    <row r="6449" spans="2:6">
      <c r="B6449" s="75"/>
      <c r="C6449" s="75"/>
      <c r="D6449" s="75"/>
      <c r="E6449" s="75"/>
      <c r="F6449" s="75"/>
    </row>
    <row r="6450" spans="2:6">
      <c r="B6450" s="75"/>
      <c r="C6450" s="75"/>
      <c r="D6450" s="75"/>
      <c r="E6450" s="75"/>
      <c r="F6450" s="75"/>
    </row>
    <row r="6451" spans="2:6">
      <c r="B6451" s="75"/>
      <c r="C6451" s="75"/>
      <c r="D6451" s="75"/>
      <c r="E6451" s="75"/>
      <c r="F6451" s="75"/>
    </row>
    <row r="6452" spans="2:6">
      <c r="B6452" s="75"/>
      <c r="C6452" s="75"/>
      <c r="D6452" s="75"/>
      <c r="E6452" s="75"/>
      <c r="F6452" s="75"/>
    </row>
    <row r="6453" spans="2:6">
      <c r="B6453" s="75"/>
      <c r="C6453" s="75"/>
      <c r="D6453" s="75"/>
      <c r="E6453" s="75"/>
      <c r="F6453" s="75"/>
    </row>
    <row r="6454" spans="2:6">
      <c r="B6454" s="75"/>
      <c r="C6454" s="75"/>
      <c r="D6454" s="75"/>
      <c r="E6454" s="75"/>
      <c r="F6454" s="75"/>
    </row>
    <row r="6455" spans="2:6">
      <c r="B6455" s="75"/>
      <c r="C6455" s="75"/>
      <c r="D6455" s="75"/>
      <c r="E6455" s="75"/>
      <c r="F6455" s="75"/>
    </row>
    <row r="6456" spans="2:6">
      <c r="B6456" s="75"/>
      <c r="C6456" s="75"/>
      <c r="D6456" s="75"/>
      <c r="E6456" s="75"/>
      <c r="F6456" s="75"/>
    </row>
    <row r="6457" spans="2:6">
      <c r="B6457" s="75"/>
      <c r="C6457" s="75"/>
      <c r="D6457" s="75"/>
      <c r="E6457" s="75"/>
      <c r="F6457" s="75"/>
    </row>
    <row r="6458" spans="2:6">
      <c r="B6458" s="75"/>
      <c r="C6458" s="75"/>
      <c r="D6458" s="75"/>
      <c r="E6458" s="75"/>
      <c r="F6458" s="75"/>
    </row>
    <row r="6459" spans="2:6">
      <c r="B6459" s="75"/>
      <c r="C6459" s="75"/>
      <c r="D6459" s="75"/>
      <c r="E6459" s="75"/>
      <c r="F6459" s="75"/>
    </row>
    <row r="6460" spans="2:6">
      <c r="B6460" s="75"/>
      <c r="C6460" s="75"/>
      <c r="D6460" s="75"/>
      <c r="E6460" s="75"/>
      <c r="F6460" s="75"/>
    </row>
    <row r="6461" spans="2:6">
      <c r="B6461" s="75"/>
      <c r="C6461" s="75"/>
      <c r="D6461" s="75"/>
      <c r="E6461" s="75"/>
      <c r="F6461" s="75"/>
    </row>
    <row r="6462" spans="2:6">
      <c r="B6462" s="75"/>
      <c r="C6462" s="75"/>
      <c r="D6462" s="75"/>
      <c r="E6462" s="75"/>
      <c r="F6462" s="75"/>
    </row>
    <row r="6463" spans="2:6">
      <c r="B6463" s="75"/>
      <c r="C6463" s="75"/>
      <c r="D6463" s="75"/>
      <c r="E6463" s="75"/>
      <c r="F6463" s="75"/>
    </row>
    <row r="6464" spans="2:6">
      <c r="B6464" s="75"/>
      <c r="C6464" s="75"/>
      <c r="D6464" s="75"/>
      <c r="E6464" s="75"/>
      <c r="F6464" s="75"/>
    </row>
    <row r="6465" spans="2:6">
      <c r="B6465" s="75"/>
      <c r="C6465" s="75"/>
      <c r="D6465" s="75"/>
      <c r="E6465" s="75"/>
      <c r="F6465" s="75"/>
    </row>
    <row r="6466" spans="2:6">
      <c r="B6466" s="75"/>
      <c r="C6466" s="75"/>
      <c r="D6466" s="75"/>
      <c r="E6466" s="75"/>
      <c r="F6466" s="75"/>
    </row>
    <row r="6467" spans="2:6">
      <c r="B6467" s="75"/>
      <c r="C6467" s="75"/>
      <c r="D6467" s="75"/>
      <c r="E6467" s="75"/>
      <c r="F6467" s="75"/>
    </row>
    <row r="6468" spans="2:6">
      <c r="B6468" s="75"/>
      <c r="C6468" s="75"/>
      <c r="D6468" s="75"/>
      <c r="E6468" s="75"/>
      <c r="F6468" s="75"/>
    </row>
    <row r="6469" spans="2:6">
      <c r="B6469" s="75"/>
      <c r="C6469" s="75"/>
      <c r="D6469" s="75"/>
      <c r="E6469" s="75"/>
      <c r="F6469" s="75"/>
    </row>
    <row r="6470" spans="2:6">
      <c r="B6470" s="75"/>
      <c r="C6470" s="75"/>
      <c r="D6470" s="75"/>
      <c r="E6470" s="75"/>
      <c r="F6470" s="75"/>
    </row>
    <row r="6471" spans="2:6">
      <c r="B6471" s="75"/>
      <c r="C6471" s="75"/>
      <c r="D6471" s="75"/>
      <c r="E6471" s="75"/>
      <c r="F6471" s="75"/>
    </row>
    <row r="6472" spans="2:6">
      <c r="B6472" s="75"/>
      <c r="C6472" s="75"/>
      <c r="D6472" s="75"/>
      <c r="E6472" s="75"/>
      <c r="F6472" s="75"/>
    </row>
    <row r="6473" spans="2:6">
      <c r="B6473" s="75"/>
      <c r="C6473" s="75"/>
      <c r="D6473" s="75"/>
      <c r="E6473" s="75"/>
      <c r="F6473" s="75"/>
    </row>
    <row r="6474" spans="2:6">
      <c r="B6474" s="75"/>
      <c r="C6474" s="75"/>
      <c r="D6474" s="75"/>
      <c r="E6474" s="75"/>
      <c r="F6474" s="75"/>
    </row>
    <row r="6475" spans="2:6">
      <c r="B6475" s="75"/>
      <c r="C6475" s="75"/>
      <c r="D6475" s="75"/>
      <c r="E6475" s="75"/>
      <c r="F6475" s="75"/>
    </row>
    <row r="6476" spans="2:6">
      <c r="B6476" s="75"/>
      <c r="C6476" s="75"/>
      <c r="D6476" s="75"/>
      <c r="E6476" s="75"/>
      <c r="F6476" s="75"/>
    </row>
    <row r="6477" spans="2:6">
      <c r="B6477" s="75"/>
      <c r="C6477" s="75"/>
      <c r="D6477" s="75"/>
      <c r="E6477" s="75"/>
      <c r="F6477" s="75"/>
    </row>
    <row r="6478" spans="2:6">
      <c r="B6478" s="75"/>
      <c r="C6478" s="75"/>
      <c r="D6478" s="75"/>
      <c r="E6478" s="75"/>
      <c r="F6478" s="75"/>
    </row>
    <row r="6479" spans="2:6">
      <c r="B6479" s="75"/>
      <c r="C6479" s="75"/>
      <c r="D6479" s="75"/>
      <c r="E6479" s="75"/>
      <c r="F6479" s="75"/>
    </row>
    <row r="6480" spans="2:6">
      <c r="B6480" s="75"/>
      <c r="C6480" s="75"/>
      <c r="D6480" s="75"/>
      <c r="E6480" s="75"/>
      <c r="F6480" s="75"/>
    </row>
    <row r="6481" spans="2:6">
      <c r="B6481" s="75"/>
      <c r="C6481" s="75"/>
      <c r="D6481" s="75"/>
      <c r="E6481" s="75"/>
      <c r="F6481" s="75"/>
    </row>
    <row r="6482" spans="2:6">
      <c r="B6482" s="75"/>
      <c r="C6482" s="75"/>
      <c r="D6482" s="75"/>
      <c r="E6482" s="75"/>
      <c r="F6482" s="75"/>
    </row>
    <row r="6483" spans="2:6">
      <c r="B6483" s="75"/>
      <c r="C6483" s="75"/>
      <c r="D6483" s="75"/>
      <c r="E6483" s="75"/>
      <c r="F6483" s="75"/>
    </row>
    <row r="6484" spans="2:6">
      <c r="B6484" s="75"/>
      <c r="C6484" s="75"/>
      <c r="D6484" s="75"/>
      <c r="E6484" s="75"/>
      <c r="F6484" s="75"/>
    </row>
    <row r="6485" spans="2:6">
      <c r="B6485" s="75"/>
      <c r="C6485" s="75"/>
      <c r="D6485" s="75"/>
      <c r="E6485" s="75"/>
      <c r="F6485" s="75"/>
    </row>
    <row r="6486" spans="2:6">
      <c r="B6486" s="75"/>
      <c r="C6486" s="75"/>
      <c r="D6486" s="75"/>
      <c r="E6486" s="75"/>
      <c r="F6486" s="75"/>
    </row>
    <row r="6487" spans="2:6">
      <c r="B6487" s="75"/>
      <c r="C6487" s="75"/>
      <c r="D6487" s="75"/>
      <c r="E6487" s="75"/>
      <c r="F6487" s="75"/>
    </row>
    <row r="6488" spans="2:6">
      <c r="B6488" s="75"/>
      <c r="C6488" s="75"/>
      <c r="D6488" s="75"/>
      <c r="E6488" s="75"/>
      <c r="F6488" s="75"/>
    </row>
    <row r="6489" spans="2:6">
      <c r="B6489" s="75"/>
      <c r="C6489" s="75"/>
      <c r="D6489" s="75"/>
      <c r="E6489" s="75"/>
      <c r="F6489" s="75"/>
    </row>
    <row r="6490" spans="2:6">
      <c r="B6490" s="75"/>
      <c r="C6490" s="75"/>
      <c r="D6490" s="75"/>
      <c r="E6490" s="75"/>
      <c r="F6490" s="75"/>
    </row>
    <row r="6491" spans="2:6">
      <c r="B6491" s="75"/>
      <c r="C6491" s="75"/>
      <c r="D6491" s="75"/>
      <c r="E6491" s="75"/>
      <c r="F6491" s="75"/>
    </row>
    <row r="6492" spans="2:6">
      <c r="B6492" s="75"/>
      <c r="C6492" s="75"/>
      <c r="D6492" s="75"/>
      <c r="E6492" s="75"/>
      <c r="F6492" s="75"/>
    </row>
    <row r="6493" spans="2:6">
      <c r="B6493" s="75"/>
      <c r="C6493" s="75"/>
      <c r="D6493" s="75"/>
      <c r="E6493" s="75"/>
      <c r="F6493" s="75"/>
    </row>
    <row r="6494" spans="2:6">
      <c r="B6494" s="75"/>
      <c r="C6494" s="75"/>
      <c r="D6494" s="75"/>
      <c r="E6494" s="75"/>
      <c r="F6494" s="75"/>
    </row>
    <row r="6495" spans="2:6">
      <c r="B6495" s="75"/>
      <c r="C6495" s="75"/>
      <c r="D6495" s="75"/>
      <c r="E6495" s="75"/>
      <c r="F6495" s="75"/>
    </row>
    <row r="6496" spans="2:6">
      <c r="B6496" s="75"/>
      <c r="C6496" s="75"/>
      <c r="D6496" s="75"/>
      <c r="E6496" s="75"/>
      <c r="F6496" s="75"/>
    </row>
    <row r="6497" spans="2:6">
      <c r="B6497" s="75"/>
      <c r="C6497" s="75"/>
      <c r="D6497" s="75"/>
      <c r="E6497" s="75"/>
      <c r="F6497" s="75"/>
    </row>
    <row r="6498" spans="2:6">
      <c r="B6498" s="75"/>
      <c r="C6498" s="75"/>
      <c r="D6498" s="75"/>
      <c r="E6498" s="75"/>
      <c r="F6498" s="75"/>
    </row>
    <row r="6499" spans="2:6">
      <c r="B6499" s="75"/>
      <c r="C6499" s="75"/>
      <c r="D6499" s="75"/>
      <c r="E6499" s="75"/>
      <c r="F6499" s="75"/>
    </row>
    <row r="6500" spans="2:6">
      <c r="B6500" s="75"/>
      <c r="C6500" s="75"/>
      <c r="D6500" s="75"/>
      <c r="E6500" s="75"/>
      <c r="F6500" s="75"/>
    </row>
    <row r="6501" spans="2:6">
      <c r="B6501" s="75"/>
      <c r="C6501" s="75"/>
      <c r="D6501" s="75"/>
      <c r="E6501" s="75"/>
      <c r="F6501" s="75"/>
    </row>
    <row r="6502" spans="2:6">
      <c r="B6502" s="75"/>
      <c r="C6502" s="75"/>
      <c r="D6502" s="75"/>
      <c r="E6502" s="75"/>
      <c r="F6502" s="75"/>
    </row>
    <row r="6503" spans="2:6">
      <c r="B6503" s="75"/>
      <c r="C6503" s="75"/>
      <c r="D6503" s="75"/>
      <c r="E6503" s="75"/>
      <c r="F6503" s="75"/>
    </row>
    <row r="6504" spans="2:6">
      <c r="B6504" s="75"/>
      <c r="C6504" s="75"/>
      <c r="D6504" s="75"/>
      <c r="E6504" s="75"/>
      <c r="F6504" s="75"/>
    </row>
    <row r="6505" spans="2:6">
      <c r="B6505" s="75"/>
      <c r="C6505" s="75"/>
      <c r="D6505" s="75"/>
      <c r="E6505" s="75"/>
      <c r="F6505" s="75"/>
    </row>
    <row r="6506" spans="2:6">
      <c r="B6506" s="75"/>
      <c r="C6506" s="75"/>
      <c r="D6506" s="75"/>
      <c r="E6506" s="75"/>
      <c r="F6506" s="75"/>
    </row>
    <row r="6507" spans="2:6">
      <c r="B6507" s="75"/>
      <c r="C6507" s="75"/>
      <c r="D6507" s="75"/>
      <c r="E6507" s="75"/>
      <c r="F6507" s="75"/>
    </row>
    <row r="6508" spans="2:6">
      <c r="B6508" s="75"/>
      <c r="C6508" s="75"/>
      <c r="D6508" s="75"/>
      <c r="E6508" s="75"/>
      <c r="F6508" s="75"/>
    </row>
    <row r="6509" spans="2:6">
      <c r="B6509" s="75"/>
      <c r="C6509" s="75"/>
      <c r="D6509" s="75"/>
      <c r="E6509" s="75"/>
      <c r="F6509" s="75"/>
    </row>
    <row r="6510" spans="2:6">
      <c r="B6510" s="75"/>
      <c r="C6510" s="75"/>
      <c r="D6510" s="75"/>
      <c r="E6510" s="75"/>
      <c r="F6510" s="75"/>
    </row>
    <row r="6511" spans="2:6">
      <c r="B6511" s="75"/>
      <c r="C6511" s="75"/>
      <c r="D6511" s="75"/>
      <c r="E6511" s="75"/>
      <c r="F6511" s="75"/>
    </row>
    <row r="6512" spans="2:6">
      <c r="B6512" s="75"/>
      <c r="C6512" s="75"/>
      <c r="D6512" s="75"/>
      <c r="E6512" s="75"/>
      <c r="F6512" s="75"/>
    </row>
    <row r="6513" spans="2:6">
      <c r="B6513" s="75"/>
      <c r="C6513" s="75"/>
      <c r="D6513" s="75"/>
      <c r="E6513" s="75"/>
      <c r="F6513" s="75"/>
    </row>
    <row r="6514" spans="2:6">
      <c r="B6514" s="75"/>
      <c r="C6514" s="75"/>
      <c r="D6514" s="75"/>
      <c r="E6514" s="75"/>
      <c r="F6514" s="75"/>
    </row>
    <row r="6515" spans="2:6">
      <c r="B6515" s="75"/>
      <c r="C6515" s="75"/>
      <c r="D6515" s="75"/>
      <c r="E6515" s="75"/>
      <c r="F6515" s="75"/>
    </row>
    <row r="6516" spans="2:6">
      <c r="B6516" s="75"/>
      <c r="C6516" s="75"/>
      <c r="D6516" s="75"/>
      <c r="E6516" s="75"/>
      <c r="F6516" s="75"/>
    </row>
    <row r="6517" spans="2:6">
      <c r="B6517" s="75"/>
      <c r="C6517" s="75"/>
      <c r="D6517" s="75"/>
      <c r="E6517" s="75"/>
      <c r="F6517" s="75"/>
    </row>
    <row r="6518" spans="2:6">
      <c r="B6518" s="75"/>
      <c r="C6518" s="75"/>
      <c r="D6518" s="75"/>
      <c r="E6518" s="75"/>
      <c r="F6518" s="75"/>
    </row>
    <row r="6519" spans="2:6">
      <c r="B6519" s="75"/>
      <c r="C6519" s="75"/>
      <c r="D6519" s="75"/>
      <c r="E6519" s="75"/>
      <c r="F6519" s="75"/>
    </row>
    <row r="6520" spans="2:6">
      <c r="B6520" s="75"/>
      <c r="C6520" s="75"/>
      <c r="D6520" s="75"/>
      <c r="E6520" s="75"/>
      <c r="F6520" s="75"/>
    </row>
    <row r="6521" spans="2:6">
      <c r="B6521" s="75"/>
      <c r="C6521" s="75"/>
      <c r="D6521" s="75"/>
      <c r="E6521" s="75"/>
      <c r="F6521" s="75"/>
    </row>
    <row r="6522" spans="2:6">
      <c r="B6522" s="75"/>
      <c r="C6522" s="75"/>
      <c r="D6522" s="75"/>
      <c r="E6522" s="75"/>
      <c r="F6522" s="75"/>
    </row>
    <row r="6523" spans="2:6">
      <c r="B6523" s="75"/>
      <c r="C6523" s="75"/>
      <c r="D6523" s="75"/>
      <c r="E6523" s="75"/>
      <c r="F6523" s="75"/>
    </row>
    <row r="6524" spans="2:6">
      <c r="B6524" s="75"/>
      <c r="C6524" s="75"/>
      <c r="D6524" s="75"/>
      <c r="E6524" s="75"/>
      <c r="F6524" s="75"/>
    </row>
    <row r="6525" spans="2:6">
      <c r="B6525" s="75"/>
      <c r="C6525" s="75"/>
      <c r="D6525" s="75"/>
      <c r="E6525" s="75"/>
      <c r="F6525" s="75"/>
    </row>
    <row r="6526" spans="2:6">
      <c r="B6526" s="75"/>
      <c r="C6526" s="75"/>
      <c r="D6526" s="75"/>
      <c r="E6526" s="75"/>
      <c r="F6526" s="75"/>
    </row>
    <row r="6527" spans="2:6">
      <c r="B6527" s="75"/>
      <c r="C6527" s="75"/>
      <c r="D6527" s="75"/>
      <c r="E6527" s="75"/>
      <c r="F6527" s="75"/>
    </row>
    <row r="6528" spans="2:6">
      <c r="B6528" s="75"/>
      <c r="C6528" s="75"/>
      <c r="D6528" s="75"/>
      <c r="E6528" s="75"/>
      <c r="F6528" s="75"/>
    </row>
    <row r="6529" spans="2:6">
      <c r="B6529" s="75"/>
      <c r="C6529" s="75"/>
      <c r="D6529" s="75"/>
      <c r="E6529" s="75"/>
      <c r="F6529" s="75"/>
    </row>
    <row r="6530" spans="2:6">
      <c r="B6530" s="75"/>
      <c r="C6530" s="75"/>
      <c r="D6530" s="75"/>
      <c r="E6530" s="75"/>
      <c r="F6530" s="75"/>
    </row>
    <row r="6531" spans="2:6">
      <c r="B6531" s="75"/>
      <c r="C6531" s="75"/>
      <c r="D6531" s="75"/>
      <c r="E6531" s="75"/>
      <c r="F6531" s="75"/>
    </row>
    <row r="6532" spans="2:6">
      <c r="B6532" s="75"/>
      <c r="C6532" s="75"/>
      <c r="D6532" s="75"/>
      <c r="E6532" s="75"/>
      <c r="F6532" s="75"/>
    </row>
    <row r="6533" spans="2:6">
      <c r="B6533" s="75"/>
      <c r="C6533" s="75"/>
      <c r="D6533" s="75"/>
      <c r="E6533" s="75"/>
      <c r="F6533" s="75"/>
    </row>
    <row r="6534" spans="2:6">
      <c r="B6534" s="75"/>
      <c r="C6534" s="75"/>
      <c r="D6534" s="75"/>
      <c r="E6534" s="75"/>
      <c r="F6534" s="75"/>
    </row>
    <row r="6535" spans="2:6">
      <c r="B6535" s="75"/>
      <c r="C6535" s="75"/>
      <c r="D6535" s="75"/>
      <c r="E6535" s="75"/>
      <c r="F6535" s="75"/>
    </row>
    <row r="6536" spans="2:6">
      <c r="B6536" s="75"/>
      <c r="C6536" s="75"/>
      <c r="D6536" s="75"/>
      <c r="E6536" s="75"/>
      <c r="F6536" s="75"/>
    </row>
    <row r="6537" spans="2:6">
      <c r="B6537" s="75"/>
      <c r="C6537" s="75"/>
      <c r="D6537" s="75"/>
      <c r="E6537" s="75"/>
      <c r="F6537" s="75"/>
    </row>
    <row r="6538" spans="2:6">
      <c r="B6538" s="75"/>
      <c r="C6538" s="75"/>
      <c r="D6538" s="75"/>
      <c r="E6538" s="75"/>
      <c r="F6538" s="75"/>
    </row>
    <row r="6539" spans="2:6">
      <c r="B6539" s="75"/>
      <c r="C6539" s="75"/>
      <c r="D6539" s="75"/>
      <c r="E6539" s="75"/>
      <c r="F6539" s="75"/>
    </row>
    <row r="6540" spans="2:6">
      <c r="B6540" s="75"/>
      <c r="C6540" s="75"/>
      <c r="D6540" s="75"/>
      <c r="E6540" s="75"/>
      <c r="F6540" s="75"/>
    </row>
    <row r="6541" spans="2:6">
      <c r="B6541" s="75"/>
      <c r="C6541" s="75"/>
      <c r="D6541" s="75"/>
      <c r="E6541" s="75"/>
      <c r="F6541" s="75"/>
    </row>
    <row r="6542" spans="2:6">
      <c r="B6542" s="75"/>
      <c r="C6542" s="75"/>
      <c r="D6542" s="75"/>
      <c r="E6542" s="75"/>
      <c r="F6542" s="75"/>
    </row>
    <row r="6543" spans="2:6">
      <c r="B6543" s="75"/>
      <c r="C6543" s="75"/>
      <c r="D6543" s="75"/>
      <c r="E6543" s="75"/>
      <c r="F6543" s="75"/>
    </row>
    <row r="6544" spans="2:6">
      <c r="B6544" s="75"/>
      <c r="C6544" s="75"/>
      <c r="D6544" s="75"/>
      <c r="E6544" s="75"/>
      <c r="F6544" s="75"/>
    </row>
    <row r="6545" spans="2:6">
      <c r="B6545" s="75"/>
      <c r="C6545" s="75"/>
      <c r="D6545" s="75"/>
      <c r="E6545" s="75"/>
      <c r="F6545" s="75"/>
    </row>
    <row r="6546" spans="2:6">
      <c r="B6546" s="75"/>
      <c r="C6546" s="75"/>
      <c r="D6546" s="75"/>
      <c r="E6546" s="75"/>
      <c r="F6546" s="75"/>
    </row>
    <row r="6547" spans="2:6">
      <c r="B6547" s="75"/>
      <c r="C6547" s="75"/>
      <c r="D6547" s="75"/>
      <c r="E6547" s="75"/>
      <c r="F6547" s="75"/>
    </row>
    <row r="6548" spans="2:6">
      <c r="B6548" s="75"/>
      <c r="C6548" s="75"/>
      <c r="D6548" s="75"/>
      <c r="E6548" s="75"/>
      <c r="F6548" s="75"/>
    </row>
    <row r="6549" spans="2:6">
      <c r="B6549" s="75"/>
      <c r="C6549" s="75"/>
      <c r="D6549" s="75"/>
      <c r="E6549" s="75"/>
      <c r="F6549" s="75"/>
    </row>
    <row r="6550" spans="2:6">
      <c r="B6550" s="75"/>
      <c r="C6550" s="75"/>
      <c r="D6550" s="75"/>
      <c r="E6550" s="75"/>
      <c r="F6550" s="75"/>
    </row>
    <row r="6551" spans="2:6">
      <c r="B6551" s="75"/>
      <c r="C6551" s="75"/>
      <c r="D6551" s="75"/>
      <c r="E6551" s="75"/>
      <c r="F6551" s="75"/>
    </row>
    <row r="6552" spans="2:6">
      <c r="B6552" s="75"/>
      <c r="C6552" s="75"/>
      <c r="D6552" s="75"/>
      <c r="E6552" s="75"/>
      <c r="F6552" s="75"/>
    </row>
    <row r="6553" spans="2:6">
      <c r="B6553" s="75"/>
      <c r="C6553" s="75"/>
      <c r="D6553" s="75"/>
      <c r="E6553" s="75"/>
      <c r="F6553" s="75"/>
    </row>
    <row r="6554" spans="2:6">
      <c r="B6554" s="75"/>
      <c r="C6554" s="75"/>
      <c r="D6554" s="75"/>
      <c r="E6554" s="75"/>
      <c r="F6554" s="75"/>
    </row>
    <row r="6555" spans="2:6">
      <c r="B6555" s="75"/>
      <c r="C6555" s="75"/>
      <c r="D6555" s="75"/>
      <c r="E6555" s="75"/>
      <c r="F6555" s="75"/>
    </row>
    <row r="6556" spans="2:6">
      <c r="B6556" s="75"/>
      <c r="C6556" s="75"/>
      <c r="D6556" s="75"/>
      <c r="E6556" s="75"/>
      <c r="F6556" s="75"/>
    </row>
    <row r="6557" spans="2:6">
      <c r="B6557" s="75"/>
      <c r="C6557" s="75"/>
      <c r="D6557" s="75"/>
      <c r="E6557" s="75"/>
      <c r="F6557" s="75"/>
    </row>
    <row r="6558" spans="2:6">
      <c r="B6558" s="75"/>
      <c r="C6558" s="75"/>
      <c r="D6558" s="75"/>
      <c r="E6558" s="75"/>
      <c r="F6558" s="75"/>
    </row>
    <row r="6559" spans="2:6">
      <c r="B6559" s="75"/>
      <c r="C6559" s="75"/>
      <c r="D6559" s="75"/>
      <c r="E6559" s="75"/>
      <c r="F6559" s="75"/>
    </row>
    <row r="6560" spans="2:6">
      <c r="B6560" s="75"/>
      <c r="C6560" s="75"/>
      <c r="D6560" s="75"/>
      <c r="E6560" s="75"/>
      <c r="F6560" s="75"/>
    </row>
    <row r="6561" spans="2:6">
      <c r="B6561" s="75"/>
      <c r="C6561" s="75"/>
      <c r="D6561" s="75"/>
      <c r="E6561" s="75"/>
      <c r="F6561" s="75"/>
    </row>
    <row r="6562" spans="2:6">
      <c r="B6562" s="75"/>
      <c r="C6562" s="75"/>
      <c r="D6562" s="75"/>
      <c r="E6562" s="75"/>
      <c r="F6562" s="75"/>
    </row>
    <row r="6563" spans="2:6">
      <c r="B6563" s="75"/>
      <c r="C6563" s="75"/>
      <c r="D6563" s="75"/>
      <c r="E6563" s="75"/>
      <c r="F6563" s="75"/>
    </row>
    <row r="6564" spans="2:6">
      <c r="B6564" s="75"/>
      <c r="C6564" s="75"/>
      <c r="D6564" s="75"/>
      <c r="E6564" s="75"/>
      <c r="F6564" s="75"/>
    </row>
    <row r="6565" spans="2:6">
      <c r="B6565" s="75"/>
      <c r="C6565" s="75"/>
      <c r="D6565" s="75"/>
      <c r="E6565" s="75"/>
      <c r="F6565" s="75"/>
    </row>
    <row r="6566" spans="2:6">
      <c r="B6566" s="75"/>
      <c r="C6566" s="75"/>
      <c r="D6566" s="75"/>
      <c r="E6566" s="75"/>
      <c r="F6566" s="75"/>
    </row>
    <row r="6567" spans="2:6">
      <c r="B6567" s="75"/>
      <c r="C6567" s="75"/>
      <c r="D6567" s="75"/>
      <c r="E6567" s="75"/>
      <c r="F6567" s="75"/>
    </row>
    <row r="6568" spans="2:6">
      <c r="B6568" s="75"/>
      <c r="C6568" s="75"/>
      <c r="D6568" s="75"/>
      <c r="E6568" s="75"/>
      <c r="F6568" s="75"/>
    </row>
    <row r="6569" spans="2:6">
      <c r="B6569" s="75"/>
      <c r="C6569" s="75"/>
      <c r="D6569" s="75"/>
      <c r="E6569" s="75"/>
      <c r="F6569" s="75"/>
    </row>
    <row r="6570" spans="2:6">
      <c r="B6570" s="75"/>
      <c r="C6570" s="75"/>
      <c r="D6570" s="75"/>
      <c r="E6570" s="75"/>
      <c r="F6570" s="75"/>
    </row>
    <row r="6571" spans="2:6">
      <c r="B6571" s="75"/>
      <c r="C6571" s="75"/>
      <c r="D6571" s="75"/>
      <c r="E6571" s="75"/>
      <c r="F6571" s="75"/>
    </row>
    <row r="6572" spans="2:6">
      <c r="B6572" s="75"/>
      <c r="C6572" s="75"/>
      <c r="D6572" s="75"/>
      <c r="E6572" s="75"/>
      <c r="F6572" s="75"/>
    </row>
    <row r="6573" spans="2:6">
      <c r="B6573" s="75"/>
      <c r="C6573" s="75"/>
      <c r="D6573" s="75"/>
      <c r="E6573" s="75"/>
      <c r="F6573" s="75"/>
    </row>
    <row r="6574" spans="2:6">
      <c r="B6574" s="75"/>
      <c r="C6574" s="75"/>
      <c r="D6574" s="75"/>
      <c r="E6574" s="75"/>
      <c r="F6574" s="75"/>
    </row>
    <row r="6575" spans="2:6">
      <c r="B6575" s="75"/>
      <c r="C6575" s="75"/>
      <c r="D6575" s="75"/>
      <c r="E6575" s="75"/>
      <c r="F6575" s="75"/>
    </row>
    <row r="6576" spans="2:6">
      <c r="B6576" s="75"/>
      <c r="C6576" s="75"/>
      <c r="D6576" s="75"/>
      <c r="E6576" s="75"/>
      <c r="F6576" s="75"/>
    </row>
    <row r="6577" spans="2:6">
      <c r="B6577" s="75"/>
      <c r="C6577" s="75"/>
      <c r="D6577" s="75"/>
      <c r="E6577" s="75"/>
      <c r="F6577" s="75"/>
    </row>
    <row r="6578" spans="2:6">
      <c r="B6578" s="75"/>
      <c r="C6578" s="75"/>
      <c r="D6578" s="75"/>
      <c r="E6578" s="75"/>
      <c r="F6578" s="75"/>
    </row>
    <row r="6579" spans="2:6">
      <c r="B6579" s="75"/>
      <c r="C6579" s="75"/>
      <c r="D6579" s="75"/>
      <c r="E6579" s="75"/>
      <c r="F6579" s="75"/>
    </row>
    <row r="6580" spans="2:6">
      <c r="B6580" s="75"/>
      <c r="C6580" s="75"/>
      <c r="D6580" s="75"/>
      <c r="E6580" s="75"/>
      <c r="F6580" s="75"/>
    </row>
    <row r="6581" spans="2:6">
      <c r="B6581" s="75"/>
      <c r="C6581" s="75"/>
      <c r="D6581" s="75"/>
      <c r="E6581" s="75"/>
      <c r="F6581" s="75"/>
    </row>
    <row r="6582" spans="2:6">
      <c r="B6582" s="75"/>
      <c r="C6582" s="75"/>
      <c r="D6582" s="75"/>
      <c r="E6582" s="75"/>
      <c r="F6582" s="75"/>
    </row>
    <row r="6583" spans="2:6">
      <c r="B6583" s="75"/>
      <c r="C6583" s="75"/>
      <c r="D6583" s="75"/>
      <c r="E6583" s="75"/>
      <c r="F6583" s="75"/>
    </row>
    <row r="6584" spans="2:6">
      <c r="B6584" s="75"/>
      <c r="C6584" s="75"/>
      <c r="D6584" s="75"/>
      <c r="E6584" s="75"/>
      <c r="F6584" s="75"/>
    </row>
    <row r="6585" spans="2:6">
      <c r="B6585" s="75"/>
      <c r="C6585" s="75"/>
      <c r="D6585" s="75"/>
      <c r="E6585" s="75"/>
      <c r="F6585" s="75"/>
    </row>
    <row r="6586" spans="2:6">
      <c r="B6586" s="75"/>
      <c r="C6586" s="75"/>
      <c r="D6586" s="75"/>
      <c r="E6586" s="75"/>
      <c r="F6586" s="75"/>
    </row>
    <row r="6587" spans="2:6">
      <c r="B6587" s="75"/>
      <c r="C6587" s="75"/>
      <c r="D6587" s="75"/>
      <c r="E6587" s="75"/>
      <c r="F6587" s="75"/>
    </row>
    <row r="6588" spans="2:6">
      <c r="B6588" s="75"/>
      <c r="C6588" s="75"/>
      <c r="D6588" s="75"/>
      <c r="E6588" s="75"/>
      <c r="F6588" s="75"/>
    </row>
    <row r="6589" spans="2:6">
      <c r="B6589" s="75"/>
      <c r="C6589" s="75"/>
      <c r="D6589" s="75"/>
      <c r="E6589" s="75"/>
      <c r="F6589" s="75"/>
    </row>
    <row r="6590" spans="2:6">
      <c r="B6590" s="75"/>
      <c r="C6590" s="75"/>
      <c r="D6590" s="75"/>
      <c r="E6590" s="75"/>
      <c r="F6590" s="75"/>
    </row>
    <row r="6591" spans="2:6">
      <c r="B6591" s="75"/>
      <c r="C6591" s="75"/>
      <c r="D6591" s="75"/>
      <c r="E6591" s="75"/>
      <c r="F6591" s="75"/>
    </row>
    <row r="6592" spans="2:6">
      <c r="B6592" s="75"/>
      <c r="C6592" s="75"/>
      <c r="D6592" s="75"/>
      <c r="E6592" s="75"/>
      <c r="F6592" s="75"/>
    </row>
    <row r="6593" spans="2:6">
      <c r="B6593" s="75"/>
      <c r="C6593" s="75"/>
      <c r="D6593" s="75"/>
      <c r="E6593" s="75"/>
      <c r="F6593" s="75"/>
    </row>
    <row r="6594" spans="2:6">
      <c r="B6594" s="75"/>
      <c r="C6594" s="75"/>
      <c r="D6594" s="75"/>
      <c r="E6594" s="75"/>
      <c r="F6594" s="75"/>
    </row>
    <row r="6595" spans="2:6">
      <c r="B6595" s="75"/>
      <c r="C6595" s="75"/>
      <c r="D6595" s="75"/>
      <c r="E6595" s="75"/>
      <c r="F6595" s="75"/>
    </row>
    <row r="6596" spans="2:6">
      <c r="B6596" s="75"/>
      <c r="C6596" s="75"/>
      <c r="D6596" s="75"/>
      <c r="E6596" s="75"/>
      <c r="F6596" s="75"/>
    </row>
    <row r="6597" spans="2:6">
      <c r="B6597" s="75"/>
      <c r="C6597" s="75"/>
      <c r="D6597" s="75"/>
      <c r="E6597" s="75"/>
      <c r="F6597" s="75"/>
    </row>
    <row r="6598" spans="2:6">
      <c r="B6598" s="75"/>
      <c r="C6598" s="75"/>
      <c r="D6598" s="75"/>
      <c r="E6598" s="75"/>
      <c r="F6598" s="75"/>
    </row>
    <row r="6599" spans="2:6">
      <c r="B6599" s="75"/>
      <c r="C6599" s="75"/>
      <c r="D6599" s="75"/>
      <c r="E6599" s="75"/>
      <c r="F6599" s="75"/>
    </row>
    <row r="6600" spans="2:6">
      <c r="B6600" s="75"/>
      <c r="C6600" s="75"/>
      <c r="D6600" s="75"/>
      <c r="E6600" s="75"/>
      <c r="F6600" s="75"/>
    </row>
    <row r="6601" spans="2:6">
      <c r="B6601" s="75"/>
      <c r="C6601" s="75"/>
      <c r="D6601" s="75"/>
      <c r="E6601" s="75"/>
      <c r="F6601" s="75"/>
    </row>
    <row r="6602" spans="2:6">
      <c r="B6602" s="75"/>
      <c r="C6602" s="75"/>
      <c r="D6602" s="75"/>
      <c r="E6602" s="75"/>
      <c r="F6602" s="75"/>
    </row>
    <row r="6603" spans="2:6">
      <c r="B6603" s="75"/>
      <c r="C6603" s="75"/>
      <c r="D6603" s="75"/>
      <c r="E6603" s="75"/>
      <c r="F6603" s="75"/>
    </row>
    <row r="6604" spans="2:6">
      <c r="B6604" s="75"/>
      <c r="C6604" s="75"/>
      <c r="D6604" s="75"/>
      <c r="E6604" s="75"/>
      <c r="F6604" s="75"/>
    </row>
    <row r="6605" spans="2:6">
      <c r="B6605" s="75"/>
      <c r="C6605" s="75"/>
      <c r="D6605" s="75"/>
      <c r="E6605" s="75"/>
      <c r="F6605" s="75"/>
    </row>
    <row r="6606" spans="2:6">
      <c r="B6606" s="75"/>
      <c r="C6606" s="75"/>
      <c r="D6606" s="75"/>
      <c r="E6606" s="75"/>
      <c r="F6606" s="75"/>
    </row>
    <row r="6607" spans="2:6">
      <c r="B6607" s="75"/>
      <c r="C6607" s="75"/>
      <c r="D6607" s="75"/>
      <c r="E6607" s="75"/>
      <c r="F6607" s="75"/>
    </row>
    <row r="6608" spans="2:6">
      <c r="B6608" s="75"/>
      <c r="C6608" s="75"/>
      <c r="D6608" s="75"/>
      <c r="E6608" s="75"/>
      <c r="F6608" s="75"/>
    </row>
    <row r="6609" spans="2:6">
      <c r="B6609" s="75"/>
      <c r="C6609" s="75"/>
      <c r="D6609" s="75"/>
      <c r="E6609" s="75"/>
      <c r="F6609" s="75"/>
    </row>
    <row r="6610" spans="2:6">
      <c r="B6610" s="75"/>
      <c r="C6610" s="75"/>
      <c r="D6610" s="75"/>
      <c r="E6610" s="75"/>
      <c r="F6610" s="75"/>
    </row>
    <row r="6611" spans="2:6">
      <c r="B6611" s="75"/>
      <c r="C6611" s="75"/>
      <c r="D6611" s="75"/>
      <c r="E6611" s="75"/>
      <c r="F6611" s="75"/>
    </row>
    <row r="6612" spans="2:6">
      <c r="B6612" s="75"/>
      <c r="C6612" s="75"/>
      <c r="D6612" s="75"/>
      <c r="E6612" s="75"/>
      <c r="F6612" s="75"/>
    </row>
    <row r="6613" spans="2:6">
      <c r="B6613" s="75"/>
      <c r="C6613" s="75"/>
      <c r="D6613" s="75"/>
      <c r="E6613" s="75"/>
      <c r="F6613" s="75"/>
    </row>
    <row r="6614" spans="2:6">
      <c r="B6614" s="75"/>
      <c r="C6614" s="75"/>
      <c r="D6614" s="75"/>
      <c r="E6614" s="75"/>
      <c r="F6614" s="75"/>
    </row>
    <row r="6615" spans="2:6">
      <c r="B6615" s="75"/>
      <c r="C6615" s="75"/>
      <c r="D6615" s="75"/>
      <c r="E6615" s="75"/>
      <c r="F6615" s="75"/>
    </row>
    <row r="6616" spans="2:6">
      <c r="B6616" s="75"/>
      <c r="C6616" s="75"/>
      <c r="D6616" s="75"/>
      <c r="E6616" s="75"/>
      <c r="F6616" s="75"/>
    </row>
    <row r="6617" spans="2:6">
      <c r="B6617" s="75"/>
      <c r="C6617" s="75"/>
      <c r="D6617" s="75"/>
      <c r="E6617" s="75"/>
      <c r="F6617" s="75"/>
    </row>
    <row r="6618" spans="2:6">
      <c r="B6618" s="75"/>
      <c r="C6618" s="75"/>
      <c r="D6618" s="75"/>
      <c r="E6618" s="75"/>
      <c r="F6618" s="75"/>
    </row>
    <row r="6619" spans="2:6">
      <c r="B6619" s="75"/>
      <c r="C6619" s="75"/>
      <c r="D6619" s="75"/>
      <c r="E6619" s="75"/>
      <c r="F6619" s="75"/>
    </row>
    <row r="6620" spans="2:6">
      <c r="B6620" s="75"/>
      <c r="C6620" s="75"/>
      <c r="D6620" s="75"/>
      <c r="E6620" s="75"/>
      <c r="F6620" s="75"/>
    </row>
    <row r="6621" spans="2:6">
      <c r="B6621" s="75"/>
      <c r="C6621" s="75"/>
      <c r="D6621" s="75"/>
      <c r="E6621" s="75"/>
      <c r="F6621" s="75"/>
    </row>
    <row r="6622" spans="2:6">
      <c r="B6622" s="75"/>
      <c r="C6622" s="75"/>
      <c r="D6622" s="75"/>
      <c r="E6622" s="75"/>
      <c r="F6622" s="75"/>
    </row>
    <row r="6623" spans="2:6">
      <c r="B6623" s="75"/>
      <c r="C6623" s="75"/>
      <c r="D6623" s="75"/>
      <c r="E6623" s="75"/>
      <c r="F6623" s="75"/>
    </row>
    <row r="6624" spans="2:6">
      <c r="B6624" s="75"/>
      <c r="C6624" s="75"/>
      <c r="D6624" s="75"/>
      <c r="E6624" s="75"/>
      <c r="F6624" s="75"/>
    </row>
    <row r="6625" spans="2:6">
      <c r="B6625" s="75"/>
      <c r="C6625" s="75"/>
      <c r="D6625" s="75"/>
      <c r="E6625" s="75"/>
      <c r="F6625" s="75"/>
    </row>
    <row r="6626" spans="2:6">
      <c r="B6626" s="75"/>
      <c r="C6626" s="75"/>
      <c r="D6626" s="75"/>
      <c r="E6626" s="75"/>
      <c r="F6626" s="75"/>
    </row>
    <row r="6627" spans="2:6">
      <c r="B6627" s="75"/>
      <c r="C6627" s="75"/>
      <c r="D6627" s="75"/>
      <c r="E6627" s="75"/>
      <c r="F6627" s="75"/>
    </row>
    <row r="6628" spans="2:6">
      <c r="B6628" s="75"/>
      <c r="C6628" s="75"/>
      <c r="D6628" s="75"/>
      <c r="E6628" s="75"/>
      <c r="F6628" s="75"/>
    </row>
    <row r="6629" spans="2:6">
      <c r="B6629" s="75"/>
      <c r="C6629" s="75"/>
      <c r="D6629" s="75"/>
      <c r="E6629" s="75"/>
      <c r="F6629" s="75"/>
    </row>
    <row r="6630" spans="2:6">
      <c r="B6630" s="75"/>
      <c r="C6630" s="75"/>
      <c r="D6630" s="75"/>
      <c r="E6630" s="75"/>
      <c r="F6630" s="75"/>
    </row>
    <row r="6631" spans="2:6">
      <c r="B6631" s="75"/>
      <c r="C6631" s="75"/>
      <c r="D6631" s="75"/>
      <c r="E6631" s="75"/>
      <c r="F6631" s="75"/>
    </row>
    <row r="6632" spans="2:6">
      <c r="B6632" s="75"/>
      <c r="C6632" s="75"/>
      <c r="D6632" s="75"/>
      <c r="E6632" s="75"/>
      <c r="F6632" s="75"/>
    </row>
    <row r="6633" spans="2:6">
      <c r="B6633" s="75"/>
      <c r="C6633" s="75"/>
      <c r="D6633" s="75"/>
      <c r="E6633" s="75"/>
      <c r="F6633" s="75"/>
    </row>
    <row r="6634" spans="2:6">
      <c r="B6634" s="75"/>
      <c r="C6634" s="75"/>
      <c r="D6634" s="75"/>
      <c r="E6634" s="75"/>
      <c r="F6634" s="75"/>
    </row>
    <row r="6635" spans="2:6">
      <c r="B6635" s="75"/>
      <c r="C6635" s="75"/>
      <c r="D6635" s="75"/>
      <c r="E6635" s="75"/>
      <c r="F6635" s="75"/>
    </row>
    <row r="6636" spans="2:6">
      <c r="B6636" s="75"/>
      <c r="C6636" s="75"/>
      <c r="D6636" s="75"/>
      <c r="E6636" s="75"/>
      <c r="F6636" s="75"/>
    </row>
    <row r="6637" spans="2:6">
      <c r="B6637" s="75"/>
      <c r="C6637" s="75"/>
      <c r="D6637" s="75"/>
      <c r="E6637" s="75"/>
      <c r="F6637" s="75"/>
    </row>
    <row r="6638" spans="2:6">
      <c r="B6638" s="75"/>
      <c r="C6638" s="75"/>
      <c r="D6638" s="75"/>
      <c r="E6638" s="75"/>
      <c r="F6638" s="75"/>
    </row>
    <row r="6639" spans="2:6">
      <c r="B6639" s="75"/>
      <c r="C6639" s="75"/>
      <c r="D6639" s="75"/>
      <c r="E6639" s="75"/>
      <c r="F6639" s="75"/>
    </row>
    <row r="6640" spans="2:6">
      <c r="B6640" s="75"/>
      <c r="C6640" s="75"/>
      <c r="D6640" s="75"/>
      <c r="E6640" s="75"/>
      <c r="F6640" s="75"/>
    </row>
    <row r="6641" spans="2:6">
      <c r="B6641" s="75"/>
      <c r="C6641" s="75"/>
      <c r="D6641" s="75"/>
      <c r="E6641" s="75"/>
      <c r="F6641" s="75"/>
    </row>
    <row r="6642" spans="2:6">
      <c r="B6642" s="75"/>
      <c r="C6642" s="75"/>
      <c r="D6642" s="75"/>
      <c r="E6642" s="75"/>
      <c r="F6642" s="75"/>
    </row>
    <row r="6643" spans="2:6">
      <c r="B6643" s="75"/>
      <c r="C6643" s="75"/>
      <c r="D6643" s="75"/>
      <c r="E6643" s="75"/>
      <c r="F6643" s="75"/>
    </row>
    <row r="6644" spans="2:6">
      <c r="B6644" s="75"/>
      <c r="C6644" s="75"/>
      <c r="D6644" s="75"/>
      <c r="E6644" s="75"/>
      <c r="F6644" s="75"/>
    </row>
    <row r="6645" spans="2:6">
      <c r="B6645" s="75"/>
      <c r="C6645" s="75"/>
      <c r="D6645" s="75"/>
      <c r="E6645" s="75"/>
      <c r="F6645" s="75"/>
    </row>
    <row r="6646" spans="2:6">
      <c r="B6646" s="75"/>
      <c r="C6646" s="75"/>
      <c r="D6646" s="75"/>
      <c r="E6646" s="75"/>
      <c r="F6646" s="75"/>
    </row>
    <row r="6647" spans="2:6">
      <c r="B6647" s="75"/>
      <c r="C6647" s="75"/>
      <c r="D6647" s="75"/>
      <c r="E6647" s="75"/>
      <c r="F6647" s="75"/>
    </row>
    <row r="6648" spans="2:6">
      <c r="B6648" s="75"/>
      <c r="C6648" s="75"/>
      <c r="D6648" s="75"/>
      <c r="E6648" s="75"/>
      <c r="F6648" s="75"/>
    </row>
    <row r="6649" spans="2:6">
      <c r="B6649" s="75"/>
      <c r="C6649" s="75"/>
      <c r="D6649" s="75"/>
      <c r="E6649" s="75"/>
      <c r="F6649" s="75"/>
    </row>
    <row r="6650" spans="2:6">
      <c r="B6650" s="75"/>
      <c r="C6650" s="75"/>
      <c r="D6650" s="75"/>
      <c r="E6650" s="75"/>
      <c r="F6650" s="75"/>
    </row>
    <row r="6651" spans="2:6">
      <c r="B6651" s="75"/>
      <c r="C6651" s="75"/>
      <c r="D6651" s="75"/>
      <c r="E6651" s="75"/>
      <c r="F6651" s="75"/>
    </row>
    <row r="6652" spans="2:6">
      <c r="B6652" s="75"/>
      <c r="C6652" s="75"/>
      <c r="D6652" s="75"/>
      <c r="E6652" s="75"/>
      <c r="F6652" s="75"/>
    </row>
    <row r="6653" spans="2:6">
      <c r="B6653" s="75"/>
      <c r="C6653" s="75"/>
      <c r="D6653" s="75"/>
      <c r="E6653" s="75"/>
      <c r="F6653" s="75"/>
    </row>
    <row r="6654" spans="2:6">
      <c r="B6654" s="75"/>
      <c r="C6654" s="75"/>
      <c r="D6654" s="75"/>
      <c r="E6654" s="75"/>
      <c r="F6654" s="75"/>
    </row>
    <row r="6655" spans="2:6">
      <c r="B6655" s="75"/>
      <c r="C6655" s="75"/>
      <c r="D6655" s="75"/>
      <c r="E6655" s="75"/>
      <c r="F6655" s="75"/>
    </row>
    <row r="6656" spans="2:6">
      <c r="B6656" s="75"/>
      <c r="C6656" s="75"/>
      <c r="D6656" s="75"/>
      <c r="E6656" s="75"/>
      <c r="F6656" s="75"/>
    </row>
    <row r="6657" spans="2:6">
      <c r="B6657" s="75"/>
      <c r="C6657" s="75"/>
      <c r="D6657" s="75"/>
      <c r="E6657" s="75"/>
      <c r="F6657" s="75"/>
    </row>
    <row r="6658" spans="2:6">
      <c r="B6658" s="75"/>
      <c r="C6658" s="75"/>
      <c r="D6658" s="75"/>
      <c r="E6658" s="75"/>
      <c r="F6658" s="75"/>
    </row>
    <row r="6659" spans="2:6">
      <c r="B6659" s="75"/>
      <c r="C6659" s="75"/>
      <c r="D6659" s="75"/>
      <c r="E6659" s="75"/>
      <c r="F6659" s="75"/>
    </row>
    <row r="6660" spans="2:6">
      <c r="B6660" s="75"/>
      <c r="C6660" s="75"/>
      <c r="D6660" s="75"/>
      <c r="E6660" s="75"/>
      <c r="F6660" s="75"/>
    </row>
    <row r="6661" spans="2:6">
      <c r="B6661" s="75"/>
      <c r="C6661" s="75"/>
      <c r="D6661" s="75"/>
      <c r="E6661" s="75"/>
      <c r="F6661" s="75"/>
    </row>
    <row r="6662" spans="2:6">
      <c r="B6662" s="75"/>
      <c r="C6662" s="75"/>
      <c r="D6662" s="75"/>
      <c r="E6662" s="75"/>
      <c r="F6662" s="75"/>
    </row>
    <row r="6663" spans="2:6">
      <c r="B6663" s="75"/>
      <c r="C6663" s="75"/>
      <c r="D6663" s="75"/>
      <c r="E6663" s="75"/>
      <c r="F6663" s="75"/>
    </row>
    <row r="6664" spans="2:6">
      <c r="B6664" s="75"/>
      <c r="C6664" s="75"/>
      <c r="D6664" s="75"/>
      <c r="E6664" s="75"/>
      <c r="F6664" s="75"/>
    </row>
    <row r="6665" spans="2:6">
      <c r="B6665" s="75"/>
      <c r="C6665" s="75"/>
      <c r="D6665" s="75"/>
      <c r="E6665" s="75"/>
      <c r="F6665" s="75"/>
    </row>
    <row r="6666" spans="2:6">
      <c r="B6666" s="75"/>
      <c r="C6666" s="75"/>
      <c r="D6666" s="75"/>
      <c r="E6666" s="75"/>
      <c r="F6666" s="75"/>
    </row>
    <row r="6667" spans="2:6">
      <c r="B6667" s="75"/>
      <c r="C6667" s="75"/>
      <c r="D6667" s="75"/>
      <c r="E6667" s="75"/>
      <c r="F6667" s="75"/>
    </row>
    <row r="6668" spans="2:6">
      <c r="B6668" s="75"/>
      <c r="C6668" s="75"/>
      <c r="D6668" s="75"/>
      <c r="E6668" s="75"/>
      <c r="F6668" s="75"/>
    </row>
    <row r="6669" spans="2:6">
      <c r="B6669" s="75"/>
      <c r="C6669" s="75"/>
      <c r="D6669" s="75"/>
      <c r="E6669" s="75"/>
      <c r="F6669" s="75"/>
    </row>
    <row r="6670" spans="2:6">
      <c r="B6670" s="75"/>
      <c r="C6670" s="75"/>
      <c r="D6670" s="75"/>
      <c r="E6670" s="75"/>
      <c r="F6670" s="75"/>
    </row>
    <row r="6671" spans="2:6">
      <c r="B6671" s="75"/>
      <c r="C6671" s="75"/>
      <c r="D6671" s="75"/>
      <c r="E6671" s="75"/>
      <c r="F6671" s="75"/>
    </row>
    <row r="6672" spans="2:6">
      <c r="B6672" s="75"/>
      <c r="C6672" s="75"/>
      <c r="D6672" s="75"/>
      <c r="E6672" s="75"/>
      <c r="F6672" s="75"/>
    </row>
    <row r="6673" spans="2:6">
      <c r="B6673" s="75"/>
      <c r="C6673" s="75"/>
      <c r="D6673" s="75"/>
      <c r="E6673" s="75"/>
      <c r="F6673" s="75"/>
    </row>
    <row r="6674" spans="2:6">
      <c r="B6674" s="75"/>
      <c r="C6674" s="75"/>
      <c r="D6674" s="75"/>
      <c r="E6674" s="75"/>
      <c r="F6674" s="75"/>
    </row>
    <row r="6675" spans="2:6">
      <c r="B6675" s="75"/>
      <c r="C6675" s="75"/>
      <c r="D6675" s="75"/>
      <c r="E6675" s="75"/>
      <c r="F6675" s="75"/>
    </row>
    <row r="6676" spans="2:6">
      <c r="B6676" s="75"/>
      <c r="C6676" s="75"/>
      <c r="D6676" s="75"/>
      <c r="E6676" s="75"/>
      <c r="F6676" s="75"/>
    </row>
    <row r="6677" spans="2:6">
      <c r="B6677" s="75"/>
      <c r="C6677" s="75"/>
      <c r="D6677" s="75"/>
      <c r="E6677" s="75"/>
      <c r="F6677" s="75"/>
    </row>
    <row r="6678" spans="2:6">
      <c r="B6678" s="75"/>
      <c r="C6678" s="75"/>
      <c r="D6678" s="75"/>
      <c r="E6678" s="75"/>
      <c r="F6678" s="75"/>
    </row>
    <row r="6679" spans="2:6">
      <c r="B6679" s="75"/>
      <c r="C6679" s="75"/>
      <c r="D6679" s="75"/>
      <c r="E6679" s="75"/>
      <c r="F6679" s="75"/>
    </row>
    <row r="6680" spans="2:6">
      <c r="B6680" s="75"/>
      <c r="C6680" s="75"/>
      <c r="D6680" s="75"/>
      <c r="E6680" s="75"/>
      <c r="F6680" s="75"/>
    </row>
    <row r="6681" spans="2:6">
      <c r="B6681" s="75"/>
      <c r="C6681" s="75"/>
      <c r="D6681" s="75"/>
      <c r="E6681" s="75"/>
      <c r="F6681" s="75"/>
    </row>
    <row r="6682" spans="2:6">
      <c r="B6682" s="75"/>
      <c r="C6682" s="75"/>
      <c r="D6682" s="75"/>
      <c r="E6682" s="75"/>
      <c r="F6682" s="75"/>
    </row>
    <row r="6683" spans="2:6">
      <c r="B6683" s="75"/>
      <c r="C6683" s="75"/>
      <c r="D6683" s="75"/>
      <c r="E6683" s="75"/>
      <c r="F6683" s="75"/>
    </row>
    <row r="6684" spans="2:6">
      <c r="B6684" s="75"/>
      <c r="C6684" s="75"/>
      <c r="D6684" s="75"/>
      <c r="E6684" s="75"/>
      <c r="F6684" s="75"/>
    </row>
    <row r="6685" spans="2:6">
      <c r="B6685" s="75"/>
      <c r="C6685" s="75"/>
      <c r="D6685" s="75"/>
      <c r="E6685" s="75"/>
      <c r="F6685" s="75"/>
    </row>
    <row r="6686" spans="2:6">
      <c r="B6686" s="75"/>
      <c r="C6686" s="75"/>
      <c r="D6686" s="75"/>
      <c r="E6686" s="75"/>
      <c r="F6686" s="75"/>
    </row>
    <row r="6687" spans="2:6">
      <c r="B6687" s="75"/>
      <c r="C6687" s="75"/>
      <c r="D6687" s="75"/>
      <c r="E6687" s="75"/>
      <c r="F6687" s="75"/>
    </row>
    <row r="6688" spans="2:6">
      <c r="B6688" s="75"/>
      <c r="C6688" s="75"/>
      <c r="D6688" s="75"/>
      <c r="E6688" s="75"/>
      <c r="F6688" s="75"/>
    </row>
    <row r="6689" spans="2:6">
      <c r="B6689" s="75"/>
      <c r="C6689" s="75"/>
      <c r="D6689" s="75"/>
      <c r="E6689" s="75"/>
      <c r="F6689" s="75"/>
    </row>
    <row r="6690" spans="2:6">
      <c r="B6690" s="75"/>
      <c r="C6690" s="75"/>
      <c r="D6690" s="75"/>
      <c r="E6690" s="75"/>
      <c r="F6690" s="75"/>
    </row>
    <row r="6691" spans="2:6">
      <c r="B6691" s="75"/>
      <c r="C6691" s="75"/>
      <c r="D6691" s="75"/>
      <c r="E6691" s="75"/>
      <c r="F6691" s="75"/>
    </row>
    <row r="6692" spans="2:6">
      <c r="B6692" s="75"/>
      <c r="C6692" s="75"/>
      <c r="D6692" s="75"/>
      <c r="E6692" s="75"/>
      <c r="F6692" s="75"/>
    </row>
    <row r="6693" spans="2:6">
      <c r="B6693" s="75"/>
      <c r="C6693" s="75"/>
      <c r="D6693" s="75"/>
      <c r="E6693" s="75"/>
      <c r="F6693" s="75"/>
    </row>
    <row r="6694" spans="2:6">
      <c r="B6694" s="75"/>
      <c r="C6694" s="75"/>
      <c r="D6694" s="75"/>
      <c r="E6694" s="75"/>
      <c r="F6694" s="75"/>
    </row>
    <row r="6695" spans="2:6">
      <c r="B6695" s="75"/>
      <c r="C6695" s="75"/>
      <c r="D6695" s="75"/>
      <c r="E6695" s="75"/>
      <c r="F6695" s="75"/>
    </row>
    <row r="6696" spans="2:6">
      <c r="B6696" s="75"/>
      <c r="C6696" s="75"/>
      <c r="D6696" s="75"/>
      <c r="E6696" s="75"/>
      <c r="F6696" s="75"/>
    </row>
    <row r="6697" spans="2:6">
      <c r="B6697" s="75"/>
      <c r="C6697" s="75"/>
      <c r="D6697" s="75"/>
      <c r="E6697" s="75"/>
      <c r="F6697" s="75"/>
    </row>
    <row r="6698" spans="2:6">
      <c r="B6698" s="75"/>
      <c r="C6698" s="75"/>
      <c r="D6698" s="75"/>
      <c r="E6698" s="75"/>
      <c r="F6698" s="75"/>
    </row>
    <row r="6699" spans="2:6">
      <c r="B6699" s="75"/>
      <c r="C6699" s="75"/>
      <c r="D6699" s="75"/>
      <c r="E6699" s="75"/>
      <c r="F6699" s="75"/>
    </row>
    <row r="6700" spans="2:6">
      <c r="B6700" s="75"/>
      <c r="C6700" s="75"/>
      <c r="D6700" s="75"/>
      <c r="E6700" s="75"/>
      <c r="F6700" s="75"/>
    </row>
    <row r="6701" spans="2:6">
      <c r="B6701" s="75"/>
      <c r="C6701" s="75"/>
      <c r="D6701" s="75"/>
      <c r="E6701" s="75"/>
      <c r="F6701" s="75"/>
    </row>
    <row r="6702" spans="2:6">
      <c r="B6702" s="75"/>
      <c r="C6702" s="75"/>
      <c r="D6702" s="75"/>
      <c r="E6702" s="75"/>
      <c r="F6702" s="75"/>
    </row>
    <row r="6703" spans="2:6">
      <c r="B6703" s="75"/>
      <c r="C6703" s="75"/>
      <c r="D6703" s="75"/>
      <c r="E6703" s="75"/>
      <c r="F6703" s="75"/>
    </row>
    <row r="6704" spans="2:6">
      <c r="B6704" s="75"/>
      <c r="C6704" s="75"/>
      <c r="D6704" s="75"/>
      <c r="E6704" s="75"/>
      <c r="F6704" s="75"/>
    </row>
    <row r="6705" spans="2:6">
      <c r="B6705" s="75"/>
      <c r="C6705" s="75"/>
      <c r="D6705" s="75"/>
      <c r="E6705" s="75"/>
      <c r="F6705" s="75"/>
    </row>
    <row r="6706" spans="2:6">
      <c r="B6706" s="75"/>
      <c r="C6706" s="75"/>
      <c r="D6706" s="75"/>
      <c r="E6706" s="75"/>
      <c r="F6706" s="75"/>
    </row>
    <row r="6707" spans="2:6">
      <c r="B6707" s="75"/>
      <c r="C6707" s="75"/>
      <c r="D6707" s="75"/>
      <c r="E6707" s="75"/>
      <c r="F6707" s="75"/>
    </row>
    <row r="6708" spans="2:6">
      <c r="B6708" s="75"/>
      <c r="C6708" s="75"/>
      <c r="D6708" s="75"/>
      <c r="E6708" s="75"/>
      <c r="F6708" s="75"/>
    </row>
    <row r="6709" spans="2:6">
      <c r="B6709" s="75"/>
      <c r="C6709" s="75"/>
      <c r="D6709" s="75"/>
      <c r="E6709" s="75"/>
      <c r="F6709" s="75"/>
    </row>
    <row r="6710" spans="2:6">
      <c r="B6710" s="75"/>
      <c r="C6710" s="75"/>
      <c r="D6710" s="75"/>
      <c r="E6710" s="75"/>
      <c r="F6710" s="75"/>
    </row>
    <row r="6711" spans="2:6">
      <c r="B6711" s="75"/>
      <c r="C6711" s="75"/>
      <c r="D6711" s="75"/>
      <c r="E6711" s="75"/>
      <c r="F6711" s="75"/>
    </row>
    <row r="6712" spans="2:6">
      <c r="B6712" s="75"/>
      <c r="C6712" s="75"/>
      <c r="D6712" s="75"/>
      <c r="E6712" s="75"/>
      <c r="F6712" s="75"/>
    </row>
    <row r="6713" spans="2:6">
      <c r="B6713" s="75"/>
      <c r="C6713" s="75"/>
      <c r="D6713" s="75"/>
      <c r="E6713" s="75"/>
      <c r="F6713" s="75"/>
    </row>
    <row r="6714" spans="2:6">
      <c r="B6714" s="75"/>
      <c r="C6714" s="75"/>
      <c r="D6714" s="75"/>
      <c r="E6714" s="75"/>
      <c r="F6714" s="75"/>
    </row>
    <row r="6715" spans="2:6">
      <c r="B6715" s="75"/>
      <c r="C6715" s="75"/>
      <c r="D6715" s="75"/>
      <c r="E6715" s="75"/>
      <c r="F6715" s="75"/>
    </row>
    <row r="6716" spans="2:6">
      <c r="B6716" s="75"/>
      <c r="C6716" s="75"/>
      <c r="D6716" s="75"/>
      <c r="E6716" s="75"/>
      <c r="F6716" s="75"/>
    </row>
    <row r="6717" spans="2:6">
      <c r="B6717" s="75"/>
      <c r="C6717" s="75"/>
      <c r="D6717" s="75"/>
      <c r="E6717" s="75"/>
      <c r="F6717" s="75"/>
    </row>
    <row r="6718" spans="2:6">
      <c r="B6718" s="75"/>
      <c r="C6718" s="75"/>
      <c r="D6718" s="75"/>
      <c r="E6718" s="75"/>
      <c r="F6718" s="75"/>
    </row>
    <row r="6719" spans="2:6">
      <c r="B6719" s="75"/>
      <c r="C6719" s="75"/>
      <c r="D6719" s="75"/>
      <c r="E6719" s="75"/>
      <c r="F6719" s="75"/>
    </row>
    <row r="6720" spans="2:6">
      <c r="B6720" s="75"/>
      <c r="C6720" s="75"/>
      <c r="D6720" s="75"/>
      <c r="E6720" s="75"/>
      <c r="F6720" s="75"/>
    </row>
    <row r="6721" spans="2:6">
      <c r="B6721" s="75"/>
      <c r="C6721" s="75"/>
      <c r="D6721" s="75"/>
      <c r="E6721" s="75"/>
      <c r="F6721" s="75"/>
    </row>
    <row r="6722" spans="2:6">
      <c r="B6722" s="75"/>
      <c r="C6722" s="75"/>
      <c r="D6722" s="75"/>
      <c r="E6722" s="75"/>
      <c r="F6722" s="75"/>
    </row>
    <row r="6723" spans="2:6">
      <c r="B6723" s="75"/>
      <c r="C6723" s="75"/>
      <c r="D6723" s="75"/>
      <c r="E6723" s="75"/>
      <c r="F6723" s="75"/>
    </row>
    <row r="6724" spans="2:6">
      <c r="B6724" s="75"/>
      <c r="C6724" s="75"/>
      <c r="D6724" s="75"/>
      <c r="E6724" s="75"/>
      <c r="F6724" s="75"/>
    </row>
    <row r="6725" spans="2:6">
      <c r="B6725" s="75"/>
      <c r="C6725" s="75"/>
      <c r="D6725" s="75"/>
      <c r="E6725" s="75"/>
      <c r="F6725" s="75"/>
    </row>
    <row r="6726" spans="2:6">
      <c r="B6726" s="75"/>
      <c r="C6726" s="75"/>
      <c r="D6726" s="75"/>
      <c r="E6726" s="75"/>
      <c r="F6726" s="75"/>
    </row>
    <row r="6727" spans="2:6">
      <c r="B6727" s="75"/>
      <c r="C6727" s="75"/>
      <c r="D6727" s="75"/>
      <c r="E6727" s="75"/>
      <c r="F6727" s="75"/>
    </row>
    <row r="6728" spans="2:6">
      <c r="B6728" s="75"/>
      <c r="C6728" s="75"/>
      <c r="D6728" s="75"/>
      <c r="E6728" s="75"/>
      <c r="F6728" s="75"/>
    </row>
    <row r="6729" spans="2:6">
      <c r="B6729" s="75"/>
      <c r="C6729" s="75"/>
      <c r="D6729" s="75"/>
      <c r="E6729" s="75"/>
      <c r="F6729" s="75"/>
    </row>
    <row r="6730" spans="2:6">
      <c r="B6730" s="75"/>
      <c r="C6730" s="75"/>
      <c r="D6730" s="75"/>
      <c r="E6730" s="75"/>
      <c r="F6730" s="75"/>
    </row>
    <row r="6731" spans="2:6">
      <c r="B6731" s="75"/>
      <c r="C6731" s="75"/>
      <c r="D6731" s="75"/>
      <c r="E6731" s="75"/>
      <c r="F6731" s="75"/>
    </row>
    <row r="6732" spans="2:6">
      <c r="B6732" s="75"/>
      <c r="C6732" s="75"/>
      <c r="D6732" s="75"/>
      <c r="E6732" s="75"/>
      <c r="F6732" s="75"/>
    </row>
    <row r="6733" spans="2:6">
      <c r="B6733" s="75"/>
      <c r="C6733" s="75"/>
      <c r="D6733" s="75"/>
      <c r="E6733" s="75"/>
      <c r="F6733" s="75"/>
    </row>
    <row r="6734" spans="2:6">
      <c r="B6734" s="75"/>
      <c r="C6734" s="75"/>
      <c r="D6734" s="75"/>
      <c r="E6734" s="75"/>
      <c r="F6734" s="75"/>
    </row>
    <row r="6735" spans="2:6">
      <c r="B6735" s="75"/>
      <c r="C6735" s="75"/>
      <c r="D6735" s="75"/>
      <c r="E6735" s="75"/>
      <c r="F6735" s="75"/>
    </row>
    <row r="6736" spans="2:6">
      <c r="B6736" s="75"/>
      <c r="C6736" s="75"/>
      <c r="D6736" s="75"/>
      <c r="E6736" s="75"/>
      <c r="F6736" s="75"/>
    </row>
    <row r="6737" spans="2:6">
      <c r="B6737" s="75"/>
      <c r="C6737" s="75"/>
      <c r="D6737" s="75"/>
      <c r="E6737" s="75"/>
      <c r="F6737" s="75"/>
    </row>
    <row r="6738" spans="2:6">
      <c r="B6738" s="75"/>
      <c r="C6738" s="75"/>
      <c r="D6738" s="75"/>
      <c r="E6738" s="75"/>
      <c r="F6738" s="75"/>
    </row>
    <row r="6739" spans="2:6">
      <c r="B6739" s="75"/>
      <c r="C6739" s="75"/>
      <c r="D6739" s="75"/>
      <c r="E6739" s="75"/>
      <c r="F6739" s="75"/>
    </row>
    <row r="6740" spans="2:6">
      <c r="B6740" s="75"/>
      <c r="C6740" s="75"/>
      <c r="D6740" s="75"/>
      <c r="E6740" s="75"/>
      <c r="F6740" s="75"/>
    </row>
    <row r="6741" spans="2:6">
      <c r="B6741" s="75"/>
      <c r="C6741" s="75"/>
      <c r="D6741" s="75"/>
      <c r="E6741" s="75"/>
      <c r="F6741" s="75"/>
    </row>
    <row r="6742" spans="2:6">
      <c r="B6742" s="75"/>
      <c r="C6742" s="75"/>
      <c r="D6742" s="75"/>
      <c r="E6742" s="75"/>
      <c r="F6742" s="75"/>
    </row>
    <row r="6743" spans="2:6">
      <c r="B6743" s="75"/>
      <c r="C6743" s="75"/>
      <c r="D6743" s="75"/>
      <c r="E6743" s="75"/>
      <c r="F6743" s="75"/>
    </row>
    <row r="6744" spans="2:6">
      <c r="B6744" s="75"/>
      <c r="C6744" s="75"/>
      <c r="D6744" s="75"/>
      <c r="E6744" s="75"/>
      <c r="F6744" s="75"/>
    </row>
    <row r="6745" spans="2:6">
      <c r="B6745" s="75"/>
      <c r="C6745" s="75"/>
      <c r="D6745" s="75"/>
      <c r="E6745" s="75"/>
      <c r="F6745" s="75"/>
    </row>
    <row r="6746" spans="2:6">
      <c r="B6746" s="75"/>
      <c r="C6746" s="75"/>
      <c r="D6746" s="75"/>
      <c r="E6746" s="75"/>
      <c r="F6746" s="75"/>
    </row>
    <row r="6747" spans="2:6">
      <c r="B6747" s="75"/>
      <c r="C6747" s="75"/>
      <c r="D6747" s="75"/>
      <c r="E6747" s="75"/>
      <c r="F6747" s="75"/>
    </row>
    <row r="6748" spans="2:6">
      <c r="B6748" s="75"/>
      <c r="C6748" s="75"/>
      <c r="D6748" s="75"/>
      <c r="E6748" s="75"/>
      <c r="F6748" s="75"/>
    </row>
    <row r="6749" spans="2:6">
      <c r="B6749" s="75"/>
      <c r="C6749" s="75"/>
      <c r="D6749" s="75"/>
      <c r="E6749" s="75"/>
      <c r="F6749" s="75"/>
    </row>
    <row r="6750" spans="2:6">
      <c r="B6750" s="75"/>
      <c r="C6750" s="75"/>
      <c r="D6750" s="75"/>
      <c r="E6750" s="75"/>
      <c r="F6750" s="75"/>
    </row>
    <row r="6751" spans="2:6">
      <c r="B6751" s="75"/>
      <c r="C6751" s="75"/>
      <c r="D6751" s="75"/>
      <c r="E6751" s="75"/>
      <c r="F6751" s="75"/>
    </row>
    <row r="6752" spans="2:6">
      <c r="B6752" s="75"/>
      <c r="C6752" s="75"/>
      <c r="D6752" s="75"/>
      <c r="E6752" s="75"/>
      <c r="F6752" s="75"/>
    </row>
    <row r="6753" spans="2:6">
      <c r="B6753" s="75"/>
      <c r="C6753" s="75"/>
      <c r="D6753" s="75"/>
      <c r="E6753" s="75"/>
      <c r="F6753" s="75"/>
    </row>
    <row r="6754" spans="2:6">
      <c r="B6754" s="75"/>
      <c r="C6754" s="75"/>
      <c r="D6754" s="75"/>
      <c r="E6754" s="75"/>
      <c r="F6754" s="75"/>
    </row>
    <row r="6755" spans="2:6">
      <c r="B6755" s="75"/>
      <c r="C6755" s="75"/>
      <c r="D6755" s="75"/>
      <c r="E6755" s="75"/>
      <c r="F6755" s="75"/>
    </row>
    <row r="6756" spans="2:6">
      <c r="B6756" s="75"/>
      <c r="C6756" s="75"/>
      <c r="D6756" s="75"/>
      <c r="E6756" s="75"/>
      <c r="F6756" s="75"/>
    </row>
    <row r="6757" spans="2:6">
      <c r="B6757" s="75"/>
      <c r="C6757" s="75"/>
      <c r="D6757" s="75"/>
      <c r="E6757" s="75"/>
      <c r="F6757" s="75"/>
    </row>
    <row r="6758" spans="2:6">
      <c r="B6758" s="75"/>
      <c r="C6758" s="75"/>
      <c r="D6758" s="75"/>
      <c r="E6758" s="75"/>
      <c r="F6758" s="75"/>
    </row>
    <row r="6759" spans="2:6">
      <c r="B6759" s="75"/>
      <c r="C6759" s="75"/>
      <c r="D6759" s="75"/>
      <c r="E6759" s="75"/>
      <c r="F6759" s="75"/>
    </row>
    <row r="6760" spans="2:6">
      <c r="B6760" s="75"/>
      <c r="C6760" s="75"/>
      <c r="D6760" s="75"/>
      <c r="E6760" s="75"/>
      <c r="F6760" s="75"/>
    </row>
    <row r="6761" spans="2:6">
      <c r="B6761" s="75"/>
      <c r="C6761" s="75"/>
      <c r="D6761" s="75"/>
      <c r="E6761" s="75"/>
      <c r="F6761" s="75"/>
    </row>
    <row r="6762" spans="2:6">
      <c r="B6762" s="75"/>
      <c r="C6762" s="75"/>
      <c r="D6762" s="75"/>
      <c r="E6762" s="75"/>
      <c r="F6762" s="75"/>
    </row>
    <row r="6763" spans="2:6">
      <c r="B6763" s="75"/>
      <c r="C6763" s="75"/>
      <c r="D6763" s="75"/>
      <c r="E6763" s="75"/>
      <c r="F6763" s="75"/>
    </row>
    <row r="6764" spans="2:6">
      <c r="B6764" s="75"/>
      <c r="C6764" s="75"/>
      <c r="D6764" s="75"/>
      <c r="E6764" s="75"/>
      <c r="F6764" s="75"/>
    </row>
    <row r="6765" spans="2:6">
      <c r="B6765" s="75"/>
      <c r="C6765" s="75"/>
      <c r="D6765" s="75"/>
      <c r="E6765" s="75"/>
      <c r="F6765" s="75"/>
    </row>
    <row r="6766" spans="2:6">
      <c r="B6766" s="75"/>
      <c r="C6766" s="75"/>
      <c r="D6766" s="75"/>
      <c r="E6766" s="75"/>
      <c r="F6766" s="75"/>
    </row>
    <row r="6767" spans="2:6">
      <c r="B6767" s="75"/>
      <c r="C6767" s="75"/>
      <c r="D6767" s="75"/>
      <c r="E6767" s="75"/>
      <c r="F6767" s="75"/>
    </row>
    <row r="6768" spans="2:6">
      <c r="B6768" s="75"/>
      <c r="C6768" s="75"/>
      <c r="D6768" s="75"/>
      <c r="E6768" s="75"/>
      <c r="F6768" s="75"/>
    </row>
    <row r="6769" spans="2:6">
      <c r="B6769" s="75"/>
      <c r="C6769" s="75"/>
      <c r="D6769" s="75"/>
      <c r="E6769" s="75"/>
      <c r="F6769" s="75"/>
    </row>
    <row r="6770" spans="2:6">
      <c r="B6770" s="75"/>
      <c r="C6770" s="75"/>
      <c r="D6770" s="75"/>
      <c r="E6770" s="75"/>
      <c r="F6770" s="75"/>
    </row>
    <row r="6771" spans="2:6">
      <c r="B6771" s="75"/>
      <c r="C6771" s="75"/>
      <c r="D6771" s="75"/>
      <c r="E6771" s="75"/>
      <c r="F6771" s="75"/>
    </row>
    <row r="6772" spans="2:6">
      <c r="B6772" s="75"/>
      <c r="C6772" s="75"/>
      <c r="D6772" s="75"/>
      <c r="E6772" s="75"/>
      <c r="F6772" s="75"/>
    </row>
    <row r="6773" spans="2:6">
      <c r="B6773" s="75"/>
      <c r="C6773" s="75"/>
      <c r="D6773" s="75"/>
      <c r="E6773" s="75"/>
      <c r="F6773" s="75"/>
    </row>
    <row r="6774" spans="2:6">
      <c r="B6774" s="75"/>
      <c r="C6774" s="75"/>
      <c r="D6774" s="75"/>
      <c r="E6774" s="75"/>
      <c r="F6774" s="75"/>
    </row>
    <row r="6775" spans="2:6">
      <c r="B6775" s="75"/>
      <c r="C6775" s="75"/>
      <c r="D6775" s="75"/>
      <c r="E6775" s="75"/>
      <c r="F6775" s="75"/>
    </row>
    <row r="6776" spans="2:6">
      <c r="B6776" s="75"/>
      <c r="C6776" s="75"/>
      <c r="D6776" s="75"/>
      <c r="E6776" s="75"/>
      <c r="F6776" s="75"/>
    </row>
    <row r="6777" spans="2:6">
      <c r="B6777" s="75"/>
      <c r="C6777" s="75"/>
      <c r="D6777" s="75"/>
      <c r="E6777" s="75"/>
      <c r="F6777" s="75"/>
    </row>
    <row r="6778" spans="2:6">
      <c r="B6778" s="75"/>
      <c r="C6778" s="75"/>
      <c r="D6778" s="75"/>
      <c r="E6778" s="75"/>
      <c r="F6778" s="75"/>
    </row>
    <row r="6779" spans="2:6">
      <c r="B6779" s="75"/>
      <c r="C6779" s="75"/>
      <c r="D6779" s="75"/>
      <c r="E6779" s="75"/>
      <c r="F6779" s="75"/>
    </row>
    <row r="6780" spans="2:6">
      <c r="B6780" s="75"/>
      <c r="C6780" s="75"/>
      <c r="D6780" s="75"/>
      <c r="E6780" s="75"/>
      <c r="F6780" s="75"/>
    </row>
    <row r="6781" spans="2:6">
      <c r="B6781" s="75"/>
      <c r="C6781" s="75"/>
      <c r="D6781" s="75"/>
      <c r="E6781" s="75"/>
      <c r="F6781" s="75"/>
    </row>
    <row r="6782" spans="2:6">
      <c r="B6782" s="75"/>
      <c r="C6782" s="75"/>
      <c r="D6782" s="75"/>
      <c r="E6782" s="75"/>
      <c r="F6782" s="75"/>
    </row>
    <row r="6783" spans="2:6">
      <c r="B6783" s="75"/>
      <c r="C6783" s="75"/>
      <c r="D6783" s="75"/>
      <c r="E6783" s="75"/>
      <c r="F6783" s="75"/>
    </row>
    <row r="6784" spans="2:6">
      <c r="B6784" s="75"/>
      <c r="C6784" s="75"/>
      <c r="D6784" s="75"/>
      <c r="E6784" s="75"/>
      <c r="F6784" s="75"/>
    </row>
    <row r="6785" spans="2:6">
      <c r="B6785" s="75"/>
      <c r="C6785" s="75"/>
      <c r="D6785" s="75"/>
      <c r="E6785" s="75"/>
      <c r="F6785" s="75"/>
    </row>
    <row r="6786" spans="2:6">
      <c r="B6786" s="75"/>
      <c r="C6786" s="75"/>
      <c r="D6786" s="75"/>
      <c r="E6786" s="75"/>
      <c r="F6786" s="75"/>
    </row>
    <row r="6787" spans="2:6">
      <c r="B6787" s="75"/>
      <c r="C6787" s="75"/>
      <c r="D6787" s="75"/>
      <c r="E6787" s="75"/>
      <c r="F6787" s="75"/>
    </row>
    <row r="6788" spans="2:6">
      <c r="B6788" s="75"/>
      <c r="C6788" s="75"/>
      <c r="D6788" s="75"/>
      <c r="E6788" s="75"/>
      <c r="F6788" s="75"/>
    </row>
    <row r="6789" spans="2:6">
      <c r="B6789" s="75"/>
      <c r="C6789" s="75"/>
      <c r="D6789" s="75"/>
      <c r="E6789" s="75"/>
      <c r="F6789" s="75"/>
    </row>
    <row r="6790" spans="2:6">
      <c r="B6790" s="75"/>
      <c r="C6790" s="75"/>
      <c r="D6790" s="75"/>
      <c r="E6790" s="75"/>
      <c r="F6790" s="75"/>
    </row>
    <row r="6791" spans="2:6">
      <c r="B6791" s="75"/>
      <c r="C6791" s="75"/>
      <c r="D6791" s="75"/>
      <c r="E6791" s="75"/>
      <c r="F6791" s="75"/>
    </row>
    <row r="6792" spans="2:6">
      <c r="B6792" s="75"/>
      <c r="C6792" s="75"/>
      <c r="D6792" s="75"/>
      <c r="E6792" s="75"/>
      <c r="F6792" s="75"/>
    </row>
    <row r="6793" spans="2:6">
      <c r="B6793" s="75"/>
      <c r="C6793" s="75"/>
      <c r="D6793" s="75"/>
      <c r="E6793" s="75"/>
      <c r="F6793" s="75"/>
    </row>
    <row r="6794" spans="2:6">
      <c r="B6794" s="75"/>
      <c r="C6794" s="75"/>
      <c r="D6794" s="75"/>
      <c r="E6794" s="75"/>
      <c r="F6794" s="75"/>
    </row>
    <row r="6795" spans="2:6">
      <c r="B6795" s="75"/>
      <c r="C6795" s="75"/>
      <c r="D6795" s="75"/>
      <c r="E6795" s="75"/>
      <c r="F6795" s="75"/>
    </row>
    <row r="6796" spans="2:6">
      <c r="B6796" s="75"/>
      <c r="C6796" s="75"/>
      <c r="D6796" s="75"/>
      <c r="E6796" s="75"/>
      <c r="F6796" s="75"/>
    </row>
    <row r="6797" spans="2:6">
      <c r="B6797" s="75"/>
      <c r="C6797" s="75"/>
      <c r="D6797" s="75"/>
      <c r="E6797" s="75"/>
      <c r="F6797" s="75"/>
    </row>
    <row r="6798" spans="2:6">
      <c r="B6798" s="75"/>
      <c r="C6798" s="75"/>
      <c r="D6798" s="75"/>
      <c r="E6798" s="75"/>
      <c r="F6798" s="75"/>
    </row>
    <row r="6799" spans="2:6">
      <c r="B6799" s="75"/>
      <c r="C6799" s="75"/>
      <c r="D6799" s="75"/>
      <c r="E6799" s="75"/>
      <c r="F6799" s="75"/>
    </row>
    <row r="6800" spans="2:6">
      <c r="B6800" s="75"/>
      <c r="C6800" s="75"/>
      <c r="D6800" s="75"/>
      <c r="E6800" s="75"/>
      <c r="F6800" s="75"/>
    </row>
    <row r="6801" spans="2:6">
      <c r="B6801" s="75"/>
      <c r="C6801" s="75"/>
      <c r="D6801" s="75"/>
      <c r="E6801" s="75"/>
      <c r="F6801" s="75"/>
    </row>
    <row r="6802" spans="2:6">
      <c r="B6802" s="75"/>
      <c r="C6802" s="75"/>
      <c r="D6802" s="75"/>
      <c r="E6802" s="75"/>
      <c r="F6802" s="75"/>
    </row>
    <row r="6803" spans="2:6">
      <c r="B6803" s="75"/>
      <c r="C6803" s="75"/>
      <c r="D6803" s="75"/>
      <c r="E6803" s="75"/>
      <c r="F6803" s="75"/>
    </row>
    <row r="6804" spans="2:6">
      <c r="B6804" s="75"/>
      <c r="C6804" s="75"/>
      <c r="D6804" s="75"/>
      <c r="E6804" s="75"/>
      <c r="F6804" s="75"/>
    </row>
    <row r="6805" spans="2:6">
      <c r="B6805" s="75"/>
      <c r="C6805" s="75"/>
      <c r="D6805" s="75"/>
      <c r="E6805" s="75"/>
      <c r="F6805" s="75"/>
    </row>
    <row r="6806" spans="2:6">
      <c r="B6806" s="75"/>
      <c r="C6806" s="75"/>
      <c r="D6806" s="75"/>
      <c r="E6806" s="75"/>
      <c r="F6806" s="75"/>
    </row>
    <row r="6807" spans="2:6">
      <c r="B6807" s="75"/>
      <c r="C6807" s="75"/>
      <c r="D6807" s="75"/>
      <c r="E6807" s="75"/>
      <c r="F6807" s="75"/>
    </row>
    <row r="6808" spans="2:6">
      <c r="B6808" s="75"/>
      <c r="C6808" s="75"/>
      <c r="D6808" s="75"/>
      <c r="E6808" s="75"/>
      <c r="F6808" s="75"/>
    </row>
    <row r="6809" spans="2:6">
      <c r="B6809" s="75"/>
      <c r="C6809" s="75"/>
      <c r="D6809" s="75"/>
      <c r="E6809" s="75"/>
      <c r="F6809" s="75"/>
    </row>
    <row r="6810" spans="2:6">
      <c r="B6810" s="75"/>
      <c r="C6810" s="75"/>
      <c r="D6810" s="75"/>
      <c r="E6810" s="75"/>
      <c r="F6810" s="75"/>
    </row>
    <row r="6811" spans="2:6">
      <c r="B6811" s="75"/>
      <c r="C6811" s="75"/>
      <c r="D6811" s="75"/>
      <c r="E6811" s="75"/>
      <c r="F6811" s="75"/>
    </row>
    <row r="6812" spans="2:6">
      <c r="B6812" s="75"/>
      <c r="C6812" s="75"/>
      <c r="D6812" s="75"/>
      <c r="E6812" s="75"/>
      <c r="F6812" s="75"/>
    </row>
    <row r="6813" spans="2:6">
      <c r="B6813" s="75"/>
      <c r="C6813" s="75"/>
      <c r="D6813" s="75"/>
      <c r="E6813" s="75"/>
      <c r="F6813" s="75"/>
    </row>
    <row r="6814" spans="2:6">
      <c r="B6814" s="75"/>
      <c r="C6814" s="75"/>
      <c r="D6814" s="75"/>
      <c r="E6814" s="75"/>
      <c r="F6814" s="75"/>
    </row>
    <row r="6815" spans="2:6">
      <c r="B6815" s="75"/>
      <c r="C6815" s="75"/>
      <c r="D6815" s="75"/>
      <c r="E6815" s="75"/>
      <c r="F6815" s="75"/>
    </row>
    <row r="6816" spans="2:6">
      <c r="B6816" s="75"/>
      <c r="C6816" s="75"/>
      <c r="D6816" s="75"/>
      <c r="E6816" s="75"/>
      <c r="F6816" s="75"/>
    </row>
    <row r="6817" spans="2:6">
      <c r="B6817" s="75"/>
      <c r="C6817" s="75"/>
      <c r="D6817" s="75"/>
      <c r="E6817" s="75"/>
      <c r="F6817" s="75"/>
    </row>
    <row r="6818" spans="2:6">
      <c r="B6818" s="75"/>
      <c r="C6818" s="75"/>
      <c r="D6818" s="75"/>
      <c r="E6818" s="75"/>
      <c r="F6818" s="75"/>
    </row>
    <row r="6819" spans="2:6">
      <c r="B6819" s="75"/>
      <c r="C6819" s="75"/>
      <c r="D6819" s="75"/>
      <c r="E6819" s="75"/>
      <c r="F6819" s="75"/>
    </row>
    <row r="6820" spans="2:6">
      <c r="B6820" s="75"/>
      <c r="C6820" s="75"/>
      <c r="D6820" s="75"/>
      <c r="E6820" s="75"/>
      <c r="F6820" s="75"/>
    </row>
    <row r="6821" spans="2:6">
      <c r="B6821" s="75"/>
      <c r="C6821" s="75"/>
      <c r="D6821" s="75"/>
      <c r="E6821" s="75"/>
      <c r="F6821" s="75"/>
    </row>
    <row r="6822" spans="2:6">
      <c r="B6822" s="75"/>
      <c r="C6822" s="75"/>
      <c r="D6822" s="75"/>
      <c r="E6822" s="75"/>
      <c r="F6822" s="75"/>
    </row>
    <row r="6823" spans="2:6">
      <c r="B6823" s="75"/>
      <c r="C6823" s="75"/>
      <c r="D6823" s="75"/>
      <c r="E6823" s="75"/>
      <c r="F6823" s="75"/>
    </row>
    <row r="6824" spans="2:6">
      <c r="B6824" s="75"/>
      <c r="C6824" s="75"/>
      <c r="D6824" s="75"/>
      <c r="E6824" s="75"/>
      <c r="F6824" s="75"/>
    </row>
    <row r="6825" spans="2:6">
      <c r="B6825" s="75"/>
      <c r="C6825" s="75"/>
      <c r="D6825" s="75"/>
      <c r="E6825" s="75"/>
      <c r="F6825" s="75"/>
    </row>
    <row r="6826" spans="2:6">
      <c r="B6826" s="75"/>
      <c r="C6826" s="75"/>
      <c r="D6826" s="75"/>
      <c r="E6826" s="75"/>
      <c r="F6826" s="75"/>
    </row>
    <row r="6827" spans="2:6">
      <c r="B6827" s="75"/>
      <c r="C6827" s="75"/>
      <c r="D6827" s="75"/>
      <c r="E6827" s="75"/>
      <c r="F6827" s="75"/>
    </row>
    <row r="6828" spans="2:6">
      <c r="B6828" s="75"/>
      <c r="C6828" s="75"/>
      <c r="D6828" s="75"/>
      <c r="E6828" s="75"/>
      <c r="F6828" s="75"/>
    </row>
    <row r="6829" spans="2:6">
      <c r="B6829" s="75"/>
      <c r="C6829" s="75"/>
      <c r="D6829" s="75"/>
      <c r="E6829" s="75"/>
      <c r="F6829" s="75"/>
    </row>
    <row r="6830" spans="2:6">
      <c r="B6830" s="75"/>
      <c r="C6830" s="75"/>
      <c r="D6830" s="75"/>
      <c r="E6830" s="75"/>
      <c r="F6830" s="75"/>
    </row>
    <row r="6831" spans="2:6">
      <c r="B6831" s="75"/>
      <c r="C6831" s="75"/>
      <c r="D6831" s="75"/>
      <c r="E6831" s="75"/>
      <c r="F6831" s="75"/>
    </row>
    <row r="6832" spans="2:6">
      <c r="B6832" s="75"/>
      <c r="C6832" s="75"/>
      <c r="D6832" s="75"/>
      <c r="E6832" s="75"/>
      <c r="F6832" s="75"/>
    </row>
    <row r="6833" spans="2:6">
      <c r="B6833" s="75"/>
      <c r="C6833" s="75"/>
      <c r="D6833" s="75"/>
      <c r="E6833" s="75"/>
      <c r="F6833" s="75"/>
    </row>
    <row r="6834" spans="2:6">
      <c r="B6834" s="75"/>
      <c r="C6834" s="75"/>
      <c r="D6834" s="75"/>
      <c r="E6834" s="75"/>
      <c r="F6834" s="75"/>
    </row>
    <row r="6835" spans="2:6">
      <c r="B6835" s="75"/>
      <c r="C6835" s="75"/>
      <c r="D6835" s="75"/>
      <c r="E6835" s="75"/>
      <c r="F6835" s="75"/>
    </row>
    <row r="6836" spans="2:6">
      <c r="B6836" s="75"/>
      <c r="C6836" s="75"/>
      <c r="D6836" s="75"/>
      <c r="E6836" s="75"/>
      <c r="F6836" s="75"/>
    </row>
    <row r="6837" spans="2:6">
      <c r="B6837" s="75"/>
      <c r="C6837" s="75"/>
      <c r="D6837" s="75"/>
      <c r="E6837" s="75"/>
      <c r="F6837" s="75"/>
    </row>
    <row r="6838" spans="2:6">
      <c r="B6838" s="75"/>
      <c r="C6838" s="75"/>
      <c r="D6838" s="75"/>
      <c r="E6838" s="75"/>
      <c r="F6838" s="75"/>
    </row>
    <row r="6839" spans="2:6">
      <c r="B6839" s="75"/>
      <c r="C6839" s="75"/>
      <c r="D6839" s="75"/>
      <c r="E6839" s="75"/>
      <c r="F6839" s="75"/>
    </row>
    <row r="6840" spans="2:6">
      <c r="B6840" s="75"/>
      <c r="C6840" s="75"/>
      <c r="D6840" s="75"/>
      <c r="E6840" s="75"/>
      <c r="F6840" s="75"/>
    </row>
    <row r="6841" spans="2:6">
      <c r="B6841" s="75"/>
      <c r="C6841" s="75"/>
      <c r="D6841" s="75"/>
      <c r="E6841" s="75"/>
      <c r="F6841" s="75"/>
    </row>
    <row r="6842" spans="2:6">
      <c r="B6842" s="75"/>
      <c r="C6842" s="75"/>
      <c r="D6842" s="75"/>
      <c r="E6842" s="75"/>
      <c r="F6842" s="75"/>
    </row>
    <row r="6843" spans="2:6">
      <c r="B6843" s="75"/>
      <c r="C6843" s="75"/>
      <c r="D6843" s="75"/>
      <c r="E6843" s="75"/>
      <c r="F6843" s="75"/>
    </row>
    <row r="6844" spans="2:6">
      <c r="B6844" s="75"/>
      <c r="C6844" s="75"/>
      <c r="D6844" s="75"/>
      <c r="E6844" s="75"/>
      <c r="F6844" s="75"/>
    </row>
    <row r="6845" spans="2:6">
      <c r="B6845" s="75"/>
      <c r="C6845" s="75"/>
      <c r="D6845" s="75"/>
      <c r="E6845" s="75"/>
      <c r="F6845" s="75"/>
    </row>
    <row r="6846" spans="2:6">
      <c r="B6846" s="75"/>
      <c r="C6846" s="75"/>
      <c r="D6846" s="75"/>
      <c r="E6846" s="75"/>
      <c r="F6846" s="75"/>
    </row>
    <row r="6847" spans="2:6">
      <c r="B6847" s="75"/>
      <c r="C6847" s="75"/>
      <c r="D6847" s="75"/>
      <c r="E6847" s="75"/>
      <c r="F6847" s="75"/>
    </row>
    <row r="6848" spans="2:6">
      <c r="B6848" s="75"/>
      <c r="C6848" s="75"/>
      <c r="D6848" s="75"/>
      <c r="E6848" s="75"/>
      <c r="F6848" s="75"/>
    </row>
    <row r="6849" spans="2:6">
      <c r="B6849" s="75"/>
      <c r="C6849" s="75"/>
      <c r="D6849" s="75"/>
      <c r="E6849" s="75"/>
      <c r="F6849" s="75"/>
    </row>
    <row r="6850" spans="2:6">
      <c r="B6850" s="75"/>
      <c r="C6850" s="75"/>
      <c r="D6850" s="75"/>
      <c r="E6850" s="75"/>
      <c r="F6850" s="75"/>
    </row>
    <row r="6851" spans="2:6">
      <c r="B6851" s="75"/>
      <c r="C6851" s="75"/>
      <c r="D6851" s="75"/>
      <c r="E6851" s="75"/>
      <c r="F6851" s="75"/>
    </row>
    <row r="6852" spans="2:6">
      <c r="B6852" s="75"/>
      <c r="C6852" s="75"/>
      <c r="D6852" s="75"/>
      <c r="E6852" s="75"/>
      <c r="F6852" s="75"/>
    </row>
    <row r="6853" spans="2:6">
      <c r="B6853" s="75"/>
      <c r="C6853" s="75"/>
      <c r="D6853" s="75"/>
      <c r="E6853" s="75"/>
      <c r="F6853" s="75"/>
    </row>
    <row r="6854" spans="2:6">
      <c r="B6854" s="75"/>
      <c r="C6854" s="75"/>
      <c r="D6854" s="75"/>
      <c r="E6854" s="75"/>
      <c r="F6854" s="75"/>
    </row>
    <row r="6855" spans="2:6">
      <c r="B6855" s="75"/>
      <c r="C6855" s="75"/>
      <c r="D6855" s="75"/>
      <c r="E6855" s="75"/>
      <c r="F6855" s="75"/>
    </row>
    <row r="6856" spans="2:6">
      <c r="B6856" s="75"/>
      <c r="C6856" s="75"/>
      <c r="D6856" s="75"/>
      <c r="E6856" s="75"/>
      <c r="F6856" s="75"/>
    </row>
    <row r="6857" spans="2:6">
      <c r="B6857" s="75"/>
      <c r="C6857" s="75"/>
      <c r="D6857" s="75"/>
      <c r="E6857" s="75"/>
      <c r="F6857" s="75"/>
    </row>
    <row r="6858" spans="2:6">
      <c r="B6858" s="75"/>
      <c r="C6858" s="75"/>
      <c r="D6858" s="75"/>
      <c r="E6858" s="75"/>
      <c r="F6858" s="75"/>
    </row>
    <row r="6859" spans="2:6">
      <c r="B6859" s="75"/>
      <c r="C6859" s="75"/>
      <c r="D6859" s="75"/>
      <c r="E6859" s="75"/>
      <c r="F6859" s="75"/>
    </row>
    <row r="6860" spans="2:6">
      <c r="B6860" s="75"/>
      <c r="C6860" s="75"/>
      <c r="D6860" s="75"/>
      <c r="E6860" s="75"/>
      <c r="F6860" s="75"/>
    </row>
    <row r="6861" spans="2:6">
      <c r="B6861" s="75"/>
      <c r="C6861" s="75"/>
      <c r="D6861" s="75"/>
      <c r="E6861" s="75"/>
      <c r="F6861" s="75"/>
    </row>
    <row r="6862" spans="2:6">
      <c r="B6862" s="75"/>
      <c r="C6862" s="75"/>
      <c r="D6862" s="75"/>
      <c r="E6862" s="75"/>
      <c r="F6862" s="75"/>
    </row>
    <row r="6863" spans="2:6">
      <c r="B6863" s="75"/>
      <c r="C6863" s="75"/>
      <c r="D6863" s="75"/>
      <c r="E6863" s="75"/>
      <c r="F6863" s="75"/>
    </row>
    <row r="6864" spans="2:6">
      <c r="B6864" s="75"/>
      <c r="C6864" s="75"/>
      <c r="D6864" s="75"/>
      <c r="E6864" s="75"/>
      <c r="F6864" s="75"/>
    </row>
    <row r="6865" spans="2:6">
      <c r="B6865" s="75"/>
      <c r="C6865" s="75"/>
      <c r="D6865" s="75"/>
      <c r="E6865" s="75"/>
      <c r="F6865" s="75"/>
    </row>
    <row r="6866" spans="2:6">
      <c r="B6866" s="75"/>
      <c r="C6866" s="75"/>
      <c r="D6866" s="75"/>
      <c r="E6866" s="75"/>
      <c r="F6866" s="75"/>
    </row>
    <row r="6867" spans="2:6">
      <c r="B6867" s="75"/>
      <c r="C6867" s="75"/>
      <c r="D6867" s="75"/>
      <c r="E6867" s="75"/>
      <c r="F6867" s="75"/>
    </row>
    <row r="6868" spans="2:6">
      <c r="B6868" s="75"/>
      <c r="C6868" s="75"/>
      <c r="D6868" s="75"/>
      <c r="E6868" s="75"/>
      <c r="F6868" s="75"/>
    </row>
    <row r="6869" spans="2:6">
      <c r="B6869" s="75"/>
      <c r="C6869" s="75"/>
      <c r="D6869" s="75"/>
      <c r="E6869" s="75"/>
      <c r="F6869" s="75"/>
    </row>
    <row r="6870" spans="2:6">
      <c r="B6870" s="75"/>
      <c r="C6870" s="75"/>
      <c r="D6870" s="75"/>
      <c r="E6870" s="75"/>
      <c r="F6870" s="75"/>
    </row>
    <row r="6871" spans="2:6">
      <c r="B6871" s="75"/>
      <c r="C6871" s="75"/>
      <c r="D6871" s="75"/>
      <c r="E6871" s="75"/>
      <c r="F6871" s="75"/>
    </row>
    <row r="6872" spans="2:6">
      <c r="B6872" s="75"/>
      <c r="C6872" s="75"/>
      <c r="D6872" s="75"/>
      <c r="E6872" s="75"/>
      <c r="F6872" s="75"/>
    </row>
    <row r="6873" spans="2:6">
      <c r="B6873" s="75"/>
      <c r="C6873" s="75"/>
      <c r="D6873" s="75"/>
      <c r="E6873" s="75"/>
      <c r="F6873" s="75"/>
    </row>
    <row r="6874" spans="2:6">
      <c r="B6874" s="75"/>
      <c r="C6874" s="75"/>
      <c r="D6874" s="75"/>
      <c r="E6874" s="75"/>
      <c r="F6874" s="75"/>
    </row>
    <row r="6875" spans="2:6">
      <c r="B6875" s="75"/>
      <c r="C6875" s="75"/>
      <c r="D6875" s="75"/>
      <c r="E6875" s="75"/>
      <c r="F6875" s="75"/>
    </row>
    <row r="6876" spans="2:6">
      <c r="B6876" s="75"/>
      <c r="C6876" s="75"/>
      <c r="D6876" s="75"/>
      <c r="E6876" s="75"/>
      <c r="F6876" s="75"/>
    </row>
    <row r="6877" spans="2:6">
      <c r="B6877" s="75"/>
      <c r="C6877" s="75"/>
      <c r="D6877" s="75"/>
      <c r="E6877" s="75"/>
      <c r="F6877" s="75"/>
    </row>
    <row r="6878" spans="2:6">
      <c r="B6878" s="75"/>
      <c r="C6878" s="75"/>
      <c r="D6878" s="75"/>
      <c r="E6878" s="75"/>
      <c r="F6878" s="75"/>
    </row>
    <row r="6879" spans="2:6">
      <c r="B6879" s="75"/>
      <c r="C6879" s="75"/>
      <c r="D6879" s="75"/>
      <c r="E6879" s="75"/>
      <c r="F6879" s="75"/>
    </row>
    <row r="6880" spans="2:6">
      <c r="B6880" s="75"/>
      <c r="C6880" s="75"/>
      <c r="D6880" s="75"/>
      <c r="E6880" s="75"/>
      <c r="F6880" s="75"/>
    </row>
    <row r="6881" spans="2:6">
      <c r="B6881" s="75"/>
      <c r="C6881" s="75"/>
      <c r="D6881" s="75"/>
      <c r="E6881" s="75"/>
      <c r="F6881" s="75"/>
    </row>
    <row r="6882" spans="2:6">
      <c r="B6882" s="75"/>
      <c r="C6882" s="75"/>
      <c r="D6882" s="75"/>
      <c r="E6882" s="75"/>
      <c r="F6882" s="75"/>
    </row>
    <row r="6883" spans="2:6">
      <c r="B6883" s="75"/>
      <c r="C6883" s="75"/>
      <c r="D6883" s="75"/>
      <c r="E6883" s="75"/>
      <c r="F6883" s="75"/>
    </row>
    <row r="6884" spans="2:6">
      <c r="B6884" s="75"/>
      <c r="C6884" s="75"/>
      <c r="D6884" s="75"/>
      <c r="E6884" s="75"/>
      <c r="F6884" s="75"/>
    </row>
    <row r="6885" spans="2:6">
      <c r="B6885" s="75"/>
      <c r="C6885" s="75"/>
      <c r="D6885" s="75"/>
      <c r="E6885" s="75"/>
      <c r="F6885" s="75"/>
    </row>
    <row r="6886" spans="2:6">
      <c r="B6886" s="75"/>
      <c r="C6886" s="75"/>
      <c r="D6886" s="75"/>
      <c r="E6886" s="75"/>
      <c r="F6886" s="75"/>
    </row>
    <row r="6887" spans="2:6">
      <c r="B6887" s="75"/>
      <c r="C6887" s="75"/>
      <c r="D6887" s="75"/>
      <c r="E6887" s="75"/>
      <c r="F6887" s="75"/>
    </row>
    <row r="6888" spans="2:6">
      <c r="B6888" s="75"/>
      <c r="C6888" s="75"/>
      <c r="D6888" s="75"/>
      <c r="E6888" s="75"/>
      <c r="F6888" s="75"/>
    </row>
    <row r="6889" spans="2:6">
      <c r="B6889" s="75"/>
      <c r="C6889" s="75"/>
      <c r="D6889" s="75"/>
      <c r="E6889" s="75"/>
      <c r="F6889" s="75"/>
    </row>
    <row r="6890" spans="2:6">
      <c r="B6890" s="75"/>
      <c r="C6890" s="75"/>
      <c r="D6890" s="75"/>
      <c r="E6890" s="75"/>
      <c r="F6890" s="75"/>
    </row>
    <row r="6891" spans="2:6">
      <c r="B6891" s="75"/>
      <c r="C6891" s="75"/>
      <c r="D6891" s="75"/>
      <c r="E6891" s="75"/>
      <c r="F6891" s="75"/>
    </row>
    <row r="6892" spans="2:6">
      <c r="B6892" s="75"/>
      <c r="C6892" s="75"/>
      <c r="D6892" s="75"/>
      <c r="E6892" s="75"/>
      <c r="F6892" s="75"/>
    </row>
    <row r="6893" spans="2:6">
      <c r="B6893" s="75"/>
      <c r="C6893" s="75"/>
      <c r="D6893" s="75"/>
      <c r="E6893" s="75"/>
      <c r="F6893" s="75"/>
    </row>
    <row r="6894" spans="2:6">
      <c r="B6894" s="75"/>
      <c r="C6894" s="75"/>
      <c r="D6894" s="75"/>
      <c r="E6894" s="75"/>
      <c r="F6894" s="75"/>
    </row>
    <row r="6895" spans="2:6">
      <c r="B6895" s="75"/>
      <c r="C6895" s="75"/>
      <c r="D6895" s="75"/>
      <c r="E6895" s="75"/>
      <c r="F6895" s="75"/>
    </row>
    <row r="6896" spans="2:6">
      <c r="B6896" s="75"/>
      <c r="C6896" s="75"/>
      <c r="D6896" s="75"/>
      <c r="E6896" s="75"/>
      <c r="F6896" s="75"/>
    </row>
    <row r="6897" spans="2:6">
      <c r="B6897" s="75"/>
      <c r="C6897" s="75"/>
      <c r="D6897" s="75"/>
      <c r="E6897" s="75"/>
      <c r="F6897" s="75"/>
    </row>
    <row r="6898" spans="2:6">
      <c r="B6898" s="75"/>
      <c r="C6898" s="75"/>
      <c r="D6898" s="75"/>
      <c r="E6898" s="75"/>
      <c r="F6898" s="75"/>
    </row>
    <row r="6899" spans="2:6">
      <c r="B6899" s="75"/>
      <c r="C6899" s="75"/>
      <c r="D6899" s="75"/>
      <c r="E6899" s="75"/>
      <c r="F6899" s="75"/>
    </row>
    <row r="6900" spans="2:6">
      <c r="B6900" s="75"/>
      <c r="C6900" s="75"/>
      <c r="D6900" s="75"/>
      <c r="E6900" s="75"/>
      <c r="F6900" s="75"/>
    </row>
    <row r="6901" spans="2:6">
      <c r="B6901" s="75"/>
      <c r="C6901" s="75"/>
      <c r="D6901" s="75"/>
      <c r="E6901" s="75"/>
      <c r="F6901" s="75"/>
    </row>
    <row r="6902" spans="2:6">
      <c r="B6902" s="75"/>
      <c r="C6902" s="75"/>
      <c r="D6902" s="75"/>
      <c r="E6902" s="75"/>
      <c r="F6902" s="75"/>
    </row>
    <row r="6903" spans="2:6">
      <c r="B6903" s="75"/>
      <c r="C6903" s="75"/>
      <c r="D6903" s="75"/>
      <c r="E6903" s="75"/>
      <c r="F6903" s="75"/>
    </row>
    <row r="6904" spans="2:6">
      <c r="B6904" s="75"/>
      <c r="C6904" s="75"/>
      <c r="D6904" s="75"/>
      <c r="E6904" s="75"/>
      <c r="F6904" s="75"/>
    </row>
    <row r="6905" spans="2:6">
      <c r="B6905" s="75"/>
      <c r="C6905" s="75"/>
      <c r="D6905" s="75"/>
      <c r="E6905" s="75"/>
      <c r="F6905" s="75"/>
    </row>
    <row r="6906" spans="2:6">
      <c r="B6906" s="75"/>
      <c r="C6906" s="75"/>
      <c r="D6906" s="75"/>
      <c r="E6906" s="75"/>
      <c r="F6906" s="75"/>
    </row>
    <row r="6907" spans="2:6">
      <c r="B6907" s="75"/>
      <c r="C6907" s="75"/>
      <c r="D6907" s="75"/>
      <c r="E6907" s="75"/>
      <c r="F6907" s="75"/>
    </row>
    <row r="6908" spans="2:6">
      <c r="B6908" s="75"/>
      <c r="C6908" s="75"/>
      <c r="D6908" s="75"/>
      <c r="E6908" s="75"/>
      <c r="F6908" s="75"/>
    </row>
    <row r="6909" spans="2:6">
      <c r="B6909" s="75"/>
      <c r="C6909" s="75"/>
      <c r="D6909" s="75"/>
      <c r="E6909" s="75"/>
      <c r="F6909" s="75"/>
    </row>
    <row r="6910" spans="2:6">
      <c r="B6910" s="75"/>
      <c r="C6910" s="75"/>
      <c r="D6910" s="75"/>
      <c r="E6910" s="75"/>
      <c r="F6910" s="75"/>
    </row>
    <row r="6911" spans="2:6">
      <c r="B6911" s="75"/>
      <c r="C6911" s="75"/>
      <c r="D6911" s="75"/>
      <c r="E6911" s="75"/>
      <c r="F6911" s="75"/>
    </row>
    <row r="6912" spans="2:6">
      <c r="B6912" s="75"/>
      <c r="C6912" s="75"/>
      <c r="D6912" s="75"/>
      <c r="E6912" s="75"/>
      <c r="F6912" s="75"/>
    </row>
    <row r="6913" spans="2:6">
      <c r="B6913" s="75"/>
      <c r="C6913" s="75"/>
      <c r="D6913" s="75"/>
      <c r="E6913" s="75"/>
      <c r="F6913" s="75"/>
    </row>
    <row r="6914" spans="2:6">
      <c r="B6914" s="75"/>
      <c r="C6914" s="75"/>
      <c r="D6914" s="75"/>
      <c r="E6914" s="75"/>
      <c r="F6914" s="75"/>
    </row>
    <row r="6915" spans="2:6">
      <c r="B6915" s="75"/>
      <c r="C6915" s="75"/>
      <c r="D6915" s="75"/>
      <c r="E6915" s="75"/>
      <c r="F6915" s="75"/>
    </row>
    <row r="6916" spans="2:6">
      <c r="B6916" s="75"/>
      <c r="C6916" s="75"/>
      <c r="D6916" s="75"/>
      <c r="E6916" s="75"/>
      <c r="F6916" s="75"/>
    </row>
    <row r="6917" spans="2:6">
      <c r="B6917" s="75"/>
      <c r="C6917" s="75"/>
      <c r="D6917" s="75"/>
      <c r="E6917" s="75"/>
      <c r="F6917" s="75"/>
    </row>
    <row r="6918" spans="2:6">
      <c r="B6918" s="75"/>
      <c r="C6918" s="75"/>
      <c r="D6918" s="75"/>
      <c r="E6918" s="75"/>
      <c r="F6918" s="75"/>
    </row>
    <row r="6919" spans="2:6">
      <c r="B6919" s="75"/>
      <c r="C6919" s="75"/>
      <c r="D6919" s="75"/>
      <c r="E6919" s="75"/>
      <c r="F6919" s="75"/>
    </row>
    <row r="6920" spans="2:6">
      <c r="B6920" s="75"/>
      <c r="C6920" s="75"/>
      <c r="D6920" s="75"/>
      <c r="E6920" s="75"/>
      <c r="F6920" s="75"/>
    </row>
    <row r="6921" spans="2:6">
      <c r="B6921" s="75"/>
      <c r="C6921" s="75"/>
      <c r="D6921" s="75"/>
      <c r="E6921" s="75"/>
      <c r="F6921" s="75"/>
    </row>
    <row r="6922" spans="2:6">
      <c r="B6922" s="75"/>
      <c r="C6922" s="75"/>
      <c r="D6922" s="75"/>
      <c r="E6922" s="75"/>
      <c r="F6922" s="75"/>
    </row>
    <row r="6923" spans="2:6">
      <c r="B6923" s="75"/>
      <c r="C6923" s="75"/>
      <c r="D6923" s="75"/>
      <c r="E6923" s="75"/>
      <c r="F6923" s="75"/>
    </row>
    <row r="6924" spans="2:6">
      <c r="B6924" s="75"/>
      <c r="C6924" s="75"/>
      <c r="D6924" s="75"/>
      <c r="E6924" s="75"/>
      <c r="F6924" s="75"/>
    </row>
    <row r="6925" spans="2:6">
      <c r="B6925" s="75"/>
      <c r="C6925" s="75"/>
      <c r="D6925" s="75"/>
      <c r="E6925" s="75"/>
      <c r="F6925" s="75"/>
    </row>
    <row r="6926" spans="2:6">
      <c r="B6926" s="75"/>
      <c r="C6926" s="75"/>
      <c r="D6926" s="75"/>
      <c r="E6926" s="75"/>
      <c r="F6926" s="75"/>
    </row>
    <row r="6927" spans="2:6">
      <c r="B6927" s="75"/>
      <c r="C6927" s="75"/>
      <c r="D6927" s="75"/>
      <c r="E6927" s="75"/>
      <c r="F6927" s="75"/>
    </row>
    <row r="6928" spans="2:6">
      <c r="B6928" s="75"/>
      <c r="C6928" s="75"/>
      <c r="D6928" s="75"/>
      <c r="E6928" s="75"/>
      <c r="F6928" s="75"/>
    </row>
    <row r="6929" spans="2:6">
      <c r="B6929" s="75"/>
      <c r="C6929" s="75"/>
      <c r="D6929" s="75"/>
      <c r="E6929" s="75"/>
      <c r="F6929" s="75"/>
    </row>
    <row r="6930" spans="2:6">
      <c r="B6930" s="75"/>
      <c r="C6930" s="75"/>
      <c r="D6930" s="75"/>
      <c r="E6930" s="75"/>
      <c r="F6930" s="75"/>
    </row>
    <row r="6931" spans="2:6">
      <c r="B6931" s="75"/>
      <c r="C6931" s="75"/>
      <c r="D6931" s="75"/>
      <c r="E6931" s="75"/>
      <c r="F6931" s="75"/>
    </row>
    <row r="6932" spans="2:6">
      <c r="B6932" s="75"/>
      <c r="C6932" s="75"/>
      <c r="D6932" s="75"/>
      <c r="E6932" s="75"/>
      <c r="F6932" s="75"/>
    </row>
    <row r="6933" spans="2:6">
      <c r="B6933" s="75"/>
      <c r="C6933" s="75"/>
      <c r="D6933" s="75"/>
      <c r="E6933" s="75"/>
      <c r="F6933" s="75"/>
    </row>
    <row r="6934" spans="2:6">
      <c r="B6934" s="75"/>
      <c r="C6934" s="75"/>
      <c r="D6934" s="75"/>
      <c r="E6934" s="75"/>
      <c r="F6934" s="75"/>
    </row>
    <row r="6935" spans="2:6">
      <c r="B6935" s="75"/>
      <c r="C6935" s="75"/>
      <c r="D6935" s="75"/>
      <c r="E6935" s="75"/>
      <c r="F6935" s="75"/>
    </row>
    <row r="6936" spans="2:6">
      <c r="B6936" s="75"/>
      <c r="C6936" s="75"/>
      <c r="D6936" s="75"/>
      <c r="E6936" s="75"/>
      <c r="F6936" s="75"/>
    </row>
    <row r="6937" spans="2:6">
      <c r="B6937" s="75"/>
      <c r="C6937" s="75"/>
      <c r="D6937" s="75"/>
      <c r="E6937" s="75"/>
      <c r="F6937" s="75"/>
    </row>
    <row r="6938" spans="2:6">
      <c r="B6938" s="75"/>
      <c r="C6938" s="75"/>
      <c r="D6938" s="75"/>
      <c r="E6938" s="75"/>
      <c r="F6938" s="75"/>
    </row>
    <row r="6939" spans="2:6">
      <c r="B6939" s="75"/>
      <c r="C6939" s="75"/>
      <c r="D6939" s="75"/>
      <c r="E6939" s="75"/>
      <c r="F6939" s="75"/>
    </row>
    <row r="6940" spans="2:6">
      <c r="B6940" s="75"/>
      <c r="C6940" s="75"/>
      <c r="D6940" s="75"/>
      <c r="E6940" s="75"/>
      <c r="F6940" s="75"/>
    </row>
    <row r="6941" spans="2:6">
      <c r="B6941" s="75"/>
      <c r="C6941" s="75"/>
      <c r="D6941" s="75"/>
      <c r="E6941" s="75"/>
      <c r="F6941" s="75"/>
    </row>
    <row r="6942" spans="2:6">
      <c r="B6942" s="75"/>
      <c r="C6942" s="75"/>
      <c r="D6942" s="75"/>
      <c r="E6942" s="75"/>
      <c r="F6942" s="75"/>
    </row>
    <row r="6943" spans="2:6">
      <c r="B6943" s="75"/>
      <c r="C6943" s="75"/>
      <c r="D6943" s="75"/>
      <c r="E6943" s="75"/>
      <c r="F6943" s="75"/>
    </row>
    <row r="6944" spans="2:6">
      <c r="B6944" s="75"/>
      <c r="C6944" s="75"/>
      <c r="D6944" s="75"/>
      <c r="E6944" s="75"/>
      <c r="F6944" s="75"/>
    </row>
    <row r="6945" spans="2:6">
      <c r="B6945" s="75"/>
      <c r="C6945" s="75"/>
      <c r="D6945" s="75"/>
      <c r="E6945" s="75"/>
      <c r="F6945" s="75"/>
    </row>
    <row r="6946" spans="2:6">
      <c r="B6946" s="75"/>
      <c r="C6946" s="75"/>
      <c r="D6946" s="75"/>
      <c r="E6946" s="75"/>
      <c r="F6946" s="75"/>
    </row>
    <row r="6947" spans="2:6">
      <c r="B6947" s="75"/>
      <c r="C6947" s="75"/>
      <c r="D6947" s="75"/>
      <c r="E6947" s="75"/>
      <c r="F6947" s="75"/>
    </row>
    <row r="6948" spans="2:6">
      <c r="B6948" s="75"/>
      <c r="C6948" s="75"/>
      <c r="D6948" s="75"/>
      <c r="E6948" s="75"/>
      <c r="F6948" s="75"/>
    </row>
    <row r="6949" spans="2:6">
      <c r="B6949" s="75"/>
      <c r="C6949" s="75"/>
      <c r="D6949" s="75"/>
      <c r="E6949" s="75"/>
      <c r="F6949" s="75"/>
    </row>
    <row r="6950" spans="2:6">
      <c r="B6950" s="75"/>
      <c r="C6950" s="75"/>
      <c r="D6950" s="75"/>
      <c r="E6950" s="75"/>
      <c r="F6950" s="75"/>
    </row>
    <row r="6951" spans="2:6">
      <c r="B6951" s="75"/>
      <c r="C6951" s="75"/>
      <c r="D6951" s="75"/>
      <c r="E6951" s="75"/>
      <c r="F6951" s="75"/>
    </row>
    <row r="6952" spans="2:6">
      <c r="B6952" s="75"/>
      <c r="C6952" s="75"/>
      <c r="D6952" s="75"/>
      <c r="E6952" s="75"/>
      <c r="F6952" s="75"/>
    </row>
    <row r="6953" spans="2:6">
      <c r="B6953" s="75"/>
      <c r="C6953" s="75"/>
      <c r="D6953" s="75"/>
      <c r="E6953" s="75"/>
      <c r="F6953" s="75"/>
    </row>
    <row r="6954" spans="2:6">
      <c r="B6954" s="75"/>
      <c r="C6954" s="75"/>
      <c r="D6954" s="75"/>
      <c r="E6954" s="75"/>
      <c r="F6954" s="75"/>
    </row>
    <row r="6955" spans="2:6">
      <c r="B6955" s="75"/>
      <c r="C6955" s="75"/>
      <c r="D6955" s="75"/>
      <c r="E6955" s="75"/>
      <c r="F6955" s="75"/>
    </row>
    <row r="6956" spans="2:6">
      <c r="B6956" s="75"/>
      <c r="C6956" s="75"/>
      <c r="D6956" s="75"/>
      <c r="E6956" s="75"/>
      <c r="F6956" s="75"/>
    </row>
    <row r="6957" spans="2:6">
      <c r="B6957" s="75"/>
      <c r="C6957" s="75"/>
      <c r="D6957" s="75"/>
      <c r="E6957" s="75"/>
      <c r="F6957" s="75"/>
    </row>
    <row r="6958" spans="2:6">
      <c r="B6958" s="75"/>
      <c r="C6958" s="75"/>
      <c r="D6958" s="75"/>
      <c r="E6958" s="75"/>
      <c r="F6958" s="75"/>
    </row>
    <row r="6959" spans="2:6">
      <c r="B6959" s="75"/>
      <c r="C6959" s="75"/>
      <c r="D6959" s="75"/>
      <c r="E6959" s="75"/>
      <c r="F6959" s="75"/>
    </row>
    <row r="6960" spans="2:6">
      <c r="B6960" s="75"/>
      <c r="C6960" s="75"/>
      <c r="D6960" s="75"/>
      <c r="E6960" s="75"/>
      <c r="F6960" s="75"/>
    </row>
    <row r="6961" spans="2:6">
      <c r="B6961" s="75"/>
      <c r="C6961" s="75"/>
      <c r="D6961" s="75"/>
      <c r="E6961" s="75"/>
      <c r="F6961" s="75"/>
    </row>
    <row r="6962" spans="2:6">
      <c r="B6962" s="75"/>
      <c r="C6962" s="75"/>
      <c r="D6962" s="75"/>
      <c r="E6962" s="75"/>
      <c r="F6962" s="75"/>
    </row>
    <row r="6963" spans="2:6">
      <c r="B6963" s="75"/>
      <c r="C6963" s="75"/>
      <c r="D6963" s="75"/>
      <c r="E6963" s="75"/>
      <c r="F6963" s="75"/>
    </row>
    <row r="6964" spans="2:6">
      <c r="B6964" s="75"/>
      <c r="C6964" s="75"/>
      <c r="D6964" s="75"/>
      <c r="E6964" s="75"/>
      <c r="F6964" s="75"/>
    </row>
    <row r="6965" spans="2:6">
      <c r="B6965" s="75"/>
      <c r="C6965" s="75"/>
      <c r="D6965" s="75"/>
      <c r="E6965" s="75"/>
      <c r="F6965" s="75"/>
    </row>
    <row r="6966" spans="2:6">
      <c r="B6966" s="75"/>
      <c r="C6966" s="75"/>
      <c r="D6966" s="75"/>
      <c r="E6966" s="75"/>
      <c r="F6966" s="75"/>
    </row>
    <row r="6967" spans="2:6">
      <c r="B6967" s="75"/>
      <c r="C6967" s="75"/>
      <c r="D6967" s="75"/>
      <c r="E6967" s="75"/>
      <c r="F6967" s="75"/>
    </row>
    <row r="6968" spans="2:6">
      <c r="B6968" s="75"/>
      <c r="C6968" s="75"/>
      <c r="D6968" s="75"/>
      <c r="E6968" s="75"/>
      <c r="F6968" s="75"/>
    </row>
    <row r="6969" spans="2:6">
      <c r="B6969" s="75"/>
      <c r="C6969" s="75"/>
      <c r="D6969" s="75"/>
      <c r="E6969" s="75"/>
      <c r="F6969" s="75"/>
    </row>
    <row r="6970" spans="2:6">
      <c r="B6970" s="75"/>
      <c r="C6970" s="75"/>
      <c r="D6970" s="75"/>
      <c r="E6970" s="75"/>
      <c r="F6970" s="75"/>
    </row>
    <row r="6971" spans="2:6">
      <c r="B6971" s="75"/>
      <c r="C6971" s="75"/>
      <c r="D6971" s="75"/>
      <c r="E6971" s="75"/>
      <c r="F6971" s="75"/>
    </row>
    <row r="6972" spans="2:6">
      <c r="B6972" s="75"/>
      <c r="C6972" s="75"/>
      <c r="D6972" s="75"/>
      <c r="E6972" s="75"/>
      <c r="F6972" s="75"/>
    </row>
    <row r="6973" spans="2:6">
      <c r="B6973" s="75"/>
      <c r="C6973" s="75"/>
      <c r="D6973" s="75"/>
      <c r="E6973" s="75"/>
      <c r="F6973" s="75"/>
    </row>
    <row r="6974" spans="2:6">
      <c r="B6974" s="75"/>
      <c r="C6974" s="75"/>
      <c r="D6974" s="75"/>
      <c r="E6974" s="75"/>
      <c r="F6974" s="75"/>
    </row>
    <row r="6975" spans="2:6">
      <c r="B6975" s="75"/>
      <c r="C6975" s="75"/>
      <c r="D6975" s="75"/>
      <c r="E6975" s="75"/>
      <c r="F6975" s="75"/>
    </row>
    <row r="6976" spans="2:6">
      <c r="B6976" s="75"/>
      <c r="C6976" s="75"/>
      <c r="D6976" s="75"/>
      <c r="E6976" s="75"/>
      <c r="F6976" s="75"/>
    </row>
    <row r="6977" spans="2:6">
      <c r="B6977" s="75"/>
      <c r="C6977" s="75"/>
      <c r="D6977" s="75"/>
      <c r="E6977" s="75"/>
      <c r="F6977" s="75"/>
    </row>
    <row r="6978" spans="2:6">
      <c r="B6978" s="75"/>
      <c r="C6978" s="75"/>
      <c r="D6978" s="75"/>
      <c r="E6978" s="75"/>
      <c r="F6978" s="75"/>
    </row>
    <row r="6979" spans="2:6">
      <c r="B6979" s="75"/>
      <c r="C6979" s="75"/>
      <c r="D6979" s="75"/>
      <c r="E6979" s="75"/>
      <c r="F6979" s="75"/>
    </row>
    <row r="6980" spans="2:6">
      <c r="B6980" s="75"/>
      <c r="C6980" s="75"/>
      <c r="D6980" s="75"/>
      <c r="E6980" s="75"/>
      <c r="F6980" s="75"/>
    </row>
    <row r="6981" spans="2:6">
      <c r="B6981" s="75"/>
      <c r="C6981" s="75"/>
      <c r="D6981" s="75"/>
      <c r="E6981" s="75"/>
      <c r="F6981" s="75"/>
    </row>
    <row r="6982" spans="2:6">
      <c r="B6982" s="75"/>
      <c r="C6982" s="75"/>
      <c r="D6982" s="75"/>
      <c r="E6982" s="75"/>
      <c r="F6982" s="75"/>
    </row>
    <row r="6983" spans="2:6">
      <c r="B6983" s="75"/>
      <c r="C6983" s="75"/>
      <c r="D6983" s="75"/>
      <c r="E6983" s="75"/>
      <c r="F6983" s="75"/>
    </row>
    <row r="6984" spans="2:6">
      <c r="B6984" s="75"/>
      <c r="C6984" s="75"/>
      <c r="D6984" s="75"/>
      <c r="E6984" s="75"/>
      <c r="F6984" s="75"/>
    </row>
    <row r="6985" spans="2:6">
      <c r="B6985" s="75"/>
      <c r="C6985" s="75"/>
      <c r="D6985" s="75"/>
      <c r="E6985" s="75"/>
      <c r="F6985" s="75"/>
    </row>
    <row r="6986" spans="2:6">
      <c r="B6986" s="75"/>
      <c r="C6986" s="75"/>
      <c r="D6986" s="75"/>
      <c r="E6986" s="75"/>
      <c r="F6986" s="75"/>
    </row>
    <row r="6987" spans="2:6">
      <c r="B6987" s="75"/>
      <c r="C6987" s="75"/>
      <c r="D6987" s="75"/>
      <c r="E6987" s="75"/>
      <c r="F6987" s="75"/>
    </row>
    <row r="6988" spans="2:6">
      <c r="B6988" s="75"/>
      <c r="C6988" s="75"/>
      <c r="D6988" s="75"/>
      <c r="E6988" s="75"/>
      <c r="F6988" s="75"/>
    </row>
    <row r="6989" spans="2:6">
      <c r="B6989" s="75"/>
      <c r="C6989" s="75"/>
      <c r="D6989" s="75"/>
      <c r="E6989" s="75"/>
      <c r="F6989" s="75"/>
    </row>
    <row r="6990" spans="2:6">
      <c r="B6990" s="75"/>
      <c r="C6990" s="75"/>
      <c r="D6990" s="75"/>
      <c r="E6990" s="75"/>
      <c r="F6990" s="75"/>
    </row>
    <row r="6991" spans="2:6">
      <c r="B6991" s="75"/>
      <c r="C6991" s="75"/>
      <c r="D6991" s="75"/>
      <c r="E6991" s="75"/>
      <c r="F6991" s="75"/>
    </row>
    <row r="6992" spans="2:6">
      <c r="B6992" s="75"/>
      <c r="C6992" s="75"/>
      <c r="D6992" s="75"/>
      <c r="E6992" s="75"/>
      <c r="F6992" s="75"/>
    </row>
    <row r="6993" spans="2:6">
      <c r="B6993" s="75"/>
      <c r="C6993" s="75"/>
      <c r="D6993" s="75"/>
      <c r="E6993" s="75"/>
      <c r="F6993" s="75"/>
    </row>
    <row r="6994" spans="2:6">
      <c r="B6994" s="75"/>
      <c r="C6994" s="75"/>
      <c r="D6994" s="75"/>
      <c r="E6994" s="75"/>
      <c r="F6994" s="75"/>
    </row>
    <row r="6995" spans="2:6">
      <c r="B6995" s="75"/>
      <c r="C6995" s="75"/>
      <c r="D6995" s="75"/>
      <c r="E6995" s="75"/>
      <c r="F6995" s="75"/>
    </row>
    <row r="6996" spans="2:6">
      <c r="B6996" s="75"/>
      <c r="C6996" s="75"/>
      <c r="D6996" s="75"/>
      <c r="E6996" s="75"/>
      <c r="F6996" s="75"/>
    </row>
    <row r="6997" spans="2:6">
      <c r="B6997" s="75"/>
      <c r="C6997" s="75"/>
      <c r="D6997" s="75"/>
      <c r="E6997" s="75"/>
      <c r="F6997" s="75"/>
    </row>
    <row r="6998" spans="2:6">
      <c r="B6998" s="75"/>
      <c r="C6998" s="75"/>
      <c r="D6998" s="75"/>
      <c r="E6998" s="75"/>
      <c r="F6998" s="75"/>
    </row>
    <row r="6999" spans="2:6">
      <c r="B6999" s="75"/>
      <c r="C6999" s="75"/>
      <c r="D6999" s="75"/>
      <c r="E6999" s="75"/>
      <c r="F6999" s="75"/>
    </row>
    <row r="7000" spans="2:6">
      <c r="B7000" s="75"/>
      <c r="C7000" s="75"/>
      <c r="D7000" s="75"/>
      <c r="E7000" s="75"/>
      <c r="F7000" s="75"/>
    </row>
    <row r="7001" spans="2:6">
      <c r="B7001" s="75"/>
      <c r="C7001" s="75"/>
      <c r="D7001" s="75"/>
      <c r="E7001" s="75"/>
      <c r="F7001" s="75"/>
    </row>
    <row r="7002" spans="2:6">
      <c r="B7002" s="75"/>
      <c r="C7002" s="75"/>
      <c r="D7002" s="75"/>
      <c r="E7002" s="75"/>
      <c r="F7002" s="75"/>
    </row>
    <row r="7003" spans="2:6">
      <c r="B7003" s="75"/>
      <c r="C7003" s="75"/>
      <c r="D7003" s="75"/>
      <c r="E7003" s="75"/>
      <c r="F7003" s="75"/>
    </row>
    <row r="7004" spans="2:6">
      <c r="B7004" s="75"/>
      <c r="C7004" s="75"/>
      <c r="D7004" s="75"/>
      <c r="E7004" s="75"/>
      <c r="F7004" s="75"/>
    </row>
    <row r="7005" spans="2:6">
      <c r="B7005" s="75"/>
      <c r="C7005" s="75"/>
      <c r="D7005" s="75"/>
      <c r="E7005" s="75"/>
      <c r="F7005" s="75"/>
    </row>
    <row r="7006" spans="2:6">
      <c r="B7006" s="75"/>
      <c r="C7006" s="75"/>
      <c r="D7006" s="75"/>
      <c r="E7006" s="75"/>
      <c r="F7006" s="75"/>
    </row>
    <row r="7007" spans="2:6">
      <c r="B7007" s="75"/>
      <c r="C7007" s="75"/>
      <c r="D7007" s="75"/>
      <c r="E7007" s="75"/>
      <c r="F7007" s="75"/>
    </row>
    <row r="7008" spans="2:6">
      <c r="B7008" s="75"/>
      <c r="C7008" s="75"/>
      <c r="D7008" s="75"/>
      <c r="E7008" s="75"/>
      <c r="F7008" s="75"/>
    </row>
    <row r="7009" spans="2:6">
      <c r="B7009" s="75"/>
      <c r="C7009" s="75"/>
      <c r="D7009" s="75"/>
      <c r="E7009" s="75"/>
      <c r="F7009" s="75"/>
    </row>
    <row r="7010" spans="2:6">
      <c r="B7010" s="75"/>
      <c r="C7010" s="75"/>
      <c r="D7010" s="75"/>
      <c r="E7010" s="75"/>
      <c r="F7010" s="75"/>
    </row>
    <row r="7011" spans="2:6">
      <c r="B7011" s="75"/>
      <c r="C7011" s="75"/>
      <c r="D7011" s="75"/>
      <c r="E7011" s="75"/>
      <c r="F7011" s="75"/>
    </row>
    <row r="7012" spans="2:6">
      <c r="B7012" s="75"/>
      <c r="C7012" s="75"/>
      <c r="D7012" s="75"/>
      <c r="E7012" s="75"/>
      <c r="F7012" s="75"/>
    </row>
    <row r="7013" spans="2:6">
      <c r="B7013" s="75"/>
      <c r="C7013" s="75"/>
      <c r="D7013" s="75"/>
      <c r="E7013" s="75"/>
      <c r="F7013" s="75"/>
    </row>
    <row r="7014" spans="2:6">
      <c r="B7014" s="75"/>
      <c r="C7014" s="75"/>
      <c r="D7014" s="75"/>
      <c r="E7014" s="75"/>
      <c r="F7014" s="75"/>
    </row>
    <row r="7015" spans="2:6">
      <c r="B7015" s="75"/>
      <c r="C7015" s="75"/>
      <c r="D7015" s="75"/>
      <c r="E7015" s="75"/>
      <c r="F7015" s="75"/>
    </row>
    <row r="7016" spans="2:6">
      <c r="B7016" s="75"/>
      <c r="C7016" s="75"/>
      <c r="D7016" s="75"/>
      <c r="E7016" s="75"/>
      <c r="F7016" s="75"/>
    </row>
    <row r="7017" spans="2:6">
      <c r="B7017" s="75"/>
      <c r="C7017" s="75"/>
      <c r="D7017" s="75"/>
      <c r="E7017" s="75"/>
      <c r="F7017" s="75"/>
    </row>
    <row r="7018" spans="2:6">
      <c r="B7018" s="75"/>
      <c r="C7018" s="75"/>
      <c r="D7018" s="75"/>
      <c r="E7018" s="75"/>
      <c r="F7018" s="75"/>
    </row>
    <row r="7019" spans="2:6">
      <c r="B7019" s="75"/>
      <c r="C7019" s="75"/>
      <c r="D7019" s="75"/>
      <c r="E7019" s="75"/>
      <c r="F7019" s="75"/>
    </row>
    <row r="7020" spans="2:6">
      <c r="B7020" s="75"/>
      <c r="C7020" s="75"/>
      <c r="D7020" s="75"/>
      <c r="E7020" s="75"/>
      <c r="F7020" s="75"/>
    </row>
    <row r="7021" spans="2:6">
      <c r="B7021" s="75"/>
      <c r="C7021" s="75"/>
      <c r="D7021" s="75"/>
      <c r="E7021" s="75"/>
      <c r="F7021" s="75"/>
    </row>
    <row r="7022" spans="2:6">
      <c r="B7022" s="75"/>
      <c r="C7022" s="75"/>
      <c r="D7022" s="75"/>
      <c r="E7022" s="75"/>
      <c r="F7022" s="75"/>
    </row>
    <row r="7023" spans="2:6">
      <c r="B7023" s="75"/>
      <c r="C7023" s="75"/>
      <c r="D7023" s="75"/>
      <c r="E7023" s="75"/>
      <c r="F7023" s="75"/>
    </row>
    <row r="7024" spans="2:6">
      <c r="B7024" s="75"/>
      <c r="C7024" s="75"/>
      <c r="D7024" s="75"/>
      <c r="E7024" s="75"/>
      <c r="F7024" s="75"/>
    </row>
    <row r="7025" spans="2:6">
      <c r="B7025" s="75"/>
      <c r="C7025" s="75"/>
      <c r="D7025" s="75"/>
      <c r="E7025" s="75"/>
      <c r="F7025" s="75"/>
    </row>
    <row r="7026" spans="2:6">
      <c r="B7026" s="75"/>
      <c r="C7026" s="75"/>
      <c r="D7026" s="75"/>
      <c r="E7026" s="75"/>
      <c r="F7026" s="75"/>
    </row>
    <row r="7027" spans="2:6">
      <c r="B7027" s="75"/>
      <c r="C7027" s="75"/>
      <c r="D7027" s="75"/>
      <c r="E7027" s="75"/>
      <c r="F7027" s="75"/>
    </row>
    <row r="7028" spans="2:6">
      <c r="B7028" s="75"/>
      <c r="C7028" s="75"/>
      <c r="D7028" s="75"/>
      <c r="E7028" s="75"/>
      <c r="F7028" s="75"/>
    </row>
    <row r="7029" spans="2:6">
      <c r="B7029" s="75"/>
      <c r="C7029" s="75"/>
      <c r="D7029" s="75"/>
      <c r="E7029" s="75"/>
      <c r="F7029" s="75"/>
    </row>
    <row r="7030" spans="2:6">
      <c r="B7030" s="75"/>
      <c r="C7030" s="75"/>
      <c r="D7030" s="75"/>
      <c r="E7030" s="75"/>
      <c r="F7030" s="75"/>
    </row>
    <row r="7031" spans="2:6">
      <c r="B7031" s="75"/>
      <c r="C7031" s="75"/>
      <c r="D7031" s="75"/>
      <c r="E7031" s="75"/>
      <c r="F7031" s="75"/>
    </row>
    <row r="7032" spans="2:6">
      <c r="B7032" s="75"/>
      <c r="C7032" s="75"/>
      <c r="D7032" s="75"/>
      <c r="E7032" s="75"/>
      <c r="F7032" s="75"/>
    </row>
    <row r="7033" spans="2:6">
      <c r="B7033" s="75"/>
      <c r="C7033" s="75"/>
      <c r="D7033" s="75"/>
      <c r="E7033" s="75"/>
      <c r="F7033" s="75"/>
    </row>
    <row r="7034" spans="2:6">
      <c r="B7034" s="75"/>
      <c r="C7034" s="75"/>
      <c r="D7034" s="75"/>
      <c r="E7034" s="75"/>
      <c r="F7034" s="75"/>
    </row>
    <row r="7035" spans="2:6">
      <c r="B7035" s="75"/>
      <c r="C7035" s="75"/>
      <c r="D7035" s="75"/>
      <c r="E7035" s="75"/>
      <c r="F7035" s="75"/>
    </row>
    <row r="7036" spans="2:6">
      <c r="B7036" s="75"/>
      <c r="C7036" s="75"/>
      <c r="D7036" s="75"/>
      <c r="E7036" s="75"/>
      <c r="F7036" s="75"/>
    </row>
    <row r="7037" spans="2:6">
      <c r="B7037" s="75"/>
      <c r="C7037" s="75"/>
      <c r="D7037" s="75"/>
      <c r="E7037" s="75"/>
      <c r="F7037" s="75"/>
    </row>
    <row r="7038" spans="2:6">
      <c r="B7038" s="75"/>
      <c r="C7038" s="75"/>
      <c r="D7038" s="75"/>
      <c r="E7038" s="75"/>
      <c r="F7038" s="75"/>
    </row>
    <row r="7039" spans="2:6">
      <c r="B7039" s="75"/>
      <c r="C7039" s="75"/>
      <c r="D7039" s="75"/>
      <c r="E7039" s="75"/>
      <c r="F7039" s="75"/>
    </row>
    <row r="7040" spans="2:6">
      <c r="B7040" s="75"/>
      <c r="C7040" s="75"/>
      <c r="D7040" s="75"/>
      <c r="E7040" s="75"/>
      <c r="F7040" s="75"/>
    </row>
    <row r="7041" spans="2:6">
      <c r="B7041" s="75"/>
      <c r="C7041" s="75"/>
      <c r="D7041" s="75"/>
      <c r="E7041" s="75"/>
      <c r="F7041" s="75"/>
    </row>
    <row r="7042" spans="2:6">
      <c r="B7042" s="75"/>
      <c r="C7042" s="75"/>
      <c r="D7042" s="75"/>
      <c r="E7042" s="75"/>
      <c r="F7042" s="75"/>
    </row>
    <row r="7043" spans="2:6">
      <c r="B7043" s="75"/>
      <c r="C7043" s="75"/>
      <c r="D7043" s="75"/>
      <c r="E7043" s="75"/>
      <c r="F7043" s="75"/>
    </row>
    <row r="7044" spans="2:6">
      <c r="B7044" s="75"/>
      <c r="C7044" s="75"/>
      <c r="D7044" s="75"/>
      <c r="E7044" s="75"/>
      <c r="F7044" s="75"/>
    </row>
    <row r="7045" spans="2:6">
      <c r="B7045" s="75"/>
      <c r="C7045" s="75"/>
      <c r="D7045" s="75"/>
      <c r="E7045" s="75"/>
      <c r="F7045" s="75"/>
    </row>
    <row r="7046" spans="2:6">
      <c r="B7046" s="75"/>
      <c r="C7046" s="75"/>
      <c r="D7046" s="75"/>
      <c r="E7046" s="75"/>
      <c r="F7046" s="75"/>
    </row>
    <row r="7047" spans="2:6">
      <c r="B7047" s="75"/>
      <c r="C7047" s="75"/>
      <c r="D7047" s="75"/>
      <c r="E7047" s="75"/>
      <c r="F7047" s="75"/>
    </row>
    <row r="7048" spans="2:6">
      <c r="B7048" s="75"/>
      <c r="C7048" s="75"/>
      <c r="D7048" s="75"/>
      <c r="E7048" s="75"/>
      <c r="F7048" s="75"/>
    </row>
    <row r="7049" spans="2:6">
      <c r="B7049" s="75"/>
      <c r="C7049" s="75"/>
      <c r="D7049" s="75"/>
      <c r="E7049" s="75"/>
      <c r="F7049" s="75"/>
    </row>
    <row r="7050" spans="2:6">
      <c r="B7050" s="75"/>
      <c r="C7050" s="75"/>
      <c r="D7050" s="75"/>
      <c r="E7050" s="75"/>
      <c r="F7050" s="75"/>
    </row>
    <row r="7051" spans="2:6">
      <c r="B7051" s="75"/>
      <c r="C7051" s="75"/>
      <c r="D7051" s="75"/>
      <c r="E7051" s="75"/>
      <c r="F7051" s="75"/>
    </row>
    <row r="7052" spans="2:6">
      <c r="B7052" s="75"/>
      <c r="C7052" s="75"/>
      <c r="D7052" s="75"/>
      <c r="E7052" s="75"/>
      <c r="F7052" s="75"/>
    </row>
    <row r="7053" spans="2:6">
      <c r="B7053" s="75"/>
      <c r="C7053" s="75"/>
      <c r="D7053" s="75"/>
      <c r="E7053" s="75"/>
      <c r="F7053" s="75"/>
    </row>
    <row r="7054" spans="2:6">
      <c r="B7054" s="75"/>
      <c r="C7054" s="75"/>
      <c r="D7054" s="75"/>
      <c r="E7054" s="75"/>
      <c r="F7054" s="75"/>
    </row>
    <row r="7055" spans="2:6">
      <c r="B7055" s="75"/>
      <c r="C7055" s="75"/>
      <c r="D7055" s="75"/>
      <c r="E7055" s="75"/>
      <c r="F7055" s="75"/>
    </row>
    <row r="7056" spans="2:6">
      <c r="B7056" s="75"/>
      <c r="C7056" s="75"/>
      <c r="D7056" s="75"/>
      <c r="E7056" s="75"/>
      <c r="F7056" s="75"/>
    </row>
    <row r="7057" spans="2:6">
      <c r="B7057" s="75"/>
      <c r="C7057" s="75"/>
      <c r="D7057" s="75"/>
      <c r="E7057" s="75"/>
      <c r="F7057" s="75"/>
    </row>
    <row r="7058" spans="2:6">
      <c r="B7058" s="75"/>
      <c r="C7058" s="75"/>
      <c r="D7058" s="75"/>
      <c r="E7058" s="75"/>
      <c r="F7058" s="75"/>
    </row>
    <row r="7059" spans="2:6">
      <c r="B7059" s="75"/>
      <c r="C7059" s="75"/>
      <c r="D7059" s="75"/>
      <c r="E7059" s="75"/>
      <c r="F7059" s="75"/>
    </row>
    <row r="7060" spans="2:6">
      <c r="B7060" s="75"/>
      <c r="C7060" s="75"/>
      <c r="D7060" s="75"/>
      <c r="E7060" s="75"/>
      <c r="F7060" s="75"/>
    </row>
    <row r="7061" spans="2:6">
      <c r="B7061" s="75"/>
      <c r="C7061" s="75"/>
      <c r="D7061" s="75"/>
      <c r="E7061" s="75"/>
      <c r="F7061" s="75"/>
    </row>
    <row r="7062" spans="2:6">
      <c r="B7062" s="75"/>
      <c r="C7062" s="75"/>
      <c r="D7062" s="75"/>
      <c r="E7062" s="75"/>
      <c r="F7062" s="75"/>
    </row>
    <row r="7063" spans="2:6">
      <c r="B7063" s="75"/>
      <c r="C7063" s="75"/>
      <c r="D7063" s="75"/>
      <c r="E7063" s="75"/>
      <c r="F7063" s="75"/>
    </row>
    <row r="7064" spans="2:6">
      <c r="B7064" s="75"/>
      <c r="C7064" s="75"/>
      <c r="D7064" s="75"/>
      <c r="E7064" s="75"/>
      <c r="F7064" s="75"/>
    </row>
    <row r="7065" spans="2:6">
      <c r="B7065" s="75"/>
      <c r="C7065" s="75"/>
      <c r="D7065" s="75"/>
      <c r="E7065" s="75"/>
      <c r="F7065" s="75"/>
    </row>
    <row r="7066" spans="2:6">
      <c r="B7066" s="75"/>
      <c r="C7066" s="75"/>
      <c r="D7066" s="75"/>
      <c r="E7066" s="75"/>
      <c r="F7066" s="75"/>
    </row>
    <row r="7067" spans="2:6">
      <c r="B7067" s="75"/>
      <c r="C7067" s="75"/>
      <c r="D7067" s="75"/>
      <c r="E7067" s="75"/>
      <c r="F7067" s="75"/>
    </row>
    <row r="7068" spans="2:6">
      <c r="B7068" s="75"/>
      <c r="C7068" s="75"/>
      <c r="D7068" s="75"/>
      <c r="E7068" s="75"/>
      <c r="F7068" s="75"/>
    </row>
    <row r="7069" spans="2:6">
      <c r="B7069" s="75"/>
      <c r="C7069" s="75"/>
      <c r="D7069" s="75"/>
      <c r="E7069" s="75"/>
      <c r="F7069" s="75"/>
    </row>
    <row r="7070" spans="2:6">
      <c r="B7070" s="75"/>
      <c r="C7070" s="75"/>
      <c r="D7070" s="75"/>
      <c r="E7070" s="75"/>
      <c r="F7070" s="75"/>
    </row>
    <row r="7071" spans="2:6">
      <c r="B7071" s="75"/>
      <c r="C7071" s="75"/>
      <c r="D7071" s="75"/>
      <c r="E7071" s="75"/>
      <c r="F7071" s="75"/>
    </row>
    <row r="7072" spans="2:6">
      <c r="B7072" s="75"/>
      <c r="C7072" s="75"/>
      <c r="D7072" s="75"/>
      <c r="E7072" s="75"/>
      <c r="F7072" s="75"/>
    </row>
    <row r="7073" spans="2:6">
      <c r="B7073" s="75"/>
      <c r="C7073" s="75"/>
      <c r="D7073" s="75"/>
      <c r="E7073" s="75"/>
      <c r="F7073" s="75"/>
    </row>
    <row r="7074" spans="2:6">
      <c r="B7074" s="75"/>
      <c r="C7074" s="75"/>
      <c r="D7074" s="75"/>
      <c r="E7074" s="75"/>
      <c r="F7074" s="75"/>
    </row>
    <row r="7075" spans="2:6">
      <c r="B7075" s="75"/>
      <c r="C7075" s="75"/>
      <c r="D7075" s="75"/>
      <c r="E7075" s="75"/>
      <c r="F7075" s="75"/>
    </row>
    <row r="7076" spans="2:6">
      <c r="B7076" s="75"/>
      <c r="C7076" s="75"/>
      <c r="D7076" s="75"/>
      <c r="E7076" s="75"/>
      <c r="F7076" s="75"/>
    </row>
    <row r="7077" spans="2:6">
      <c r="B7077" s="75"/>
      <c r="C7077" s="75"/>
      <c r="D7077" s="75"/>
      <c r="E7077" s="75"/>
      <c r="F7077" s="75"/>
    </row>
    <row r="7078" spans="2:6">
      <c r="B7078" s="75"/>
      <c r="C7078" s="75"/>
      <c r="D7078" s="75"/>
      <c r="E7078" s="75"/>
      <c r="F7078" s="75"/>
    </row>
    <row r="7079" spans="2:6">
      <c r="B7079" s="75"/>
      <c r="C7079" s="75"/>
      <c r="D7079" s="75"/>
      <c r="E7079" s="75"/>
      <c r="F7079" s="75"/>
    </row>
    <row r="7080" spans="2:6">
      <c r="B7080" s="75"/>
      <c r="C7080" s="75"/>
      <c r="D7080" s="75"/>
      <c r="E7080" s="75"/>
      <c r="F7080" s="75"/>
    </row>
    <row r="7081" spans="2:6">
      <c r="B7081" s="75"/>
      <c r="C7081" s="75"/>
      <c r="D7081" s="75"/>
      <c r="E7081" s="75"/>
      <c r="F7081" s="75"/>
    </row>
    <row r="7082" spans="2:6">
      <c r="B7082" s="75"/>
      <c r="C7082" s="75"/>
      <c r="D7082" s="75"/>
      <c r="E7082" s="75"/>
      <c r="F7082" s="75"/>
    </row>
    <row r="7083" spans="2:6">
      <c r="B7083" s="75"/>
      <c r="C7083" s="75"/>
      <c r="D7083" s="75"/>
      <c r="E7083" s="75"/>
      <c r="F7083" s="75"/>
    </row>
    <row r="7084" spans="2:6">
      <c r="B7084" s="75"/>
      <c r="C7084" s="75"/>
      <c r="D7084" s="75"/>
      <c r="E7084" s="75"/>
      <c r="F7084" s="75"/>
    </row>
    <row r="7085" spans="2:6">
      <c r="B7085" s="75"/>
      <c r="C7085" s="75"/>
      <c r="D7085" s="75"/>
      <c r="E7085" s="75"/>
      <c r="F7085" s="75"/>
    </row>
    <row r="7086" spans="2:6">
      <c r="B7086" s="75"/>
      <c r="C7086" s="75"/>
      <c r="D7086" s="75"/>
      <c r="E7086" s="75"/>
      <c r="F7086" s="75"/>
    </row>
    <row r="7087" spans="2:6">
      <c r="B7087" s="75"/>
      <c r="C7087" s="75"/>
      <c r="D7087" s="75"/>
      <c r="E7087" s="75"/>
      <c r="F7087" s="75"/>
    </row>
    <row r="7088" spans="2:6">
      <c r="B7088" s="75"/>
      <c r="C7088" s="75"/>
      <c r="D7088" s="75"/>
      <c r="E7088" s="75"/>
      <c r="F7088" s="75"/>
    </row>
    <row r="7089" spans="2:6">
      <c r="B7089" s="75"/>
      <c r="C7089" s="75"/>
      <c r="D7089" s="75"/>
      <c r="E7089" s="75"/>
      <c r="F7089" s="75"/>
    </row>
    <row r="7090" spans="2:6">
      <c r="B7090" s="75"/>
      <c r="C7090" s="75"/>
      <c r="D7090" s="75"/>
      <c r="E7090" s="75"/>
      <c r="F7090" s="75"/>
    </row>
    <row r="7091" spans="2:6">
      <c r="B7091" s="75"/>
      <c r="C7091" s="75"/>
      <c r="D7091" s="75"/>
      <c r="E7091" s="75"/>
      <c r="F7091" s="75"/>
    </row>
    <row r="7092" spans="2:6">
      <c r="B7092" s="75"/>
      <c r="C7092" s="75"/>
      <c r="D7092" s="75"/>
      <c r="E7092" s="75"/>
      <c r="F7092" s="75"/>
    </row>
    <row r="7093" spans="2:6">
      <c r="B7093" s="75"/>
      <c r="C7093" s="75"/>
      <c r="D7093" s="75"/>
      <c r="E7093" s="75"/>
      <c r="F7093" s="75"/>
    </row>
    <row r="7094" spans="2:6">
      <c r="B7094" s="75"/>
      <c r="C7094" s="75"/>
      <c r="D7094" s="75"/>
      <c r="E7094" s="75"/>
      <c r="F7094" s="75"/>
    </row>
    <row r="7095" spans="2:6">
      <c r="B7095" s="75"/>
      <c r="C7095" s="75"/>
      <c r="D7095" s="75"/>
      <c r="E7095" s="75"/>
      <c r="F7095" s="75"/>
    </row>
    <row r="7096" spans="2:6">
      <c r="B7096" s="75"/>
      <c r="C7096" s="75"/>
      <c r="D7096" s="75"/>
      <c r="E7096" s="75"/>
      <c r="F7096" s="75"/>
    </row>
    <row r="7097" spans="2:6">
      <c r="B7097" s="75"/>
      <c r="C7097" s="75"/>
      <c r="D7097" s="75"/>
      <c r="E7097" s="75"/>
      <c r="F7097" s="75"/>
    </row>
    <row r="7098" spans="2:6">
      <c r="B7098" s="75"/>
      <c r="C7098" s="75"/>
      <c r="D7098" s="75"/>
      <c r="E7098" s="75"/>
      <c r="F7098" s="75"/>
    </row>
    <row r="7099" spans="2:6">
      <c r="B7099" s="75"/>
      <c r="C7099" s="75"/>
      <c r="D7099" s="75"/>
      <c r="E7099" s="75"/>
      <c r="F7099" s="75"/>
    </row>
    <row r="7100" spans="2:6">
      <c r="B7100" s="75"/>
      <c r="C7100" s="75"/>
      <c r="D7100" s="75"/>
      <c r="E7100" s="75"/>
      <c r="F7100" s="75"/>
    </row>
    <row r="7101" spans="2:6">
      <c r="B7101" s="75"/>
      <c r="C7101" s="75"/>
      <c r="D7101" s="75"/>
      <c r="E7101" s="75"/>
      <c r="F7101" s="75"/>
    </row>
    <row r="7102" spans="2:6">
      <c r="B7102" s="75"/>
      <c r="C7102" s="75"/>
      <c r="D7102" s="75"/>
      <c r="E7102" s="75"/>
      <c r="F7102" s="75"/>
    </row>
    <row r="7103" spans="2:6">
      <c r="B7103" s="75"/>
      <c r="C7103" s="75"/>
      <c r="D7103" s="75"/>
      <c r="E7103" s="75"/>
      <c r="F7103" s="75"/>
    </row>
    <row r="7104" spans="2:6">
      <c r="B7104" s="75"/>
      <c r="C7104" s="75"/>
      <c r="D7104" s="75"/>
      <c r="E7104" s="75"/>
      <c r="F7104" s="75"/>
    </row>
    <row r="7105" spans="2:6">
      <c r="B7105" s="75"/>
      <c r="C7105" s="75"/>
      <c r="D7105" s="75"/>
      <c r="E7105" s="75"/>
      <c r="F7105" s="75"/>
    </row>
    <row r="7106" spans="2:6">
      <c r="B7106" s="75"/>
      <c r="C7106" s="75"/>
      <c r="D7106" s="75"/>
      <c r="E7106" s="75"/>
      <c r="F7106" s="75"/>
    </row>
    <row r="7107" spans="2:6">
      <c r="B7107" s="75"/>
      <c r="C7107" s="75"/>
      <c r="D7107" s="75"/>
      <c r="E7107" s="75"/>
      <c r="F7107" s="75"/>
    </row>
    <row r="7108" spans="2:6">
      <c r="B7108" s="75"/>
      <c r="C7108" s="75"/>
      <c r="D7108" s="75"/>
      <c r="E7108" s="75"/>
      <c r="F7108" s="75"/>
    </row>
    <row r="7109" spans="2:6">
      <c r="B7109" s="75"/>
      <c r="C7109" s="75"/>
      <c r="D7109" s="75"/>
      <c r="E7109" s="75"/>
      <c r="F7109" s="75"/>
    </row>
    <row r="7110" spans="2:6">
      <c r="B7110" s="75"/>
      <c r="C7110" s="75"/>
      <c r="D7110" s="75"/>
      <c r="E7110" s="75"/>
      <c r="F7110" s="75"/>
    </row>
    <row r="7111" spans="2:6">
      <c r="B7111" s="75"/>
      <c r="C7111" s="75"/>
      <c r="D7111" s="75"/>
      <c r="E7111" s="75"/>
      <c r="F7111" s="75"/>
    </row>
    <row r="7112" spans="2:6">
      <c r="B7112" s="75"/>
      <c r="C7112" s="75"/>
      <c r="D7112" s="75"/>
      <c r="E7112" s="75"/>
      <c r="F7112" s="75"/>
    </row>
    <row r="7113" spans="2:6">
      <c r="B7113" s="75"/>
      <c r="C7113" s="75"/>
      <c r="D7113" s="75"/>
      <c r="E7113" s="75"/>
      <c r="F7113" s="75"/>
    </row>
    <row r="7114" spans="2:6">
      <c r="B7114" s="75"/>
      <c r="C7114" s="75"/>
      <c r="D7114" s="75"/>
      <c r="E7114" s="75"/>
      <c r="F7114" s="75"/>
    </row>
    <row r="7115" spans="2:6">
      <c r="B7115" s="75"/>
      <c r="C7115" s="75"/>
      <c r="D7115" s="75"/>
      <c r="E7115" s="75"/>
      <c r="F7115" s="75"/>
    </row>
    <row r="7116" spans="2:6">
      <c r="B7116" s="75"/>
      <c r="C7116" s="75"/>
      <c r="D7116" s="75"/>
      <c r="E7116" s="75"/>
      <c r="F7116" s="75"/>
    </row>
    <row r="7117" spans="2:6">
      <c r="B7117" s="75"/>
      <c r="C7117" s="75"/>
      <c r="D7117" s="75"/>
      <c r="E7117" s="75"/>
      <c r="F7117" s="75"/>
    </row>
    <row r="7118" spans="2:6">
      <c r="B7118" s="75"/>
      <c r="C7118" s="75"/>
      <c r="D7118" s="75"/>
      <c r="E7118" s="75"/>
      <c r="F7118" s="75"/>
    </row>
    <row r="7119" spans="2:6">
      <c r="B7119" s="75"/>
      <c r="C7119" s="75"/>
      <c r="D7119" s="75"/>
      <c r="E7119" s="75"/>
      <c r="F7119" s="75"/>
    </row>
    <row r="7120" spans="2:6">
      <c r="B7120" s="75"/>
      <c r="C7120" s="75"/>
      <c r="D7120" s="75"/>
      <c r="E7120" s="75"/>
      <c r="F7120" s="75"/>
    </row>
    <row r="7121" spans="2:6">
      <c r="B7121" s="75"/>
      <c r="C7121" s="75"/>
      <c r="D7121" s="75"/>
      <c r="E7121" s="75"/>
      <c r="F7121" s="75"/>
    </row>
    <row r="7122" spans="2:6">
      <c r="B7122" s="75"/>
      <c r="C7122" s="75"/>
      <c r="D7122" s="75"/>
      <c r="E7122" s="75"/>
      <c r="F7122" s="75"/>
    </row>
    <row r="7123" spans="2:6">
      <c r="B7123" s="75"/>
      <c r="C7123" s="75"/>
      <c r="D7123" s="75"/>
      <c r="E7123" s="75"/>
      <c r="F7123" s="75"/>
    </row>
    <row r="7124" spans="2:6">
      <c r="B7124" s="75"/>
      <c r="C7124" s="75"/>
      <c r="D7124" s="75"/>
      <c r="E7124" s="75"/>
      <c r="F7124" s="75"/>
    </row>
    <row r="7125" spans="2:6">
      <c r="B7125" s="75"/>
      <c r="C7125" s="75"/>
      <c r="D7125" s="75"/>
      <c r="E7125" s="75"/>
      <c r="F7125" s="75"/>
    </row>
    <row r="7126" spans="2:6">
      <c r="B7126" s="75"/>
      <c r="C7126" s="75"/>
      <c r="D7126" s="75"/>
      <c r="E7126" s="75"/>
      <c r="F7126" s="75"/>
    </row>
    <row r="7127" spans="2:6">
      <c r="B7127" s="75"/>
      <c r="C7127" s="75"/>
      <c r="D7127" s="75"/>
      <c r="E7127" s="75"/>
      <c r="F7127" s="75"/>
    </row>
    <row r="7128" spans="2:6">
      <c r="B7128" s="75"/>
      <c r="C7128" s="75"/>
      <c r="D7128" s="75"/>
      <c r="E7128" s="75"/>
      <c r="F7128" s="75"/>
    </row>
    <row r="7129" spans="2:6">
      <c r="B7129" s="75"/>
      <c r="C7129" s="75"/>
      <c r="D7129" s="75"/>
      <c r="E7129" s="75"/>
      <c r="F7129" s="75"/>
    </row>
    <row r="7130" spans="2:6">
      <c r="B7130" s="75"/>
      <c r="C7130" s="75"/>
      <c r="D7130" s="75"/>
      <c r="E7130" s="75"/>
      <c r="F7130" s="75"/>
    </row>
    <row r="7131" spans="2:6">
      <c r="B7131" s="75"/>
      <c r="C7131" s="75"/>
      <c r="D7131" s="75"/>
      <c r="E7131" s="75"/>
      <c r="F7131" s="75"/>
    </row>
    <row r="7132" spans="2:6">
      <c r="B7132" s="75"/>
      <c r="C7132" s="75"/>
      <c r="D7132" s="75"/>
      <c r="E7132" s="75"/>
      <c r="F7132" s="75"/>
    </row>
    <row r="7133" spans="2:6">
      <c r="B7133" s="75"/>
      <c r="C7133" s="75"/>
      <c r="D7133" s="75"/>
      <c r="E7133" s="75"/>
      <c r="F7133" s="75"/>
    </row>
    <row r="7134" spans="2:6">
      <c r="B7134" s="75"/>
      <c r="C7134" s="75"/>
      <c r="D7134" s="75"/>
      <c r="E7134" s="75"/>
      <c r="F7134" s="75"/>
    </row>
    <row r="7135" spans="2:6">
      <c r="B7135" s="75"/>
      <c r="C7135" s="75"/>
      <c r="D7135" s="75"/>
      <c r="E7135" s="75"/>
      <c r="F7135" s="75"/>
    </row>
    <row r="7136" spans="2:6">
      <c r="B7136" s="75"/>
      <c r="C7136" s="75"/>
      <c r="D7136" s="75"/>
      <c r="E7136" s="75"/>
      <c r="F7136" s="75"/>
    </row>
    <row r="7137" spans="2:6">
      <c r="B7137" s="75"/>
      <c r="C7137" s="75"/>
      <c r="D7137" s="75"/>
      <c r="E7137" s="75"/>
      <c r="F7137" s="75"/>
    </row>
    <row r="7138" spans="2:6">
      <c r="B7138" s="75"/>
      <c r="C7138" s="75"/>
      <c r="D7138" s="75"/>
      <c r="E7138" s="75"/>
      <c r="F7138" s="75"/>
    </row>
    <row r="7139" spans="2:6">
      <c r="B7139" s="75"/>
      <c r="C7139" s="75"/>
      <c r="D7139" s="75"/>
      <c r="E7139" s="75"/>
      <c r="F7139" s="75"/>
    </row>
    <row r="7140" spans="2:6">
      <c r="B7140" s="75"/>
      <c r="C7140" s="75"/>
      <c r="D7140" s="75"/>
      <c r="E7140" s="75"/>
      <c r="F7140" s="75"/>
    </row>
    <row r="7141" spans="2:6">
      <c r="B7141" s="75"/>
      <c r="C7141" s="75"/>
      <c r="D7141" s="75"/>
      <c r="E7141" s="75"/>
      <c r="F7141" s="75"/>
    </row>
    <row r="7142" spans="2:6">
      <c r="B7142" s="75"/>
      <c r="C7142" s="75"/>
      <c r="D7142" s="75"/>
      <c r="E7142" s="75"/>
      <c r="F7142" s="75"/>
    </row>
    <row r="7143" spans="2:6">
      <c r="B7143" s="75"/>
      <c r="C7143" s="75"/>
      <c r="D7143" s="75"/>
      <c r="E7143" s="75"/>
      <c r="F7143" s="75"/>
    </row>
    <row r="7144" spans="2:6">
      <c r="B7144" s="75"/>
      <c r="C7144" s="75"/>
      <c r="D7144" s="75"/>
      <c r="E7144" s="75"/>
      <c r="F7144" s="75"/>
    </row>
    <row r="7145" spans="2:6">
      <c r="B7145" s="75"/>
      <c r="C7145" s="75"/>
      <c r="D7145" s="75"/>
      <c r="E7145" s="75"/>
      <c r="F7145" s="75"/>
    </row>
    <row r="7146" spans="2:6">
      <c r="B7146" s="75"/>
      <c r="C7146" s="75"/>
      <c r="D7146" s="75"/>
      <c r="E7146" s="75"/>
      <c r="F7146" s="75"/>
    </row>
    <row r="7147" spans="2:6">
      <c r="B7147" s="75"/>
      <c r="C7147" s="75"/>
      <c r="D7147" s="75"/>
      <c r="E7147" s="75"/>
      <c r="F7147" s="75"/>
    </row>
    <row r="7148" spans="2:6">
      <c r="B7148" s="75"/>
      <c r="C7148" s="75"/>
      <c r="D7148" s="75"/>
      <c r="E7148" s="75"/>
      <c r="F7148" s="75"/>
    </row>
    <row r="7149" spans="2:6">
      <c r="B7149" s="75"/>
      <c r="C7149" s="75"/>
      <c r="D7149" s="75"/>
      <c r="E7149" s="75"/>
      <c r="F7149" s="75"/>
    </row>
    <row r="7150" spans="2:6">
      <c r="B7150" s="75"/>
      <c r="C7150" s="75"/>
      <c r="D7150" s="75"/>
      <c r="E7150" s="75"/>
      <c r="F7150" s="75"/>
    </row>
    <row r="7151" spans="2:6">
      <c r="B7151" s="75"/>
      <c r="C7151" s="75"/>
      <c r="D7151" s="75"/>
      <c r="E7151" s="75"/>
      <c r="F7151" s="75"/>
    </row>
    <row r="7152" spans="2:6">
      <c r="B7152" s="75"/>
      <c r="C7152" s="75"/>
      <c r="D7152" s="75"/>
      <c r="E7152" s="75"/>
      <c r="F7152" s="75"/>
    </row>
    <row r="7153" spans="2:6">
      <c r="B7153" s="75"/>
      <c r="C7153" s="75"/>
      <c r="D7153" s="75"/>
      <c r="E7153" s="75"/>
      <c r="F7153" s="75"/>
    </row>
    <row r="7154" spans="2:6">
      <c r="B7154" s="75"/>
      <c r="C7154" s="75"/>
      <c r="D7154" s="75"/>
      <c r="E7154" s="75"/>
      <c r="F7154" s="75"/>
    </row>
    <row r="7155" spans="2:6">
      <c r="B7155" s="75"/>
      <c r="C7155" s="75"/>
      <c r="D7155" s="75"/>
      <c r="E7155" s="75"/>
      <c r="F7155" s="75"/>
    </row>
    <row r="7156" spans="2:6">
      <c r="B7156" s="75"/>
      <c r="C7156" s="75"/>
      <c r="D7156" s="75"/>
      <c r="E7156" s="75"/>
      <c r="F7156" s="75"/>
    </row>
    <row r="7157" spans="2:6">
      <c r="B7157" s="75"/>
      <c r="C7157" s="75"/>
      <c r="D7157" s="75"/>
      <c r="E7157" s="75"/>
      <c r="F7157" s="75"/>
    </row>
    <row r="7158" spans="2:6">
      <c r="B7158" s="75"/>
      <c r="C7158" s="75"/>
      <c r="D7158" s="75"/>
      <c r="E7158" s="75"/>
      <c r="F7158" s="75"/>
    </row>
    <row r="7159" spans="2:6">
      <c r="B7159" s="75"/>
      <c r="C7159" s="75"/>
      <c r="D7159" s="75"/>
      <c r="E7159" s="75"/>
      <c r="F7159" s="75"/>
    </row>
    <row r="7160" spans="2:6">
      <c r="B7160" s="75"/>
      <c r="C7160" s="75"/>
      <c r="D7160" s="75"/>
      <c r="E7160" s="75"/>
      <c r="F7160" s="75"/>
    </row>
    <row r="7161" spans="2:6">
      <c r="B7161" s="75"/>
      <c r="C7161" s="75"/>
      <c r="D7161" s="75"/>
      <c r="E7161" s="75"/>
      <c r="F7161" s="75"/>
    </row>
    <row r="7162" spans="2:6">
      <c r="B7162" s="75"/>
      <c r="C7162" s="75"/>
      <c r="D7162" s="75"/>
      <c r="E7162" s="75"/>
      <c r="F7162" s="75"/>
    </row>
    <row r="7163" spans="2:6">
      <c r="B7163" s="75"/>
      <c r="C7163" s="75"/>
      <c r="D7163" s="75"/>
      <c r="E7163" s="75"/>
      <c r="F7163" s="75"/>
    </row>
    <row r="7164" spans="2:6">
      <c r="B7164" s="75"/>
      <c r="C7164" s="75"/>
      <c r="D7164" s="75"/>
      <c r="E7164" s="75"/>
      <c r="F7164" s="75"/>
    </row>
    <row r="7165" spans="2:6">
      <c r="B7165" s="75"/>
      <c r="C7165" s="75"/>
      <c r="D7165" s="75"/>
      <c r="E7165" s="75"/>
      <c r="F7165" s="75"/>
    </row>
    <row r="7166" spans="2:6">
      <c r="B7166" s="75"/>
      <c r="C7166" s="75"/>
      <c r="D7166" s="75"/>
      <c r="E7166" s="75"/>
      <c r="F7166" s="75"/>
    </row>
    <row r="7167" spans="2:6">
      <c r="B7167" s="75"/>
      <c r="C7167" s="75"/>
      <c r="D7167" s="75"/>
      <c r="E7167" s="75"/>
      <c r="F7167" s="75"/>
    </row>
    <row r="7168" spans="2:6">
      <c r="B7168" s="75"/>
      <c r="C7168" s="75"/>
      <c r="D7168" s="75"/>
      <c r="E7168" s="75"/>
      <c r="F7168" s="75"/>
    </row>
    <row r="7169" spans="2:6">
      <c r="B7169" s="75"/>
      <c r="C7169" s="75"/>
      <c r="D7169" s="75"/>
      <c r="E7169" s="75"/>
      <c r="F7169" s="75"/>
    </row>
    <row r="7170" spans="2:6">
      <c r="B7170" s="75"/>
      <c r="C7170" s="75"/>
      <c r="D7170" s="75"/>
      <c r="E7170" s="75"/>
      <c r="F7170" s="75"/>
    </row>
    <row r="7171" spans="2:6">
      <c r="B7171" s="75"/>
      <c r="C7171" s="75"/>
      <c r="D7171" s="75"/>
      <c r="E7171" s="75"/>
      <c r="F7171" s="75"/>
    </row>
    <row r="7172" spans="2:6">
      <c r="B7172" s="75"/>
      <c r="C7172" s="75"/>
      <c r="D7172" s="75"/>
      <c r="E7172" s="75"/>
      <c r="F7172" s="75"/>
    </row>
    <row r="7173" spans="2:6">
      <c r="B7173" s="75"/>
      <c r="C7173" s="75"/>
      <c r="D7173" s="75"/>
      <c r="E7173" s="75"/>
      <c r="F7173" s="75"/>
    </row>
    <row r="7174" spans="2:6">
      <c r="B7174" s="75"/>
      <c r="C7174" s="75"/>
      <c r="D7174" s="75"/>
      <c r="E7174" s="75"/>
      <c r="F7174" s="75"/>
    </row>
    <row r="7175" spans="2:6">
      <c r="B7175" s="75"/>
      <c r="C7175" s="75"/>
      <c r="D7175" s="75"/>
      <c r="E7175" s="75"/>
      <c r="F7175" s="75"/>
    </row>
    <row r="7176" spans="2:6">
      <c r="B7176" s="75"/>
      <c r="C7176" s="75"/>
      <c r="D7176" s="75"/>
      <c r="E7176" s="75"/>
      <c r="F7176" s="75"/>
    </row>
    <row r="7177" spans="2:6">
      <c r="B7177" s="75"/>
      <c r="C7177" s="75"/>
      <c r="D7177" s="75"/>
      <c r="E7177" s="75"/>
      <c r="F7177" s="75"/>
    </row>
    <row r="7178" spans="2:6">
      <c r="B7178" s="75"/>
      <c r="C7178" s="75"/>
      <c r="D7178" s="75"/>
      <c r="E7178" s="75"/>
      <c r="F7178" s="75"/>
    </row>
    <row r="7179" spans="2:6">
      <c r="B7179" s="75"/>
      <c r="C7179" s="75"/>
      <c r="D7179" s="75"/>
      <c r="E7179" s="75"/>
      <c r="F7179" s="75"/>
    </row>
    <row r="7180" spans="2:6">
      <c r="B7180" s="75"/>
      <c r="C7180" s="75"/>
      <c r="D7180" s="75"/>
      <c r="E7180" s="75"/>
      <c r="F7180" s="75"/>
    </row>
    <row r="7181" spans="2:6">
      <c r="B7181" s="75"/>
      <c r="C7181" s="75"/>
      <c r="D7181" s="75"/>
      <c r="E7181" s="75"/>
      <c r="F7181" s="75"/>
    </row>
    <row r="7182" spans="2:6">
      <c r="B7182" s="75"/>
      <c r="C7182" s="75"/>
      <c r="D7182" s="75"/>
      <c r="E7182" s="75"/>
      <c r="F7182" s="75"/>
    </row>
    <row r="7183" spans="2:6">
      <c r="B7183" s="75"/>
      <c r="C7183" s="75"/>
      <c r="D7183" s="75"/>
      <c r="E7183" s="75"/>
      <c r="F7183" s="75"/>
    </row>
    <row r="7184" spans="2:6">
      <c r="B7184" s="75"/>
      <c r="C7184" s="75"/>
      <c r="D7184" s="75"/>
      <c r="E7184" s="75"/>
      <c r="F7184" s="75"/>
    </row>
    <row r="7185" spans="2:6">
      <c r="B7185" s="75"/>
      <c r="C7185" s="75"/>
      <c r="D7185" s="75"/>
      <c r="E7185" s="75"/>
      <c r="F7185" s="75"/>
    </row>
    <row r="7186" spans="2:6">
      <c r="B7186" s="75"/>
      <c r="C7186" s="75"/>
      <c r="D7186" s="75"/>
      <c r="E7186" s="75"/>
      <c r="F7186" s="75"/>
    </row>
    <row r="7187" spans="2:6">
      <c r="B7187" s="75"/>
      <c r="C7187" s="75"/>
      <c r="D7187" s="75"/>
      <c r="E7187" s="75"/>
      <c r="F7187" s="75"/>
    </row>
    <row r="7188" spans="2:6">
      <c r="B7188" s="75"/>
      <c r="C7188" s="75"/>
      <c r="D7188" s="75"/>
      <c r="E7188" s="75"/>
      <c r="F7188" s="75"/>
    </row>
    <row r="7189" spans="2:6">
      <c r="B7189" s="75"/>
      <c r="C7189" s="75"/>
      <c r="D7189" s="75"/>
      <c r="E7189" s="75"/>
      <c r="F7189" s="75"/>
    </row>
    <row r="7190" spans="2:6">
      <c r="B7190" s="75"/>
      <c r="C7190" s="75"/>
      <c r="D7190" s="75"/>
      <c r="E7190" s="75"/>
      <c r="F7190" s="75"/>
    </row>
    <row r="7191" spans="2:6">
      <c r="B7191" s="75"/>
      <c r="C7191" s="75"/>
      <c r="D7191" s="75"/>
      <c r="E7191" s="75"/>
      <c r="F7191" s="75"/>
    </row>
    <row r="7192" spans="2:6">
      <c r="B7192" s="75"/>
      <c r="C7192" s="75"/>
      <c r="D7192" s="75"/>
      <c r="E7192" s="75"/>
      <c r="F7192" s="75"/>
    </row>
    <row r="7193" spans="2:6">
      <c r="B7193" s="75"/>
      <c r="C7193" s="75"/>
      <c r="D7193" s="75"/>
      <c r="E7193" s="75"/>
      <c r="F7193" s="75"/>
    </row>
    <row r="7194" spans="2:6">
      <c r="B7194" s="75"/>
      <c r="C7194" s="75"/>
      <c r="D7194" s="75"/>
      <c r="E7194" s="75"/>
      <c r="F7194" s="75"/>
    </row>
    <row r="7195" spans="2:6">
      <c r="B7195" s="75"/>
      <c r="C7195" s="75"/>
      <c r="D7195" s="75"/>
      <c r="E7195" s="75"/>
      <c r="F7195" s="75"/>
    </row>
    <row r="7196" spans="2:6">
      <c r="B7196" s="75"/>
      <c r="C7196" s="75"/>
      <c r="D7196" s="75"/>
      <c r="E7196" s="75"/>
      <c r="F7196" s="75"/>
    </row>
    <row r="7197" spans="2:6">
      <c r="B7197" s="75"/>
      <c r="C7197" s="75"/>
      <c r="D7197" s="75"/>
      <c r="E7197" s="75"/>
      <c r="F7197" s="75"/>
    </row>
    <row r="7198" spans="2:6">
      <c r="B7198" s="75"/>
      <c r="C7198" s="75"/>
      <c r="D7198" s="75"/>
      <c r="E7198" s="75"/>
      <c r="F7198" s="75"/>
    </row>
    <row r="7199" spans="2:6">
      <c r="B7199" s="75"/>
      <c r="C7199" s="75"/>
      <c r="D7199" s="75"/>
      <c r="E7199" s="75"/>
      <c r="F7199" s="75"/>
    </row>
    <row r="7200" spans="2:6">
      <c r="B7200" s="75"/>
      <c r="C7200" s="75"/>
      <c r="D7200" s="75"/>
      <c r="E7200" s="75"/>
      <c r="F7200" s="75"/>
    </row>
    <row r="7201" spans="2:6">
      <c r="B7201" s="75"/>
      <c r="C7201" s="75"/>
      <c r="D7201" s="75"/>
      <c r="E7201" s="75"/>
      <c r="F7201" s="75"/>
    </row>
    <row r="7202" spans="2:6">
      <c r="B7202" s="75"/>
      <c r="C7202" s="75"/>
      <c r="D7202" s="75"/>
      <c r="E7202" s="75"/>
      <c r="F7202" s="75"/>
    </row>
    <row r="7203" spans="2:6">
      <c r="B7203" s="75"/>
      <c r="C7203" s="75"/>
      <c r="D7203" s="75"/>
      <c r="E7203" s="75"/>
      <c r="F7203" s="75"/>
    </row>
    <row r="7204" spans="2:6">
      <c r="B7204" s="75"/>
      <c r="C7204" s="75"/>
      <c r="D7204" s="75"/>
      <c r="E7204" s="75"/>
      <c r="F7204" s="75"/>
    </row>
    <row r="7205" spans="2:6">
      <c r="B7205" s="75"/>
      <c r="C7205" s="75"/>
      <c r="D7205" s="75"/>
      <c r="E7205" s="75"/>
      <c r="F7205" s="75"/>
    </row>
    <row r="7206" spans="2:6">
      <c r="B7206" s="75"/>
      <c r="C7206" s="75"/>
      <c r="D7206" s="75"/>
      <c r="E7206" s="75"/>
      <c r="F7206" s="75"/>
    </row>
    <row r="7207" spans="2:6">
      <c r="B7207" s="75"/>
      <c r="C7207" s="75"/>
      <c r="D7207" s="75"/>
      <c r="E7207" s="75"/>
      <c r="F7207" s="75"/>
    </row>
    <row r="7208" spans="2:6">
      <c r="B7208" s="75"/>
      <c r="C7208" s="75"/>
      <c r="D7208" s="75"/>
      <c r="E7208" s="75"/>
      <c r="F7208" s="75"/>
    </row>
    <row r="7209" spans="2:6">
      <c r="B7209" s="75"/>
      <c r="C7209" s="75"/>
      <c r="D7209" s="75"/>
      <c r="E7209" s="75"/>
      <c r="F7209" s="75"/>
    </row>
    <row r="7210" spans="2:6">
      <c r="B7210" s="75"/>
      <c r="C7210" s="75"/>
      <c r="D7210" s="75"/>
      <c r="E7210" s="75"/>
      <c r="F7210" s="75"/>
    </row>
    <row r="7211" spans="2:6">
      <c r="B7211" s="75"/>
      <c r="C7211" s="75"/>
      <c r="D7211" s="75"/>
      <c r="E7211" s="75"/>
      <c r="F7211" s="75"/>
    </row>
    <row r="7212" spans="2:6">
      <c r="B7212" s="75"/>
      <c r="C7212" s="75"/>
      <c r="D7212" s="75"/>
      <c r="E7212" s="75"/>
      <c r="F7212" s="75"/>
    </row>
    <row r="7213" spans="2:6">
      <c r="B7213" s="75"/>
      <c r="C7213" s="75"/>
      <c r="D7213" s="75"/>
      <c r="E7213" s="75"/>
      <c r="F7213" s="75"/>
    </row>
    <row r="7214" spans="2:6">
      <c r="B7214" s="75"/>
      <c r="C7214" s="75"/>
      <c r="D7214" s="75"/>
      <c r="E7214" s="75"/>
      <c r="F7214" s="75"/>
    </row>
    <row r="7215" spans="2:6">
      <c r="B7215" s="75"/>
      <c r="C7215" s="75"/>
      <c r="D7215" s="75"/>
      <c r="E7215" s="75"/>
      <c r="F7215" s="75"/>
    </row>
    <row r="7216" spans="2:6">
      <c r="B7216" s="75"/>
      <c r="C7216" s="75"/>
      <c r="D7216" s="75"/>
      <c r="E7216" s="75"/>
      <c r="F7216" s="75"/>
    </row>
    <row r="7217" spans="2:6">
      <c r="B7217" s="75"/>
      <c r="C7217" s="75"/>
      <c r="D7217" s="75"/>
      <c r="E7217" s="75"/>
      <c r="F7217" s="75"/>
    </row>
    <row r="7218" spans="2:6">
      <c r="B7218" s="75"/>
      <c r="C7218" s="75"/>
      <c r="D7218" s="75"/>
      <c r="E7218" s="75"/>
      <c r="F7218" s="75"/>
    </row>
    <row r="7219" spans="2:6">
      <c r="B7219" s="75"/>
      <c r="C7219" s="75"/>
      <c r="D7219" s="75"/>
      <c r="E7219" s="75"/>
      <c r="F7219" s="75"/>
    </row>
    <row r="7220" spans="2:6">
      <c r="B7220" s="75"/>
      <c r="C7220" s="75"/>
      <c r="D7220" s="75"/>
      <c r="E7220" s="75"/>
      <c r="F7220" s="75"/>
    </row>
    <row r="7221" spans="2:6">
      <c r="B7221" s="75"/>
      <c r="C7221" s="75"/>
      <c r="D7221" s="75"/>
      <c r="E7221" s="75"/>
      <c r="F7221" s="75"/>
    </row>
    <row r="7222" spans="2:6">
      <c r="B7222" s="75"/>
      <c r="C7222" s="75"/>
      <c r="D7222" s="75"/>
      <c r="E7222" s="75"/>
      <c r="F7222" s="75"/>
    </row>
    <row r="7223" spans="2:6">
      <c r="B7223" s="75"/>
      <c r="C7223" s="75"/>
      <c r="D7223" s="75"/>
      <c r="E7223" s="75"/>
      <c r="F7223" s="75"/>
    </row>
    <row r="7224" spans="2:6">
      <c r="B7224" s="75"/>
      <c r="C7224" s="75"/>
      <c r="D7224" s="75"/>
      <c r="E7224" s="75"/>
      <c r="F7224" s="75"/>
    </row>
    <row r="7225" spans="2:6">
      <c r="B7225" s="75"/>
      <c r="C7225" s="75"/>
      <c r="D7225" s="75"/>
      <c r="E7225" s="75"/>
      <c r="F7225" s="75"/>
    </row>
    <row r="7226" spans="2:6">
      <c r="B7226" s="75"/>
      <c r="C7226" s="75"/>
      <c r="D7226" s="75"/>
      <c r="E7226" s="75"/>
      <c r="F7226" s="75"/>
    </row>
    <row r="7227" spans="2:6">
      <c r="B7227" s="75"/>
      <c r="C7227" s="75"/>
      <c r="D7227" s="75"/>
      <c r="E7227" s="75"/>
      <c r="F7227" s="75"/>
    </row>
    <row r="7228" spans="2:6">
      <c r="B7228" s="75"/>
      <c r="C7228" s="75"/>
      <c r="D7228" s="75"/>
      <c r="E7228" s="75"/>
      <c r="F7228" s="75"/>
    </row>
    <row r="7229" spans="2:6">
      <c r="B7229" s="75"/>
      <c r="C7229" s="75"/>
      <c r="D7229" s="75"/>
      <c r="E7229" s="75"/>
      <c r="F7229" s="75"/>
    </row>
    <row r="7230" spans="2:6">
      <c r="B7230" s="75"/>
      <c r="C7230" s="75"/>
      <c r="D7230" s="75"/>
      <c r="E7230" s="75"/>
      <c r="F7230" s="75"/>
    </row>
    <row r="7231" spans="2:6">
      <c r="B7231" s="75"/>
      <c r="C7231" s="75"/>
      <c r="D7231" s="75"/>
      <c r="E7231" s="75"/>
      <c r="F7231" s="75"/>
    </row>
    <row r="7232" spans="2:6">
      <c r="B7232" s="75"/>
      <c r="C7232" s="75"/>
      <c r="D7232" s="75"/>
      <c r="E7232" s="75"/>
      <c r="F7232" s="75"/>
    </row>
    <row r="7233" spans="2:6">
      <c r="B7233" s="75"/>
      <c r="C7233" s="75"/>
      <c r="D7233" s="75"/>
      <c r="E7233" s="75"/>
      <c r="F7233" s="75"/>
    </row>
    <row r="7234" spans="2:6">
      <c r="B7234" s="75"/>
      <c r="C7234" s="75"/>
      <c r="D7234" s="75"/>
      <c r="E7234" s="75"/>
      <c r="F7234" s="75"/>
    </row>
    <row r="7235" spans="2:6">
      <c r="B7235" s="75"/>
      <c r="C7235" s="75"/>
      <c r="D7235" s="75"/>
      <c r="E7235" s="75"/>
      <c r="F7235" s="75"/>
    </row>
    <row r="7236" spans="2:6">
      <c r="B7236" s="75"/>
      <c r="C7236" s="75"/>
      <c r="D7236" s="75"/>
      <c r="E7236" s="75"/>
      <c r="F7236" s="75"/>
    </row>
    <row r="7237" spans="2:6">
      <c r="B7237" s="75"/>
      <c r="C7237" s="75"/>
      <c r="D7237" s="75"/>
      <c r="E7237" s="75"/>
      <c r="F7237" s="75"/>
    </row>
    <row r="7238" spans="2:6">
      <c r="B7238" s="75"/>
      <c r="C7238" s="75"/>
      <c r="D7238" s="75"/>
      <c r="E7238" s="75"/>
      <c r="F7238" s="75"/>
    </row>
    <row r="7239" spans="2:6">
      <c r="B7239" s="75"/>
      <c r="C7239" s="75"/>
      <c r="D7239" s="75"/>
      <c r="E7239" s="75"/>
      <c r="F7239" s="75"/>
    </row>
    <row r="7240" spans="2:6">
      <c r="B7240" s="75"/>
      <c r="C7240" s="75"/>
      <c r="D7240" s="75"/>
      <c r="E7240" s="75"/>
      <c r="F7240" s="75"/>
    </row>
    <row r="7241" spans="2:6">
      <c r="B7241" s="75"/>
      <c r="C7241" s="75"/>
      <c r="D7241" s="75"/>
      <c r="E7241" s="75"/>
      <c r="F7241" s="75"/>
    </row>
    <row r="7242" spans="2:6">
      <c r="B7242" s="75"/>
      <c r="C7242" s="75"/>
      <c r="D7242" s="75"/>
      <c r="E7242" s="75"/>
      <c r="F7242" s="75"/>
    </row>
    <row r="7243" spans="2:6">
      <c r="B7243" s="75"/>
      <c r="C7243" s="75"/>
      <c r="D7243" s="75"/>
      <c r="E7243" s="75"/>
      <c r="F7243" s="75"/>
    </row>
    <row r="7244" spans="2:6">
      <c r="B7244" s="75"/>
      <c r="C7244" s="75"/>
      <c r="D7244" s="75"/>
      <c r="E7244" s="75"/>
      <c r="F7244" s="75"/>
    </row>
    <row r="7245" spans="2:6">
      <c r="B7245" s="75"/>
      <c r="C7245" s="75"/>
      <c r="D7245" s="75"/>
      <c r="E7245" s="75"/>
      <c r="F7245" s="75"/>
    </row>
    <row r="7246" spans="2:6">
      <c r="B7246" s="75"/>
      <c r="C7246" s="75"/>
      <c r="D7246" s="75"/>
      <c r="E7246" s="75"/>
      <c r="F7246" s="75"/>
    </row>
    <row r="7247" spans="2:6">
      <c r="B7247" s="75"/>
      <c r="C7247" s="75"/>
      <c r="D7247" s="75"/>
      <c r="E7247" s="75"/>
      <c r="F7247" s="75"/>
    </row>
    <row r="7248" spans="2:6">
      <c r="B7248" s="75"/>
      <c r="C7248" s="75"/>
      <c r="D7248" s="75"/>
      <c r="E7248" s="75"/>
      <c r="F7248" s="75"/>
    </row>
    <row r="7249" spans="2:6">
      <c r="B7249" s="75"/>
      <c r="C7249" s="75"/>
      <c r="D7249" s="75"/>
      <c r="E7249" s="75"/>
      <c r="F7249" s="75"/>
    </row>
    <row r="7250" spans="2:6">
      <c r="B7250" s="75"/>
      <c r="C7250" s="75"/>
      <c r="D7250" s="75"/>
      <c r="E7250" s="75"/>
      <c r="F7250" s="75"/>
    </row>
    <row r="7251" spans="2:6">
      <c r="B7251" s="75"/>
      <c r="C7251" s="75"/>
      <c r="D7251" s="75"/>
      <c r="E7251" s="75"/>
      <c r="F7251" s="75"/>
    </row>
    <row r="7252" spans="2:6">
      <c r="B7252" s="75"/>
      <c r="C7252" s="75"/>
      <c r="D7252" s="75"/>
      <c r="E7252" s="75"/>
      <c r="F7252" s="75"/>
    </row>
    <row r="7253" spans="2:6">
      <c r="B7253" s="75"/>
      <c r="C7253" s="75"/>
      <c r="D7253" s="75"/>
      <c r="E7253" s="75"/>
      <c r="F7253" s="75"/>
    </row>
    <row r="7254" spans="2:6">
      <c r="B7254" s="75"/>
      <c r="C7254" s="75"/>
      <c r="D7254" s="75"/>
      <c r="E7254" s="75"/>
      <c r="F7254" s="75"/>
    </row>
    <row r="7255" spans="2:6">
      <c r="B7255" s="75"/>
      <c r="C7255" s="75"/>
      <c r="D7255" s="75"/>
      <c r="E7255" s="75"/>
      <c r="F7255" s="75"/>
    </row>
    <row r="7256" spans="2:6">
      <c r="B7256" s="75"/>
      <c r="C7256" s="75"/>
      <c r="D7256" s="75"/>
      <c r="E7256" s="75"/>
      <c r="F7256" s="75"/>
    </row>
    <row r="7257" spans="2:6">
      <c r="B7257" s="75"/>
      <c r="C7257" s="75"/>
      <c r="D7257" s="75"/>
      <c r="E7257" s="75"/>
      <c r="F7257" s="75"/>
    </row>
    <row r="7258" spans="2:6">
      <c r="B7258" s="75"/>
      <c r="C7258" s="75"/>
      <c r="D7258" s="75"/>
      <c r="E7258" s="75"/>
      <c r="F7258" s="75"/>
    </row>
    <row r="7259" spans="2:6">
      <c r="B7259" s="75"/>
      <c r="C7259" s="75"/>
      <c r="D7259" s="75"/>
      <c r="E7259" s="75"/>
      <c r="F7259" s="75"/>
    </row>
    <row r="7260" spans="2:6">
      <c r="B7260" s="75"/>
      <c r="C7260" s="75"/>
      <c r="D7260" s="75"/>
      <c r="E7260" s="75"/>
      <c r="F7260" s="75"/>
    </row>
    <row r="7261" spans="2:6">
      <c r="B7261" s="75"/>
      <c r="C7261" s="75"/>
      <c r="D7261" s="75"/>
      <c r="E7261" s="75"/>
      <c r="F7261" s="75"/>
    </row>
    <row r="7262" spans="2:6">
      <c r="B7262" s="75"/>
      <c r="C7262" s="75"/>
      <c r="D7262" s="75"/>
      <c r="E7262" s="75"/>
      <c r="F7262" s="75"/>
    </row>
    <row r="7263" spans="2:6">
      <c r="B7263" s="75"/>
      <c r="C7263" s="75"/>
      <c r="D7263" s="75"/>
      <c r="E7263" s="75"/>
      <c r="F7263" s="75"/>
    </row>
    <row r="7264" spans="2:6">
      <c r="B7264" s="75"/>
      <c r="C7264" s="75"/>
      <c r="D7264" s="75"/>
      <c r="E7264" s="75"/>
      <c r="F7264" s="75"/>
    </row>
    <row r="7265" spans="2:6">
      <c r="B7265" s="75"/>
      <c r="C7265" s="75"/>
      <c r="D7265" s="75"/>
      <c r="E7265" s="75"/>
      <c r="F7265" s="75"/>
    </row>
    <row r="7266" spans="2:6">
      <c r="B7266" s="75"/>
      <c r="C7266" s="75"/>
      <c r="D7266" s="75"/>
      <c r="E7266" s="75"/>
      <c r="F7266" s="75"/>
    </row>
    <row r="7267" spans="2:6">
      <c r="B7267" s="75"/>
      <c r="C7267" s="75"/>
      <c r="D7267" s="75"/>
      <c r="E7267" s="75"/>
      <c r="F7267" s="75"/>
    </row>
    <row r="7268" spans="2:6">
      <c r="B7268" s="75"/>
      <c r="C7268" s="75"/>
      <c r="D7268" s="75"/>
      <c r="E7268" s="75"/>
      <c r="F7268" s="75"/>
    </row>
    <row r="7269" spans="2:6">
      <c r="B7269" s="75"/>
      <c r="C7269" s="75"/>
      <c r="D7269" s="75"/>
      <c r="E7269" s="75"/>
      <c r="F7269" s="75"/>
    </row>
    <row r="7270" spans="2:6">
      <c r="B7270" s="75"/>
      <c r="C7270" s="75"/>
      <c r="D7270" s="75"/>
      <c r="E7270" s="75"/>
      <c r="F7270" s="75"/>
    </row>
    <row r="7271" spans="2:6">
      <c r="B7271" s="75"/>
      <c r="C7271" s="75"/>
      <c r="D7271" s="75"/>
      <c r="E7271" s="75"/>
      <c r="F7271" s="75"/>
    </row>
    <row r="7272" spans="2:6">
      <c r="B7272" s="75"/>
      <c r="C7272" s="75"/>
      <c r="D7272" s="75"/>
      <c r="E7272" s="75"/>
      <c r="F7272" s="75"/>
    </row>
    <row r="7273" spans="2:6">
      <c r="B7273" s="75"/>
      <c r="C7273" s="75"/>
      <c r="D7273" s="75"/>
      <c r="E7273" s="75"/>
      <c r="F7273" s="75"/>
    </row>
    <row r="7274" spans="2:6">
      <c r="B7274" s="75"/>
      <c r="C7274" s="75"/>
      <c r="D7274" s="75"/>
      <c r="E7274" s="75"/>
      <c r="F7274" s="75"/>
    </row>
    <row r="7275" spans="2:6">
      <c r="B7275" s="75"/>
      <c r="C7275" s="75"/>
      <c r="D7275" s="75"/>
      <c r="E7275" s="75"/>
      <c r="F7275" s="75"/>
    </row>
    <row r="7276" spans="2:6">
      <c r="B7276" s="75"/>
      <c r="C7276" s="75"/>
      <c r="D7276" s="75"/>
      <c r="E7276" s="75"/>
      <c r="F7276" s="75"/>
    </row>
    <row r="7277" spans="2:6">
      <c r="B7277" s="75"/>
      <c r="C7277" s="75"/>
      <c r="D7277" s="75"/>
      <c r="E7277" s="75"/>
      <c r="F7277" s="75"/>
    </row>
    <row r="7278" spans="2:6">
      <c r="B7278" s="75"/>
      <c r="C7278" s="75"/>
      <c r="D7278" s="75"/>
      <c r="E7278" s="75"/>
      <c r="F7278" s="75"/>
    </row>
    <row r="7279" spans="2:6">
      <c r="B7279" s="75"/>
      <c r="C7279" s="75"/>
      <c r="D7279" s="75"/>
      <c r="E7279" s="75"/>
      <c r="F7279" s="75"/>
    </row>
    <row r="7280" spans="2:6">
      <c r="B7280" s="75"/>
      <c r="C7280" s="75"/>
      <c r="D7280" s="75"/>
      <c r="E7280" s="75"/>
      <c r="F7280" s="75"/>
    </row>
    <row r="7281" spans="2:6">
      <c r="B7281" s="75"/>
      <c r="C7281" s="75"/>
      <c r="D7281" s="75"/>
      <c r="E7281" s="75"/>
      <c r="F7281" s="75"/>
    </row>
    <row r="7282" spans="2:6">
      <c r="B7282" s="75"/>
      <c r="C7282" s="75"/>
      <c r="D7282" s="75"/>
      <c r="E7282" s="75"/>
      <c r="F7282" s="75"/>
    </row>
    <row r="7283" spans="2:6">
      <c r="B7283" s="75"/>
      <c r="C7283" s="75"/>
      <c r="D7283" s="75"/>
      <c r="E7283" s="75"/>
      <c r="F7283" s="75"/>
    </row>
    <row r="7284" spans="2:6">
      <c r="B7284" s="75"/>
      <c r="C7284" s="75"/>
      <c r="D7284" s="75"/>
      <c r="E7284" s="75"/>
      <c r="F7284" s="75"/>
    </row>
    <row r="7285" spans="2:6">
      <c r="B7285" s="75"/>
      <c r="C7285" s="75"/>
      <c r="D7285" s="75"/>
      <c r="E7285" s="75"/>
      <c r="F7285" s="75"/>
    </row>
    <row r="7286" spans="2:6">
      <c r="B7286" s="75"/>
      <c r="C7286" s="75"/>
      <c r="D7286" s="75"/>
      <c r="E7286" s="75"/>
      <c r="F7286" s="75"/>
    </row>
    <row r="7287" spans="2:6">
      <c r="B7287" s="75"/>
      <c r="C7287" s="75"/>
      <c r="D7287" s="75"/>
      <c r="E7287" s="75"/>
      <c r="F7287" s="75"/>
    </row>
    <row r="7288" spans="2:6">
      <c r="B7288" s="75"/>
      <c r="C7288" s="75"/>
      <c r="D7288" s="75"/>
      <c r="E7288" s="75"/>
      <c r="F7288" s="75"/>
    </row>
    <row r="7289" spans="2:6">
      <c r="B7289" s="75"/>
      <c r="C7289" s="75"/>
      <c r="D7289" s="75"/>
      <c r="E7289" s="75"/>
      <c r="F7289" s="75"/>
    </row>
    <row r="7290" spans="2:6">
      <c r="B7290" s="75"/>
      <c r="C7290" s="75"/>
      <c r="D7290" s="75"/>
      <c r="E7290" s="75"/>
      <c r="F7290" s="75"/>
    </row>
    <row r="7291" spans="2:6">
      <c r="B7291" s="75"/>
      <c r="C7291" s="75"/>
      <c r="D7291" s="75"/>
      <c r="E7291" s="75"/>
      <c r="F7291" s="75"/>
    </row>
    <row r="7292" spans="2:6">
      <c r="B7292" s="75"/>
      <c r="C7292" s="75"/>
      <c r="D7292" s="75"/>
      <c r="E7292" s="75"/>
      <c r="F7292" s="75"/>
    </row>
    <row r="7293" spans="2:6">
      <c r="B7293" s="75"/>
      <c r="C7293" s="75"/>
      <c r="D7293" s="75"/>
      <c r="E7293" s="75"/>
      <c r="F7293" s="75"/>
    </row>
    <row r="7294" spans="2:6">
      <c r="B7294" s="75"/>
      <c r="C7294" s="75"/>
      <c r="D7294" s="75"/>
      <c r="E7294" s="75"/>
      <c r="F7294" s="75"/>
    </row>
    <row r="7295" spans="2:6">
      <c r="B7295" s="75"/>
      <c r="C7295" s="75"/>
      <c r="D7295" s="75"/>
      <c r="E7295" s="75"/>
      <c r="F7295" s="75"/>
    </row>
    <row r="7296" spans="2:6">
      <c r="B7296" s="75"/>
      <c r="C7296" s="75"/>
      <c r="D7296" s="75"/>
      <c r="E7296" s="75"/>
      <c r="F7296" s="75"/>
    </row>
    <row r="7297" spans="2:6">
      <c r="B7297" s="75"/>
      <c r="C7297" s="75"/>
      <c r="D7297" s="75"/>
      <c r="E7297" s="75"/>
      <c r="F7297" s="75"/>
    </row>
    <row r="7298" spans="2:6">
      <c r="B7298" s="75"/>
      <c r="C7298" s="75"/>
      <c r="D7298" s="75"/>
      <c r="E7298" s="75"/>
      <c r="F7298" s="75"/>
    </row>
    <row r="7299" spans="2:6">
      <c r="B7299" s="75"/>
      <c r="C7299" s="75"/>
      <c r="D7299" s="75"/>
      <c r="E7299" s="75"/>
      <c r="F7299" s="75"/>
    </row>
    <row r="7300" spans="2:6">
      <c r="B7300" s="75"/>
      <c r="C7300" s="75"/>
      <c r="D7300" s="75"/>
      <c r="E7300" s="75"/>
      <c r="F7300" s="75"/>
    </row>
    <row r="7301" spans="2:6">
      <c r="B7301" s="75"/>
      <c r="C7301" s="75"/>
      <c r="D7301" s="75"/>
      <c r="E7301" s="75"/>
      <c r="F7301" s="75"/>
    </row>
    <row r="7302" spans="2:6">
      <c r="B7302" s="75"/>
      <c r="C7302" s="75"/>
      <c r="D7302" s="75"/>
      <c r="E7302" s="75"/>
      <c r="F7302" s="75"/>
    </row>
    <row r="7303" spans="2:6">
      <c r="B7303" s="75"/>
      <c r="C7303" s="75"/>
      <c r="D7303" s="75"/>
      <c r="E7303" s="75"/>
      <c r="F7303" s="75"/>
    </row>
    <row r="7304" spans="2:6">
      <c r="B7304" s="75"/>
      <c r="C7304" s="75"/>
      <c r="D7304" s="75"/>
      <c r="E7304" s="75"/>
      <c r="F7304" s="75"/>
    </row>
    <row r="7305" spans="2:6">
      <c r="B7305" s="75"/>
      <c r="C7305" s="75"/>
      <c r="D7305" s="75"/>
      <c r="E7305" s="75"/>
      <c r="F7305" s="75"/>
    </row>
    <row r="7306" spans="2:6">
      <c r="B7306" s="75"/>
      <c r="C7306" s="75"/>
      <c r="D7306" s="75"/>
      <c r="E7306" s="75"/>
      <c r="F7306" s="75"/>
    </row>
    <row r="7307" spans="2:6">
      <c r="B7307" s="75"/>
      <c r="C7307" s="75"/>
      <c r="D7307" s="75"/>
      <c r="E7307" s="75"/>
      <c r="F7307" s="75"/>
    </row>
    <row r="7308" spans="2:6">
      <c r="B7308" s="75"/>
      <c r="C7308" s="75"/>
      <c r="D7308" s="75"/>
      <c r="E7308" s="75"/>
      <c r="F7308" s="75"/>
    </row>
    <row r="7309" spans="2:6">
      <c r="B7309" s="75"/>
      <c r="C7309" s="75"/>
      <c r="D7309" s="75"/>
      <c r="E7309" s="75"/>
      <c r="F7309" s="75"/>
    </row>
    <row r="7310" spans="2:6">
      <c r="B7310" s="75"/>
      <c r="C7310" s="75"/>
      <c r="D7310" s="75"/>
      <c r="E7310" s="75"/>
      <c r="F7310" s="75"/>
    </row>
    <row r="7311" spans="2:6">
      <c r="B7311" s="75"/>
      <c r="C7311" s="75"/>
      <c r="D7311" s="75"/>
      <c r="E7311" s="75"/>
      <c r="F7311" s="75"/>
    </row>
    <row r="7312" spans="2:6">
      <c r="B7312" s="75"/>
      <c r="C7312" s="75"/>
      <c r="D7312" s="75"/>
      <c r="E7312" s="75"/>
      <c r="F7312" s="75"/>
    </row>
    <row r="7313" spans="2:6">
      <c r="B7313" s="75"/>
      <c r="C7313" s="75"/>
      <c r="D7313" s="75"/>
      <c r="E7313" s="75"/>
      <c r="F7313" s="75"/>
    </row>
    <row r="7314" spans="2:6">
      <c r="B7314" s="75"/>
      <c r="C7314" s="75"/>
      <c r="D7314" s="75"/>
      <c r="E7314" s="75"/>
      <c r="F7314" s="75"/>
    </row>
    <row r="7315" spans="2:6">
      <c r="B7315" s="75"/>
      <c r="C7315" s="75"/>
      <c r="D7315" s="75"/>
      <c r="E7315" s="75"/>
      <c r="F7315" s="75"/>
    </row>
    <row r="7316" spans="2:6">
      <c r="B7316" s="75"/>
      <c r="C7316" s="75"/>
      <c r="D7316" s="75"/>
      <c r="E7316" s="75"/>
      <c r="F7316" s="75"/>
    </row>
    <row r="7317" spans="2:6">
      <c r="B7317" s="75"/>
      <c r="C7317" s="75"/>
      <c r="D7317" s="75"/>
      <c r="E7317" s="75"/>
      <c r="F7317" s="75"/>
    </row>
    <row r="7318" spans="2:6">
      <c r="B7318" s="75"/>
      <c r="C7318" s="75"/>
      <c r="D7318" s="75"/>
      <c r="E7318" s="75"/>
      <c r="F7318" s="75"/>
    </row>
    <row r="7319" spans="2:6">
      <c r="B7319" s="75"/>
      <c r="C7319" s="75"/>
      <c r="D7319" s="75"/>
      <c r="E7319" s="75"/>
      <c r="F7319" s="75"/>
    </row>
    <row r="7320" spans="2:6">
      <c r="B7320" s="75"/>
      <c r="C7320" s="75"/>
      <c r="D7320" s="75"/>
      <c r="E7320" s="75"/>
      <c r="F7320" s="75"/>
    </row>
    <row r="7321" spans="2:6">
      <c r="B7321" s="75"/>
      <c r="C7321" s="75"/>
      <c r="D7321" s="75"/>
      <c r="E7321" s="75"/>
      <c r="F7321" s="75"/>
    </row>
    <row r="7322" spans="2:6">
      <c r="B7322" s="75"/>
      <c r="C7322" s="75"/>
      <c r="D7322" s="75"/>
      <c r="E7322" s="75"/>
      <c r="F7322" s="75"/>
    </row>
    <row r="7323" spans="2:6">
      <c r="B7323" s="75"/>
      <c r="C7323" s="75"/>
      <c r="D7323" s="75"/>
      <c r="E7323" s="75"/>
      <c r="F7323" s="75"/>
    </row>
    <row r="7324" spans="2:6">
      <c r="B7324" s="75"/>
      <c r="C7324" s="75"/>
      <c r="D7324" s="75"/>
      <c r="E7324" s="75"/>
      <c r="F7324" s="75"/>
    </row>
    <row r="7325" spans="2:6">
      <c r="B7325" s="75"/>
      <c r="C7325" s="75"/>
      <c r="D7325" s="75"/>
      <c r="E7325" s="75"/>
      <c r="F7325" s="75"/>
    </row>
    <row r="7326" spans="2:6">
      <c r="B7326" s="75"/>
      <c r="C7326" s="75"/>
      <c r="D7326" s="75"/>
      <c r="E7326" s="75"/>
      <c r="F7326" s="75"/>
    </row>
    <row r="7327" spans="2:6">
      <c r="B7327" s="75"/>
      <c r="C7327" s="75"/>
      <c r="D7327" s="75"/>
      <c r="E7327" s="75"/>
      <c r="F7327" s="75"/>
    </row>
    <row r="7328" spans="2:6">
      <c r="B7328" s="75"/>
      <c r="C7328" s="75"/>
      <c r="D7328" s="75"/>
      <c r="E7328" s="75"/>
      <c r="F7328" s="75"/>
    </row>
    <row r="7329" spans="2:6">
      <c r="B7329" s="75"/>
      <c r="C7329" s="75"/>
      <c r="D7329" s="75"/>
      <c r="E7329" s="75"/>
      <c r="F7329" s="75"/>
    </row>
    <row r="7330" spans="2:6">
      <c r="B7330" s="75"/>
      <c r="C7330" s="75"/>
      <c r="D7330" s="75"/>
      <c r="E7330" s="75"/>
      <c r="F7330" s="75"/>
    </row>
    <row r="7331" spans="2:6">
      <c r="B7331" s="75"/>
      <c r="C7331" s="75"/>
      <c r="D7331" s="75"/>
      <c r="E7331" s="75"/>
      <c r="F7331" s="75"/>
    </row>
    <row r="7332" spans="2:6">
      <c r="B7332" s="75"/>
      <c r="C7332" s="75"/>
      <c r="D7332" s="75"/>
      <c r="E7332" s="75"/>
      <c r="F7332" s="75"/>
    </row>
    <row r="7333" spans="2:6">
      <c r="B7333" s="75"/>
      <c r="C7333" s="75"/>
      <c r="D7333" s="75"/>
      <c r="E7333" s="75"/>
      <c r="F7333" s="75"/>
    </row>
    <row r="7334" spans="2:6">
      <c r="B7334" s="75"/>
      <c r="C7334" s="75"/>
      <c r="D7334" s="75"/>
      <c r="E7334" s="75"/>
      <c r="F7334" s="75"/>
    </row>
    <row r="7335" spans="2:6">
      <c r="B7335" s="75"/>
      <c r="C7335" s="75"/>
      <c r="D7335" s="75"/>
      <c r="E7335" s="75"/>
      <c r="F7335" s="75"/>
    </row>
    <row r="7336" spans="2:6">
      <c r="B7336" s="75"/>
      <c r="C7336" s="75"/>
      <c r="D7336" s="75"/>
      <c r="E7336" s="75"/>
      <c r="F7336" s="75"/>
    </row>
    <row r="7337" spans="2:6">
      <c r="B7337" s="75"/>
      <c r="C7337" s="75"/>
      <c r="D7337" s="75"/>
      <c r="E7337" s="75"/>
      <c r="F7337" s="75"/>
    </row>
    <row r="7338" spans="2:6">
      <c r="B7338" s="75"/>
      <c r="C7338" s="75"/>
      <c r="D7338" s="75"/>
      <c r="E7338" s="75"/>
      <c r="F7338" s="75"/>
    </row>
    <row r="7339" spans="2:6">
      <c r="B7339" s="75"/>
      <c r="C7339" s="75"/>
      <c r="D7339" s="75"/>
      <c r="E7339" s="75"/>
      <c r="F7339" s="75"/>
    </row>
    <row r="7340" spans="2:6">
      <c r="B7340" s="75"/>
      <c r="C7340" s="75"/>
      <c r="D7340" s="75"/>
      <c r="E7340" s="75"/>
      <c r="F7340" s="75"/>
    </row>
    <row r="7341" spans="2:6">
      <c r="B7341" s="75"/>
      <c r="C7341" s="75"/>
      <c r="D7341" s="75"/>
      <c r="E7341" s="75"/>
      <c r="F7341" s="75"/>
    </row>
    <row r="7342" spans="2:6">
      <c r="B7342" s="75"/>
      <c r="C7342" s="75"/>
      <c r="D7342" s="75"/>
      <c r="E7342" s="75"/>
      <c r="F7342" s="75"/>
    </row>
    <row r="7343" spans="2:6">
      <c r="B7343" s="75"/>
      <c r="C7343" s="75"/>
      <c r="D7343" s="75"/>
      <c r="E7343" s="75"/>
      <c r="F7343" s="75"/>
    </row>
    <row r="7344" spans="2:6">
      <c r="B7344" s="75"/>
      <c r="C7344" s="75"/>
      <c r="D7344" s="75"/>
      <c r="E7344" s="75"/>
      <c r="F7344" s="75"/>
    </row>
    <row r="7345" spans="2:6">
      <c r="B7345" s="75"/>
      <c r="C7345" s="75"/>
      <c r="D7345" s="75"/>
      <c r="E7345" s="75"/>
      <c r="F7345" s="75"/>
    </row>
    <row r="7346" spans="2:6">
      <c r="B7346" s="75"/>
      <c r="C7346" s="75"/>
      <c r="D7346" s="75"/>
      <c r="E7346" s="75"/>
      <c r="F7346" s="75"/>
    </row>
    <row r="7347" spans="2:6">
      <c r="B7347" s="75"/>
      <c r="C7347" s="75"/>
      <c r="D7347" s="75"/>
      <c r="E7347" s="75"/>
      <c r="F7347" s="75"/>
    </row>
    <row r="7348" spans="2:6">
      <c r="B7348" s="75"/>
      <c r="C7348" s="75"/>
      <c r="D7348" s="75"/>
      <c r="E7348" s="75"/>
      <c r="F7348" s="75"/>
    </row>
    <row r="7349" spans="2:6">
      <c r="B7349" s="75"/>
      <c r="C7349" s="75"/>
      <c r="D7349" s="75"/>
      <c r="E7349" s="75"/>
      <c r="F7349" s="75"/>
    </row>
    <row r="7350" spans="2:6">
      <c r="B7350" s="75"/>
      <c r="C7350" s="75"/>
      <c r="D7350" s="75"/>
      <c r="E7350" s="75"/>
      <c r="F7350" s="75"/>
    </row>
    <row r="7351" spans="2:6">
      <c r="B7351" s="75"/>
      <c r="C7351" s="75"/>
      <c r="D7351" s="75"/>
      <c r="E7351" s="75"/>
      <c r="F7351" s="75"/>
    </row>
    <row r="7352" spans="2:6">
      <c r="B7352" s="75"/>
      <c r="C7352" s="75"/>
      <c r="D7352" s="75"/>
      <c r="E7352" s="75"/>
      <c r="F7352" s="75"/>
    </row>
    <row r="7353" spans="2:6">
      <c r="B7353" s="75"/>
      <c r="C7353" s="75"/>
      <c r="D7353" s="75"/>
      <c r="E7353" s="75"/>
      <c r="F7353" s="75"/>
    </row>
    <row r="7354" spans="2:6">
      <c r="B7354" s="75"/>
      <c r="C7354" s="75"/>
      <c r="D7354" s="75"/>
      <c r="E7354" s="75"/>
      <c r="F7354" s="75"/>
    </row>
    <row r="7355" spans="2:6">
      <c r="B7355" s="75"/>
      <c r="C7355" s="75"/>
      <c r="D7355" s="75"/>
      <c r="E7355" s="75"/>
      <c r="F7355" s="75"/>
    </row>
    <row r="7356" spans="2:6">
      <c r="B7356" s="75"/>
      <c r="C7356" s="75"/>
      <c r="D7356" s="75"/>
      <c r="E7356" s="75"/>
      <c r="F7356" s="75"/>
    </row>
    <row r="7357" spans="2:6">
      <c r="B7357" s="75"/>
      <c r="C7357" s="75"/>
      <c r="D7357" s="75"/>
      <c r="E7357" s="75"/>
      <c r="F7357" s="75"/>
    </row>
    <row r="7358" spans="2:6">
      <c r="B7358" s="75"/>
      <c r="C7358" s="75"/>
      <c r="D7358" s="75"/>
      <c r="E7358" s="75"/>
      <c r="F7358" s="75"/>
    </row>
    <row r="7359" spans="2:6">
      <c r="B7359" s="75"/>
      <c r="C7359" s="75"/>
      <c r="D7359" s="75"/>
      <c r="E7359" s="75"/>
      <c r="F7359" s="75"/>
    </row>
    <row r="7360" spans="2:6">
      <c r="B7360" s="75"/>
      <c r="C7360" s="75"/>
      <c r="D7360" s="75"/>
      <c r="E7360" s="75"/>
      <c r="F7360" s="75"/>
    </row>
    <row r="7361" spans="2:6">
      <c r="B7361" s="75"/>
      <c r="C7361" s="75"/>
      <c r="D7361" s="75"/>
      <c r="E7361" s="75"/>
      <c r="F7361" s="75"/>
    </row>
    <row r="7362" spans="2:6">
      <c r="B7362" s="75"/>
      <c r="C7362" s="75"/>
      <c r="D7362" s="75"/>
      <c r="E7362" s="75"/>
      <c r="F7362" s="75"/>
    </row>
    <row r="7363" spans="2:6">
      <c r="B7363" s="75"/>
      <c r="C7363" s="75"/>
      <c r="D7363" s="75"/>
      <c r="E7363" s="75"/>
      <c r="F7363" s="75"/>
    </row>
    <row r="7364" spans="2:6">
      <c r="B7364" s="75"/>
      <c r="C7364" s="75"/>
      <c r="D7364" s="75"/>
      <c r="E7364" s="75"/>
      <c r="F7364" s="75"/>
    </row>
    <row r="7365" spans="2:6">
      <c r="B7365" s="75"/>
      <c r="C7365" s="75"/>
      <c r="D7365" s="75"/>
      <c r="E7365" s="75"/>
      <c r="F7365" s="75"/>
    </row>
    <row r="7366" spans="2:6">
      <c r="B7366" s="75"/>
      <c r="C7366" s="75"/>
      <c r="D7366" s="75"/>
      <c r="E7366" s="75"/>
      <c r="F7366" s="75"/>
    </row>
    <row r="7367" spans="2:6">
      <c r="B7367" s="75"/>
      <c r="C7367" s="75"/>
      <c r="D7367" s="75"/>
      <c r="E7367" s="75"/>
      <c r="F7367" s="75"/>
    </row>
    <row r="7368" spans="2:6">
      <c r="B7368" s="75"/>
      <c r="C7368" s="75"/>
      <c r="D7368" s="75"/>
      <c r="E7368" s="75"/>
      <c r="F7368" s="75"/>
    </row>
    <row r="7369" spans="2:6">
      <c r="B7369" s="75"/>
      <c r="C7369" s="75"/>
      <c r="D7369" s="75"/>
      <c r="E7369" s="75"/>
      <c r="F7369" s="75"/>
    </row>
    <row r="7370" spans="2:6">
      <c r="B7370" s="75"/>
      <c r="C7370" s="75"/>
      <c r="D7370" s="75"/>
      <c r="E7370" s="75"/>
      <c r="F7370" s="75"/>
    </row>
    <row r="7371" spans="2:6">
      <c r="B7371" s="75"/>
      <c r="C7371" s="75"/>
      <c r="D7371" s="75"/>
      <c r="E7371" s="75"/>
      <c r="F7371" s="75"/>
    </row>
    <row r="7372" spans="2:6">
      <c r="B7372" s="75"/>
      <c r="C7372" s="75"/>
      <c r="D7372" s="75"/>
      <c r="E7372" s="75"/>
      <c r="F7372" s="75"/>
    </row>
    <row r="7373" spans="2:6">
      <c r="B7373" s="75"/>
      <c r="C7373" s="75"/>
      <c r="D7373" s="75"/>
      <c r="E7373" s="75"/>
      <c r="F7373" s="75"/>
    </row>
    <row r="7374" spans="2:6">
      <c r="B7374" s="75"/>
      <c r="C7374" s="75"/>
      <c r="D7374" s="75"/>
      <c r="E7374" s="75"/>
      <c r="F7374" s="75"/>
    </row>
    <row r="7375" spans="2:6">
      <c r="B7375" s="75"/>
      <c r="C7375" s="75"/>
      <c r="D7375" s="75"/>
      <c r="E7375" s="75"/>
      <c r="F7375" s="75"/>
    </row>
    <row r="7376" spans="2:6">
      <c r="B7376" s="75"/>
      <c r="C7376" s="75"/>
      <c r="D7376" s="75"/>
      <c r="E7376" s="75"/>
      <c r="F7376" s="75"/>
    </row>
    <row r="7377" spans="2:6">
      <c r="B7377" s="75"/>
      <c r="C7377" s="75"/>
      <c r="D7377" s="75"/>
      <c r="E7377" s="75"/>
      <c r="F7377" s="75"/>
    </row>
    <row r="7378" spans="2:6">
      <c r="B7378" s="75"/>
      <c r="C7378" s="75"/>
      <c r="D7378" s="75"/>
      <c r="E7378" s="75"/>
      <c r="F7378" s="75"/>
    </row>
    <row r="7379" spans="2:6">
      <c r="B7379" s="75"/>
      <c r="C7379" s="75"/>
      <c r="D7379" s="75"/>
      <c r="E7379" s="75"/>
      <c r="F7379" s="75"/>
    </row>
    <row r="7380" spans="2:6">
      <c r="B7380" s="75"/>
      <c r="C7380" s="75"/>
      <c r="D7380" s="75"/>
      <c r="E7380" s="75"/>
      <c r="F7380" s="75"/>
    </row>
    <row r="7381" spans="2:6">
      <c r="B7381" s="75"/>
      <c r="C7381" s="75"/>
      <c r="D7381" s="75"/>
      <c r="E7381" s="75"/>
      <c r="F7381" s="75"/>
    </row>
    <row r="7382" spans="2:6">
      <c r="B7382" s="75"/>
      <c r="C7382" s="75"/>
      <c r="D7382" s="75"/>
      <c r="E7382" s="75"/>
      <c r="F7382" s="75"/>
    </row>
    <row r="7383" spans="2:6">
      <c r="B7383" s="75"/>
      <c r="C7383" s="75"/>
      <c r="D7383" s="75"/>
      <c r="E7383" s="75"/>
      <c r="F7383" s="75"/>
    </row>
    <row r="7384" spans="2:6">
      <c r="B7384" s="75"/>
      <c r="C7384" s="75"/>
      <c r="D7384" s="75"/>
      <c r="E7384" s="75"/>
      <c r="F7384" s="75"/>
    </row>
    <row r="7385" spans="2:6">
      <c r="B7385" s="75"/>
      <c r="C7385" s="75"/>
      <c r="D7385" s="75"/>
      <c r="E7385" s="75"/>
      <c r="F7385" s="75"/>
    </row>
    <row r="7386" spans="2:6">
      <c r="B7386" s="75"/>
      <c r="C7386" s="75"/>
      <c r="D7386" s="75"/>
      <c r="E7386" s="75"/>
      <c r="F7386" s="75"/>
    </row>
    <row r="7387" spans="2:6">
      <c r="B7387" s="75"/>
      <c r="C7387" s="75"/>
      <c r="D7387" s="75"/>
      <c r="E7387" s="75"/>
      <c r="F7387" s="75"/>
    </row>
    <row r="7388" spans="2:6">
      <c r="B7388" s="75"/>
      <c r="C7388" s="75"/>
      <c r="D7388" s="75"/>
      <c r="E7388" s="75"/>
      <c r="F7388" s="75"/>
    </row>
    <row r="7389" spans="2:6">
      <c r="B7389" s="75"/>
      <c r="C7389" s="75"/>
      <c r="D7389" s="75"/>
      <c r="E7389" s="75"/>
      <c r="F7389" s="75"/>
    </row>
    <row r="7390" spans="2:6">
      <c r="B7390" s="75"/>
      <c r="C7390" s="75"/>
      <c r="D7390" s="75"/>
      <c r="E7390" s="75"/>
      <c r="F7390" s="75"/>
    </row>
    <row r="7391" spans="2:6">
      <c r="B7391" s="75"/>
      <c r="C7391" s="75"/>
      <c r="D7391" s="75"/>
      <c r="E7391" s="75"/>
      <c r="F7391" s="75"/>
    </row>
    <row r="7392" spans="2:6">
      <c r="B7392" s="75"/>
      <c r="C7392" s="75"/>
      <c r="D7392" s="75"/>
      <c r="E7392" s="75"/>
      <c r="F7392" s="75"/>
    </row>
    <row r="7393" spans="2:6">
      <c r="B7393" s="75"/>
      <c r="C7393" s="75"/>
      <c r="D7393" s="75"/>
      <c r="E7393" s="75"/>
      <c r="F7393" s="75"/>
    </row>
    <row r="7394" spans="2:6">
      <c r="B7394" s="75"/>
      <c r="C7394" s="75"/>
      <c r="D7394" s="75"/>
      <c r="E7394" s="75"/>
      <c r="F7394" s="75"/>
    </row>
    <row r="7395" spans="2:6">
      <c r="B7395" s="75"/>
      <c r="C7395" s="75"/>
      <c r="D7395" s="75"/>
      <c r="E7395" s="75"/>
      <c r="F7395" s="75"/>
    </row>
    <row r="7396" spans="2:6">
      <c r="B7396" s="75"/>
      <c r="C7396" s="75"/>
      <c r="D7396" s="75"/>
      <c r="E7396" s="75"/>
      <c r="F7396" s="75"/>
    </row>
    <row r="7397" spans="2:6">
      <c r="B7397" s="75"/>
      <c r="C7397" s="75"/>
      <c r="D7397" s="75"/>
      <c r="E7397" s="75"/>
      <c r="F7397" s="75"/>
    </row>
    <row r="7398" spans="2:6">
      <c r="B7398" s="75"/>
      <c r="C7398" s="75"/>
      <c r="D7398" s="75"/>
      <c r="E7398" s="75"/>
      <c r="F7398" s="75"/>
    </row>
    <row r="7399" spans="2:6">
      <c r="B7399" s="75"/>
      <c r="C7399" s="75"/>
      <c r="D7399" s="75"/>
      <c r="E7399" s="75"/>
      <c r="F7399" s="75"/>
    </row>
    <row r="7400" spans="2:6">
      <c r="B7400" s="75"/>
      <c r="C7400" s="75"/>
      <c r="D7400" s="75"/>
      <c r="E7400" s="75"/>
      <c r="F7400" s="75"/>
    </row>
    <row r="7401" spans="2:6">
      <c r="B7401" s="75"/>
      <c r="C7401" s="75"/>
      <c r="D7401" s="75"/>
      <c r="E7401" s="75"/>
      <c r="F7401" s="75"/>
    </row>
    <row r="7402" spans="2:6">
      <c r="B7402" s="75"/>
      <c r="C7402" s="75"/>
      <c r="D7402" s="75"/>
      <c r="E7402" s="75"/>
      <c r="F7402" s="75"/>
    </row>
    <row r="7403" spans="2:6">
      <c r="B7403" s="75"/>
      <c r="C7403" s="75"/>
      <c r="D7403" s="75"/>
      <c r="E7403" s="75"/>
      <c r="F7403" s="75"/>
    </row>
    <row r="7404" spans="2:6">
      <c r="B7404" s="75"/>
      <c r="C7404" s="75"/>
      <c r="D7404" s="75"/>
      <c r="E7404" s="75"/>
      <c r="F7404" s="75"/>
    </row>
    <row r="7405" spans="2:6">
      <c r="B7405" s="75"/>
      <c r="C7405" s="75"/>
      <c r="D7405" s="75"/>
      <c r="E7405" s="75"/>
      <c r="F7405" s="75"/>
    </row>
    <row r="7406" spans="2:6">
      <c r="B7406" s="75"/>
      <c r="C7406" s="75"/>
      <c r="D7406" s="75"/>
      <c r="E7406" s="75"/>
      <c r="F7406" s="75"/>
    </row>
    <row r="7407" spans="2:6">
      <c r="B7407" s="75"/>
      <c r="C7407" s="75"/>
      <c r="D7407" s="75"/>
      <c r="E7407" s="75"/>
      <c r="F7407" s="75"/>
    </row>
    <row r="7408" spans="2:6">
      <c r="B7408" s="75"/>
      <c r="C7408" s="75"/>
      <c r="D7408" s="75"/>
      <c r="E7408" s="75"/>
      <c r="F7408" s="75"/>
    </row>
    <row r="7409" spans="2:6">
      <c r="B7409" s="75"/>
      <c r="C7409" s="75"/>
      <c r="D7409" s="75"/>
      <c r="E7409" s="75"/>
      <c r="F7409" s="75"/>
    </row>
    <row r="7410" spans="2:6">
      <c r="B7410" s="75"/>
      <c r="C7410" s="75"/>
      <c r="D7410" s="75"/>
      <c r="E7410" s="75"/>
      <c r="F7410" s="75"/>
    </row>
    <row r="7411" spans="2:6">
      <c r="B7411" s="75"/>
      <c r="C7411" s="75"/>
      <c r="D7411" s="75"/>
      <c r="E7411" s="75"/>
      <c r="F7411" s="75"/>
    </row>
    <row r="7412" spans="2:6">
      <c r="B7412" s="75"/>
      <c r="C7412" s="75"/>
      <c r="D7412" s="75"/>
      <c r="E7412" s="75"/>
      <c r="F7412" s="75"/>
    </row>
    <row r="7413" spans="2:6">
      <c r="B7413" s="75"/>
      <c r="C7413" s="75"/>
      <c r="D7413" s="75"/>
      <c r="E7413" s="75"/>
      <c r="F7413" s="75"/>
    </row>
    <row r="7414" spans="2:6">
      <c r="B7414" s="75"/>
      <c r="C7414" s="75"/>
      <c r="D7414" s="75"/>
      <c r="E7414" s="75"/>
      <c r="F7414" s="75"/>
    </row>
    <row r="7415" spans="2:6">
      <c r="B7415" s="75"/>
      <c r="C7415" s="75"/>
      <c r="D7415" s="75"/>
      <c r="E7415" s="75"/>
      <c r="F7415" s="75"/>
    </row>
    <row r="7416" spans="2:6">
      <c r="B7416" s="75"/>
      <c r="C7416" s="75"/>
      <c r="D7416" s="75"/>
      <c r="E7416" s="75"/>
      <c r="F7416" s="75"/>
    </row>
    <row r="7417" spans="2:6">
      <c r="B7417" s="75"/>
      <c r="C7417" s="75"/>
      <c r="D7417" s="75"/>
      <c r="E7417" s="75"/>
      <c r="F7417" s="75"/>
    </row>
    <row r="7418" spans="2:6">
      <c r="B7418" s="75"/>
      <c r="C7418" s="75"/>
      <c r="D7418" s="75"/>
      <c r="E7418" s="75"/>
      <c r="F7418" s="75"/>
    </row>
    <row r="7419" spans="2:6">
      <c r="B7419" s="75"/>
      <c r="C7419" s="75"/>
      <c r="D7419" s="75"/>
      <c r="E7419" s="75"/>
      <c r="F7419" s="75"/>
    </row>
    <row r="7420" spans="2:6">
      <c r="B7420" s="75"/>
      <c r="C7420" s="75"/>
      <c r="D7420" s="75"/>
      <c r="E7420" s="75"/>
      <c r="F7420" s="75"/>
    </row>
    <row r="7421" spans="2:6">
      <c r="B7421" s="75"/>
      <c r="C7421" s="75"/>
      <c r="D7421" s="75"/>
      <c r="E7421" s="75"/>
      <c r="F7421" s="75"/>
    </row>
    <row r="7422" spans="2:6">
      <c r="B7422" s="75"/>
      <c r="C7422" s="75"/>
      <c r="D7422" s="75"/>
      <c r="E7422" s="75"/>
      <c r="F7422" s="75"/>
    </row>
    <row r="7423" spans="2:6">
      <c r="B7423" s="75"/>
      <c r="C7423" s="75"/>
      <c r="D7423" s="75"/>
      <c r="E7423" s="75"/>
      <c r="F7423" s="75"/>
    </row>
    <row r="7424" spans="2:6">
      <c r="B7424" s="75"/>
      <c r="C7424" s="75"/>
      <c r="D7424" s="75"/>
      <c r="E7424" s="75"/>
      <c r="F7424" s="75"/>
    </row>
    <row r="7425" spans="2:6">
      <c r="B7425" s="75"/>
      <c r="C7425" s="75"/>
      <c r="D7425" s="75"/>
      <c r="E7425" s="75"/>
      <c r="F7425" s="75"/>
    </row>
    <row r="7426" spans="2:6">
      <c r="B7426" s="75"/>
      <c r="C7426" s="75"/>
      <c r="D7426" s="75"/>
      <c r="E7426" s="75"/>
      <c r="F7426" s="75"/>
    </row>
    <row r="7427" spans="2:6">
      <c r="B7427" s="75"/>
      <c r="C7427" s="75"/>
      <c r="D7427" s="75"/>
      <c r="E7427" s="75"/>
      <c r="F7427" s="75"/>
    </row>
    <row r="7428" spans="2:6">
      <c r="B7428" s="75"/>
      <c r="C7428" s="75"/>
      <c r="D7428" s="75"/>
      <c r="E7428" s="75"/>
      <c r="F7428" s="75"/>
    </row>
    <row r="7429" spans="2:6">
      <c r="B7429" s="75"/>
      <c r="C7429" s="75"/>
      <c r="D7429" s="75"/>
      <c r="E7429" s="75"/>
      <c r="F7429" s="75"/>
    </row>
    <row r="7430" spans="2:6">
      <c r="B7430" s="75"/>
      <c r="C7430" s="75"/>
      <c r="D7430" s="75"/>
      <c r="E7430" s="75"/>
      <c r="F7430" s="75"/>
    </row>
    <row r="7431" spans="2:6">
      <c r="B7431" s="75"/>
      <c r="C7431" s="75"/>
      <c r="D7431" s="75"/>
      <c r="E7431" s="75"/>
      <c r="F7431" s="75"/>
    </row>
    <row r="7432" spans="2:6">
      <c r="B7432" s="75"/>
      <c r="C7432" s="75"/>
      <c r="D7432" s="75"/>
      <c r="E7432" s="75"/>
      <c r="F7432" s="75"/>
    </row>
    <row r="7433" spans="2:6">
      <c r="B7433" s="75"/>
      <c r="C7433" s="75"/>
      <c r="D7433" s="75"/>
      <c r="E7433" s="75"/>
      <c r="F7433" s="75"/>
    </row>
    <row r="7434" spans="2:6">
      <c r="B7434" s="75"/>
      <c r="C7434" s="75"/>
      <c r="D7434" s="75"/>
      <c r="E7434" s="75"/>
      <c r="F7434" s="75"/>
    </row>
    <row r="7435" spans="2:6">
      <c r="B7435" s="75"/>
      <c r="C7435" s="75"/>
      <c r="D7435" s="75"/>
      <c r="E7435" s="75"/>
      <c r="F7435" s="75"/>
    </row>
    <row r="7436" spans="2:6">
      <c r="B7436" s="75"/>
      <c r="C7436" s="75"/>
      <c r="D7436" s="75"/>
      <c r="E7436" s="75"/>
      <c r="F7436" s="75"/>
    </row>
    <row r="7437" spans="2:6">
      <c r="B7437" s="75"/>
      <c r="C7437" s="75"/>
      <c r="D7437" s="75"/>
      <c r="E7437" s="75"/>
      <c r="F7437" s="75"/>
    </row>
    <row r="7438" spans="2:6">
      <c r="B7438" s="75"/>
      <c r="C7438" s="75"/>
      <c r="D7438" s="75"/>
      <c r="E7438" s="75"/>
      <c r="F7438" s="75"/>
    </row>
    <row r="7439" spans="2:6">
      <c r="B7439" s="75"/>
      <c r="C7439" s="75"/>
      <c r="D7439" s="75"/>
      <c r="E7439" s="75"/>
      <c r="F7439" s="75"/>
    </row>
    <row r="7440" spans="2:6">
      <c r="B7440" s="75"/>
      <c r="C7440" s="75"/>
      <c r="D7440" s="75"/>
      <c r="E7440" s="75"/>
      <c r="F7440" s="75"/>
    </row>
    <row r="7441" spans="2:6">
      <c r="B7441" s="75"/>
      <c r="C7441" s="75"/>
      <c r="D7441" s="75"/>
      <c r="E7441" s="75"/>
      <c r="F7441" s="75"/>
    </row>
    <row r="7442" spans="2:6">
      <c r="B7442" s="75"/>
      <c r="C7442" s="75"/>
      <c r="D7442" s="75"/>
      <c r="E7442" s="75"/>
      <c r="F7442" s="75"/>
    </row>
    <row r="7443" spans="2:6">
      <c r="B7443" s="75"/>
      <c r="C7443" s="75"/>
      <c r="D7443" s="75"/>
      <c r="E7443" s="75"/>
      <c r="F7443" s="75"/>
    </row>
    <row r="7444" spans="2:6">
      <c r="B7444" s="75"/>
      <c r="C7444" s="75"/>
      <c r="D7444" s="75"/>
      <c r="E7444" s="75"/>
      <c r="F7444" s="75"/>
    </row>
    <row r="7445" spans="2:6">
      <c r="B7445" s="75"/>
      <c r="C7445" s="75"/>
      <c r="D7445" s="75"/>
      <c r="E7445" s="75"/>
      <c r="F7445" s="75"/>
    </row>
    <row r="7446" spans="2:6">
      <c r="B7446" s="75"/>
      <c r="C7446" s="75"/>
      <c r="D7446" s="75"/>
      <c r="E7446" s="75"/>
      <c r="F7446" s="75"/>
    </row>
    <row r="7447" spans="2:6">
      <c r="B7447" s="75"/>
      <c r="C7447" s="75"/>
      <c r="D7447" s="75"/>
      <c r="E7447" s="75"/>
      <c r="F7447" s="75"/>
    </row>
    <row r="7448" spans="2:6">
      <c r="B7448" s="75"/>
      <c r="C7448" s="75"/>
      <c r="D7448" s="75"/>
      <c r="E7448" s="75"/>
      <c r="F7448" s="75"/>
    </row>
    <row r="7449" spans="2:6">
      <c r="B7449" s="75"/>
      <c r="C7449" s="75"/>
      <c r="D7449" s="75"/>
      <c r="E7449" s="75"/>
      <c r="F7449" s="75"/>
    </row>
    <row r="7450" spans="2:6">
      <c r="B7450" s="75"/>
      <c r="C7450" s="75"/>
      <c r="D7450" s="75"/>
      <c r="E7450" s="75"/>
      <c r="F7450" s="75"/>
    </row>
    <row r="7451" spans="2:6">
      <c r="B7451" s="75"/>
      <c r="C7451" s="75"/>
      <c r="D7451" s="75"/>
      <c r="E7451" s="75"/>
      <c r="F7451" s="75"/>
    </row>
    <row r="7452" spans="2:6">
      <c r="B7452" s="75"/>
      <c r="C7452" s="75"/>
      <c r="D7452" s="75"/>
      <c r="E7452" s="75"/>
      <c r="F7452" s="75"/>
    </row>
    <row r="7453" spans="2:6">
      <c r="B7453" s="75"/>
      <c r="C7453" s="75"/>
      <c r="D7453" s="75"/>
      <c r="E7453" s="75"/>
      <c r="F7453" s="75"/>
    </row>
    <row r="7454" spans="2:6">
      <c r="B7454" s="75"/>
      <c r="C7454" s="75"/>
      <c r="D7454" s="75"/>
      <c r="E7454" s="75"/>
      <c r="F7454" s="75"/>
    </row>
    <row r="7455" spans="2:6">
      <c r="B7455" s="75"/>
      <c r="C7455" s="75"/>
      <c r="D7455" s="75"/>
      <c r="E7455" s="75"/>
      <c r="F7455" s="75"/>
    </row>
    <row r="7456" spans="2:6">
      <c r="B7456" s="75"/>
      <c r="C7456" s="75"/>
      <c r="D7456" s="75"/>
      <c r="E7456" s="75"/>
      <c r="F7456" s="75"/>
    </row>
    <row r="7457" spans="2:6">
      <c r="B7457" s="75"/>
      <c r="C7457" s="75"/>
      <c r="D7457" s="75"/>
      <c r="E7457" s="75"/>
      <c r="F7457" s="75"/>
    </row>
    <row r="7458" spans="2:6">
      <c r="B7458" s="75"/>
      <c r="C7458" s="75"/>
      <c r="D7458" s="75"/>
      <c r="E7458" s="75"/>
      <c r="F7458" s="75"/>
    </row>
    <row r="7459" spans="2:6">
      <c r="B7459" s="75"/>
      <c r="C7459" s="75"/>
      <c r="D7459" s="75"/>
      <c r="E7459" s="75"/>
      <c r="F7459" s="75"/>
    </row>
    <row r="7460" spans="2:6">
      <c r="B7460" s="75"/>
      <c r="C7460" s="75"/>
      <c r="D7460" s="75"/>
      <c r="E7460" s="75"/>
      <c r="F7460" s="75"/>
    </row>
    <row r="7461" spans="2:6">
      <c r="B7461" s="75"/>
      <c r="C7461" s="75"/>
      <c r="D7461" s="75"/>
      <c r="E7461" s="75"/>
      <c r="F7461" s="75"/>
    </row>
    <row r="7462" spans="2:6">
      <c r="B7462" s="75"/>
      <c r="C7462" s="75"/>
      <c r="D7462" s="75"/>
      <c r="E7462" s="75"/>
      <c r="F7462" s="75"/>
    </row>
    <row r="7463" spans="2:6">
      <c r="B7463" s="75"/>
      <c r="C7463" s="75"/>
      <c r="D7463" s="75"/>
      <c r="E7463" s="75"/>
      <c r="F7463" s="75"/>
    </row>
    <row r="7464" spans="2:6">
      <c r="B7464" s="75"/>
      <c r="C7464" s="75"/>
      <c r="D7464" s="75"/>
      <c r="E7464" s="75"/>
      <c r="F7464" s="75"/>
    </row>
    <row r="7465" spans="2:6">
      <c r="B7465" s="75"/>
      <c r="C7465" s="75"/>
      <c r="D7465" s="75"/>
      <c r="E7465" s="75"/>
      <c r="F7465" s="75"/>
    </row>
    <row r="7466" spans="2:6">
      <c r="B7466" s="75"/>
      <c r="C7466" s="75"/>
      <c r="D7466" s="75"/>
      <c r="E7466" s="75"/>
      <c r="F7466" s="75"/>
    </row>
    <row r="7467" spans="2:6">
      <c r="B7467" s="75"/>
      <c r="C7467" s="75"/>
      <c r="D7467" s="75"/>
      <c r="E7467" s="75"/>
      <c r="F7467" s="75"/>
    </row>
    <row r="7468" spans="2:6">
      <c r="B7468" s="75"/>
      <c r="C7468" s="75"/>
      <c r="D7468" s="75"/>
      <c r="E7468" s="75"/>
      <c r="F7468" s="75"/>
    </row>
    <row r="7469" spans="2:6">
      <c r="B7469" s="75"/>
      <c r="C7469" s="75"/>
      <c r="D7469" s="75"/>
      <c r="E7469" s="75"/>
      <c r="F7469" s="75"/>
    </row>
    <row r="7470" spans="2:6">
      <c r="B7470" s="75"/>
      <c r="C7470" s="75"/>
      <c r="D7470" s="75"/>
      <c r="E7470" s="75"/>
      <c r="F7470" s="75"/>
    </row>
    <row r="7471" spans="2:6">
      <c r="B7471" s="75"/>
      <c r="C7471" s="75"/>
      <c r="D7471" s="75"/>
      <c r="E7471" s="75"/>
      <c r="F7471" s="75"/>
    </row>
    <row r="7472" spans="2:6">
      <c r="B7472" s="75"/>
      <c r="C7472" s="75"/>
      <c r="D7472" s="75"/>
      <c r="E7472" s="75"/>
      <c r="F7472" s="75"/>
    </row>
    <row r="7473" spans="2:6">
      <c r="B7473" s="75"/>
      <c r="C7473" s="75"/>
      <c r="D7473" s="75"/>
      <c r="E7473" s="75"/>
      <c r="F7473" s="75"/>
    </row>
    <row r="7474" spans="2:6">
      <c r="B7474" s="75"/>
      <c r="C7474" s="75"/>
      <c r="D7474" s="75"/>
      <c r="E7474" s="75"/>
      <c r="F7474" s="75"/>
    </row>
    <row r="7475" spans="2:6">
      <c r="B7475" s="75"/>
      <c r="C7475" s="75"/>
      <c r="D7475" s="75"/>
      <c r="E7475" s="75"/>
      <c r="F7475" s="75"/>
    </row>
    <row r="7476" spans="2:6">
      <c r="B7476" s="75"/>
      <c r="C7476" s="75"/>
      <c r="D7476" s="75"/>
      <c r="E7476" s="75"/>
      <c r="F7476" s="75"/>
    </row>
    <row r="7477" spans="2:6">
      <c r="B7477" s="75"/>
      <c r="C7477" s="75"/>
      <c r="D7477" s="75"/>
      <c r="E7477" s="75"/>
      <c r="F7477" s="75"/>
    </row>
    <row r="7478" spans="2:6">
      <c r="B7478" s="75"/>
      <c r="C7478" s="75"/>
      <c r="D7478" s="75"/>
      <c r="E7478" s="75"/>
      <c r="F7478" s="75"/>
    </row>
    <row r="7479" spans="2:6">
      <c r="B7479" s="75"/>
      <c r="C7479" s="75"/>
      <c r="D7479" s="75"/>
      <c r="E7479" s="75"/>
      <c r="F7479" s="75"/>
    </row>
    <row r="7480" spans="2:6">
      <c r="B7480" s="75"/>
      <c r="C7480" s="75"/>
      <c r="D7480" s="75"/>
      <c r="E7480" s="75"/>
      <c r="F7480" s="75"/>
    </row>
    <row r="7481" spans="2:6">
      <c r="B7481" s="75"/>
      <c r="C7481" s="75"/>
      <c r="D7481" s="75"/>
      <c r="E7481" s="75"/>
      <c r="F7481" s="75"/>
    </row>
    <row r="7482" spans="2:6">
      <c r="B7482" s="75"/>
      <c r="C7482" s="75"/>
      <c r="D7482" s="75"/>
      <c r="E7482" s="75"/>
      <c r="F7482" s="75"/>
    </row>
    <row r="7483" spans="2:6">
      <c r="B7483" s="75"/>
      <c r="C7483" s="75"/>
      <c r="D7483" s="75"/>
      <c r="E7483" s="75"/>
      <c r="F7483" s="75"/>
    </row>
    <row r="7484" spans="2:6">
      <c r="B7484" s="75"/>
      <c r="C7484" s="75"/>
      <c r="D7484" s="75"/>
      <c r="E7484" s="75"/>
      <c r="F7484" s="75"/>
    </row>
    <row r="7485" spans="2:6">
      <c r="B7485" s="75"/>
      <c r="C7485" s="75"/>
      <c r="D7485" s="75"/>
      <c r="E7485" s="75"/>
      <c r="F7485" s="75"/>
    </row>
    <row r="7486" spans="2:6">
      <c r="B7486" s="75"/>
      <c r="C7486" s="75"/>
      <c r="D7486" s="75"/>
      <c r="E7486" s="75"/>
      <c r="F7486" s="75"/>
    </row>
    <row r="7487" spans="2:6">
      <c r="B7487" s="75"/>
      <c r="C7487" s="75"/>
      <c r="D7487" s="75"/>
      <c r="E7487" s="75"/>
      <c r="F7487" s="75"/>
    </row>
    <row r="7488" spans="2:6">
      <c r="B7488" s="75"/>
      <c r="C7488" s="75"/>
      <c r="D7488" s="75"/>
      <c r="E7488" s="75"/>
      <c r="F7488" s="75"/>
    </row>
    <row r="7489" spans="2:6">
      <c r="B7489" s="75"/>
      <c r="C7489" s="75"/>
      <c r="D7489" s="75"/>
      <c r="E7489" s="75"/>
      <c r="F7489" s="75"/>
    </row>
    <row r="7490" spans="2:6">
      <c r="B7490" s="75"/>
      <c r="C7490" s="75"/>
      <c r="D7490" s="75"/>
      <c r="E7490" s="75"/>
      <c r="F7490" s="75"/>
    </row>
    <row r="7491" spans="2:6">
      <c r="B7491" s="75"/>
      <c r="C7491" s="75"/>
      <c r="D7491" s="75"/>
      <c r="E7491" s="75"/>
      <c r="F7491" s="75"/>
    </row>
    <row r="7492" spans="2:6">
      <c r="B7492" s="75"/>
      <c r="C7492" s="75"/>
      <c r="D7492" s="75"/>
      <c r="E7492" s="75"/>
      <c r="F7492" s="75"/>
    </row>
    <row r="7493" spans="2:6">
      <c r="B7493" s="75"/>
      <c r="C7493" s="75"/>
      <c r="D7493" s="75"/>
      <c r="E7493" s="75"/>
      <c r="F7493" s="75"/>
    </row>
    <row r="7494" spans="2:6">
      <c r="B7494" s="75"/>
      <c r="C7494" s="75"/>
      <c r="D7494" s="75"/>
      <c r="E7494" s="75"/>
      <c r="F7494" s="75"/>
    </row>
    <row r="7495" spans="2:6">
      <c r="B7495" s="75"/>
      <c r="C7495" s="75"/>
      <c r="D7495" s="75"/>
      <c r="E7495" s="75"/>
      <c r="F7495" s="75"/>
    </row>
    <row r="7496" spans="2:6">
      <c r="B7496" s="75"/>
      <c r="C7496" s="75"/>
      <c r="D7496" s="75"/>
      <c r="E7496" s="75"/>
      <c r="F7496" s="75"/>
    </row>
    <row r="7497" spans="2:6">
      <c r="B7497" s="75"/>
      <c r="C7497" s="75"/>
      <c r="D7497" s="75"/>
      <c r="E7497" s="75"/>
      <c r="F7497" s="75"/>
    </row>
    <row r="7498" spans="2:6">
      <c r="B7498" s="75"/>
      <c r="C7498" s="75"/>
      <c r="D7498" s="75"/>
      <c r="E7498" s="75"/>
      <c r="F7498" s="75"/>
    </row>
    <row r="7499" spans="2:6">
      <c r="B7499" s="75"/>
      <c r="C7499" s="75"/>
      <c r="D7499" s="75"/>
      <c r="E7499" s="75"/>
      <c r="F7499" s="75"/>
    </row>
    <row r="7500" spans="2:6">
      <c r="B7500" s="75"/>
      <c r="C7500" s="75"/>
      <c r="D7500" s="75"/>
      <c r="E7500" s="75"/>
      <c r="F7500" s="75"/>
    </row>
    <row r="7501" spans="2:6">
      <c r="B7501" s="75"/>
      <c r="C7501" s="75"/>
      <c r="D7501" s="75"/>
      <c r="E7501" s="75"/>
      <c r="F7501" s="75"/>
    </row>
    <row r="7502" spans="2:6">
      <c r="B7502" s="75"/>
      <c r="C7502" s="75"/>
      <c r="D7502" s="75"/>
      <c r="E7502" s="75"/>
      <c r="F7502" s="75"/>
    </row>
    <row r="7503" spans="2:6">
      <c r="B7503" s="75"/>
      <c r="C7503" s="75"/>
      <c r="D7503" s="75"/>
      <c r="E7503" s="75"/>
      <c r="F7503" s="75"/>
    </row>
    <row r="7504" spans="2:6">
      <c r="B7504" s="75"/>
      <c r="C7504" s="75"/>
      <c r="D7504" s="75"/>
      <c r="E7504" s="75"/>
      <c r="F7504" s="75"/>
    </row>
    <row r="7505" spans="2:6">
      <c r="B7505" s="75"/>
      <c r="C7505" s="75"/>
      <c r="D7505" s="75"/>
      <c r="E7505" s="75"/>
      <c r="F7505" s="75"/>
    </row>
    <row r="7506" spans="2:6">
      <c r="B7506" s="75"/>
      <c r="C7506" s="75"/>
      <c r="D7506" s="75"/>
      <c r="E7506" s="75"/>
      <c r="F7506" s="75"/>
    </row>
    <row r="7507" spans="2:6">
      <c r="B7507" s="75"/>
      <c r="C7507" s="75"/>
      <c r="D7507" s="75"/>
      <c r="E7507" s="75"/>
      <c r="F7507" s="75"/>
    </row>
    <row r="7508" spans="2:6">
      <c r="B7508" s="75"/>
      <c r="C7508" s="75"/>
      <c r="D7508" s="75"/>
      <c r="E7508" s="75"/>
      <c r="F7508" s="75"/>
    </row>
    <row r="7509" spans="2:6">
      <c r="B7509" s="75"/>
      <c r="C7509" s="75"/>
      <c r="D7509" s="75"/>
      <c r="E7509" s="75"/>
      <c r="F7509" s="75"/>
    </row>
    <row r="7510" spans="2:6">
      <c r="B7510" s="75"/>
      <c r="C7510" s="75"/>
      <c r="D7510" s="75"/>
      <c r="E7510" s="75"/>
      <c r="F7510" s="75"/>
    </row>
    <row r="7511" spans="2:6">
      <c r="B7511" s="75"/>
      <c r="C7511" s="75"/>
      <c r="D7511" s="75"/>
      <c r="E7511" s="75"/>
      <c r="F7511" s="75"/>
    </row>
    <row r="7512" spans="2:6">
      <c r="B7512" s="75"/>
      <c r="C7512" s="75"/>
      <c r="D7512" s="75"/>
      <c r="E7512" s="75"/>
      <c r="F7512" s="75"/>
    </row>
    <row r="7513" spans="2:6">
      <c r="B7513" s="75"/>
      <c r="C7513" s="75"/>
      <c r="D7513" s="75"/>
      <c r="E7513" s="75"/>
      <c r="F7513" s="75"/>
    </row>
    <row r="7514" spans="2:6">
      <c r="B7514" s="75"/>
      <c r="C7514" s="75"/>
      <c r="D7514" s="75"/>
      <c r="E7514" s="75"/>
      <c r="F7514" s="75"/>
    </row>
    <row r="7515" spans="2:6">
      <c r="B7515" s="75"/>
      <c r="C7515" s="75"/>
      <c r="D7515" s="75"/>
      <c r="E7515" s="75"/>
      <c r="F7515" s="75"/>
    </row>
    <row r="7516" spans="2:6">
      <c r="B7516" s="75"/>
      <c r="C7516" s="75"/>
      <c r="D7516" s="75"/>
      <c r="E7516" s="75"/>
      <c r="F7516" s="75"/>
    </row>
    <row r="7517" spans="2:6">
      <c r="B7517" s="75"/>
      <c r="C7517" s="75"/>
      <c r="D7517" s="75"/>
      <c r="E7517" s="75"/>
      <c r="F7517" s="75"/>
    </row>
    <row r="7518" spans="2:6">
      <c r="B7518" s="75"/>
      <c r="C7518" s="75"/>
      <c r="D7518" s="75"/>
      <c r="E7518" s="75"/>
      <c r="F7518" s="75"/>
    </row>
    <row r="7519" spans="2:6">
      <c r="B7519" s="75"/>
      <c r="C7519" s="75"/>
      <c r="D7519" s="75"/>
      <c r="E7519" s="75"/>
      <c r="F7519" s="75"/>
    </row>
    <row r="7520" spans="2:6">
      <c r="B7520" s="75"/>
      <c r="C7520" s="75"/>
      <c r="D7520" s="75"/>
      <c r="E7520" s="75"/>
      <c r="F7520" s="75"/>
    </row>
    <row r="7521" spans="2:6">
      <c r="B7521" s="75"/>
      <c r="C7521" s="75"/>
      <c r="D7521" s="75"/>
      <c r="E7521" s="75"/>
      <c r="F7521" s="75"/>
    </row>
    <row r="7522" spans="2:6">
      <c r="B7522" s="75"/>
      <c r="C7522" s="75"/>
      <c r="D7522" s="75"/>
      <c r="E7522" s="75"/>
      <c r="F7522" s="75"/>
    </row>
    <row r="7523" spans="2:6">
      <c r="B7523" s="75"/>
      <c r="C7523" s="75"/>
      <c r="D7523" s="75"/>
      <c r="E7523" s="75"/>
      <c r="F7523" s="75"/>
    </row>
    <row r="7524" spans="2:6">
      <c r="B7524" s="75"/>
      <c r="C7524" s="75"/>
      <c r="D7524" s="75"/>
      <c r="E7524" s="75"/>
      <c r="F7524" s="75"/>
    </row>
    <row r="7525" spans="2:6">
      <c r="B7525" s="75"/>
      <c r="C7525" s="75"/>
      <c r="D7525" s="75"/>
      <c r="E7525" s="75"/>
      <c r="F7525" s="75"/>
    </row>
    <row r="7526" spans="2:6">
      <c r="B7526" s="75"/>
      <c r="C7526" s="75"/>
      <c r="D7526" s="75"/>
      <c r="E7526" s="75"/>
      <c r="F7526" s="75"/>
    </row>
    <row r="7527" spans="2:6">
      <c r="B7527" s="75"/>
      <c r="C7527" s="75"/>
      <c r="D7527" s="75"/>
      <c r="E7527" s="75"/>
      <c r="F7527" s="75"/>
    </row>
    <row r="7528" spans="2:6">
      <c r="B7528" s="75"/>
      <c r="C7528" s="75"/>
      <c r="D7528" s="75"/>
      <c r="E7528" s="75"/>
      <c r="F7528" s="75"/>
    </row>
    <row r="7529" spans="2:6">
      <c r="B7529" s="75"/>
      <c r="C7529" s="75"/>
      <c r="D7529" s="75"/>
      <c r="E7529" s="75"/>
      <c r="F7529" s="75"/>
    </row>
    <row r="7530" spans="2:6">
      <c r="B7530" s="75"/>
      <c r="C7530" s="75"/>
      <c r="D7530" s="75"/>
      <c r="E7530" s="75"/>
      <c r="F7530" s="75"/>
    </row>
    <row r="7531" spans="2:6">
      <c r="B7531" s="75"/>
      <c r="C7531" s="75"/>
      <c r="D7531" s="75"/>
      <c r="E7531" s="75"/>
      <c r="F7531" s="75"/>
    </row>
    <row r="7532" spans="2:6">
      <c r="B7532" s="75"/>
      <c r="C7532" s="75"/>
      <c r="D7532" s="75"/>
      <c r="E7532" s="75"/>
      <c r="F7532" s="75"/>
    </row>
    <row r="7533" spans="2:6">
      <c r="B7533" s="75"/>
      <c r="C7533" s="75"/>
      <c r="D7533" s="75"/>
      <c r="E7533" s="75"/>
      <c r="F7533" s="75"/>
    </row>
    <row r="7534" spans="2:6">
      <c r="B7534" s="75"/>
      <c r="C7534" s="75"/>
      <c r="D7534" s="75"/>
      <c r="E7534" s="75"/>
      <c r="F7534" s="75"/>
    </row>
    <row r="7535" spans="2:6">
      <c r="B7535" s="75"/>
      <c r="C7535" s="75"/>
      <c r="D7535" s="75"/>
      <c r="E7535" s="75"/>
      <c r="F7535" s="75"/>
    </row>
    <row r="7536" spans="2:6">
      <c r="B7536" s="75"/>
      <c r="C7536" s="75"/>
      <c r="D7536" s="75"/>
      <c r="E7536" s="75"/>
      <c r="F7536" s="75"/>
    </row>
    <row r="7537" spans="2:6">
      <c r="B7537" s="75"/>
      <c r="C7537" s="75"/>
      <c r="D7537" s="75"/>
      <c r="E7537" s="75"/>
      <c r="F7537" s="75"/>
    </row>
    <row r="7538" spans="2:6">
      <c r="B7538" s="75"/>
      <c r="C7538" s="75"/>
      <c r="D7538" s="75"/>
      <c r="E7538" s="75"/>
      <c r="F7538" s="75"/>
    </row>
    <row r="7539" spans="2:6">
      <c r="B7539" s="75"/>
      <c r="C7539" s="75"/>
      <c r="D7539" s="75"/>
      <c r="E7539" s="75"/>
      <c r="F7539" s="75"/>
    </row>
    <row r="7540" spans="2:6">
      <c r="B7540" s="75"/>
      <c r="C7540" s="75"/>
      <c r="D7540" s="75"/>
      <c r="E7540" s="75"/>
      <c r="F7540" s="75"/>
    </row>
    <row r="7541" spans="2:6">
      <c r="B7541" s="75"/>
      <c r="C7541" s="75"/>
      <c r="D7541" s="75"/>
      <c r="E7541" s="75"/>
      <c r="F7541" s="75"/>
    </row>
    <row r="7542" spans="2:6">
      <c r="B7542" s="75"/>
      <c r="C7542" s="75"/>
      <c r="D7542" s="75"/>
      <c r="E7542" s="75"/>
      <c r="F7542" s="75"/>
    </row>
    <row r="7543" spans="2:6">
      <c r="B7543" s="75"/>
      <c r="C7543" s="75"/>
      <c r="D7543" s="75"/>
      <c r="E7543" s="75"/>
      <c r="F7543" s="75"/>
    </row>
    <row r="7544" spans="2:6">
      <c r="B7544" s="75"/>
      <c r="C7544" s="75"/>
      <c r="D7544" s="75"/>
      <c r="E7544" s="75"/>
      <c r="F7544" s="75"/>
    </row>
    <row r="7545" spans="2:6">
      <c r="B7545" s="75"/>
      <c r="C7545" s="75"/>
      <c r="D7545" s="75"/>
      <c r="E7545" s="75"/>
      <c r="F7545" s="75"/>
    </row>
    <row r="7546" spans="2:6">
      <c r="B7546" s="75"/>
      <c r="C7546" s="75"/>
      <c r="D7546" s="75"/>
      <c r="E7546" s="75"/>
      <c r="F7546" s="75"/>
    </row>
    <row r="7547" spans="2:6">
      <c r="B7547" s="75"/>
      <c r="C7547" s="75"/>
      <c r="D7547" s="75"/>
      <c r="E7547" s="75"/>
      <c r="F7547" s="75"/>
    </row>
    <row r="7548" spans="2:6">
      <c r="B7548" s="75"/>
      <c r="C7548" s="75"/>
      <c r="D7548" s="75"/>
      <c r="E7548" s="75"/>
      <c r="F7548" s="75"/>
    </row>
    <row r="7549" spans="2:6">
      <c r="B7549" s="75"/>
      <c r="C7549" s="75"/>
      <c r="D7549" s="75"/>
      <c r="E7549" s="75"/>
      <c r="F7549" s="75"/>
    </row>
    <row r="7550" spans="2:6">
      <c r="B7550" s="75"/>
      <c r="C7550" s="75"/>
      <c r="D7550" s="75"/>
      <c r="E7550" s="75"/>
      <c r="F7550" s="75"/>
    </row>
    <row r="7551" spans="2:6">
      <c r="B7551" s="75"/>
      <c r="C7551" s="75"/>
      <c r="D7551" s="75"/>
      <c r="E7551" s="75"/>
      <c r="F7551" s="75"/>
    </row>
    <row r="7552" spans="2:6">
      <c r="B7552" s="75"/>
      <c r="C7552" s="75"/>
      <c r="D7552" s="75"/>
      <c r="E7552" s="75"/>
      <c r="F7552" s="75"/>
    </row>
    <row r="7553" spans="2:6">
      <c r="B7553" s="75"/>
      <c r="C7553" s="75"/>
      <c r="D7553" s="75"/>
      <c r="E7553" s="75"/>
      <c r="F7553" s="75"/>
    </row>
    <row r="7554" spans="2:6">
      <c r="B7554" s="75"/>
      <c r="C7554" s="75"/>
      <c r="D7554" s="75"/>
      <c r="E7554" s="75"/>
      <c r="F7554" s="75"/>
    </row>
    <row r="7555" spans="2:6">
      <c r="B7555" s="75"/>
      <c r="C7555" s="75"/>
      <c r="D7555" s="75"/>
      <c r="E7555" s="75"/>
      <c r="F7555" s="75"/>
    </row>
    <row r="7556" spans="2:6">
      <c r="B7556" s="75"/>
      <c r="C7556" s="75"/>
      <c r="D7556" s="75"/>
      <c r="E7556" s="75"/>
      <c r="F7556" s="75"/>
    </row>
    <row r="7557" spans="2:6">
      <c r="B7557" s="75"/>
      <c r="C7557" s="75"/>
      <c r="D7557" s="75"/>
      <c r="E7557" s="75"/>
      <c r="F7557" s="75"/>
    </row>
    <row r="7558" spans="2:6">
      <c r="B7558" s="75"/>
      <c r="C7558" s="75"/>
      <c r="D7558" s="75"/>
      <c r="E7558" s="75"/>
      <c r="F7558" s="75"/>
    </row>
    <row r="7559" spans="2:6">
      <c r="B7559" s="75"/>
      <c r="C7559" s="75"/>
      <c r="D7559" s="75"/>
      <c r="E7559" s="75"/>
      <c r="F7559" s="75"/>
    </row>
    <row r="7560" spans="2:6">
      <c r="B7560" s="75"/>
      <c r="C7560" s="75"/>
      <c r="D7560" s="75"/>
      <c r="E7560" s="75"/>
      <c r="F7560" s="75"/>
    </row>
    <row r="7561" spans="2:6">
      <c r="B7561" s="75"/>
      <c r="C7561" s="75"/>
      <c r="D7561" s="75"/>
      <c r="E7561" s="75"/>
      <c r="F7561" s="75"/>
    </row>
    <row r="7562" spans="2:6">
      <c r="B7562" s="75"/>
      <c r="C7562" s="75"/>
      <c r="D7562" s="75"/>
      <c r="E7562" s="75"/>
      <c r="F7562" s="75"/>
    </row>
    <row r="7563" spans="2:6">
      <c r="B7563" s="75"/>
      <c r="C7563" s="75"/>
      <c r="D7563" s="75"/>
      <c r="E7563" s="75"/>
      <c r="F7563" s="75"/>
    </row>
    <row r="7564" spans="2:6">
      <c r="B7564" s="75"/>
      <c r="C7564" s="75"/>
      <c r="D7564" s="75"/>
      <c r="E7564" s="75"/>
      <c r="F7564" s="75"/>
    </row>
    <row r="7565" spans="2:6">
      <c r="B7565" s="75"/>
      <c r="C7565" s="75"/>
      <c r="D7565" s="75"/>
      <c r="E7565" s="75"/>
      <c r="F7565" s="75"/>
    </row>
    <row r="7566" spans="2:6">
      <c r="B7566" s="75"/>
      <c r="C7566" s="75"/>
      <c r="D7566" s="75"/>
      <c r="E7566" s="75"/>
      <c r="F7566" s="75"/>
    </row>
    <row r="7567" spans="2:6">
      <c r="B7567" s="75"/>
      <c r="C7567" s="75"/>
      <c r="D7567" s="75"/>
      <c r="E7567" s="75"/>
      <c r="F7567" s="75"/>
    </row>
    <row r="7568" spans="2:6">
      <c r="B7568" s="75"/>
      <c r="C7568" s="75"/>
      <c r="D7568" s="75"/>
      <c r="E7568" s="75"/>
      <c r="F7568" s="75"/>
    </row>
    <row r="7569" spans="2:6">
      <c r="B7569" s="75"/>
      <c r="C7569" s="75"/>
      <c r="D7569" s="75"/>
      <c r="E7569" s="75"/>
      <c r="F7569" s="75"/>
    </row>
    <row r="7570" spans="2:6">
      <c r="B7570" s="75"/>
      <c r="C7570" s="75"/>
      <c r="D7570" s="75"/>
      <c r="E7570" s="75"/>
      <c r="F7570" s="75"/>
    </row>
    <row r="7571" spans="2:6">
      <c r="B7571" s="75"/>
      <c r="C7571" s="75"/>
      <c r="D7571" s="75"/>
      <c r="E7571" s="75"/>
      <c r="F7571" s="75"/>
    </row>
    <row r="7572" spans="2:6">
      <c r="B7572" s="75"/>
      <c r="C7572" s="75"/>
      <c r="D7572" s="75"/>
      <c r="E7572" s="75"/>
      <c r="F7572" s="75"/>
    </row>
    <row r="7573" spans="2:6">
      <c r="B7573" s="75"/>
      <c r="C7573" s="75"/>
      <c r="D7573" s="75"/>
      <c r="E7573" s="75"/>
      <c r="F7573" s="75"/>
    </row>
    <row r="7574" spans="2:6">
      <c r="B7574" s="75"/>
      <c r="C7574" s="75"/>
      <c r="D7574" s="75"/>
      <c r="E7574" s="75"/>
      <c r="F7574" s="75"/>
    </row>
    <row r="7575" spans="2:6">
      <c r="B7575" s="75"/>
      <c r="C7575" s="75"/>
      <c r="D7575" s="75"/>
      <c r="E7575" s="75"/>
      <c r="F7575" s="75"/>
    </row>
    <row r="7576" spans="2:6">
      <c r="B7576" s="75"/>
      <c r="C7576" s="75"/>
      <c r="D7576" s="75"/>
      <c r="E7576" s="75"/>
      <c r="F7576" s="75"/>
    </row>
    <row r="7577" spans="2:6">
      <c r="B7577" s="75"/>
      <c r="C7577" s="75"/>
      <c r="D7577" s="75"/>
      <c r="E7577" s="75"/>
      <c r="F7577" s="75"/>
    </row>
    <row r="7578" spans="2:6">
      <c r="B7578" s="75"/>
      <c r="C7578" s="75"/>
      <c r="D7578" s="75"/>
      <c r="E7578" s="75"/>
      <c r="F7578" s="75"/>
    </row>
    <row r="7579" spans="2:6">
      <c r="B7579" s="75"/>
      <c r="C7579" s="75"/>
      <c r="D7579" s="75"/>
      <c r="E7579" s="75"/>
      <c r="F7579" s="75"/>
    </row>
    <row r="7580" spans="2:6">
      <c r="B7580" s="75"/>
      <c r="C7580" s="75"/>
      <c r="D7580" s="75"/>
      <c r="E7580" s="75"/>
      <c r="F7580" s="75"/>
    </row>
    <row r="7581" spans="2:6">
      <c r="B7581" s="75"/>
      <c r="C7581" s="75"/>
      <c r="D7581" s="75"/>
      <c r="E7581" s="75"/>
      <c r="F7581" s="75"/>
    </row>
    <row r="7582" spans="2:6">
      <c r="B7582" s="75"/>
      <c r="C7582" s="75"/>
      <c r="D7582" s="75"/>
      <c r="E7582" s="75"/>
      <c r="F7582" s="75"/>
    </row>
    <row r="7583" spans="2:6">
      <c r="B7583" s="75"/>
      <c r="C7583" s="75"/>
      <c r="D7583" s="75"/>
      <c r="E7583" s="75"/>
      <c r="F7583" s="75"/>
    </row>
    <row r="7584" spans="2:6">
      <c r="B7584" s="75"/>
      <c r="C7584" s="75"/>
      <c r="D7584" s="75"/>
      <c r="E7584" s="75"/>
      <c r="F7584" s="75"/>
    </row>
    <row r="7585" spans="2:6">
      <c r="B7585" s="75"/>
      <c r="C7585" s="75"/>
      <c r="D7585" s="75"/>
      <c r="E7585" s="75"/>
      <c r="F7585" s="75"/>
    </row>
    <row r="7586" spans="2:6">
      <c r="B7586" s="75"/>
      <c r="C7586" s="75"/>
      <c r="D7586" s="75"/>
      <c r="E7586" s="75"/>
      <c r="F7586" s="75"/>
    </row>
    <row r="7587" spans="2:6">
      <c r="B7587" s="75"/>
      <c r="C7587" s="75"/>
      <c r="D7587" s="75"/>
      <c r="E7587" s="75"/>
      <c r="F7587" s="75"/>
    </row>
    <row r="7588" spans="2:6">
      <c r="B7588" s="75"/>
      <c r="C7588" s="75"/>
      <c r="D7588" s="75"/>
      <c r="E7588" s="75"/>
      <c r="F7588" s="75"/>
    </row>
    <row r="7589" spans="2:6">
      <c r="B7589" s="75"/>
      <c r="C7589" s="75"/>
      <c r="D7589" s="75"/>
      <c r="E7589" s="75"/>
      <c r="F7589" s="75"/>
    </row>
    <row r="7590" spans="2:6">
      <c r="B7590" s="75"/>
      <c r="C7590" s="75"/>
      <c r="D7590" s="75"/>
      <c r="E7590" s="75"/>
      <c r="F7590" s="75"/>
    </row>
    <row r="7591" spans="2:6">
      <c r="B7591" s="75"/>
      <c r="C7591" s="75"/>
      <c r="D7591" s="75"/>
      <c r="E7591" s="75"/>
      <c r="F7591" s="75"/>
    </row>
    <row r="7592" spans="2:6">
      <c r="B7592" s="75"/>
      <c r="C7592" s="75"/>
      <c r="D7592" s="75"/>
      <c r="E7592" s="75"/>
      <c r="F7592" s="75"/>
    </row>
    <row r="7593" spans="2:6">
      <c r="B7593" s="75"/>
      <c r="C7593" s="75"/>
      <c r="D7593" s="75"/>
      <c r="E7593" s="75"/>
      <c r="F7593" s="75"/>
    </row>
    <row r="7594" spans="2:6">
      <c r="B7594" s="75"/>
      <c r="C7594" s="75"/>
      <c r="D7594" s="75"/>
      <c r="E7594" s="75"/>
      <c r="F7594" s="75"/>
    </row>
    <row r="7595" spans="2:6">
      <c r="B7595" s="75"/>
      <c r="C7595" s="75"/>
      <c r="D7595" s="75"/>
      <c r="E7595" s="75"/>
      <c r="F7595" s="75"/>
    </row>
    <row r="7596" spans="2:6">
      <c r="B7596" s="75"/>
      <c r="C7596" s="75"/>
      <c r="D7596" s="75"/>
      <c r="E7596" s="75"/>
      <c r="F7596" s="75"/>
    </row>
    <row r="7597" spans="2:6">
      <c r="B7597" s="75"/>
      <c r="C7597" s="75"/>
      <c r="D7597" s="75"/>
      <c r="E7597" s="75"/>
      <c r="F7597" s="75"/>
    </row>
    <row r="7598" spans="2:6">
      <c r="B7598" s="75"/>
      <c r="C7598" s="75"/>
      <c r="D7598" s="75"/>
      <c r="E7598" s="75"/>
      <c r="F7598" s="75"/>
    </row>
    <row r="7599" spans="2:6">
      <c r="B7599" s="75"/>
      <c r="C7599" s="75"/>
      <c r="D7599" s="75"/>
      <c r="E7599" s="75"/>
      <c r="F7599" s="75"/>
    </row>
    <row r="7600" spans="2:6">
      <c r="B7600" s="75"/>
      <c r="C7600" s="75"/>
      <c r="D7600" s="75"/>
      <c r="E7600" s="75"/>
      <c r="F7600" s="75"/>
    </row>
    <row r="7601" spans="2:6">
      <c r="B7601" s="75"/>
      <c r="C7601" s="75"/>
      <c r="D7601" s="75"/>
      <c r="E7601" s="75"/>
      <c r="F7601" s="75"/>
    </row>
    <row r="7602" spans="2:6">
      <c r="B7602" s="75"/>
      <c r="C7602" s="75"/>
      <c r="D7602" s="75"/>
      <c r="E7602" s="75"/>
      <c r="F7602" s="75"/>
    </row>
    <row r="7603" spans="2:6">
      <c r="B7603" s="75"/>
      <c r="C7603" s="75"/>
      <c r="D7603" s="75"/>
      <c r="E7603" s="75"/>
      <c r="F7603" s="75"/>
    </row>
    <row r="7604" spans="2:6">
      <c r="B7604" s="75"/>
      <c r="C7604" s="75"/>
      <c r="D7604" s="75"/>
      <c r="E7604" s="75"/>
      <c r="F7604" s="75"/>
    </row>
    <row r="7605" spans="2:6">
      <c r="B7605" s="75"/>
      <c r="C7605" s="75"/>
      <c r="D7605" s="75"/>
      <c r="E7605" s="75"/>
      <c r="F7605" s="75"/>
    </row>
    <row r="7606" spans="2:6">
      <c r="B7606" s="75"/>
      <c r="C7606" s="75"/>
      <c r="D7606" s="75"/>
      <c r="E7606" s="75"/>
      <c r="F7606" s="75"/>
    </row>
    <row r="7607" spans="2:6">
      <c r="B7607" s="75"/>
      <c r="C7607" s="75"/>
      <c r="D7607" s="75"/>
      <c r="E7607" s="75"/>
      <c r="F7607" s="75"/>
    </row>
    <row r="7608" spans="2:6">
      <c r="B7608" s="75"/>
      <c r="C7608" s="75"/>
      <c r="D7608" s="75"/>
      <c r="E7608" s="75"/>
      <c r="F7608" s="75"/>
    </row>
    <row r="7609" spans="2:6">
      <c r="B7609" s="75"/>
      <c r="C7609" s="75"/>
      <c r="D7609" s="75"/>
      <c r="E7609" s="75"/>
      <c r="F7609" s="75"/>
    </row>
    <row r="7610" spans="2:6">
      <c r="B7610" s="75"/>
      <c r="C7610" s="75"/>
      <c r="D7610" s="75"/>
      <c r="E7610" s="75"/>
      <c r="F7610" s="75"/>
    </row>
    <row r="7611" spans="2:6">
      <c r="B7611" s="75"/>
      <c r="C7611" s="75"/>
      <c r="D7611" s="75"/>
      <c r="E7611" s="75"/>
      <c r="F7611" s="75"/>
    </row>
    <row r="7612" spans="2:6">
      <c r="B7612" s="75"/>
      <c r="C7612" s="75"/>
      <c r="D7612" s="75"/>
      <c r="E7612" s="75"/>
      <c r="F7612" s="75"/>
    </row>
    <row r="7613" spans="2:6">
      <c r="B7613" s="75"/>
      <c r="C7613" s="75"/>
      <c r="D7613" s="75"/>
      <c r="E7613" s="75"/>
      <c r="F7613" s="75"/>
    </row>
    <row r="7614" spans="2:6">
      <c r="B7614" s="75"/>
      <c r="C7614" s="75"/>
      <c r="D7614" s="75"/>
      <c r="E7614" s="75"/>
      <c r="F7614" s="75"/>
    </row>
    <row r="7615" spans="2:6">
      <c r="B7615" s="75"/>
      <c r="C7615" s="75"/>
      <c r="D7615" s="75"/>
      <c r="E7615" s="75"/>
      <c r="F7615" s="75"/>
    </row>
    <row r="7616" spans="2:6">
      <c r="B7616" s="75"/>
      <c r="C7616" s="75"/>
      <c r="D7616" s="75"/>
      <c r="E7616" s="75"/>
      <c r="F7616" s="75"/>
    </row>
    <row r="7617" spans="2:6">
      <c r="B7617" s="75"/>
      <c r="C7617" s="75"/>
      <c r="D7617" s="75"/>
      <c r="E7617" s="75"/>
      <c r="F7617" s="75"/>
    </row>
    <row r="7618" spans="2:6">
      <c r="B7618" s="75"/>
      <c r="C7618" s="75"/>
      <c r="D7618" s="75"/>
      <c r="E7618" s="75"/>
      <c r="F7618" s="75"/>
    </row>
    <row r="7619" spans="2:6">
      <c r="B7619" s="75"/>
      <c r="C7619" s="75"/>
      <c r="D7619" s="75"/>
      <c r="E7619" s="75"/>
      <c r="F7619" s="75"/>
    </row>
    <row r="7620" spans="2:6">
      <c r="B7620" s="75"/>
      <c r="C7620" s="75"/>
      <c r="D7620" s="75"/>
      <c r="E7620" s="75"/>
      <c r="F7620" s="75"/>
    </row>
    <row r="7621" spans="2:6">
      <c r="B7621" s="75"/>
      <c r="C7621" s="75"/>
      <c r="D7621" s="75"/>
      <c r="E7621" s="75"/>
      <c r="F7621" s="75"/>
    </row>
    <row r="7622" spans="2:6">
      <c r="B7622" s="75"/>
      <c r="C7622" s="75"/>
      <c r="D7622" s="75"/>
      <c r="E7622" s="75"/>
      <c r="F7622" s="75"/>
    </row>
    <row r="7623" spans="2:6">
      <c r="B7623" s="75"/>
      <c r="C7623" s="75"/>
      <c r="D7623" s="75"/>
      <c r="E7623" s="75"/>
      <c r="F7623" s="75"/>
    </row>
    <row r="7624" spans="2:6">
      <c r="B7624" s="75"/>
      <c r="C7624" s="75"/>
      <c r="D7624" s="75"/>
      <c r="E7624" s="75"/>
      <c r="F7624" s="75"/>
    </row>
    <row r="7625" spans="2:6">
      <c r="B7625" s="75"/>
      <c r="C7625" s="75"/>
      <c r="D7625" s="75"/>
      <c r="E7625" s="75"/>
      <c r="F7625" s="75"/>
    </row>
    <row r="7626" spans="2:6">
      <c r="B7626" s="75"/>
      <c r="C7626" s="75"/>
      <c r="D7626" s="75"/>
      <c r="E7626" s="75"/>
      <c r="F7626" s="75"/>
    </row>
    <row r="7627" spans="2:6">
      <c r="B7627" s="75"/>
      <c r="C7627" s="75"/>
      <c r="D7627" s="75"/>
      <c r="E7627" s="75"/>
      <c r="F7627" s="75"/>
    </row>
    <row r="7628" spans="2:6">
      <c r="B7628" s="75"/>
      <c r="C7628" s="75"/>
      <c r="D7628" s="75"/>
      <c r="E7628" s="75"/>
      <c r="F7628" s="75"/>
    </row>
    <row r="7629" spans="2:6">
      <c r="B7629" s="75"/>
      <c r="C7629" s="75"/>
      <c r="D7629" s="75"/>
      <c r="E7629" s="75"/>
      <c r="F7629" s="75"/>
    </row>
    <row r="7630" spans="2:6">
      <c r="B7630" s="75"/>
      <c r="C7630" s="75"/>
      <c r="D7630" s="75"/>
      <c r="E7630" s="75"/>
      <c r="F7630" s="75"/>
    </row>
    <row r="7631" spans="2:6">
      <c r="B7631" s="75"/>
      <c r="C7631" s="75"/>
      <c r="D7631" s="75"/>
      <c r="E7631" s="75"/>
      <c r="F7631" s="75"/>
    </row>
    <row r="7632" spans="2:6">
      <c r="B7632" s="75"/>
      <c r="C7632" s="75"/>
      <c r="D7632" s="75"/>
      <c r="E7632" s="75"/>
      <c r="F7632" s="75"/>
    </row>
    <row r="7633" spans="2:6">
      <c r="B7633" s="75"/>
      <c r="C7633" s="75"/>
      <c r="D7633" s="75"/>
      <c r="E7633" s="75"/>
      <c r="F7633" s="75"/>
    </row>
    <row r="7634" spans="2:6">
      <c r="B7634" s="75"/>
      <c r="C7634" s="75"/>
      <c r="D7634" s="75"/>
      <c r="E7634" s="75"/>
      <c r="F7634" s="75"/>
    </row>
    <row r="7635" spans="2:6">
      <c r="B7635" s="75"/>
      <c r="C7635" s="75"/>
      <c r="D7635" s="75"/>
      <c r="E7635" s="75"/>
      <c r="F7635" s="75"/>
    </row>
    <row r="7636" spans="2:6">
      <c r="B7636" s="75"/>
      <c r="C7636" s="75"/>
      <c r="D7636" s="75"/>
      <c r="E7636" s="75"/>
      <c r="F7636" s="75"/>
    </row>
    <row r="7637" spans="2:6">
      <c r="B7637" s="75"/>
      <c r="C7637" s="75"/>
      <c r="D7637" s="75"/>
      <c r="E7637" s="75"/>
      <c r="F7637" s="75"/>
    </row>
    <row r="7638" spans="2:6">
      <c r="B7638" s="75"/>
      <c r="C7638" s="75"/>
      <c r="D7638" s="75"/>
      <c r="E7638" s="75"/>
      <c r="F7638" s="75"/>
    </row>
    <row r="7639" spans="2:6">
      <c r="B7639" s="75"/>
      <c r="C7639" s="75"/>
      <c r="D7639" s="75"/>
      <c r="E7639" s="75"/>
      <c r="F7639" s="75"/>
    </row>
    <row r="7640" spans="2:6">
      <c r="B7640" s="75"/>
      <c r="C7640" s="75"/>
      <c r="D7640" s="75"/>
      <c r="E7640" s="75"/>
      <c r="F7640" s="75"/>
    </row>
    <row r="7641" spans="2:6">
      <c r="B7641" s="75"/>
      <c r="C7641" s="75"/>
      <c r="D7641" s="75"/>
      <c r="E7641" s="75"/>
      <c r="F7641" s="75"/>
    </row>
    <row r="7642" spans="2:6">
      <c r="B7642" s="75"/>
      <c r="C7642" s="75"/>
      <c r="D7642" s="75"/>
      <c r="E7642" s="75"/>
      <c r="F7642" s="75"/>
    </row>
    <row r="7643" spans="2:6">
      <c r="B7643" s="75"/>
      <c r="C7643" s="75"/>
      <c r="D7643" s="75"/>
      <c r="E7643" s="75"/>
      <c r="F7643" s="75"/>
    </row>
    <row r="7644" spans="2:6">
      <c r="B7644" s="75"/>
      <c r="C7644" s="75"/>
      <c r="D7644" s="75"/>
      <c r="E7644" s="75"/>
      <c r="F7644" s="75"/>
    </row>
    <row r="7645" spans="2:6">
      <c r="B7645" s="75"/>
      <c r="C7645" s="75"/>
      <c r="D7645" s="75"/>
      <c r="E7645" s="75"/>
      <c r="F7645" s="75"/>
    </row>
    <row r="7646" spans="2:6">
      <c r="B7646" s="75"/>
      <c r="C7646" s="75"/>
      <c r="D7646" s="75"/>
      <c r="E7646" s="75"/>
      <c r="F7646" s="75"/>
    </row>
    <row r="7647" spans="2:6">
      <c r="B7647" s="75"/>
      <c r="C7647" s="75"/>
      <c r="D7647" s="75"/>
      <c r="E7647" s="75"/>
      <c r="F7647" s="75"/>
    </row>
    <row r="7648" spans="2:6">
      <c r="B7648" s="75"/>
      <c r="C7648" s="75"/>
      <c r="D7648" s="75"/>
      <c r="E7648" s="75"/>
      <c r="F7648" s="75"/>
    </row>
    <row r="7649" spans="2:6">
      <c r="B7649" s="75"/>
      <c r="C7649" s="75"/>
      <c r="D7649" s="75"/>
      <c r="E7649" s="75"/>
      <c r="F7649" s="75"/>
    </row>
    <row r="7650" spans="2:6">
      <c r="B7650" s="75"/>
      <c r="C7650" s="75"/>
      <c r="D7650" s="75"/>
      <c r="E7650" s="75"/>
      <c r="F7650" s="75"/>
    </row>
    <row r="7651" spans="2:6">
      <c r="B7651" s="75"/>
      <c r="C7651" s="75"/>
      <c r="D7651" s="75"/>
      <c r="E7651" s="75"/>
      <c r="F7651" s="75"/>
    </row>
    <row r="7652" spans="2:6">
      <c r="B7652" s="75"/>
      <c r="C7652" s="75"/>
      <c r="D7652" s="75"/>
      <c r="E7652" s="75"/>
      <c r="F7652" s="75"/>
    </row>
    <row r="7653" spans="2:6">
      <c r="B7653" s="75"/>
      <c r="C7653" s="75"/>
      <c r="D7653" s="75"/>
      <c r="E7653" s="75"/>
      <c r="F7653" s="75"/>
    </row>
    <row r="7654" spans="2:6">
      <c r="B7654" s="75"/>
      <c r="C7654" s="75"/>
      <c r="D7654" s="75"/>
      <c r="E7654" s="75"/>
      <c r="F7654" s="75"/>
    </row>
    <row r="7655" spans="2:6">
      <c r="B7655" s="75"/>
      <c r="C7655" s="75"/>
      <c r="D7655" s="75"/>
      <c r="E7655" s="75"/>
      <c r="F7655" s="75"/>
    </row>
    <row r="7656" spans="2:6">
      <c r="B7656" s="75"/>
      <c r="C7656" s="75"/>
      <c r="D7656" s="75"/>
      <c r="E7656" s="75"/>
      <c r="F7656" s="75"/>
    </row>
    <row r="7657" spans="2:6">
      <c r="B7657" s="75"/>
      <c r="C7657" s="75"/>
      <c r="D7657" s="75"/>
      <c r="E7657" s="75"/>
      <c r="F7657" s="75"/>
    </row>
    <row r="7658" spans="2:6">
      <c r="B7658" s="75"/>
      <c r="C7658" s="75"/>
      <c r="D7658" s="75"/>
      <c r="E7658" s="75"/>
      <c r="F7658" s="75"/>
    </row>
    <row r="7659" spans="2:6">
      <c r="B7659" s="75"/>
      <c r="C7659" s="75"/>
      <c r="D7659" s="75"/>
      <c r="E7659" s="75"/>
      <c r="F7659" s="75"/>
    </row>
    <row r="7660" spans="2:6">
      <c r="B7660" s="75"/>
      <c r="C7660" s="75"/>
      <c r="D7660" s="75"/>
      <c r="E7660" s="75"/>
      <c r="F7660" s="75"/>
    </row>
    <row r="7661" spans="2:6">
      <c r="B7661" s="75"/>
      <c r="C7661" s="75"/>
      <c r="D7661" s="75"/>
      <c r="E7661" s="75"/>
      <c r="F7661" s="75"/>
    </row>
    <row r="7662" spans="2:6">
      <c r="B7662" s="75"/>
      <c r="C7662" s="75"/>
      <c r="D7662" s="75"/>
      <c r="E7662" s="75"/>
      <c r="F7662" s="75"/>
    </row>
    <row r="7663" spans="2:6">
      <c r="B7663" s="75"/>
      <c r="C7663" s="75"/>
      <c r="D7663" s="75"/>
      <c r="E7663" s="75"/>
      <c r="F7663" s="75"/>
    </row>
    <row r="7664" spans="2:6">
      <c r="B7664" s="75"/>
      <c r="C7664" s="75"/>
      <c r="D7664" s="75"/>
      <c r="E7664" s="75"/>
      <c r="F7664" s="75"/>
    </row>
    <row r="7665" spans="2:6">
      <c r="B7665" s="75"/>
      <c r="C7665" s="75"/>
      <c r="D7665" s="75"/>
      <c r="E7665" s="75"/>
      <c r="F7665" s="75"/>
    </row>
    <row r="7666" spans="2:6">
      <c r="B7666" s="75"/>
      <c r="C7666" s="75"/>
      <c r="D7666" s="75"/>
      <c r="E7666" s="75"/>
      <c r="F7666" s="75"/>
    </row>
    <row r="7667" spans="2:6">
      <c r="B7667" s="75"/>
      <c r="C7667" s="75"/>
      <c r="D7667" s="75"/>
      <c r="E7667" s="75"/>
      <c r="F7667" s="75"/>
    </row>
    <row r="7668" spans="2:6">
      <c r="B7668" s="75"/>
      <c r="C7668" s="75"/>
      <c r="D7668" s="75"/>
      <c r="E7668" s="75"/>
      <c r="F7668" s="75"/>
    </row>
    <row r="7669" spans="2:6">
      <c r="B7669" s="75"/>
      <c r="C7669" s="75"/>
      <c r="D7669" s="75"/>
      <c r="E7669" s="75"/>
      <c r="F7669" s="75"/>
    </row>
    <row r="7670" spans="2:6">
      <c r="B7670" s="75"/>
      <c r="C7670" s="75"/>
      <c r="D7670" s="75"/>
      <c r="E7670" s="75"/>
      <c r="F7670" s="75"/>
    </row>
    <row r="7671" spans="2:6">
      <c r="B7671" s="75"/>
      <c r="C7671" s="75"/>
      <c r="D7671" s="75"/>
      <c r="E7671" s="75"/>
      <c r="F7671" s="75"/>
    </row>
    <row r="7672" spans="2:6">
      <c r="B7672" s="75"/>
      <c r="C7672" s="75"/>
      <c r="D7672" s="75"/>
      <c r="E7672" s="75"/>
      <c r="F7672" s="75"/>
    </row>
    <row r="7673" spans="2:6">
      <c r="B7673" s="75"/>
      <c r="C7673" s="75"/>
      <c r="D7673" s="75"/>
      <c r="E7673" s="75"/>
      <c r="F7673" s="75"/>
    </row>
    <row r="7674" spans="2:6">
      <c r="B7674" s="75"/>
      <c r="C7674" s="75"/>
      <c r="D7674" s="75"/>
      <c r="E7674" s="75"/>
      <c r="F7674" s="75"/>
    </row>
    <row r="7675" spans="2:6">
      <c r="B7675" s="75"/>
      <c r="C7675" s="75"/>
      <c r="D7675" s="75"/>
      <c r="E7675" s="75"/>
      <c r="F7675" s="75"/>
    </row>
    <row r="7676" spans="2:6">
      <c r="B7676" s="75"/>
      <c r="C7676" s="75"/>
      <c r="D7676" s="75"/>
      <c r="E7676" s="75"/>
      <c r="F7676" s="75"/>
    </row>
    <row r="7677" spans="2:6">
      <c r="B7677" s="75"/>
      <c r="C7677" s="75"/>
      <c r="D7677" s="75"/>
      <c r="E7677" s="75"/>
      <c r="F7677" s="75"/>
    </row>
    <row r="7678" spans="2:6">
      <c r="B7678" s="75"/>
      <c r="C7678" s="75"/>
      <c r="D7678" s="75"/>
      <c r="E7678" s="75"/>
      <c r="F7678" s="75"/>
    </row>
    <row r="7679" spans="2:6">
      <c r="B7679" s="75"/>
      <c r="C7679" s="75"/>
      <c r="D7679" s="75"/>
      <c r="E7679" s="75"/>
      <c r="F7679" s="75"/>
    </row>
    <row r="7680" spans="2:6">
      <c r="B7680" s="75"/>
      <c r="C7680" s="75"/>
      <c r="D7680" s="75"/>
      <c r="E7680" s="75"/>
      <c r="F7680" s="75"/>
    </row>
    <row r="7681" spans="2:6">
      <c r="B7681" s="75"/>
      <c r="C7681" s="75"/>
      <c r="D7681" s="75"/>
      <c r="E7681" s="75"/>
      <c r="F7681" s="75"/>
    </row>
    <row r="7682" spans="2:6">
      <c r="B7682" s="75"/>
      <c r="C7682" s="75"/>
      <c r="D7682" s="75"/>
      <c r="E7682" s="75"/>
      <c r="F7682" s="75"/>
    </row>
    <row r="7683" spans="2:6">
      <c r="B7683" s="75"/>
      <c r="C7683" s="75"/>
      <c r="D7683" s="75"/>
      <c r="E7683" s="75"/>
      <c r="F7683" s="75"/>
    </row>
    <row r="7684" spans="2:6">
      <c r="B7684" s="75"/>
      <c r="C7684" s="75"/>
      <c r="D7684" s="75"/>
      <c r="E7684" s="75"/>
      <c r="F7684" s="75"/>
    </row>
    <row r="7685" spans="2:6">
      <c r="B7685" s="75"/>
      <c r="C7685" s="75"/>
      <c r="D7685" s="75"/>
      <c r="E7685" s="75"/>
      <c r="F7685" s="75"/>
    </row>
    <row r="7686" spans="2:6">
      <c r="B7686" s="75"/>
      <c r="C7686" s="75"/>
      <c r="D7686" s="75"/>
      <c r="E7686" s="75"/>
      <c r="F7686" s="75"/>
    </row>
    <row r="7687" spans="2:6">
      <c r="B7687" s="75"/>
      <c r="C7687" s="75"/>
      <c r="D7687" s="75"/>
      <c r="E7687" s="75"/>
      <c r="F7687" s="75"/>
    </row>
    <row r="7688" spans="2:6">
      <c r="B7688" s="75"/>
      <c r="C7688" s="75"/>
      <c r="D7688" s="75"/>
      <c r="E7688" s="75"/>
      <c r="F7688" s="75"/>
    </row>
    <row r="7689" spans="2:6">
      <c r="B7689" s="75"/>
      <c r="C7689" s="75"/>
      <c r="D7689" s="75"/>
      <c r="E7689" s="75"/>
      <c r="F7689" s="75"/>
    </row>
    <row r="7690" spans="2:6">
      <c r="B7690" s="75"/>
      <c r="C7690" s="75"/>
      <c r="D7690" s="75"/>
      <c r="E7690" s="75"/>
      <c r="F7690" s="75"/>
    </row>
    <row r="7691" spans="2:6">
      <c r="B7691" s="75"/>
      <c r="C7691" s="75"/>
      <c r="D7691" s="75"/>
      <c r="E7691" s="75"/>
      <c r="F7691" s="75"/>
    </row>
    <row r="7692" spans="2:6">
      <c r="B7692" s="75"/>
      <c r="C7692" s="75"/>
      <c r="D7692" s="75"/>
      <c r="E7692" s="75"/>
      <c r="F7692" s="75"/>
    </row>
    <row r="7693" spans="2:6">
      <c r="B7693" s="75"/>
      <c r="C7693" s="75"/>
      <c r="D7693" s="75"/>
      <c r="E7693" s="75"/>
      <c r="F7693" s="75"/>
    </row>
    <row r="7694" spans="2:6">
      <c r="B7694" s="75"/>
      <c r="C7694" s="75"/>
      <c r="D7694" s="75"/>
      <c r="E7694" s="75"/>
      <c r="F7694" s="75"/>
    </row>
    <row r="7695" spans="2:6">
      <c r="B7695" s="75"/>
      <c r="C7695" s="75"/>
      <c r="D7695" s="75"/>
      <c r="E7695" s="75"/>
      <c r="F7695" s="75"/>
    </row>
    <row r="7696" spans="2:6">
      <c r="B7696" s="75"/>
      <c r="C7696" s="75"/>
      <c r="D7696" s="75"/>
      <c r="E7696" s="75"/>
      <c r="F7696" s="75"/>
    </row>
    <row r="7697" spans="2:6">
      <c r="B7697" s="75"/>
      <c r="C7697" s="75"/>
      <c r="D7697" s="75"/>
      <c r="E7697" s="75"/>
      <c r="F7697" s="75"/>
    </row>
    <row r="7698" spans="2:6">
      <c r="B7698" s="75"/>
      <c r="C7698" s="75"/>
      <c r="D7698" s="75"/>
      <c r="E7698" s="75"/>
      <c r="F7698" s="75"/>
    </row>
    <row r="7699" spans="2:6">
      <c r="B7699" s="75"/>
      <c r="C7699" s="75"/>
      <c r="D7699" s="75"/>
      <c r="E7699" s="75"/>
      <c r="F7699" s="75"/>
    </row>
    <row r="7700" spans="2:6">
      <c r="B7700" s="75"/>
      <c r="C7700" s="75"/>
      <c r="D7700" s="75"/>
      <c r="E7700" s="75"/>
      <c r="F7700" s="75"/>
    </row>
    <row r="7701" spans="2:6">
      <c r="B7701" s="75"/>
      <c r="C7701" s="75"/>
      <c r="D7701" s="75"/>
      <c r="E7701" s="75"/>
      <c r="F7701" s="75"/>
    </row>
    <row r="7702" spans="2:6">
      <c r="B7702" s="75"/>
      <c r="C7702" s="75"/>
      <c r="D7702" s="75"/>
      <c r="E7702" s="75"/>
      <c r="F7702" s="75"/>
    </row>
    <row r="7703" spans="2:6">
      <c r="B7703" s="75"/>
      <c r="C7703" s="75"/>
      <c r="D7703" s="75"/>
      <c r="E7703" s="75"/>
      <c r="F7703" s="75"/>
    </row>
    <row r="7704" spans="2:6">
      <c r="B7704" s="75"/>
      <c r="C7704" s="75"/>
      <c r="D7704" s="75"/>
      <c r="E7704" s="75"/>
      <c r="F7704" s="75"/>
    </row>
    <row r="7705" spans="2:6">
      <c r="B7705" s="75"/>
      <c r="C7705" s="75"/>
      <c r="D7705" s="75"/>
      <c r="E7705" s="75"/>
      <c r="F7705" s="75"/>
    </row>
    <row r="7706" spans="2:6">
      <c r="B7706" s="75"/>
      <c r="C7706" s="75"/>
      <c r="D7706" s="75"/>
      <c r="E7706" s="75"/>
      <c r="F7706" s="75"/>
    </row>
    <row r="7707" spans="2:6">
      <c r="B7707" s="75"/>
      <c r="C7707" s="75"/>
      <c r="D7707" s="75"/>
      <c r="E7707" s="75"/>
      <c r="F7707" s="75"/>
    </row>
    <row r="7708" spans="2:6">
      <c r="B7708" s="75"/>
      <c r="C7708" s="75"/>
      <c r="D7708" s="75"/>
      <c r="E7708" s="75"/>
      <c r="F7708" s="75"/>
    </row>
    <row r="7709" spans="2:6">
      <c r="B7709" s="75"/>
      <c r="C7709" s="75"/>
      <c r="D7709" s="75"/>
      <c r="E7709" s="75"/>
      <c r="F7709" s="75"/>
    </row>
    <row r="7710" spans="2:6">
      <c r="B7710" s="75"/>
      <c r="C7710" s="75"/>
      <c r="D7710" s="75"/>
      <c r="E7710" s="75"/>
      <c r="F7710" s="75"/>
    </row>
    <row r="7711" spans="2:6">
      <c r="B7711" s="75"/>
      <c r="C7711" s="75"/>
      <c r="D7711" s="75"/>
      <c r="E7711" s="75"/>
      <c r="F7711" s="75"/>
    </row>
    <row r="7712" spans="2:6">
      <c r="B7712" s="75"/>
      <c r="C7712" s="75"/>
      <c r="D7712" s="75"/>
      <c r="E7712" s="75"/>
      <c r="F7712" s="75"/>
    </row>
    <row r="7713" spans="2:6">
      <c r="B7713" s="75"/>
      <c r="C7713" s="75"/>
      <c r="D7713" s="75"/>
      <c r="E7713" s="75"/>
      <c r="F7713" s="75"/>
    </row>
    <row r="7714" spans="2:6">
      <c r="B7714" s="75"/>
      <c r="C7714" s="75"/>
      <c r="D7714" s="75"/>
      <c r="E7714" s="75"/>
      <c r="F7714" s="75"/>
    </row>
    <row r="7715" spans="2:6">
      <c r="B7715" s="75"/>
      <c r="C7715" s="75"/>
      <c r="D7715" s="75"/>
      <c r="E7715" s="75"/>
      <c r="F7715" s="75"/>
    </row>
    <row r="7716" spans="2:6">
      <c r="B7716" s="75"/>
      <c r="C7716" s="75"/>
      <c r="D7716" s="75"/>
      <c r="E7716" s="75"/>
      <c r="F7716" s="75"/>
    </row>
    <row r="7717" spans="2:6">
      <c r="B7717" s="75"/>
      <c r="C7717" s="75"/>
      <c r="D7717" s="75"/>
      <c r="E7717" s="75"/>
      <c r="F7717" s="75"/>
    </row>
    <row r="7718" spans="2:6">
      <c r="B7718" s="75"/>
      <c r="C7718" s="75"/>
      <c r="D7718" s="75"/>
      <c r="E7718" s="75"/>
      <c r="F7718" s="75"/>
    </row>
    <row r="7719" spans="2:6">
      <c r="B7719" s="75"/>
      <c r="C7719" s="75"/>
      <c r="D7719" s="75"/>
      <c r="E7719" s="75"/>
      <c r="F7719" s="75"/>
    </row>
    <row r="7720" spans="2:6">
      <c r="B7720" s="75"/>
      <c r="C7720" s="75"/>
      <c r="D7720" s="75"/>
      <c r="E7720" s="75"/>
      <c r="F7720" s="75"/>
    </row>
    <row r="7721" spans="2:6">
      <c r="B7721" s="75"/>
      <c r="C7721" s="75"/>
      <c r="D7721" s="75"/>
      <c r="E7721" s="75"/>
      <c r="F7721" s="75"/>
    </row>
    <row r="7722" spans="2:6">
      <c r="B7722" s="75"/>
      <c r="C7722" s="75"/>
      <c r="D7722" s="75"/>
      <c r="E7722" s="75"/>
      <c r="F7722" s="75"/>
    </row>
    <row r="7723" spans="2:6">
      <c r="B7723" s="75"/>
      <c r="C7723" s="75"/>
      <c r="D7723" s="75"/>
      <c r="E7723" s="75"/>
      <c r="F7723" s="75"/>
    </row>
    <row r="7724" spans="2:6">
      <c r="B7724" s="75"/>
      <c r="C7724" s="75"/>
      <c r="D7724" s="75"/>
      <c r="E7724" s="75"/>
      <c r="F7724" s="75"/>
    </row>
    <row r="7725" spans="2:6">
      <c r="B7725" s="75"/>
      <c r="C7725" s="75"/>
      <c r="D7725" s="75"/>
      <c r="E7725" s="75"/>
      <c r="F7725" s="75"/>
    </row>
    <row r="7726" spans="2:6">
      <c r="B7726" s="75"/>
      <c r="C7726" s="75"/>
      <c r="D7726" s="75"/>
      <c r="E7726" s="75"/>
      <c r="F7726" s="75"/>
    </row>
    <row r="7727" spans="2:6">
      <c r="B7727" s="75"/>
      <c r="C7727" s="75"/>
      <c r="D7727" s="75"/>
      <c r="E7727" s="75"/>
      <c r="F7727" s="75"/>
    </row>
    <row r="7728" spans="2:6">
      <c r="B7728" s="75"/>
      <c r="C7728" s="75"/>
      <c r="D7728" s="75"/>
      <c r="E7728" s="75"/>
      <c r="F7728" s="75"/>
    </row>
    <row r="7729" spans="2:6">
      <c r="B7729" s="75"/>
      <c r="C7729" s="75"/>
      <c r="D7729" s="75"/>
      <c r="E7729" s="75"/>
      <c r="F7729" s="75"/>
    </row>
    <row r="7730" spans="2:6">
      <c r="B7730" s="75"/>
      <c r="C7730" s="75"/>
      <c r="D7730" s="75"/>
      <c r="E7730" s="75"/>
      <c r="F7730" s="75"/>
    </row>
    <row r="7731" spans="2:6">
      <c r="B7731" s="75"/>
      <c r="C7731" s="75"/>
      <c r="D7731" s="75"/>
      <c r="E7731" s="75"/>
      <c r="F7731" s="75"/>
    </row>
    <row r="7732" spans="2:6">
      <c r="B7732" s="75"/>
      <c r="C7732" s="75"/>
      <c r="D7732" s="75"/>
      <c r="E7732" s="75"/>
      <c r="F7732" s="75"/>
    </row>
    <row r="7733" spans="2:6">
      <c r="B7733" s="75"/>
      <c r="C7733" s="75"/>
      <c r="D7733" s="75"/>
      <c r="E7733" s="75"/>
      <c r="F7733" s="75"/>
    </row>
    <row r="7734" spans="2:6">
      <c r="B7734" s="75"/>
      <c r="C7734" s="75"/>
      <c r="D7734" s="75"/>
      <c r="E7734" s="75"/>
      <c r="F7734" s="75"/>
    </row>
    <row r="7735" spans="2:6">
      <c r="B7735" s="75"/>
      <c r="C7735" s="75"/>
      <c r="D7735" s="75"/>
      <c r="E7735" s="75"/>
      <c r="F7735" s="75"/>
    </row>
    <row r="7736" spans="2:6">
      <c r="B7736" s="75"/>
      <c r="C7736" s="75"/>
      <c r="D7736" s="75"/>
      <c r="E7736" s="75"/>
      <c r="F7736" s="75"/>
    </row>
    <row r="7737" spans="2:6">
      <c r="B7737" s="75"/>
      <c r="C7737" s="75"/>
      <c r="D7737" s="75"/>
      <c r="E7737" s="75"/>
      <c r="F7737" s="75"/>
    </row>
    <row r="7738" spans="2:6">
      <c r="B7738" s="75"/>
      <c r="C7738" s="75"/>
      <c r="D7738" s="75"/>
      <c r="E7738" s="75"/>
      <c r="F7738" s="75"/>
    </row>
    <row r="7739" spans="2:6">
      <c r="B7739" s="75"/>
      <c r="C7739" s="75"/>
      <c r="D7739" s="75"/>
      <c r="E7739" s="75"/>
      <c r="F7739" s="75"/>
    </row>
    <row r="7740" spans="2:6">
      <c r="B7740" s="75"/>
      <c r="C7740" s="75"/>
      <c r="D7740" s="75"/>
      <c r="E7740" s="75"/>
      <c r="F7740" s="75"/>
    </row>
    <row r="7741" spans="2:6">
      <c r="B7741" s="75"/>
      <c r="C7741" s="75"/>
      <c r="D7741" s="75"/>
      <c r="E7741" s="75"/>
      <c r="F7741" s="75"/>
    </row>
    <row r="7742" spans="2:6">
      <c r="B7742" s="75"/>
      <c r="C7742" s="75"/>
      <c r="D7742" s="75"/>
      <c r="E7742" s="75"/>
      <c r="F7742" s="75"/>
    </row>
    <row r="7743" spans="2:6">
      <c r="B7743" s="75"/>
      <c r="C7743" s="75"/>
      <c r="D7743" s="75"/>
      <c r="E7743" s="75"/>
      <c r="F7743" s="75"/>
    </row>
    <row r="7744" spans="2:6">
      <c r="B7744" s="75"/>
      <c r="C7744" s="75"/>
      <c r="D7744" s="75"/>
      <c r="E7744" s="75"/>
      <c r="F7744" s="75"/>
    </row>
    <row r="7745" spans="2:6">
      <c r="B7745" s="75"/>
      <c r="C7745" s="75"/>
      <c r="D7745" s="75"/>
      <c r="E7745" s="75"/>
      <c r="F7745" s="75"/>
    </row>
    <row r="7746" spans="2:6">
      <c r="B7746" s="75"/>
      <c r="C7746" s="75"/>
      <c r="D7746" s="75"/>
      <c r="E7746" s="75"/>
      <c r="F7746" s="75"/>
    </row>
    <row r="7747" spans="2:6">
      <c r="B7747" s="75"/>
      <c r="C7747" s="75"/>
      <c r="D7747" s="75"/>
      <c r="E7747" s="75"/>
      <c r="F7747" s="75"/>
    </row>
    <row r="7748" spans="2:6">
      <c r="B7748" s="75"/>
      <c r="C7748" s="75"/>
      <c r="D7748" s="75"/>
      <c r="E7748" s="75"/>
      <c r="F7748" s="75"/>
    </row>
    <row r="7749" spans="2:6">
      <c r="B7749" s="75"/>
      <c r="C7749" s="75"/>
      <c r="D7749" s="75"/>
      <c r="E7749" s="75"/>
      <c r="F7749" s="75"/>
    </row>
    <row r="7750" spans="2:6">
      <c r="B7750" s="75"/>
      <c r="C7750" s="75"/>
      <c r="D7750" s="75"/>
      <c r="E7750" s="75"/>
      <c r="F7750" s="75"/>
    </row>
    <row r="7751" spans="2:6">
      <c r="B7751" s="75"/>
      <c r="C7751" s="75"/>
      <c r="D7751" s="75"/>
      <c r="E7751" s="75"/>
      <c r="F7751" s="75"/>
    </row>
    <row r="7752" spans="2:6">
      <c r="B7752" s="75"/>
      <c r="C7752" s="75"/>
      <c r="D7752" s="75"/>
      <c r="E7752" s="75"/>
      <c r="F7752" s="75"/>
    </row>
    <row r="7753" spans="2:6">
      <c r="B7753" s="75"/>
      <c r="C7753" s="75"/>
      <c r="D7753" s="75"/>
      <c r="E7753" s="75"/>
      <c r="F7753" s="75"/>
    </row>
    <row r="7754" spans="2:6">
      <c r="B7754" s="75"/>
      <c r="C7754" s="75"/>
      <c r="D7754" s="75"/>
      <c r="E7754" s="75"/>
      <c r="F7754" s="75"/>
    </row>
    <row r="7755" spans="2:6">
      <c r="B7755" s="75"/>
      <c r="C7755" s="75"/>
      <c r="D7755" s="75"/>
      <c r="E7755" s="75"/>
      <c r="F7755" s="75"/>
    </row>
    <row r="7756" spans="2:6">
      <c r="B7756" s="75"/>
      <c r="C7756" s="75"/>
      <c r="D7756" s="75"/>
      <c r="E7756" s="75"/>
      <c r="F7756" s="75"/>
    </row>
    <row r="7757" spans="2:6">
      <c r="B7757" s="75"/>
      <c r="C7757" s="75"/>
      <c r="D7757" s="75"/>
      <c r="E7757" s="75"/>
      <c r="F7757" s="75"/>
    </row>
    <row r="7758" spans="2:6">
      <c r="B7758" s="75"/>
      <c r="C7758" s="75"/>
      <c r="D7758" s="75"/>
      <c r="E7758" s="75"/>
      <c r="F7758" s="75"/>
    </row>
    <row r="7759" spans="2:6">
      <c r="B7759" s="75"/>
      <c r="C7759" s="75"/>
      <c r="D7759" s="75"/>
      <c r="E7759" s="75"/>
      <c r="F7759" s="75"/>
    </row>
    <row r="7760" spans="2:6">
      <c r="B7760" s="75"/>
      <c r="C7760" s="75"/>
      <c r="D7760" s="75"/>
      <c r="E7760" s="75"/>
      <c r="F7760" s="75"/>
    </row>
    <row r="7761" spans="2:6">
      <c r="B7761" s="75"/>
      <c r="C7761" s="75"/>
      <c r="D7761" s="75"/>
      <c r="E7761" s="75"/>
      <c r="F7761" s="75"/>
    </row>
    <row r="7762" spans="2:6">
      <c r="B7762" s="75"/>
      <c r="C7762" s="75"/>
      <c r="D7762" s="75"/>
      <c r="E7762" s="75"/>
      <c r="F7762" s="75"/>
    </row>
    <row r="7763" spans="2:6">
      <c r="B7763" s="75"/>
      <c r="C7763" s="75"/>
      <c r="D7763" s="75"/>
      <c r="E7763" s="75"/>
      <c r="F7763" s="75"/>
    </row>
    <row r="7764" spans="2:6">
      <c r="B7764" s="75"/>
      <c r="C7764" s="75"/>
      <c r="D7764" s="75"/>
      <c r="E7764" s="75"/>
      <c r="F7764" s="75"/>
    </row>
    <row r="7765" spans="2:6">
      <c r="B7765" s="75"/>
      <c r="C7765" s="75"/>
      <c r="D7765" s="75"/>
      <c r="E7765" s="75"/>
      <c r="F7765" s="75"/>
    </row>
    <row r="7766" spans="2:6">
      <c r="B7766" s="75"/>
      <c r="C7766" s="75"/>
      <c r="D7766" s="75"/>
      <c r="E7766" s="75"/>
      <c r="F7766" s="75"/>
    </row>
    <row r="7767" spans="2:6">
      <c r="B7767" s="75"/>
      <c r="C7767" s="75"/>
      <c r="D7767" s="75"/>
      <c r="E7767" s="75"/>
      <c r="F7767" s="75"/>
    </row>
    <row r="7768" spans="2:6">
      <c r="B7768" s="75"/>
      <c r="C7768" s="75"/>
      <c r="D7768" s="75"/>
      <c r="E7768" s="75"/>
      <c r="F7768" s="75"/>
    </row>
    <row r="7769" spans="2:6">
      <c r="B7769" s="75"/>
      <c r="C7769" s="75"/>
      <c r="D7769" s="75"/>
      <c r="E7769" s="75"/>
      <c r="F7769" s="75"/>
    </row>
    <row r="7770" spans="2:6">
      <c r="B7770" s="75"/>
      <c r="C7770" s="75"/>
      <c r="D7770" s="75"/>
      <c r="E7770" s="75"/>
      <c r="F7770" s="75"/>
    </row>
    <row r="7771" spans="2:6">
      <c r="B7771" s="75"/>
      <c r="C7771" s="75"/>
      <c r="D7771" s="75"/>
      <c r="E7771" s="75"/>
      <c r="F7771" s="75"/>
    </row>
    <row r="7772" spans="2:6">
      <c r="B7772" s="75"/>
      <c r="C7772" s="75"/>
      <c r="D7772" s="75"/>
      <c r="E7772" s="75"/>
      <c r="F7772" s="75"/>
    </row>
    <row r="7773" spans="2:6">
      <c r="B7773" s="75"/>
      <c r="C7773" s="75"/>
      <c r="D7773" s="75"/>
      <c r="E7773" s="75"/>
      <c r="F7773" s="75"/>
    </row>
    <row r="7774" spans="2:6">
      <c r="B7774" s="75"/>
      <c r="C7774" s="75"/>
      <c r="D7774" s="75"/>
      <c r="E7774" s="75"/>
      <c r="F7774" s="75"/>
    </row>
    <row r="7775" spans="2:6">
      <c r="B7775" s="75"/>
      <c r="C7775" s="75"/>
      <c r="D7775" s="75"/>
      <c r="E7775" s="75"/>
      <c r="F7775" s="75"/>
    </row>
    <row r="7776" spans="2:6">
      <c r="B7776" s="75"/>
      <c r="C7776" s="75"/>
      <c r="D7776" s="75"/>
      <c r="E7776" s="75"/>
      <c r="F7776" s="75"/>
    </row>
    <row r="7777" spans="2:6">
      <c r="B7777" s="75"/>
      <c r="C7777" s="75"/>
      <c r="D7777" s="75"/>
      <c r="E7777" s="75"/>
      <c r="F7777" s="75"/>
    </row>
    <row r="7778" spans="2:6">
      <c r="B7778" s="75"/>
      <c r="C7778" s="75"/>
      <c r="D7778" s="75"/>
      <c r="E7778" s="75"/>
      <c r="F7778" s="75"/>
    </row>
    <row r="7779" spans="2:6">
      <c r="B7779" s="75"/>
      <c r="C7779" s="75"/>
      <c r="D7779" s="75"/>
      <c r="E7779" s="75"/>
      <c r="F7779" s="75"/>
    </row>
    <row r="7780" spans="2:6">
      <c r="B7780" s="75"/>
      <c r="C7780" s="75"/>
      <c r="D7780" s="75"/>
      <c r="E7780" s="75"/>
      <c r="F7780" s="75"/>
    </row>
    <row r="7781" spans="2:6">
      <c r="B7781" s="75"/>
      <c r="C7781" s="75"/>
      <c r="D7781" s="75"/>
      <c r="E7781" s="75"/>
      <c r="F7781" s="75"/>
    </row>
    <row r="7782" spans="2:6">
      <c r="B7782" s="75"/>
      <c r="C7782" s="75"/>
      <c r="D7782" s="75"/>
      <c r="E7782" s="75"/>
      <c r="F7782" s="75"/>
    </row>
    <row r="7783" spans="2:6">
      <c r="B7783" s="75"/>
      <c r="C7783" s="75"/>
      <c r="D7783" s="75"/>
      <c r="E7783" s="75"/>
      <c r="F7783" s="75"/>
    </row>
    <row r="7784" spans="2:6">
      <c r="B7784" s="75"/>
      <c r="C7784" s="75"/>
      <c r="D7784" s="75"/>
      <c r="E7784" s="75"/>
      <c r="F7784" s="75"/>
    </row>
    <row r="7785" spans="2:6">
      <c r="B7785" s="75"/>
      <c r="C7785" s="75"/>
      <c r="D7785" s="75"/>
      <c r="E7785" s="75"/>
      <c r="F7785" s="75"/>
    </row>
    <row r="7786" spans="2:6">
      <c r="B7786" s="75"/>
      <c r="C7786" s="75"/>
      <c r="D7786" s="75"/>
      <c r="E7786" s="75"/>
      <c r="F7786" s="75"/>
    </row>
    <row r="7787" spans="2:6">
      <c r="B7787" s="75"/>
      <c r="C7787" s="75"/>
      <c r="D7787" s="75"/>
      <c r="E7787" s="75"/>
      <c r="F7787" s="75"/>
    </row>
    <row r="7788" spans="2:6">
      <c r="B7788" s="75"/>
      <c r="C7788" s="75"/>
      <c r="D7788" s="75"/>
      <c r="E7788" s="75"/>
      <c r="F7788" s="75"/>
    </row>
    <row r="7789" spans="2:6">
      <c r="B7789" s="75"/>
      <c r="C7789" s="75"/>
      <c r="D7789" s="75"/>
      <c r="E7789" s="75"/>
      <c r="F7789" s="75"/>
    </row>
    <row r="7790" spans="2:6">
      <c r="B7790" s="75"/>
      <c r="C7790" s="75"/>
      <c r="D7790" s="75"/>
      <c r="E7790" s="75"/>
      <c r="F7790" s="75"/>
    </row>
    <row r="7791" spans="2:6">
      <c r="B7791" s="75"/>
      <c r="C7791" s="75"/>
      <c r="D7791" s="75"/>
      <c r="E7791" s="75"/>
      <c r="F7791" s="75"/>
    </row>
    <row r="7792" spans="2:6">
      <c r="B7792" s="75"/>
      <c r="C7792" s="75"/>
      <c r="D7792" s="75"/>
      <c r="E7792" s="75"/>
      <c r="F7792" s="75"/>
    </row>
    <row r="7793" spans="2:6">
      <c r="B7793" s="75"/>
      <c r="C7793" s="75"/>
      <c r="D7793" s="75"/>
      <c r="E7793" s="75"/>
      <c r="F7793" s="75"/>
    </row>
    <row r="7794" spans="2:6">
      <c r="B7794" s="75"/>
      <c r="C7794" s="75"/>
      <c r="D7794" s="75"/>
      <c r="E7794" s="75"/>
      <c r="F7794" s="75"/>
    </row>
    <row r="7795" spans="2:6">
      <c r="B7795" s="75"/>
      <c r="C7795" s="75"/>
      <c r="D7795" s="75"/>
      <c r="E7795" s="75"/>
      <c r="F7795" s="75"/>
    </row>
    <row r="7796" spans="2:6">
      <c r="B7796" s="75"/>
      <c r="C7796" s="75"/>
      <c r="D7796" s="75"/>
      <c r="E7796" s="75"/>
      <c r="F7796" s="75"/>
    </row>
    <row r="7797" spans="2:6">
      <c r="B7797" s="75"/>
      <c r="C7797" s="75"/>
      <c r="D7797" s="75"/>
      <c r="E7797" s="75"/>
      <c r="F7797" s="75"/>
    </row>
    <row r="7798" spans="2:6">
      <c r="B7798" s="75"/>
      <c r="C7798" s="75"/>
      <c r="D7798" s="75"/>
      <c r="E7798" s="75"/>
      <c r="F7798" s="75"/>
    </row>
    <row r="7799" spans="2:6">
      <c r="B7799" s="75"/>
      <c r="C7799" s="75"/>
      <c r="D7799" s="75"/>
      <c r="E7799" s="75"/>
      <c r="F7799" s="75"/>
    </row>
    <row r="7800" spans="2:6">
      <c r="B7800" s="75"/>
      <c r="C7800" s="75"/>
      <c r="D7800" s="75"/>
      <c r="E7800" s="75"/>
      <c r="F7800" s="75"/>
    </row>
    <row r="7801" spans="2:6">
      <c r="B7801" s="75"/>
      <c r="C7801" s="75"/>
      <c r="D7801" s="75"/>
      <c r="E7801" s="75"/>
      <c r="F7801" s="75"/>
    </row>
    <row r="7802" spans="2:6">
      <c r="B7802" s="75"/>
      <c r="C7802" s="75"/>
      <c r="D7802" s="75"/>
      <c r="E7802" s="75"/>
      <c r="F7802" s="75"/>
    </row>
    <row r="7803" spans="2:6">
      <c r="B7803" s="75"/>
      <c r="C7803" s="75"/>
      <c r="D7803" s="75"/>
      <c r="E7803" s="75"/>
      <c r="F7803" s="75"/>
    </row>
    <row r="7804" spans="2:6">
      <c r="B7804" s="75"/>
      <c r="C7804" s="75"/>
      <c r="D7804" s="75"/>
      <c r="E7804" s="75"/>
      <c r="F7804" s="75"/>
    </row>
    <row r="7805" spans="2:6">
      <c r="B7805" s="75"/>
      <c r="C7805" s="75"/>
      <c r="D7805" s="75"/>
      <c r="E7805" s="75"/>
      <c r="F7805" s="75"/>
    </row>
    <row r="7806" spans="2:6">
      <c r="B7806" s="75"/>
      <c r="C7806" s="75"/>
      <c r="D7806" s="75"/>
      <c r="E7806" s="75"/>
      <c r="F7806" s="75"/>
    </row>
    <row r="7807" spans="2:6">
      <c r="B7807" s="75"/>
      <c r="C7807" s="75"/>
      <c r="D7807" s="75"/>
      <c r="E7807" s="75"/>
      <c r="F7807" s="75"/>
    </row>
    <row r="7808" spans="2:6">
      <c r="B7808" s="75"/>
      <c r="C7808" s="75"/>
      <c r="D7808" s="75"/>
      <c r="E7808" s="75"/>
      <c r="F7808" s="75"/>
    </row>
    <row r="7809" spans="2:6">
      <c r="B7809" s="75"/>
      <c r="C7809" s="75"/>
      <c r="D7809" s="75"/>
      <c r="E7809" s="75"/>
      <c r="F7809" s="75"/>
    </row>
    <row r="7810" spans="2:6">
      <c r="B7810" s="75"/>
      <c r="C7810" s="75"/>
      <c r="D7810" s="75"/>
      <c r="E7810" s="75"/>
      <c r="F7810" s="75"/>
    </row>
    <row r="7811" spans="2:6">
      <c r="B7811" s="75"/>
      <c r="C7811" s="75"/>
      <c r="D7811" s="75"/>
      <c r="E7811" s="75"/>
      <c r="F7811" s="75"/>
    </row>
    <row r="7812" spans="2:6">
      <c r="B7812" s="75"/>
      <c r="C7812" s="75"/>
      <c r="D7812" s="75"/>
      <c r="E7812" s="75"/>
      <c r="F7812" s="75"/>
    </row>
    <row r="7813" spans="2:6">
      <c r="B7813" s="75"/>
      <c r="C7813" s="75"/>
      <c r="D7813" s="75"/>
      <c r="E7813" s="75"/>
      <c r="F7813" s="75"/>
    </row>
    <row r="7814" spans="2:6">
      <c r="B7814" s="75"/>
      <c r="C7814" s="75"/>
      <c r="D7814" s="75"/>
      <c r="E7814" s="75"/>
      <c r="F7814" s="75"/>
    </row>
    <row r="7815" spans="2:6">
      <c r="B7815" s="75"/>
      <c r="C7815" s="75"/>
      <c r="D7815" s="75"/>
      <c r="E7815" s="75"/>
      <c r="F7815" s="75"/>
    </row>
    <row r="7816" spans="2:6">
      <c r="B7816" s="75"/>
      <c r="C7816" s="75"/>
      <c r="D7816" s="75"/>
      <c r="E7816" s="75"/>
      <c r="F7816" s="75"/>
    </row>
    <row r="7817" spans="2:6">
      <c r="B7817" s="75"/>
      <c r="C7817" s="75"/>
      <c r="D7817" s="75"/>
      <c r="E7817" s="75"/>
      <c r="F7817" s="75"/>
    </row>
    <row r="7818" spans="2:6">
      <c r="B7818" s="75"/>
      <c r="C7818" s="75"/>
      <c r="D7818" s="75"/>
      <c r="E7818" s="75"/>
      <c r="F7818" s="75"/>
    </row>
    <row r="7819" spans="2:6">
      <c r="B7819" s="75"/>
      <c r="C7819" s="75"/>
      <c r="D7819" s="75"/>
      <c r="E7819" s="75"/>
      <c r="F7819" s="75"/>
    </row>
    <row r="7820" spans="2:6">
      <c r="B7820" s="75"/>
      <c r="C7820" s="75"/>
      <c r="D7820" s="75"/>
      <c r="E7820" s="75"/>
      <c r="F7820" s="75"/>
    </row>
    <row r="7821" spans="2:6">
      <c r="B7821" s="75"/>
      <c r="C7821" s="75"/>
      <c r="D7821" s="75"/>
      <c r="E7821" s="75"/>
      <c r="F7821" s="75"/>
    </row>
    <row r="7822" spans="2:6">
      <c r="B7822" s="75"/>
      <c r="C7822" s="75"/>
      <c r="D7822" s="75"/>
      <c r="E7822" s="75"/>
      <c r="F7822" s="75"/>
    </row>
    <row r="7823" spans="2:6">
      <c r="B7823" s="75"/>
      <c r="C7823" s="75"/>
      <c r="D7823" s="75"/>
      <c r="E7823" s="75"/>
      <c r="F7823" s="75"/>
    </row>
    <row r="7824" spans="2:6">
      <c r="B7824" s="75"/>
      <c r="C7824" s="75"/>
      <c r="D7824" s="75"/>
      <c r="E7824" s="75"/>
      <c r="F7824" s="75"/>
    </row>
    <row r="7825" spans="2:6">
      <c r="B7825" s="75"/>
      <c r="C7825" s="75"/>
      <c r="D7825" s="75"/>
      <c r="E7825" s="75"/>
      <c r="F7825" s="75"/>
    </row>
    <row r="7826" spans="2:6">
      <c r="B7826" s="75"/>
      <c r="C7826" s="75"/>
      <c r="D7826" s="75"/>
      <c r="E7826" s="75"/>
      <c r="F7826" s="75"/>
    </row>
    <row r="7827" spans="2:6">
      <c r="B7827" s="75"/>
      <c r="C7827" s="75"/>
      <c r="D7827" s="75"/>
      <c r="E7827" s="75"/>
      <c r="F7827" s="75"/>
    </row>
    <row r="7828" spans="2:6">
      <c r="B7828" s="75"/>
      <c r="C7828" s="75"/>
      <c r="D7828" s="75"/>
      <c r="E7828" s="75"/>
      <c r="F7828" s="75"/>
    </row>
    <row r="7829" spans="2:6">
      <c r="B7829" s="75"/>
      <c r="C7829" s="75"/>
      <c r="D7829" s="75"/>
      <c r="E7829" s="75"/>
      <c r="F7829" s="75"/>
    </row>
    <row r="7830" spans="2:6">
      <c r="B7830" s="75"/>
      <c r="C7830" s="75"/>
      <c r="D7830" s="75"/>
      <c r="E7830" s="75"/>
      <c r="F7830" s="75"/>
    </row>
    <row r="7831" spans="2:6">
      <c r="B7831" s="75"/>
      <c r="C7831" s="75"/>
      <c r="D7831" s="75"/>
      <c r="E7831" s="75"/>
      <c r="F7831" s="75"/>
    </row>
    <row r="7832" spans="2:6">
      <c r="B7832" s="75"/>
      <c r="C7832" s="75"/>
      <c r="D7832" s="75"/>
      <c r="E7832" s="75"/>
      <c r="F7832" s="75"/>
    </row>
    <row r="7833" spans="2:6">
      <c r="B7833" s="75"/>
      <c r="C7833" s="75"/>
      <c r="D7833" s="75"/>
      <c r="E7833" s="75"/>
      <c r="F7833" s="75"/>
    </row>
    <row r="7834" spans="2:6">
      <c r="B7834" s="75"/>
      <c r="C7834" s="75"/>
      <c r="D7834" s="75"/>
      <c r="E7834" s="75"/>
      <c r="F7834" s="75"/>
    </row>
    <row r="7835" spans="2:6">
      <c r="B7835" s="75"/>
      <c r="C7835" s="75"/>
      <c r="D7835" s="75"/>
      <c r="E7835" s="75"/>
      <c r="F7835" s="75"/>
    </row>
    <row r="7836" spans="2:6">
      <c r="B7836" s="75"/>
      <c r="C7836" s="75"/>
      <c r="D7836" s="75"/>
      <c r="E7836" s="75"/>
      <c r="F7836" s="75"/>
    </row>
    <row r="7837" spans="2:6">
      <c r="B7837" s="75"/>
      <c r="C7837" s="75"/>
      <c r="D7837" s="75"/>
      <c r="E7837" s="75"/>
      <c r="F7837" s="75"/>
    </row>
    <row r="7838" spans="2:6">
      <c r="B7838" s="75"/>
      <c r="C7838" s="75"/>
      <c r="D7838" s="75"/>
      <c r="E7838" s="75"/>
      <c r="F7838" s="75"/>
    </row>
    <row r="7839" spans="2:6">
      <c r="B7839" s="75"/>
      <c r="C7839" s="75"/>
      <c r="D7839" s="75"/>
      <c r="E7839" s="75"/>
      <c r="F7839" s="75"/>
    </row>
    <row r="7840" spans="2:6">
      <c r="B7840" s="75"/>
      <c r="C7840" s="75"/>
      <c r="D7840" s="75"/>
      <c r="E7840" s="75"/>
      <c r="F7840" s="75"/>
    </row>
    <row r="7841" spans="2:6">
      <c r="B7841" s="75"/>
      <c r="C7841" s="75"/>
      <c r="D7841" s="75"/>
      <c r="E7841" s="75"/>
      <c r="F7841" s="75"/>
    </row>
    <row r="7842" spans="2:6">
      <c r="B7842" s="75"/>
      <c r="C7842" s="75"/>
      <c r="D7842" s="75"/>
      <c r="E7842" s="75"/>
      <c r="F7842" s="75"/>
    </row>
    <row r="7843" spans="2:6">
      <c r="B7843" s="75"/>
      <c r="C7843" s="75"/>
      <c r="D7843" s="75"/>
      <c r="E7843" s="75"/>
      <c r="F7843" s="75"/>
    </row>
    <row r="7844" spans="2:6">
      <c r="B7844" s="75"/>
      <c r="C7844" s="75"/>
      <c r="D7844" s="75"/>
      <c r="E7844" s="75"/>
      <c r="F7844" s="75"/>
    </row>
    <row r="7845" spans="2:6">
      <c r="B7845" s="75"/>
      <c r="C7845" s="75"/>
      <c r="D7845" s="75"/>
      <c r="E7845" s="75"/>
      <c r="F7845" s="75"/>
    </row>
    <row r="7846" spans="2:6">
      <c r="B7846" s="75"/>
      <c r="C7846" s="75"/>
      <c r="D7846" s="75"/>
      <c r="E7846" s="75"/>
      <c r="F7846" s="75"/>
    </row>
    <row r="7847" spans="2:6">
      <c r="B7847" s="75"/>
      <c r="C7847" s="75"/>
      <c r="D7847" s="75"/>
      <c r="E7847" s="75"/>
      <c r="F7847" s="75"/>
    </row>
    <row r="7848" spans="2:6">
      <c r="B7848" s="75"/>
      <c r="C7848" s="75"/>
      <c r="D7848" s="75"/>
      <c r="E7848" s="75"/>
      <c r="F7848" s="75"/>
    </row>
    <row r="7849" spans="2:6">
      <c r="B7849" s="75"/>
      <c r="C7849" s="75"/>
      <c r="D7849" s="75"/>
      <c r="E7849" s="75"/>
      <c r="F7849" s="75"/>
    </row>
    <row r="7850" spans="2:6">
      <c r="B7850" s="75"/>
      <c r="C7850" s="75"/>
      <c r="D7850" s="75"/>
      <c r="E7850" s="75"/>
      <c r="F7850" s="75"/>
    </row>
    <row r="7851" spans="2:6">
      <c r="B7851" s="75"/>
      <c r="C7851" s="75"/>
      <c r="D7851" s="75"/>
      <c r="E7851" s="75"/>
      <c r="F7851" s="75"/>
    </row>
    <row r="7852" spans="2:6">
      <c r="B7852" s="75"/>
      <c r="C7852" s="75"/>
      <c r="D7852" s="75"/>
      <c r="E7852" s="75"/>
      <c r="F7852" s="75"/>
    </row>
    <row r="7853" spans="2:6">
      <c r="B7853" s="75"/>
      <c r="C7853" s="75"/>
      <c r="D7853" s="75"/>
      <c r="E7853" s="75"/>
      <c r="F7853" s="75"/>
    </row>
    <row r="7854" spans="2:6">
      <c r="B7854" s="75"/>
      <c r="C7854" s="75"/>
      <c r="D7854" s="75"/>
      <c r="E7854" s="75"/>
      <c r="F7854" s="75"/>
    </row>
    <row r="7855" spans="2:6">
      <c r="B7855" s="75"/>
      <c r="C7855" s="75"/>
      <c r="D7855" s="75"/>
      <c r="E7855" s="75"/>
      <c r="F7855" s="75"/>
    </row>
    <row r="7856" spans="2:6">
      <c r="B7856" s="75"/>
      <c r="C7856" s="75"/>
      <c r="D7856" s="75"/>
      <c r="E7856" s="75"/>
      <c r="F7856" s="75"/>
    </row>
    <row r="7857" spans="2:6">
      <c r="B7857" s="75"/>
      <c r="C7857" s="75"/>
      <c r="D7857" s="75"/>
      <c r="E7857" s="75"/>
      <c r="F7857" s="75"/>
    </row>
    <row r="7858" spans="2:6">
      <c r="B7858" s="75"/>
      <c r="C7858" s="75"/>
      <c r="D7858" s="75"/>
      <c r="E7858" s="75"/>
      <c r="F7858" s="75"/>
    </row>
    <row r="7859" spans="2:6">
      <c r="B7859" s="75"/>
      <c r="C7859" s="75"/>
      <c r="D7859" s="75"/>
      <c r="E7859" s="75"/>
      <c r="F7859" s="75"/>
    </row>
    <row r="7860" spans="2:6">
      <c r="B7860" s="75"/>
      <c r="C7860" s="75"/>
      <c r="D7860" s="75"/>
      <c r="E7860" s="75"/>
      <c r="F7860" s="75"/>
    </row>
    <row r="7861" spans="2:6">
      <c r="B7861" s="75"/>
      <c r="C7861" s="75"/>
      <c r="D7861" s="75"/>
      <c r="E7861" s="75"/>
      <c r="F7861" s="75"/>
    </row>
    <row r="7862" spans="2:6">
      <c r="B7862" s="75"/>
      <c r="C7862" s="75"/>
      <c r="D7862" s="75"/>
      <c r="E7862" s="75"/>
      <c r="F7862" s="75"/>
    </row>
    <row r="7863" spans="2:6">
      <c r="B7863" s="75"/>
      <c r="C7863" s="75"/>
      <c r="D7863" s="75"/>
      <c r="E7863" s="75"/>
      <c r="F7863" s="75"/>
    </row>
    <row r="7864" spans="2:6">
      <c r="B7864" s="75"/>
      <c r="C7864" s="75"/>
      <c r="D7864" s="75"/>
      <c r="E7864" s="75"/>
      <c r="F7864" s="75"/>
    </row>
    <row r="7865" spans="2:6">
      <c r="B7865" s="75"/>
      <c r="C7865" s="75"/>
      <c r="D7865" s="75"/>
      <c r="E7865" s="75"/>
      <c r="F7865" s="75"/>
    </row>
    <row r="7866" spans="2:6">
      <c r="B7866" s="75"/>
      <c r="C7866" s="75"/>
      <c r="D7866" s="75"/>
      <c r="E7866" s="75"/>
      <c r="F7866" s="75"/>
    </row>
    <row r="7867" spans="2:6">
      <c r="B7867" s="75"/>
      <c r="C7867" s="75"/>
      <c r="D7867" s="75"/>
      <c r="E7867" s="75"/>
      <c r="F7867" s="75"/>
    </row>
    <row r="7868" spans="2:6">
      <c r="B7868" s="75"/>
      <c r="C7868" s="75"/>
      <c r="D7868" s="75"/>
      <c r="E7868" s="75"/>
      <c r="F7868" s="75"/>
    </row>
    <row r="7869" spans="2:6">
      <c r="B7869" s="75"/>
      <c r="C7869" s="75"/>
      <c r="D7869" s="75"/>
      <c r="E7869" s="75"/>
      <c r="F7869" s="75"/>
    </row>
    <row r="7870" spans="2:6">
      <c r="B7870" s="75"/>
      <c r="C7870" s="75"/>
      <c r="D7870" s="75"/>
      <c r="E7870" s="75"/>
      <c r="F7870" s="75"/>
    </row>
    <row r="7871" spans="2:6">
      <c r="B7871" s="75"/>
      <c r="C7871" s="75"/>
      <c r="D7871" s="75"/>
      <c r="E7871" s="75"/>
      <c r="F7871" s="75"/>
    </row>
    <row r="7872" spans="2:6">
      <c r="B7872" s="75"/>
      <c r="C7872" s="75"/>
      <c r="D7872" s="75"/>
      <c r="E7872" s="75"/>
      <c r="F7872" s="75"/>
    </row>
    <row r="7873" spans="2:6">
      <c r="B7873" s="75"/>
      <c r="C7873" s="75"/>
      <c r="D7873" s="75"/>
      <c r="E7873" s="75"/>
      <c r="F7873" s="75"/>
    </row>
    <row r="7874" spans="2:6">
      <c r="B7874" s="75"/>
      <c r="C7874" s="75"/>
      <c r="D7874" s="75"/>
      <c r="E7874" s="75"/>
      <c r="F7874" s="75"/>
    </row>
    <row r="7875" spans="2:6">
      <c r="B7875" s="75"/>
      <c r="C7875" s="75"/>
      <c r="D7875" s="75"/>
      <c r="E7875" s="75"/>
      <c r="F7875" s="75"/>
    </row>
    <row r="7876" spans="2:6">
      <c r="B7876" s="75"/>
      <c r="C7876" s="75"/>
      <c r="D7876" s="75"/>
      <c r="E7876" s="75"/>
      <c r="F7876" s="75"/>
    </row>
    <row r="7877" spans="2:6">
      <c r="B7877" s="75"/>
      <c r="C7877" s="75"/>
      <c r="D7877" s="75"/>
      <c r="E7877" s="75"/>
      <c r="F7877" s="75"/>
    </row>
    <row r="7878" spans="2:6">
      <c r="B7878" s="75"/>
      <c r="C7878" s="75"/>
      <c r="D7878" s="75"/>
      <c r="E7878" s="75"/>
      <c r="F7878" s="75"/>
    </row>
    <row r="7879" spans="2:6">
      <c r="B7879" s="75"/>
      <c r="C7879" s="75"/>
      <c r="D7879" s="75"/>
      <c r="E7879" s="75"/>
      <c r="F7879" s="75"/>
    </row>
    <row r="7880" spans="2:6">
      <c r="B7880" s="75"/>
      <c r="C7880" s="75"/>
      <c r="D7880" s="75"/>
      <c r="E7880" s="75"/>
      <c r="F7880" s="75"/>
    </row>
    <row r="7881" spans="2:6">
      <c r="B7881" s="75"/>
      <c r="C7881" s="75"/>
      <c r="D7881" s="75"/>
      <c r="E7881" s="75"/>
      <c r="F7881" s="75"/>
    </row>
    <row r="7882" spans="2:6">
      <c r="B7882" s="75"/>
      <c r="C7882" s="75"/>
      <c r="D7882" s="75"/>
      <c r="E7882" s="75"/>
      <c r="F7882" s="75"/>
    </row>
    <row r="7883" spans="2:6">
      <c r="B7883" s="75"/>
      <c r="C7883" s="75"/>
      <c r="D7883" s="75"/>
      <c r="E7883" s="75"/>
      <c r="F7883" s="75"/>
    </row>
    <row r="7884" spans="2:6">
      <c r="B7884" s="75"/>
      <c r="C7884" s="75"/>
      <c r="D7884" s="75"/>
      <c r="E7884" s="75"/>
      <c r="F7884" s="75"/>
    </row>
    <row r="7885" spans="2:6">
      <c r="B7885" s="75"/>
      <c r="C7885" s="75"/>
      <c r="D7885" s="75"/>
      <c r="E7885" s="75"/>
      <c r="F7885" s="75"/>
    </row>
    <row r="7886" spans="2:6">
      <c r="B7886" s="75"/>
      <c r="C7886" s="75"/>
      <c r="D7886" s="75"/>
      <c r="E7886" s="75"/>
      <c r="F7886" s="75"/>
    </row>
    <row r="7887" spans="2:6">
      <c r="B7887" s="75"/>
      <c r="C7887" s="75"/>
      <c r="D7887" s="75"/>
      <c r="E7887" s="75"/>
      <c r="F7887" s="75"/>
    </row>
    <row r="7888" spans="2:6">
      <c r="B7888" s="75"/>
      <c r="C7888" s="75"/>
      <c r="D7888" s="75"/>
      <c r="E7888" s="75"/>
      <c r="F7888" s="75"/>
    </row>
    <row r="7889" spans="2:6">
      <c r="B7889" s="75"/>
      <c r="C7889" s="75"/>
      <c r="D7889" s="75"/>
      <c r="E7889" s="75"/>
      <c r="F7889" s="75"/>
    </row>
    <row r="7890" spans="2:6">
      <c r="B7890" s="75"/>
      <c r="C7890" s="75"/>
      <c r="D7890" s="75"/>
      <c r="E7890" s="75"/>
      <c r="F7890" s="75"/>
    </row>
    <row r="7891" spans="2:6">
      <c r="B7891" s="75"/>
      <c r="C7891" s="75"/>
      <c r="D7891" s="75"/>
      <c r="E7891" s="75"/>
      <c r="F7891" s="75"/>
    </row>
    <row r="7892" spans="2:6">
      <c r="B7892" s="75"/>
      <c r="C7892" s="75"/>
      <c r="D7892" s="75"/>
      <c r="E7892" s="75"/>
      <c r="F7892" s="75"/>
    </row>
    <row r="7893" spans="2:6">
      <c r="B7893" s="75"/>
      <c r="C7893" s="75"/>
      <c r="D7893" s="75"/>
      <c r="E7893" s="75"/>
      <c r="F7893" s="75"/>
    </row>
    <row r="7894" spans="2:6">
      <c r="B7894" s="75"/>
      <c r="C7894" s="75"/>
      <c r="D7894" s="75"/>
      <c r="E7894" s="75"/>
      <c r="F7894" s="75"/>
    </row>
    <row r="7895" spans="2:6">
      <c r="B7895" s="75"/>
      <c r="C7895" s="75"/>
      <c r="D7895" s="75"/>
      <c r="E7895" s="75"/>
      <c r="F7895" s="75"/>
    </row>
    <row r="7896" spans="2:6">
      <c r="B7896" s="75"/>
      <c r="C7896" s="75"/>
      <c r="D7896" s="75"/>
      <c r="E7896" s="75"/>
      <c r="F7896" s="75"/>
    </row>
    <row r="7897" spans="2:6">
      <c r="B7897" s="75"/>
      <c r="C7897" s="75"/>
      <c r="D7897" s="75"/>
      <c r="E7897" s="75"/>
      <c r="F7897" s="75"/>
    </row>
    <row r="7898" spans="2:6">
      <c r="B7898" s="75"/>
      <c r="C7898" s="75"/>
      <c r="D7898" s="75"/>
      <c r="E7898" s="75"/>
      <c r="F7898" s="75"/>
    </row>
    <row r="7899" spans="2:6">
      <c r="B7899" s="75"/>
      <c r="C7899" s="75"/>
      <c r="D7899" s="75"/>
      <c r="E7899" s="75"/>
      <c r="F7899" s="75"/>
    </row>
    <row r="7900" spans="2:6">
      <c r="B7900" s="75"/>
      <c r="C7900" s="75"/>
      <c r="D7900" s="75"/>
      <c r="E7900" s="75"/>
      <c r="F7900" s="75"/>
    </row>
    <row r="7901" spans="2:6">
      <c r="B7901" s="75"/>
      <c r="C7901" s="75"/>
      <c r="D7901" s="75"/>
      <c r="E7901" s="75"/>
      <c r="F7901" s="75"/>
    </row>
    <row r="7902" spans="2:6">
      <c r="B7902" s="75"/>
      <c r="C7902" s="75"/>
      <c r="D7902" s="75"/>
      <c r="E7902" s="75"/>
      <c r="F7902" s="75"/>
    </row>
    <row r="7903" spans="2:6">
      <c r="B7903" s="75"/>
      <c r="C7903" s="75"/>
      <c r="D7903" s="75"/>
      <c r="E7903" s="75"/>
      <c r="F7903" s="75"/>
    </row>
    <row r="7904" spans="2:6">
      <c r="B7904" s="75"/>
      <c r="C7904" s="75"/>
      <c r="D7904" s="75"/>
      <c r="E7904" s="75"/>
      <c r="F7904" s="75"/>
    </row>
    <row r="7905" spans="2:6">
      <c r="B7905" s="75"/>
      <c r="C7905" s="75"/>
      <c r="D7905" s="75"/>
      <c r="E7905" s="75"/>
      <c r="F7905" s="75"/>
    </row>
    <row r="7906" spans="2:6">
      <c r="B7906" s="75"/>
      <c r="C7906" s="75"/>
      <c r="D7906" s="75"/>
      <c r="E7906" s="75"/>
      <c r="F7906" s="75"/>
    </row>
    <row r="7907" spans="2:6">
      <c r="B7907" s="75"/>
      <c r="C7907" s="75"/>
      <c r="D7907" s="75"/>
      <c r="E7907" s="75"/>
      <c r="F7907" s="75"/>
    </row>
    <row r="7908" spans="2:6">
      <c r="B7908" s="75"/>
      <c r="C7908" s="75"/>
      <c r="D7908" s="75"/>
      <c r="E7908" s="75"/>
      <c r="F7908" s="75"/>
    </row>
    <row r="7909" spans="2:6">
      <c r="B7909" s="75"/>
      <c r="C7909" s="75"/>
      <c r="D7909" s="75"/>
      <c r="E7909" s="75"/>
      <c r="F7909" s="75"/>
    </row>
    <row r="7910" spans="2:6">
      <c r="B7910" s="75"/>
      <c r="C7910" s="75"/>
      <c r="D7910" s="75"/>
      <c r="E7910" s="75"/>
      <c r="F7910" s="75"/>
    </row>
    <row r="7911" spans="2:6">
      <c r="B7911" s="75"/>
      <c r="C7911" s="75"/>
      <c r="D7911" s="75"/>
      <c r="E7911" s="75"/>
      <c r="F7911" s="75"/>
    </row>
    <row r="7912" spans="2:6">
      <c r="B7912" s="75"/>
      <c r="C7912" s="75"/>
      <c r="D7912" s="75"/>
      <c r="E7912" s="75"/>
      <c r="F7912" s="75"/>
    </row>
    <row r="7913" spans="2:6">
      <c r="B7913" s="75"/>
      <c r="C7913" s="75"/>
      <c r="D7913" s="75"/>
      <c r="E7913" s="75"/>
      <c r="F7913" s="75"/>
    </row>
    <row r="7914" spans="2:6">
      <c r="B7914" s="75"/>
      <c r="C7914" s="75"/>
      <c r="D7914" s="75"/>
      <c r="E7914" s="75"/>
      <c r="F7914" s="75"/>
    </row>
    <row r="7915" spans="2:6">
      <c r="B7915" s="75"/>
      <c r="C7915" s="75"/>
      <c r="D7915" s="75"/>
      <c r="E7915" s="75"/>
      <c r="F7915" s="75"/>
    </row>
    <row r="7916" spans="2:6">
      <c r="B7916" s="75"/>
      <c r="C7916" s="75"/>
      <c r="D7916" s="75"/>
      <c r="E7916" s="75"/>
      <c r="F7916" s="75"/>
    </row>
    <row r="7917" spans="2:6">
      <c r="B7917" s="75"/>
      <c r="C7917" s="75"/>
      <c r="D7917" s="75"/>
      <c r="E7917" s="75"/>
      <c r="F7917" s="75"/>
    </row>
    <row r="7918" spans="2:6">
      <c r="B7918" s="75"/>
      <c r="C7918" s="75"/>
      <c r="D7918" s="75"/>
      <c r="E7918" s="75"/>
      <c r="F7918" s="75"/>
    </row>
    <row r="7919" spans="2:6">
      <c r="B7919" s="75"/>
      <c r="C7919" s="75"/>
      <c r="D7919" s="75"/>
      <c r="E7919" s="75"/>
      <c r="F7919" s="75"/>
    </row>
    <row r="7920" spans="2:6">
      <c r="B7920" s="75"/>
      <c r="C7920" s="75"/>
      <c r="D7920" s="75"/>
      <c r="E7920" s="75"/>
      <c r="F7920" s="75"/>
    </row>
    <row r="7921" spans="2:6">
      <c r="B7921" s="75"/>
      <c r="C7921" s="75"/>
      <c r="D7921" s="75"/>
      <c r="E7921" s="75"/>
      <c r="F7921" s="75"/>
    </row>
    <row r="7922" spans="2:6">
      <c r="B7922" s="75"/>
      <c r="C7922" s="75"/>
      <c r="D7922" s="75"/>
      <c r="E7922" s="75"/>
      <c r="F7922" s="75"/>
    </row>
    <row r="7923" spans="2:6">
      <c r="B7923" s="75"/>
      <c r="C7923" s="75"/>
      <c r="D7923" s="75"/>
      <c r="E7923" s="75"/>
      <c r="F7923" s="75"/>
    </row>
    <row r="7924" spans="2:6">
      <c r="B7924" s="75"/>
      <c r="C7924" s="75"/>
      <c r="D7924" s="75"/>
      <c r="E7924" s="75"/>
      <c r="F7924" s="75"/>
    </row>
    <row r="7925" spans="2:6">
      <c r="B7925" s="75"/>
      <c r="C7925" s="75"/>
      <c r="D7925" s="75"/>
      <c r="E7925" s="75"/>
      <c r="F7925" s="75"/>
    </row>
    <row r="7926" spans="2:6">
      <c r="B7926" s="75"/>
      <c r="C7926" s="75"/>
      <c r="D7926" s="75"/>
      <c r="E7926" s="75"/>
      <c r="F7926" s="75"/>
    </row>
    <row r="7927" spans="2:6">
      <c r="B7927" s="75"/>
      <c r="C7927" s="75"/>
      <c r="D7927" s="75"/>
      <c r="E7927" s="75"/>
      <c r="F7927" s="75"/>
    </row>
    <row r="7928" spans="2:6">
      <c r="B7928" s="75"/>
      <c r="C7928" s="75"/>
      <c r="D7928" s="75"/>
      <c r="E7928" s="75"/>
      <c r="F7928" s="75"/>
    </row>
    <row r="7929" spans="2:6">
      <c r="B7929" s="75"/>
      <c r="C7929" s="75"/>
      <c r="D7929" s="75"/>
      <c r="E7929" s="75"/>
      <c r="F7929" s="75"/>
    </row>
    <row r="7930" spans="2:6">
      <c r="B7930" s="75"/>
      <c r="C7930" s="75"/>
      <c r="D7930" s="75"/>
      <c r="E7930" s="75"/>
      <c r="F7930" s="75"/>
    </row>
    <row r="7931" spans="2:6">
      <c r="B7931" s="75"/>
      <c r="C7931" s="75"/>
      <c r="D7931" s="75"/>
      <c r="E7931" s="75"/>
      <c r="F7931" s="75"/>
    </row>
    <row r="7932" spans="2:6">
      <c r="B7932" s="75"/>
      <c r="C7932" s="75"/>
      <c r="D7932" s="75"/>
      <c r="E7932" s="75"/>
      <c r="F7932" s="75"/>
    </row>
    <row r="7933" spans="2:6">
      <c r="B7933" s="75"/>
      <c r="C7933" s="75"/>
      <c r="D7933" s="75"/>
      <c r="E7933" s="75"/>
      <c r="F7933" s="75"/>
    </row>
    <row r="7934" spans="2:6">
      <c r="B7934" s="75"/>
      <c r="C7934" s="75"/>
      <c r="D7934" s="75"/>
      <c r="E7934" s="75"/>
      <c r="F7934" s="75"/>
    </row>
    <row r="7935" spans="2:6">
      <c r="B7935" s="75"/>
      <c r="C7935" s="75"/>
      <c r="D7935" s="75"/>
      <c r="E7935" s="75"/>
      <c r="F7935" s="75"/>
    </row>
    <row r="7936" spans="2:6">
      <c r="B7936" s="75"/>
      <c r="C7936" s="75"/>
      <c r="D7936" s="75"/>
      <c r="E7936" s="75"/>
      <c r="F7936" s="75"/>
    </row>
    <row r="7937" spans="2:6">
      <c r="B7937" s="75"/>
      <c r="C7937" s="75"/>
      <c r="D7937" s="75"/>
      <c r="E7937" s="75"/>
      <c r="F7937" s="75"/>
    </row>
    <row r="7938" spans="2:6">
      <c r="B7938" s="75"/>
      <c r="C7938" s="75"/>
      <c r="D7938" s="75"/>
      <c r="E7938" s="75"/>
      <c r="F7938" s="75"/>
    </row>
    <row r="7939" spans="2:6">
      <c r="B7939" s="75"/>
      <c r="C7939" s="75"/>
      <c r="D7939" s="75"/>
      <c r="E7939" s="75"/>
      <c r="F7939" s="75"/>
    </row>
    <row r="7940" spans="2:6">
      <c r="B7940" s="75"/>
      <c r="C7940" s="75"/>
      <c r="D7940" s="75"/>
      <c r="E7940" s="75"/>
      <c r="F7940" s="75"/>
    </row>
    <row r="7941" spans="2:6">
      <c r="B7941" s="75"/>
      <c r="C7941" s="75"/>
      <c r="D7941" s="75"/>
      <c r="E7941" s="75"/>
      <c r="F7941" s="75"/>
    </row>
    <row r="7942" spans="2:6">
      <c r="B7942" s="75"/>
      <c r="C7942" s="75"/>
      <c r="D7942" s="75"/>
      <c r="E7942" s="75"/>
      <c r="F7942" s="75"/>
    </row>
    <row r="7943" spans="2:6">
      <c r="B7943" s="75"/>
      <c r="C7943" s="75"/>
      <c r="D7943" s="75"/>
      <c r="E7943" s="75"/>
      <c r="F7943" s="75"/>
    </row>
    <row r="7944" spans="2:6">
      <c r="B7944" s="75"/>
      <c r="C7944" s="75"/>
      <c r="D7944" s="75"/>
      <c r="E7944" s="75"/>
      <c r="F7944" s="75"/>
    </row>
    <row r="7945" spans="2:6">
      <c r="B7945" s="75"/>
      <c r="C7945" s="75"/>
      <c r="D7945" s="75"/>
      <c r="E7945" s="75"/>
      <c r="F7945" s="75"/>
    </row>
    <row r="7946" spans="2:6">
      <c r="B7946" s="75"/>
      <c r="C7946" s="75"/>
      <c r="D7946" s="75"/>
      <c r="E7946" s="75"/>
      <c r="F7946" s="75"/>
    </row>
    <row r="7947" spans="2:6">
      <c r="B7947" s="75"/>
      <c r="C7947" s="75"/>
      <c r="D7947" s="75"/>
      <c r="E7947" s="75"/>
      <c r="F7947" s="75"/>
    </row>
    <row r="7948" spans="2:6">
      <c r="B7948" s="75"/>
      <c r="C7948" s="75"/>
      <c r="D7948" s="75"/>
      <c r="E7948" s="75"/>
      <c r="F7948" s="75"/>
    </row>
    <row r="7949" spans="2:6">
      <c r="B7949" s="75"/>
      <c r="C7949" s="75"/>
      <c r="D7949" s="75"/>
      <c r="E7949" s="75"/>
      <c r="F7949" s="75"/>
    </row>
    <row r="7950" spans="2:6">
      <c r="B7950" s="75"/>
      <c r="C7950" s="75"/>
      <c r="D7950" s="75"/>
      <c r="E7950" s="75"/>
      <c r="F7950" s="75"/>
    </row>
    <row r="7951" spans="2:6">
      <c r="B7951" s="75"/>
      <c r="C7951" s="75"/>
      <c r="D7951" s="75"/>
      <c r="E7951" s="75"/>
      <c r="F7951" s="75"/>
    </row>
    <row r="7952" spans="2:6">
      <c r="B7952" s="75"/>
      <c r="C7952" s="75"/>
      <c r="D7952" s="75"/>
      <c r="E7952" s="75"/>
      <c r="F7952" s="75"/>
    </row>
    <row r="7953" spans="2:6">
      <c r="B7953" s="75"/>
      <c r="C7953" s="75"/>
      <c r="D7953" s="75"/>
      <c r="E7953" s="75"/>
      <c r="F7953" s="75"/>
    </row>
    <row r="7954" spans="2:6">
      <c r="B7954" s="75"/>
      <c r="C7954" s="75"/>
      <c r="D7954" s="75"/>
      <c r="E7954" s="75"/>
      <c r="F7954" s="75"/>
    </row>
    <row r="7955" spans="2:6">
      <c r="B7955" s="75"/>
      <c r="C7955" s="75"/>
      <c r="D7955" s="75"/>
      <c r="E7955" s="75"/>
      <c r="F7955" s="75"/>
    </row>
    <row r="7956" spans="2:6">
      <c r="B7956" s="75"/>
      <c r="C7956" s="75"/>
      <c r="D7956" s="75"/>
      <c r="E7956" s="75"/>
      <c r="F7956" s="75"/>
    </row>
    <row r="7957" spans="2:6">
      <c r="B7957" s="75"/>
      <c r="C7957" s="75"/>
      <c r="D7957" s="75"/>
      <c r="E7957" s="75"/>
      <c r="F7957" s="75"/>
    </row>
    <row r="7958" spans="2:6">
      <c r="B7958" s="75"/>
      <c r="C7958" s="75"/>
      <c r="D7958" s="75"/>
      <c r="E7958" s="75"/>
      <c r="F7958" s="75"/>
    </row>
    <row r="7959" spans="2:6">
      <c r="B7959" s="75"/>
      <c r="C7959" s="75"/>
      <c r="D7959" s="75"/>
      <c r="E7959" s="75"/>
      <c r="F7959" s="75"/>
    </row>
    <row r="7960" spans="2:6">
      <c r="B7960" s="75"/>
      <c r="C7960" s="75"/>
      <c r="D7960" s="75"/>
      <c r="E7960" s="75"/>
      <c r="F7960" s="75"/>
    </row>
    <row r="7961" spans="2:6">
      <c r="B7961" s="75"/>
      <c r="C7961" s="75"/>
      <c r="D7961" s="75"/>
      <c r="E7961" s="75"/>
      <c r="F7961" s="75"/>
    </row>
    <row r="7962" spans="2:6">
      <c r="B7962" s="75"/>
      <c r="C7962" s="75"/>
      <c r="D7962" s="75"/>
      <c r="E7962" s="75"/>
      <c r="F7962" s="75"/>
    </row>
    <row r="7963" spans="2:6">
      <c r="B7963" s="75"/>
      <c r="C7963" s="75"/>
      <c r="D7963" s="75"/>
      <c r="E7963" s="75"/>
      <c r="F7963" s="75"/>
    </row>
    <row r="7964" spans="2:6">
      <c r="B7964" s="75"/>
      <c r="C7964" s="75"/>
      <c r="D7964" s="75"/>
      <c r="E7964" s="75"/>
      <c r="F7964" s="75"/>
    </row>
    <row r="7965" spans="2:6">
      <c r="B7965" s="75"/>
      <c r="C7965" s="75"/>
      <c r="D7965" s="75"/>
      <c r="E7965" s="75"/>
      <c r="F7965" s="75"/>
    </row>
    <row r="7966" spans="2:6">
      <c r="B7966" s="75"/>
      <c r="C7966" s="75"/>
      <c r="D7966" s="75"/>
      <c r="E7966" s="75"/>
      <c r="F7966" s="75"/>
    </row>
    <row r="7967" spans="2:6">
      <c r="B7967" s="75"/>
      <c r="C7967" s="75"/>
      <c r="D7967" s="75"/>
      <c r="E7967" s="75"/>
      <c r="F7967" s="75"/>
    </row>
    <row r="7968" spans="2:6">
      <c r="B7968" s="75"/>
      <c r="C7968" s="75"/>
      <c r="D7968" s="75"/>
      <c r="E7968" s="75"/>
      <c r="F7968" s="75"/>
    </row>
    <row r="7969" spans="2:6">
      <c r="B7969" s="75"/>
      <c r="C7969" s="75"/>
      <c r="D7969" s="75"/>
      <c r="E7969" s="75"/>
      <c r="F7969" s="75"/>
    </row>
    <row r="7970" spans="2:6">
      <c r="B7970" s="75"/>
      <c r="C7970" s="75"/>
      <c r="D7970" s="75"/>
      <c r="E7970" s="75"/>
      <c r="F7970" s="75"/>
    </row>
    <row r="7971" spans="2:6">
      <c r="B7971" s="75"/>
      <c r="C7971" s="75"/>
      <c r="D7971" s="75"/>
      <c r="E7971" s="75"/>
      <c r="F7971" s="75"/>
    </row>
    <row r="7972" spans="2:6">
      <c r="B7972" s="75"/>
      <c r="C7972" s="75"/>
      <c r="D7972" s="75"/>
      <c r="E7972" s="75"/>
      <c r="F7972" s="75"/>
    </row>
    <row r="7973" spans="2:6">
      <c r="B7973" s="75"/>
      <c r="C7973" s="75"/>
      <c r="D7973" s="75"/>
      <c r="E7973" s="75"/>
      <c r="F7973" s="75"/>
    </row>
    <row r="7974" spans="2:6">
      <c r="B7974" s="75"/>
      <c r="C7974" s="75"/>
      <c r="D7974" s="75"/>
      <c r="E7974" s="75"/>
      <c r="F7974" s="75"/>
    </row>
    <row r="7975" spans="2:6">
      <c r="B7975" s="75"/>
      <c r="C7975" s="75"/>
      <c r="D7975" s="75"/>
      <c r="E7975" s="75"/>
      <c r="F7975" s="75"/>
    </row>
    <row r="7976" spans="2:6">
      <c r="B7976" s="75"/>
      <c r="C7976" s="75"/>
      <c r="D7976" s="75"/>
      <c r="E7976" s="75"/>
      <c r="F7976" s="75"/>
    </row>
    <row r="7977" spans="2:6">
      <c r="B7977" s="75"/>
      <c r="C7977" s="75"/>
      <c r="D7977" s="75"/>
      <c r="E7977" s="75"/>
      <c r="F7977" s="75"/>
    </row>
    <row r="7978" spans="2:6">
      <c r="B7978" s="75"/>
      <c r="C7978" s="75"/>
      <c r="D7978" s="75"/>
      <c r="E7978" s="75"/>
      <c r="F7978" s="75"/>
    </row>
    <row r="7979" spans="2:6">
      <c r="B7979" s="75"/>
      <c r="C7979" s="75"/>
      <c r="D7979" s="75"/>
      <c r="E7979" s="75"/>
      <c r="F7979" s="75"/>
    </row>
    <row r="7980" spans="2:6">
      <c r="B7980" s="75"/>
      <c r="C7980" s="75"/>
      <c r="D7980" s="75"/>
      <c r="E7980" s="75"/>
      <c r="F7980" s="75"/>
    </row>
    <row r="7981" spans="2:6">
      <c r="B7981" s="75"/>
      <c r="C7981" s="75"/>
      <c r="D7981" s="75"/>
      <c r="E7981" s="75"/>
      <c r="F7981" s="75"/>
    </row>
    <row r="7982" spans="2:6">
      <c r="B7982" s="75"/>
      <c r="C7982" s="75"/>
      <c r="D7982" s="75"/>
      <c r="E7982" s="75"/>
      <c r="F7982" s="75"/>
    </row>
    <row r="7983" spans="2:6">
      <c r="B7983" s="75"/>
      <c r="C7983" s="75"/>
      <c r="D7983" s="75"/>
      <c r="E7983" s="75"/>
      <c r="F7983" s="75"/>
    </row>
    <row r="7984" spans="2:6">
      <c r="B7984" s="75"/>
      <c r="C7984" s="75"/>
      <c r="D7984" s="75"/>
      <c r="E7984" s="75"/>
      <c r="F7984" s="75"/>
    </row>
    <row r="7985" spans="2:6">
      <c r="B7985" s="75"/>
      <c r="C7985" s="75"/>
      <c r="D7985" s="75"/>
      <c r="E7985" s="75"/>
      <c r="F7985" s="75"/>
    </row>
    <row r="7986" spans="2:6">
      <c r="B7986" s="75"/>
      <c r="C7986" s="75"/>
      <c r="D7986" s="75"/>
      <c r="E7986" s="75"/>
      <c r="F7986" s="75"/>
    </row>
    <row r="7987" spans="2:6">
      <c r="B7987" s="75"/>
      <c r="C7987" s="75"/>
      <c r="D7987" s="75"/>
      <c r="E7987" s="75"/>
      <c r="F7987" s="75"/>
    </row>
    <row r="7988" spans="2:6">
      <c r="B7988" s="75"/>
      <c r="C7988" s="75"/>
      <c r="D7988" s="75"/>
      <c r="E7988" s="75"/>
      <c r="F7988" s="75"/>
    </row>
    <row r="7989" spans="2:6">
      <c r="B7989" s="75"/>
      <c r="C7989" s="75"/>
      <c r="D7989" s="75"/>
      <c r="E7989" s="75"/>
      <c r="F7989" s="75"/>
    </row>
    <row r="7990" spans="2:6">
      <c r="B7990" s="75"/>
      <c r="C7990" s="75"/>
      <c r="D7990" s="75"/>
      <c r="E7990" s="75"/>
      <c r="F7990" s="75"/>
    </row>
    <row r="7991" spans="2:6">
      <c r="B7991" s="75"/>
      <c r="C7991" s="75"/>
      <c r="D7991" s="75"/>
      <c r="E7991" s="75"/>
      <c r="F7991" s="75"/>
    </row>
    <row r="7992" spans="2:6">
      <c r="B7992" s="75"/>
      <c r="C7992" s="75"/>
      <c r="D7992" s="75"/>
      <c r="E7992" s="75"/>
      <c r="F7992" s="75"/>
    </row>
    <row r="7993" spans="2:6">
      <c r="B7993" s="75"/>
      <c r="C7993" s="75"/>
      <c r="D7993" s="75"/>
      <c r="E7993" s="75"/>
      <c r="F7993" s="75"/>
    </row>
    <row r="7994" spans="2:6">
      <c r="B7994" s="75"/>
      <c r="C7994" s="75"/>
      <c r="D7994" s="75"/>
      <c r="E7994" s="75"/>
      <c r="F7994" s="75"/>
    </row>
    <row r="7995" spans="2:6">
      <c r="B7995" s="75"/>
      <c r="C7995" s="75"/>
      <c r="D7995" s="75"/>
      <c r="E7995" s="75"/>
      <c r="F7995" s="75"/>
    </row>
    <row r="7996" spans="2:6">
      <c r="B7996" s="75"/>
      <c r="C7996" s="75"/>
      <c r="D7996" s="75"/>
      <c r="E7996" s="75"/>
      <c r="F7996" s="75"/>
    </row>
    <row r="7997" spans="2:6">
      <c r="B7997" s="75"/>
      <c r="C7997" s="75"/>
      <c r="D7997" s="75"/>
      <c r="E7997" s="75"/>
      <c r="F7997" s="75"/>
    </row>
    <row r="7998" spans="2:6">
      <c r="B7998" s="75"/>
      <c r="C7998" s="75"/>
      <c r="D7998" s="75"/>
      <c r="E7998" s="75"/>
      <c r="F7998" s="75"/>
    </row>
    <row r="7999" spans="2:6">
      <c r="B7999" s="75"/>
      <c r="C7999" s="75"/>
      <c r="D7999" s="75"/>
      <c r="E7999" s="75"/>
      <c r="F7999" s="75"/>
    </row>
    <row r="8000" spans="2:6">
      <c r="B8000" s="75"/>
      <c r="C8000" s="75"/>
      <c r="D8000" s="75"/>
      <c r="E8000" s="75"/>
      <c r="F8000" s="75"/>
    </row>
    <row r="8001" spans="2:6">
      <c r="B8001" s="75"/>
      <c r="C8001" s="75"/>
      <c r="D8001" s="75"/>
      <c r="E8001" s="75"/>
      <c r="F8001" s="75"/>
    </row>
    <row r="8002" spans="2:6">
      <c r="B8002" s="75"/>
      <c r="C8002" s="75"/>
      <c r="D8002" s="75"/>
      <c r="E8002" s="75"/>
      <c r="F8002" s="75"/>
    </row>
    <row r="8003" spans="2:6">
      <c r="B8003" s="75"/>
      <c r="C8003" s="75"/>
      <c r="D8003" s="75"/>
      <c r="E8003" s="75"/>
      <c r="F8003" s="75"/>
    </row>
    <row r="8004" spans="2:6">
      <c r="B8004" s="75"/>
      <c r="C8004" s="75"/>
      <c r="D8004" s="75"/>
      <c r="E8004" s="75"/>
      <c r="F8004" s="75"/>
    </row>
    <row r="8005" spans="2:6">
      <c r="B8005" s="75"/>
      <c r="C8005" s="75"/>
      <c r="D8005" s="75"/>
      <c r="E8005" s="75"/>
      <c r="F8005" s="75"/>
    </row>
    <row r="8006" spans="2:6">
      <c r="B8006" s="75"/>
      <c r="C8006" s="75"/>
      <c r="D8006" s="75"/>
      <c r="E8006" s="75"/>
      <c r="F8006" s="75"/>
    </row>
    <row r="8007" spans="2:6">
      <c r="B8007" s="75"/>
      <c r="C8007" s="75"/>
      <c r="D8007" s="75"/>
      <c r="E8007" s="75"/>
      <c r="F8007" s="75"/>
    </row>
    <row r="8008" spans="2:6">
      <c r="B8008" s="75"/>
      <c r="C8008" s="75"/>
      <c r="D8008" s="75"/>
      <c r="E8008" s="75"/>
      <c r="F8008" s="75"/>
    </row>
    <row r="8009" spans="2:6">
      <c r="B8009" s="75"/>
      <c r="C8009" s="75"/>
      <c r="D8009" s="75"/>
      <c r="E8009" s="75"/>
      <c r="F8009" s="75"/>
    </row>
    <row r="8010" spans="2:6">
      <c r="B8010" s="75"/>
      <c r="C8010" s="75"/>
      <c r="D8010" s="75"/>
      <c r="E8010" s="75"/>
      <c r="F8010" s="75"/>
    </row>
    <row r="8011" spans="2:6">
      <c r="B8011" s="75"/>
      <c r="C8011" s="75"/>
      <c r="D8011" s="75"/>
      <c r="E8011" s="75"/>
      <c r="F8011" s="75"/>
    </row>
    <row r="8012" spans="2:6">
      <c r="B8012" s="75"/>
      <c r="C8012" s="75"/>
      <c r="D8012" s="75"/>
      <c r="E8012" s="75"/>
      <c r="F8012" s="75"/>
    </row>
    <row r="8013" spans="2:6">
      <c r="B8013" s="75"/>
      <c r="C8013" s="75"/>
      <c r="D8013" s="75"/>
      <c r="E8013" s="75"/>
      <c r="F8013" s="75"/>
    </row>
    <row r="8014" spans="2:6">
      <c r="B8014" s="75"/>
      <c r="C8014" s="75"/>
      <c r="D8014" s="75"/>
      <c r="E8014" s="75"/>
      <c r="F8014" s="75"/>
    </row>
    <row r="8015" spans="2:6">
      <c r="B8015" s="75"/>
      <c r="C8015" s="75"/>
      <c r="D8015" s="75"/>
      <c r="E8015" s="75"/>
      <c r="F8015" s="75"/>
    </row>
    <row r="8016" spans="2:6">
      <c r="B8016" s="75"/>
      <c r="C8016" s="75"/>
      <c r="D8016" s="75"/>
      <c r="E8016" s="75"/>
      <c r="F8016" s="75"/>
    </row>
    <row r="8017" spans="2:6">
      <c r="B8017" s="75"/>
      <c r="C8017" s="75"/>
      <c r="D8017" s="75"/>
      <c r="E8017" s="75"/>
      <c r="F8017" s="75"/>
    </row>
    <row r="8018" spans="2:6">
      <c r="B8018" s="75"/>
      <c r="C8018" s="75"/>
      <c r="D8018" s="75"/>
      <c r="E8018" s="75"/>
      <c r="F8018" s="75"/>
    </row>
    <row r="8019" spans="2:6">
      <c r="B8019" s="75"/>
      <c r="C8019" s="75"/>
      <c r="D8019" s="75"/>
      <c r="E8019" s="75"/>
      <c r="F8019" s="75"/>
    </row>
    <row r="8020" spans="2:6">
      <c r="B8020" s="75"/>
      <c r="C8020" s="75"/>
      <c r="D8020" s="75"/>
      <c r="E8020" s="75"/>
      <c r="F8020" s="75"/>
    </row>
    <row r="8021" spans="2:6">
      <c r="B8021" s="75"/>
      <c r="C8021" s="75"/>
      <c r="D8021" s="75"/>
      <c r="E8021" s="75"/>
      <c r="F8021" s="75"/>
    </row>
    <row r="8022" spans="2:6">
      <c r="B8022" s="75"/>
      <c r="C8022" s="75"/>
      <c r="D8022" s="75"/>
      <c r="E8022" s="75"/>
      <c r="F8022" s="75"/>
    </row>
    <row r="8023" spans="2:6">
      <c r="B8023" s="75"/>
      <c r="C8023" s="75"/>
      <c r="D8023" s="75"/>
      <c r="E8023" s="75"/>
      <c r="F8023" s="75"/>
    </row>
    <row r="8024" spans="2:6">
      <c r="B8024" s="75"/>
      <c r="C8024" s="75"/>
      <c r="D8024" s="75"/>
      <c r="E8024" s="75"/>
      <c r="F8024" s="75"/>
    </row>
    <row r="8025" spans="2:6">
      <c r="B8025" s="75"/>
      <c r="C8025" s="75"/>
      <c r="D8025" s="75"/>
      <c r="E8025" s="75"/>
      <c r="F8025" s="75"/>
    </row>
    <row r="8026" spans="2:6">
      <c r="B8026" s="75"/>
      <c r="C8026" s="75"/>
      <c r="D8026" s="75"/>
      <c r="E8026" s="75"/>
      <c r="F8026" s="75"/>
    </row>
    <row r="8027" spans="2:6">
      <c r="B8027" s="75"/>
      <c r="C8027" s="75"/>
      <c r="D8027" s="75"/>
      <c r="E8027" s="75"/>
      <c r="F8027" s="75"/>
    </row>
    <row r="8028" spans="2:6">
      <c r="B8028" s="75"/>
      <c r="C8028" s="75"/>
      <c r="D8028" s="75"/>
      <c r="E8028" s="75"/>
      <c r="F8028" s="75"/>
    </row>
    <row r="8029" spans="2:6">
      <c r="B8029" s="75"/>
      <c r="C8029" s="75"/>
      <c r="D8029" s="75"/>
      <c r="E8029" s="75"/>
      <c r="F8029" s="75"/>
    </row>
    <row r="8030" spans="2:6">
      <c r="B8030" s="75"/>
      <c r="C8030" s="75"/>
      <c r="D8030" s="75"/>
      <c r="E8030" s="75"/>
      <c r="F8030" s="75"/>
    </row>
    <row r="8031" spans="2:6">
      <c r="B8031" s="75"/>
      <c r="C8031" s="75"/>
      <c r="D8031" s="75"/>
      <c r="E8031" s="75"/>
      <c r="F8031" s="75"/>
    </row>
    <row r="8032" spans="2:6">
      <c r="B8032" s="75"/>
      <c r="C8032" s="75"/>
      <c r="D8032" s="75"/>
      <c r="E8032" s="75"/>
      <c r="F8032" s="75"/>
    </row>
    <row r="8033" spans="2:6">
      <c r="B8033" s="75"/>
      <c r="C8033" s="75"/>
      <c r="D8033" s="75"/>
      <c r="E8033" s="75"/>
      <c r="F8033" s="75"/>
    </row>
    <row r="8034" spans="2:6">
      <c r="B8034" s="75"/>
      <c r="C8034" s="75"/>
      <c r="D8034" s="75"/>
      <c r="E8034" s="75"/>
      <c r="F8034" s="75"/>
    </row>
    <row r="8035" spans="2:6">
      <c r="B8035" s="75"/>
      <c r="C8035" s="75"/>
      <c r="D8035" s="75"/>
      <c r="E8035" s="75"/>
      <c r="F8035" s="75"/>
    </row>
    <row r="8036" spans="2:6">
      <c r="B8036" s="75"/>
      <c r="C8036" s="75"/>
      <c r="D8036" s="75"/>
      <c r="E8036" s="75"/>
      <c r="F8036" s="75"/>
    </row>
    <row r="8037" spans="2:6">
      <c r="B8037" s="75"/>
      <c r="C8037" s="75"/>
      <c r="D8037" s="75"/>
      <c r="E8037" s="75"/>
      <c r="F8037" s="75"/>
    </row>
    <row r="8038" spans="2:6">
      <c r="B8038" s="75"/>
      <c r="C8038" s="75"/>
      <c r="D8038" s="75"/>
      <c r="E8038" s="75"/>
      <c r="F8038" s="75"/>
    </row>
    <row r="8039" spans="2:6">
      <c r="B8039" s="75"/>
      <c r="C8039" s="75"/>
      <c r="D8039" s="75"/>
      <c r="E8039" s="75"/>
      <c r="F8039" s="75"/>
    </row>
    <row r="8040" spans="2:6">
      <c r="B8040" s="75"/>
      <c r="C8040" s="75"/>
      <c r="D8040" s="75"/>
      <c r="E8040" s="75"/>
      <c r="F8040" s="75"/>
    </row>
    <row r="8041" spans="2:6">
      <c r="B8041" s="75"/>
      <c r="C8041" s="75"/>
      <c r="D8041" s="75"/>
      <c r="E8041" s="75"/>
      <c r="F8041" s="75"/>
    </row>
    <row r="8042" spans="2:6">
      <c r="B8042" s="75"/>
      <c r="C8042" s="75"/>
      <c r="D8042" s="75"/>
      <c r="E8042" s="75"/>
      <c r="F8042" s="75"/>
    </row>
    <row r="8043" spans="2:6">
      <c r="B8043" s="75"/>
      <c r="C8043" s="75"/>
      <c r="D8043" s="75"/>
      <c r="E8043" s="75"/>
      <c r="F8043" s="75"/>
    </row>
    <row r="8044" spans="2:6">
      <c r="B8044" s="75"/>
      <c r="C8044" s="75"/>
      <c r="D8044" s="75"/>
      <c r="E8044" s="75"/>
      <c r="F8044" s="75"/>
    </row>
    <row r="8045" spans="2:6">
      <c r="B8045" s="75"/>
      <c r="C8045" s="75"/>
      <c r="D8045" s="75"/>
      <c r="E8045" s="75"/>
      <c r="F8045" s="75"/>
    </row>
    <row r="8046" spans="2:6">
      <c r="B8046" s="75"/>
      <c r="C8046" s="75"/>
      <c r="D8046" s="75"/>
      <c r="E8046" s="75"/>
      <c r="F8046" s="75"/>
    </row>
    <row r="8047" spans="2:6">
      <c r="B8047" s="75"/>
      <c r="C8047" s="75"/>
      <c r="D8047" s="75"/>
      <c r="E8047" s="75"/>
      <c r="F8047" s="75"/>
    </row>
    <row r="8048" spans="2:6">
      <c r="B8048" s="75"/>
      <c r="C8048" s="75"/>
      <c r="D8048" s="75"/>
      <c r="E8048" s="75"/>
      <c r="F8048" s="75"/>
    </row>
    <row r="8049" spans="2:6">
      <c r="B8049" s="75"/>
      <c r="C8049" s="75"/>
      <c r="D8049" s="75"/>
      <c r="E8049" s="75"/>
      <c r="F8049" s="75"/>
    </row>
    <row r="8050" spans="2:6">
      <c r="B8050" s="75"/>
      <c r="C8050" s="75"/>
      <c r="D8050" s="75"/>
      <c r="E8050" s="75"/>
      <c r="F8050" s="75"/>
    </row>
    <row r="8051" spans="2:6">
      <c r="B8051" s="75"/>
      <c r="C8051" s="75"/>
      <c r="D8051" s="75"/>
      <c r="E8051" s="75"/>
      <c r="F8051" s="75"/>
    </row>
    <row r="8052" spans="2:6">
      <c r="B8052" s="75"/>
      <c r="C8052" s="75"/>
      <c r="D8052" s="75"/>
      <c r="E8052" s="75"/>
      <c r="F8052" s="75"/>
    </row>
    <row r="8053" spans="2:6">
      <c r="B8053" s="75"/>
      <c r="C8053" s="75"/>
      <c r="D8053" s="75"/>
      <c r="E8053" s="75"/>
      <c r="F8053" s="75"/>
    </row>
    <row r="8054" spans="2:6">
      <c r="B8054" s="75"/>
      <c r="C8054" s="75"/>
      <c r="D8054" s="75"/>
      <c r="E8054" s="75"/>
      <c r="F8054" s="75"/>
    </row>
    <row r="8055" spans="2:6">
      <c r="B8055" s="75"/>
      <c r="C8055" s="75"/>
      <c r="D8055" s="75"/>
      <c r="E8055" s="75"/>
      <c r="F8055" s="75"/>
    </row>
    <row r="8056" spans="2:6">
      <c r="B8056" s="75"/>
      <c r="C8056" s="75"/>
      <c r="D8056" s="75"/>
      <c r="E8056" s="75"/>
      <c r="F8056" s="75"/>
    </row>
    <row r="8057" spans="2:6">
      <c r="B8057" s="75"/>
      <c r="C8057" s="75"/>
      <c r="D8057" s="75"/>
      <c r="E8057" s="75"/>
      <c r="F8057" s="75"/>
    </row>
    <row r="8058" spans="2:6">
      <c r="B8058" s="75"/>
      <c r="C8058" s="75"/>
      <c r="D8058" s="75"/>
      <c r="E8058" s="75"/>
      <c r="F8058" s="75"/>
    </row>
    <row r="8059" spans="2:6">
      <c r="B8059" s="75"/>
      <c r="C8059" s="75"/>
      <c r="D8059" s="75"/>
      <c r="E8059" s="75"/>
      <c r="F8059" s="75"/>
    </row>
    <row r="8060" spans="2:6">
      <c r="B8060" s="75"/>
      <c r="C8060" s="75"/>
      <c r="D8060" s="75"/>
      <c r="E8060" s="75"/>
      <c r="F8060" s="75"/>
    </row>
    <row r="8061" spans="2:6">
      <c r="B8061" s="75"/>
      <c r="C8061" s="75"/>
      <c r="D8061" s="75"/>
      <c r="E8061" s="75"/>
      <c r="F8061" s="75"/>
    </row>
    <row r="8062" spans="2:6">
      <c r="B8062" s="75"/>
      <c r="C8062" s="75"/>
      <c r="D8062" s="75"/>
      <c r="E8062" s="75"/>
      <c r="F8062" s="75"/>
    </row>
    <row r="8063" spans="2:6">
      <c r="B8063" s="75"/>
      <c r="C8063" s="75"/>
      <c r="D8063" s="75"/>
      <c r="E8063" s="75"/>
      <c r="F8063" s="75"/>
    </row>
    <row r="8064" spans="2:6">
      <c r="B8064" s="75"/>
      <c r="C8064" s="75"/>
      <c r="D8064" s="75"/>
      <c r="E8064" s="75"/>
      <c r="F8064" s="75"/>
    </row>
    <row r="8065" spans="2:6">
      <c r="B8065" s="75"/>
      <c r="C8065" s="75"/>
      <c r="D8065" s="75"/>
      <c r="E8065" s="75"/>
      <c r="F8065" s="75"/>
    </row>
    <row r="8066" spans="2:6">
      <c r="B8066" s="75"/>
      <c r="C8066" s="75"/>
      <c r="D8066" s="75"/>
      <c r="E8066" s="75"/>
      <c r="F8066" s="75"/>
    </row>
    <row r="8067" spans="2:6">
      <c r="B8067" s="75"/>
      <c r="C8067" s="75"/>
      <c r="D8067" s="75"/>
      <c r="E8067" s="75"/>
      <c r="F8067" s="75"/>
    </row>
    <row r="8068" spans="2:6">
      <c r="B8068" s="75"/>
      <c r="C8068" s="75"/>
      <c r="D8068" s="75"/>
      <c r="E8068" s="75"/>
      <c r="F8068" s="75"/>
    </row>
    <row r="8069" spans="2:6">
      <c r="B8069" s="75"/>
      <c r="C8069" s="75"/>
      <c r="D8069" s="75"/>
      <c r="E8069" s="75"/>
      <c r="F8069" s="75"/>
    </row>
    <row r="8070" spans="2:6">
      <c r="B8070" s="75"/>
      <c r="C8070" s="75"/>
      <c r="D8070" s="75"/>
      <c r="E8070" s="75"/>
      <c r="F8070" s="75"/>
    </row>
    <row r="8071" spans="2:6">
      <c r="B8071" s="75"/>
      <c r="C8071" s="75"/>
      <c r="D8071" s="75"/>
      <c r="E8071" s="75"/>
      <c r="F8071" s="75"/>
    </row>
    <row r="8072" spans="2:6">
      <c r="B8072" s="75"/>
      <c r="C8072" s="75"/>
      <c r="D8072" s="75"/>
      <c r="E8072" s="75"/>
      <c r="F8072" s="75"/>
    </row>
    <row r="8073" spans="2:6">
      <c r="B8073" s="75"/>
      <c r="C8073" s="75"/>
      <c r="D8073" s="75"/>
      <c r="E8073" s="75"/>
      <c r="F8073" s="75"/>
    </row>
    <row r="8074" spans="2:6">
      <c r="B8074" s="75"/>
      <c r="C8074" s="75"/>
      <c r="D8074" s="75"/>
      <c r="E8074" s="75"/>
      <c r="F8074" s="75"/>
    </row>
    <row r="8075" spans="2:6">
      <c r="B8075" s="75"/>
      <c r="C8075" s="75"/>
      <c r="D8075" s="75"/>
      <c r="E8075" s="75"/>
      <c r="F8075" s="75"/>
    </row>
    <row r="8076" spans="2:6">
      <c r="B8076" s="75"/>
      <c r="C8076" s="75"/>
      <c r="D8076" s="75"/>
      <c r="E8076" s="75"/>
      <c r="F8076" s="75"/>
    </row>
    <row r="8077" spans="2:6">
      <c r="B8077" s="75"/>
      <c r="C8077" s="75"/>
      <c r="D8077" s="75"/>
      <c r="E8077" s="75"/>
      <c r="F8077" s="75"/>
    </row>
    <row r="8078" spans="2:6">
      <c r="B8078" s="75"/>
      <c r="C8078" s="75"/>
      <c r="D8078" s="75"/>
      <c r="E8078" s="75"/>
      <c r="F8078" s="75"/>
    </row>
    <row r="8079" spans="2:6">
      <c r="B8079" s="75"/>
      <c r="C8079" s="75"/>
      <c r="D8079" s="75"/>
      <c r="E8079" s="75"/>
      <c r="F8079" s="75"/>
    </row>
    <row r="8080" spans="2:6">
      <c r="B8080" s="75"/>
      <c r="C8080" s="75"/>
      <c r="D8080" s="75"/>
      <c r="E8080" s="75"/>
      <c r="F8080" s="75"/>
    </row>
    <row r="8081" spans="2:6">
      <c r="B8081" s="75"/>
      <c r="C8081" s="75"/>
      <c r="D8081" s="75"/>
      <c r="E8081" s="75"/>
      <c r="F8081" s="75"/>
    </row>
    <row r="8082" spans="2:6">
      <c r="B8082" s="75"/>
      <c r="C8082" s="75"/>
      <c r="D8082" s="75"/>
      <c r="E8082" s="75"/>
      <c r="F8082" s="75"/>
    </row>
    <row r="8083" spans="2:6">
      <c r="B8083" s="75"/>
      <c r="C8083" s="75"/>
      <c r="D8083" s="75"/>
      <c r="E8083" s="75"/>
      <c r="F8083" s="75"/>
    </row>
    <row r="8084" spans="2:6">
      <c r="B8084" s="75"/>
      <c r="C8084" s="75"/>
      <c r="D8084" s="75"/>
      <c r="E8084" s="75"/>
      <c r="F8084" s="75"/>
    </row>
    <row r="8085" spans="2:6">
      <c r="B8085" s="75"/>
      <c r="C8085" s="75"/>
      <c r="D8085" s="75"/>
      <c r="E8085" s="75"/>
      <c r="F8085" s="75"/>
    </row>
    <row r="8086" spans="2:6">
      <c r="B8086" s="75"/>
      <c r="C8086" s="75"/>
      <c r="D8086" s="75"/>
      <c r="E8086" s="75"/>
      <c r="F8086" s="75"/>
    </row>
    <row r="8087" spans="2:6">
      <c r="B8087" s="75"/>
      <c r="C8087" s="75"/>
      <c r="D8087" s="75"/>
      <c r="E8087" s="75"/>
      <c r="F8087" s="75"/>
    </row>
    <row r="8088" spans="2:6">
      <c r="B8088" s="75"/>
      <c r="C8088" s="75"/>
      <c r="D8088" s="75"/>
      <c r="E8088" s="75"/>
      <c r="F8088" s="75"/>
    </row>
    <row r="8089" spans="2:6">
      <c r="B8089" s="75"/>
      <c r="C8089" s="75"/>
      <c r="D8089" s="75"/>
      <c r="E8089" s="75"/>
      <c r="F8089" s="75"/>
    </row>
    <row r="8090" spans="2:6">
      <c r="B8090" s="75"/>
      <c r="C8090" s="75"/>
      <c r="D8090" s="75"/>
      <c r="E8090" s="75"/>
      <c r="F8090" s="75"/>
    </row>
    <row r="8091" spans="2:6">
      <c r="B8091" s="75"/>
      <c r="C8091" s="75"/>
      <c r="D8091" s="75"/>
      <c r="E8091" s="75"/>
      <c r="F8091" s="75"/>
    </row>
    <row r="8092" spans="2:6">
      <c r="B8092" s="75"/>
      <c r="C8092" s="75"/>
      <c r="D8092" s="75"/>
      <c r="E8092" s="75"/>
      <c r="F8092" s="75"/>
    </row>
    <row r="8093" spans="2:6">
      <c r="B8093" s="75"/>
      <c r="C8093" s="75"/>
      <c r="D8093" s="75"/>
      <c r="E8093" s="75"/>
      <c r="F8093" s="75"/>
    </row>
    <row r="8094" spans="2:6">
      <c r="B8094" s="75"/>
      <c r="C8094" s="75"/>
      <c r="D8094" s="75"/>
      <c r="E8094" s="75"/>
      <c r="F8094" s="75"/>
    </row>
    <row r="8095" spans="2:6">
      <c r="B8095" s="75"/>
      <c r="C8095" s="75"/>
      <c r="D8095" s="75"/>
      <c r="E8095" s="75"/>
      <c r="F8095" s="75"/>
    </row>
    <row r="8096" spans="2:6">
      <c r="B8096" s="75"/>
      <c r="C8096" s="75"/>
      <c r="D8096" s="75"/>
      <c r="E8096" s="75"/>
      <c r="F8096" s="75"/>
    </row>
    <row r="8097" spans="2:6">
      <c r="B8097" s="75"/>
      <c r="C8097" s="75"/>
      <c r="D8097" s="75"/>
      <c r="E8097" s="75"/>
      <c r="F8097" s="75"/>
    </row>
    <row r="8098" spans="2:6">
      <c r="B8098" s="75"/>
      <c r="C8098" s="75"/>
      <c r="D8098" s="75"/>
      <c r="E8098" s="75"/>
      <c r="F8098" s="75"/>
    </row>
    <row r="8099" spans="2:6">
      <c r="B8099" s="75"/>
      <c r="C8099" s="75"/>
      <c r="D8099" s="75"/>
      <c r="E8099" s="75"/>
      <c r="F8099" s="75"/>
    </row>
    <row r="8100" spans="2:6">
      <c r="B8100" s="75"/>
      <c r="C8100" s="75"/>
      <c r="D8100" s="75"/>
      <c r="E8100" s="75"/>
      <c r="F8100" s="75"/>
    </row>
    <row r="8101" spans="2:6">
      <c r="B8101" s="75"/>
      <c r="C8101" s="75"/>
      <c r="D8101" s="75"/>
      <c r="E8101" s="75"/>
      <c r="F8101" s="75"/>
    </row>
    <row r="8102" spans="2:6">
      <c r="B8102" s="75"/>
      <c r="C8102" s="75"/>
      <c r="D8102" s="75"/>
      <c r="E8102" s="75"/>
      <c r="F8102" s="75"/>
    </row>
    <row r="8103" spans="2:6">
      <c r="B8103" s="75"/>
      <c r="C8103" s="75"/>
      <c r="D8103" s="75"/>
      <c r="E8103" s="75"/>
      <c r="F8103" s="75"/>
    </row>
    <row r="8104" spans="2:6">
      <c r="B8104" s="75"/>
      <c r="C8104" s="75"/>
      <c r="D8104" s="75"/>
      <c r="E8104" s="75"/>
      <c r="F8104" s="75"/>
    </row>
    <row r="8105" spans="2:6">
      <c r="B8105" s="75"/>
      <c r="C8105" s="75"/>
      <c r="D8105" s="75"/>
      <c r="E8105" s="75"/>
      <c r="F8105" s="75"/>
    </row>
    <row r="8106" spans="2:6">
      <c r="B8106" s="75"/>
      <c r="C8106" s="75"/>
      <c r="D8106" s="75"/>
      <c r="E8106" s="75"/>
      <c r="F8106" s="75"/>
    </row>
    <row r="8107" spans="2:6">
      <c r="B8107" s="75"/>
      <c r="C8107" s="75"/>
      <c r="D8107" s="75"/>
      <c r="E8107" s="75"/>
      <c r="F8107" s="75"/>
    </row>
    <row r="8108" spans="2:6">
      <c r="B8108" s="75"/>
      <c r="C8108" s="75"/>
      <c r="D8108" s="75"/>
      <c r="E8108" s="75"/>
      <c r="F8108" s="75"/>
    </row>
    <row r="8109" spans="2:6">
      <c r="B8109" s="75"/>
      <c r="C8109" s="75"/>
      <c r="D8109" s="75"/>
      <c r="E8109" s="75"/>
      <c r="F8109" s="75"/>
    </row>
    <row r="8110" spans="2:6">
      <c r="B8110" s="75"/>
      <c r="C8110" s="75"/>
      <c r="D8110" s="75"/>
      <c r="E8110" s="75"/>
      <c r="F8110" s="75"/>
    </row>
    <row r="8111" spans="2:6">
      <c r="B8111" s="75"/>
      <c r="C8111" s="75"/>
      <c r="D8111" s="75"/>
      <c r="E8111" s="75"/>
      <c r="F8111" s="75"/>
    </row>
    <row r="8112" spans="2:6">
      <c r="B8112" s="75"/>
      <c r="C8112" s="75"/>
      <c r="D8112" s="75"/>
      <c r="E8112" s="75"/>
      <c r="F8112" s="75"/>
    </row>
    <row r="8113" spans="2:6">
      <c r="B8113" s="75"/>
      <c r="C8113" s="75"/>
      <c r="D8113" s="75"/>
      <c r="E8113" s="75"/>
      <c r="F8113" s="75"/>
    </row>
    <row r="8114" spans="2:6">
      <c r="B8114" s="75"/>
      <c r="C8114" s="75"/>
      <c r="D8114" s="75"/>
      <c r="E8114" s="75"/>
      <c r="F8114" s="75"/>
    </row>
    <row r="8115" spans="2:6">
      <c r="B8115" s="75"/>
      <c r="C8115" s="75"/>
      <c r="D8115" s="75"/>
      <c r="E8115" s="75"/>
      <c r="F8115" s="75"/>
    </row>
    <row r="8116" spans="2:6">
      <c r="B8116" s="75"/>
      <c r="C8116" s="75"/>
      <c r="D8116" s="75"/>
      <c r="E8116" s="75"/>
      <c r="F8116" s="75"/>
    </row>
    <row r="8117" spans="2:6">
      <c r="B8117" s="75"/>
      <c r="C8117" s="75"/>
      <c r="D8117" s="75"/>
      <c r="E8117" s="75"/>
      <c r="F8117" s="75"/>
    </row>
    <row r="8118" spans="2:6">
      <c r="B8118" s="75"/>
      <c r="C8118" s="75"/>
      <c r="D8118" s="75"/>
      <c r="E8118" s="75"/>
      <c r="F8118" s="75"/>
    </row>
    <row r="8119" spans="2:6">
      <c r="B8119" s="75"/>
      <c r="C8119" s="75"/>
      <c r="D8119" s="75"/>
      <c r="E8119" s="75"/>
      <c r="F8119" s="75"/>
    </row>
    <row r="8120" spans="2:6">
      <c r="B8120" s="75"/>
      <c r="C8120" s="75"/>
      <c r="D8120" s="75"/>
      <c r="E8120" s="75"/>
      <c r="F8120" s="75"/>
    </row>
    <row r="8121" spans="2:6">
      <c r="B8121" s="75"/>
      <c r="C8121" s="75"/>
      <c r="D8121" s="75"/>
      <c r="E8121" s="75"/>
      <c r="F8121" s="75"/>
    </row>
    <row r="8122" spans="2:6">
      <c r="B8122" s="75"/>
      <c r="C8122" s="75"/>
      <c r="D8122" s="75"/>
      <c r="E8122" s="75"/>
      <c r="F8122" s="75"/>
    </row>
    <row r="8123" spans="2:6">
      <c r="B8123" s="75"/>
      <c r="C8123" s="75"/>
      <c r="D8123" s="75"/>
      <c r="E8123" s="75"/>
      <c r="F8123" s="75"/>
    </row>
    <row r="8124" spans="2:6">
      <c r="B8124" s="75"/>
      <c r="C8124" s="75"/>
      <c r="D8124" s="75"/>
      <c r="E8124" s="75"/>
      <c r="F8124" s="75"/>
    </row>
    <row r="8125" spans="2:6">
      <c r="B8125" s="75"/>
      <c r="C8125" s="75"/>
      <c r="D8125" s="75"/>
      <c r="E8125" s="75"/>
      <c r="F8125" s="75"/>
    </row>
    <row r="8126" spans="2:6">
      <c r="B8126" s="75"/>
      <c r="C8126" s="75"/>
      <c r="D8126" s="75"/>
      <c r="E8126" s="75"/>
      <c r="F8126" s="75"/>
    </row>
    <row r="8127" spans="2:6">
      <c r="B8127" s="75"/>
      <c r="C8127" s="75"/>
      <c r="D8127" s="75"/>
      <c r="E8127" s="75"/>
      <c r="F8127" s="75"/>
    </row>
    <row r="8128" spans="2:6">
      <c r="B8128" s="75"/>
      <c r="C8128" s="75"/>
      <c r="D8128" s="75"/>
      <c r="E8128" s="75"/>
      <c r="F8128" s="75"/>
    </row>
    <row r="8129" spans="2:6">
      <c r="B8129" s="75"/>
      <c r="C8129" s="75"/>
      <c r="D8129" s="75"/>
      <c r="E8129" s="75"/>
      <c r="F8129" s="75"/>
    </row>
    <row r="8130" spans="2:6">
      <c r="B8130" s="75"/>
      <c r="C8130" s="75"/>
      <c r="D8130" s="75"/>
      <c r="E8130" s="75"/>
      <c r="F8130" s="75"/>
    </row>
    <row r="8131" spans="2:6">
      <c r="B8131" s="75"/>
      <c r="C8131" s="75"/>
      <c r="D8131" s="75"/>
      <c r="E8131" s="75"/>
      <c r="F8131" s="75"/>
    </row>
    <row r="8132" spans="2:6">
      <c r="B8132" s="75"/>
      <c r="C8132" s="75"/>
      <c r="D8132" s="75"/>
      <c r="E8132" s="75"/>
      <c r="F8132" s="75"/>
    </row>
    <row r="8133" spans="2:6">
      <c r="B8133" s="75"/>
      <c r="C8133" s="75"/>
      <c r="D8133" s="75"/>
      <c r="E8133" s="75"/>
      <c r="F8133" s="75"/>
    </row>
    <row r="8134" spans="2:6">
      <c r="B8134" s="75"/>
      <c r="C8134" s="75"/>
      <c r="D8134" s="75"/>
      <c r="E8134" s="75"/>
      <c r="F8134" s="75"/>
    </row>
    <row r="8135" spans="2:6">
      <c r="B8135" s="75"/>
      <c r="C8135" s="75"/>
      <c r="D8135" s="75"/>
      <c r="E8135" s="75"/>
      <c r="F8135" s="75"/>
    </row>
    <row r="8136" spans="2:6">
      <c r="B8136" s="75"/>
      <c r="C8136" s="75"/>
      <c r="D8136" s="75"/>
      <c r="E8136" s="75"/>
      <c r="F8136" s="75"/>
    </row>
    <row r="8137" spans="2:6">
      <c r="B8137" s="75"/>
      <c r="C8137" s="75"/>
      <c r="D8137" s="75"/>
      <c r="E8137" s="75"/>
      <c r="F8137" s="75"/>
    </row>
    <row r="8138" spans="2:6">
      <c r="B8138" s="75"/>
      <c r="C8138" s="75"/>
      <c r="D8138" s="75"/>
      <c r="E8138" s="75"/>
      <c r="F8138" s="75"/>
    </row>
    <row r="8139" spans="2:6">
      <c r="B8139" s="75"/>
      <c r="C8139" s="75"/>
      <c r="D8139" s="75"/>
      <c r="E8139" s="75"/>
      <c r="F8139" s="75"/>
    </row>
    <row r="8140" spans="2:6">
      <c r="B8140" s="75"/>
      <c r="C8140" s="75"/>
      <c r="D8140" s="75"/>
      <c r="E8140" s="75"/>
      <c r="F8140" s="75"/>
    </row>
    <row r="8141" spans="2:6">
      <c r="B8141" s="75"/>
      <c r="C8141" s="75"/>
      <c r="D8141" s="75"/>
      <c r="E8141" s="75"/>
      <c r="F8141" s="75"/>
    </row>
    <row r="8142" spans="2:6">
      <c r="B8142" s="75"/>
      <c r="C8142" s="75"/>
      <c r="D8142" s="75"/>
      <c r="E8142" s="75"/>
      <c r="F8142" s="75"/>
    </row>
    <row r="8143" spans="2:6">
      <c r="B8143" s="75"/>
      <c r="C8143" s="75"/>
      <c r="D8143" s="75"/>
      <c r="E8143" s="75"/>
      <c r="F8143" s="75"/>
    </row>
    <row r="8144" spans="2:6">
      <c r="B8144" s="75"/>
      <c r="C8144" s="75"/>
      <c r="D8144" s="75"/>
      <c r="E8144" s="75"/>
      <c r="F8144" s="75"/>
    </row>
    <row r="8145" spans="2:6">
      <c r="B8145" s="75"/>
      <c r="C8145" s="75"/>
      <c r="D8145" s="75"/>
      <c r="E8145" s="75"/>
      <c r="F8145" s="75"/>
    </row>
    <row r="8146" spans="2:6">
      <c r="B8146" s="75"/>
      <c r="C8146" s="75"/>
      <c r="D8146" s="75"/>
      <c r="E8146" s="75"/>
      <c r="F8146" s="75"/>
    </row>
    <row r="8147" spans="2:6">
      <c r="B8147" s="75"/>
      <c r="C8147" s="75"/>
      <c r="D8147" s="75"/>
      <c r="E8147" s="75"/>
      <c r="F8147" s="75"/>
    </row>
    <row r="8148" spans="2:6">
      <c r="B8148" s="75"/>
      <c r="C8148" s="75"/>
      <c r="D8148" s="75"/>
      <c r="E8148" s="75"/>
      <c r="F8148" s="75"/>
    </row>
    <row r="8149" spans="2:6">
      <c r="B8149" s="75"/>
      <c r="C8149" s="75"/>
      <c r="D8149" s="75"/>
      <c r="E8149" s="75"/>
      <c r="F8149" s="75"/>
    </row>
    <row r="8150" spans="2:6">
      <c r="B8150" s="75"/>
      <c r="C8150" s="75"/>
      <c r="D8150" s="75"/>
      <c r="E8150" s="75"/>
      <c r="F8150" s="75"/>
    </row>
    <row r="8151" spans="2:6">
      <c r="B8151" s="75"/>
      <c r="C8151" s="75"/>
      <c r="D8151" s="75"/>
      <c r="E8151" s="75"/>
      <c r="F8151" s="75"/>
    </row>
    <row r="8152" spans="2:6">
      <c r="B8152" s="75"/>
      <c r="C8152" s="75"/>
      <c r="D8152" s="75"/>
      <c r="E8152" s="75"/>
      <c r="F8152" s="75"/>
    </row>
    <row r="8153" spans="2:6">
      <c r="B8153" s="75"/>
      <c r="C8153" s="75"/>
      <c r="D8153" s="75"/>
      <c r="E8153" s="75"/>
      <c r="F8153" s="75"/>
    </row>
    <row r="8154" spans="2:6">
      <c r="B8154" s="75"/>
      <c r="C8154" s="75"/>
      <c r="D8154" s="75"/>
      <c r="E8154" s="75"/>
      <c r="F8154" s="75"/>
    </row>
    <row r="8155" spans="2:6">
      <c r="B8155" s="75"/>
      <c r="C8155" s="75"/>
      <c r="D8155" s="75"/>
      <c r="E8155" s="75"/>
      <c r="F8155" s="75"/>
    </row>
    <row r="8156" spans="2:6">
      <c r="B8156" s="75"/>
      <c r="C8156" s="75"/>
      <c r="D8156" s="75"/>
      <c r="E8156" s="75"/>
      <c r="F8156" s="75"/>
    </row>
    <row r="8157" spans="2:6">
      <c r="B8157" s="75"/>
      <c r="C8157" s="75"/>
      <c r="D8157" s="75"/>
      <c r="E8157" s="75"/>
      <c r="F8157" s="75"/>
    </row>
    <row r="8158" spans="2:6">
      <c r="B8158" s="75"/>
      <c r="C8158" s="75"/>
      <c r="D8158" s="75"/>
      <c r="E8158" s="75"/>
      <c r="F8158" s="75"/>
    </row>
    <row r="8159" spans="2:6">
      <c r="B8159" s="75"/>
      <c r="C8159" s="75"/>
      <c r="D8159" s="75"/>
      <c r="E8159" s="75"/>
      <c r="F8159" s="75"/>
    </row>
    <row r="8160" spans="2:6">
      <c r="B8160" s="75"/>
      <c r="C8160" s="75"/>
      <c r="D8160" s="75"/>
      <c r="E8160" s="75"/>
      <c r="F8160" s="75"/>
    </row>
    <row r="8161" spans="2:6">
      <c r="B8161" s="75"/>
      <c r="C8161" s="75"/>
      <c r="D8161" s="75"/>
      <c r="E8161" s="75"/>
      <c r="F8161" s="75"/>
    </row>
    <row r="8162" spans="2:6">
      <c r="B8162" s="75"/>
      <c r="C8162" s="75"/>
      <c r="D8162" s="75"/>
      <c r="E8162" s="75"/>
      <c r="F8162" s="75"/>
    </row>
    <row r="8163" spans="2:6">
      <c r="B8163" s="75"/>
      <c r="C8163" s="75"/>
      <c r="D8163" s="75"/>
      <c r="E8163" s="75"/>
      <c r="F8163" s="75"/>
    </row>
    <row r="8164" spans="2:6">
      <c r="B8164" s="75"/>
      <c r="C8164" s="75"/>
      <c r="D8164" s="75"/>
      <c r="E8164" s="75"/>
      <c r="F8164" s="75"/>
    </row>
    <row r="8165" spans="2:6">
      <c r="B8165" s="75"/>
      <c r="C8165" s="75"/>
      <c r="D8165" s="75"/>
      <c r="E8165" s="75"/>
      <c r="F8165" s="75"/>
    </row>
    <row r="8166" spans="2:6">
      <c r="B8166" s="75"/>
      <c r="C8166" s="75"/>
      <c r="D8166" s="75"/>
      <c r="E8166" s="75"/>
      <c r="F8166" s="75"/>
    </row>
    <row r="8167" spans="2:6">
      <c r="B8167" s="75"/>
      <c r="C8167" s="75"/>
      <c r="D8167" s="75"/>
      <c r="E8167" s="75"/>
      <c r="F8167" s="75"/>
    </row>
    <row r="8168" spans="2:6">
      <c r="B8168" s="75"/>
      <c r="C8168" s="75"/>
      <c r="D8168" s="75"/>
      <c r="E8168" s="75"/>
      <c r="F8168" s="75"/>
    </row>
    <row r="8169" spans="2:6">
      <c r="B8169" s="75"/>
      <c r="C8169" s="75"/>
      <c r="D8169" s="75"/>
      <c r="E8169" s="75"/>
      <c r="F8169" s="75"/>
    </row>
    <row r="8170" spans="2:6">
      <c r="B8170" s="75"/>
      <c r="C8170" s="75"/>
      <c r="D8170" s="75"/>
      <c r="E8170" s="75"/>
      <c r="F8170" s="75"/>
    </row>
    <row r="8171" spans="2:6">
      <c r="B8171" s="75"/>
      <c r="C8171" s="75"/>
      <c r="D8171" s="75"/>
      <c r="E8171" s="75"/>
      <c r="F8171" s="75"/>
    </row>
    <row r="8172" spans="2:6">
      <c r="B8172" s="75"/>
      <c r="C8172" s="75"/>
      <c r="D8172" s="75"/>
      <c r="E8172" s="75"/>
      <c r="F8172" s="75"/>
    </row>
    <row r="8173" spans="2:6">
      <c r="B8173" s="75"/>
      <c r="C8173" s="75"/>
      <c r="D8173" s="75"/>
      <c r="E8173" s="75"/>
      <c r="F8173" s="75"/>
    </row>
    <row r="8174" spans="2:6">
      <c r="B8174" s="75"/>
      <c r="C8174" s="75"/>
      <c r="D8174" s="75"/>
      <c r="E8174" s="75"/>
      <c r="F8174" s="75"/>
    </row>
    <row r="8175" spans="2:6">
      <c r="B8175" s="75"/>
      <c r="C8175" s="75"/>
      <c r="D8175" s="75"/>
      <c r="E8175" s="75"/>
      <c r="F8175" s="75"/>
    </row>
    <row r="8176" spans="2:6">
      <c r="B8176" s="75"/>
      <c r="C8176" s="75"/>
      <c r="D8176" s="75"/>
      <c r="E8176" s="75"/>
      <c r="F8176" s="75"/>
    </row>
    <row r="8177" spans="2:6">
      <c r="B8177" s="75"/>
      <c r="C8177" s="75"/>
      <c r="D8177" s="75"/>
      <c r="E8177" s="75"/>
      <c r="F8177" s="75"/>
    </row>
    <row r="8178" spans="2:6">
      <c r="B8178" s="75"/>
      <c r="C8178" s="75"/>
      <c r="D8178" s="75"/>
      <c r="E8178" s="75"/>
      <c r="F8178" s="75"/>
    </row>
    <row r="8179" spans="2:6">
      <c r="B8179" s="75"/>
      <c r="C8179" s="75"/>
      <c r="D8179" s="75"/>
      <c r="E8179" s="75"/>
      <c r="F8179" s="75"/>
    </row>
    <row r="8180" spans="2:6">
      <c r="B8180" s="75"/>
      <c r="C8180" s="75"/>
      <c r="D8180" s="75"/>
      <c r="E8180" s="75"/>
      <c r="F8180" s="75"/>
    </row>
    <row r="8181" spans="2:6">
      <c r="B8181" s="75"/>
      <c r="C8181" s="75"/>
      <c r="D8181" s="75"/>
      <c r="E8181" s="75"/>
      <c r="F8181" s="75"/>
    </row>
    <row r="8182" spans="2:6">
      <c r="B8182" s="75"/>
      <c r="C8182" s="75"/>
      <c r="D8182" s="75"/>
      <c r="E8182" s="75"/>
      <c r="F8182" s="75"/>
    </row>
    <row r="8183" spans="2:6">
      <c r="B8183" s="75"/>
      <c r="C8183" s="75"/>
      <c r="D8183" s="75"/>
      <c r="E8183" s="75"/>
      <c r="F8183" s="75"/>
    </row>
    <row r="8184" spans="2:6">
      <c r="B8184" s="75"/>
      <c r="C8184" s="75"/>
      <c r="D8184" s="75"/>
      <c r="E8184" s="75"/>
      <c r="F8184" s="75"/>
    </row>
    <row r="8185" spans="2:6">
      <c r="B8185" s="75"/>
      <c r="C8185" s="75"/>
      <c r="D8185" s="75"/>
      <c r="E8185" s="75"/>
      <c r="F8185" s="75"/>
    </row>
    <row r="8186" spans="2:6">
      <c r="B8186" s="75"/>
      <c r="C8186" s="75"/>
      <c r="D8186" s="75"/>
      <c r="E8186" s="75"/>
      <c r="F8186" s="75"/>
    </row>
    <row r="8187" spans="2:6">
      <c r="B8187" s="75"/>
      <c r="C8187" s="75"/>
      <c r="D8187" s="75"/>
      <c r="E8187" s="75"/>
      <c r="F8187" s="75"/>
    </row>
    <row r="8188" spans="2:6">
      <c r="B8188" s="75"/>
      <c r="C8188" s="75"/>
      <c r="D8188" s="75"/>
      <c r="E8188" s="75"/>
      <c r="F8188" s="75"/>
    </row>
    <row r="8189" spans="2:6">
      <c r="B8189" s="75"/>
      <c r="C8189" s="75"/>
      <c r="D8189" s="75"/>
      <c r="E8189" s="75"/>
      <c r="F8189" s="75"/>
    </row>
    <row r="8190" spans="2:6">
      <c r="B8190" s="75"/>
      <c r="C8190" s="75"/>
      <c r="D8190" s="75"/>
      <c r="E8190" s="75"/>
      <c r="F8190" s="75"/>
    </row>
    <row r="8191" spans="2:6">
      <c r="B8191" s="75"/>
      <c r="C8191" s="75"/>
      <c r="D8191" s="75"/>
      <c r="E8191" s="75"/>
      <c r="F8191" s="75"/>
    </row>
    <row r="8192" spans="2:6">
      <c r="B8192" s="75"/>
      <c r="C8192" s="75"/>
      <c r="D8192" s="75"/>
      <c r="E8192" s="75"/>
      <c r="F8192" s="75"/>
    </row>
    <row r="8193" spans="2:6">
      <c r="B8193" s="75"/>
      <c r="C8193" s="75"/>
      <c r="D8193" s="75"/>
      <c r="E8193" s="75"/>
      <c r="F8193" s="75"/>
    </row>
    <row r="8194" spans="2:6">
      <c r="B8194" s="75"/>
      <c r="C8194" s="75"/>
      <c r="D8194" s="75"/>
      <c r="E8194" s="75"/>
      <c r="F8194" s="75"/>
    </row>
    <row r="8195" spans="2:6">
      <c r="B8195" s="75"/>
      <c r="C8195" s="75"/>
      <c r="D8195" s="75"/>
      <c r="E8195" s="75"/>
      <c r="F8195" s="75"/>
    </row>
    <row r="8196" spans="2:6">
      <c r="B8196" s="75"/>
      <c r="C8196" s="75"/>
      <c r="D8196" s="75"/>
      <c r="E8196" s="75"/>
      <c r="F8196" s="75"/>
    </row>
    <row r="8197" spans="2:6">
      <c r="B8197" s="75"/>
      <c r="C8197" s="75"/>
      <c r="D8197" s="75"/>
      <c r="E8197" s="75"/>
      <c r="F8197" s="75"/>
    </row>
    <row r="8198" spans="2:6">
      <c r="B8198" s="75"/>
      <c r="C8198" s="75"/>
      <c r="D8198" s="75"/>
      <c r="E8198" s="75"/>
      <c r="F8198" s="75"/>
    </row>
    <row r="8199" spans="2:6">
      <c r="B8199" s="75"/>
      <c r="C8199" s="75"/>
      <c r="D8199" s="75"/>
      <c r="E8199" s="75"/>
      <c r="F8199" s="75"/>
    </row>
    <row r="8200" spans="2:6">
      <c r="B8200" s="75"/>
      <c r="C8200" s="75"/>
      <c r="D8200" s="75"/>
      <c r="E8200" s="75"/>
      <c r="F8200" s="75"/>
    </row>
    <row r="8201" spans="2:6">
      <c r="B8201" s="75"/>
      <c r="C8201" s="75"/>
      <c r="D8201" s="75"/>
      <c r="E8201" s="75"/>
      <c r="F8201" s="75"/>
    </row>
    <row r="8202" spans="2:6">
      <c r="B8202" s="75"/>
      <c r="C8202" s="75"/>
      <c r="D8202" s="75"/>
      <c r="E8202" s="75"/>
      <c r="F8202" s="75"/>
    </row>
    <row r="8203" spans="2:6">
      <c r="B8203" s="75"/>
      <c r="C8203" s="75"/>
      <c r="D8203" s="75"/>
      <c r="E8203" s="75"/>
      <c r="F8203" s="75"/>
    </row>
    <row r="8204" spans="2:6">
      <c r="B8204" s="75"/>
      <c r="C8204" s="75"/>
      <c r="D8204" s="75"/>
      <c r="E8204" s="75"/>
      <c r="F8204" s="75"/>
    </row>
    <row r="8205" spans="2:6">
      <c r="B8205" s="75"/>
      <c r="C8205" s="75"/>
      <c r="D8205" s="75"/>
      <c r="E8205" s="75"/>
      <c r="F8205" s="75"/>
    </row>
    <row r="8206" spans="2:6">
      <c r="B8206" s="75"/>
      <c r="C8206" s="75"/>
      <c r="D8206" s="75"/>
      <c r="E8206" s="75"/>
      <c r="F8206" s="75"/>
    </row>
    <row r="8207" spans="2:6">
      <c r="B8207" s="75"/>
      <c r="C8207" s="75"/>
      <c r="D8207" s="75"/>
      <c r="E8207" s="75"/>
      <c r="F8207" s="75"/>
    </row>
    <row r="8208" spans="2:6">
      <c r="B8208" s="75"/>
      <c r="C8208" s="75"/>
      <c r="D8208" s="75"/>
      <c r="E8208" s="75"/>
      <c r="F8208" s="75"/>
    </row>
    <row r="8209" spans="2:6">
      <c r="B8209" s="75"/>
      <c r="C8209" s="75"/>
      <c r="D8209" s="75"/>
      <c r="E8209" s="75"/>
      <c r="F8209" s="75"/>
    </row>
    <row r="8210" spans="2:6">
      <c r="B8210" s="75"/>
      <c r="C8210" s="75"/>
      <c r="D8210" s="75"/>
      <c r="E8210" s="75"/>
      <c r="F8210" s="75"/>
    </row>
    <row r="8211" spans="2:6">
      <c r="B8211" s="75"/>
      <c r="C8211" s="75"/>
      <c r="D8211" s="75"/>
      <c r="E8211" s="75"/>
      <c r="F8211" s="75"/>
    </row>
    <row r="8212" spans="2:6">
      <c r="B8212" s="75"/>
      <c r="C8212" s="75"/>
      <c r="D8212" s="75"/>
      <c r="E8212" s="75"/>
      <c r="F8212" s="75"/>
    </row>
    <row r="8213" spans="2:6">
      <c r="B8213" s="75"/>
      <c r="C8213" s="75"/>
      <c r="D8213" s="75"/>
      <c r="E8213" s="75"/>
      <c r="F8213" s="75"/>
    </row>
    <row r="8214" spans="2:6">
      <c r="B8214" s="75"/>
      <c r="C8214" s="75"/>
      <c r="D8214" s="75"/>
      <c r="E8214" s="75"/>
      <c r="F8214" s="75"/>
    </row>
    <row r="8215" spans="2:6">
      <c r="B8215" s="75"/>
      <c r="C8215" s="75"/>
      <c r="D8215" s="75"/>
      <c r="E8215" s="75"/>
      <c r="F8215" s="75"/>
    </row>
    <row r="8216" spans="2:6">
      <c r="B8216" s="75"/>
      <c r="C8216" s="75"/>
      <c r="D8216" s="75"/>
      <c r="E8216" s="75"/>
      <c r="F8216" s="75"/>
    </row>
    <row r="8217" spans="2:6">
      <c r="B8217" s="75"/>
      <c r="C8217" s="75"/>
      <c r="D8217" s="75"/>
      <c r="E8217" s="75"/>
      <c r="F8217" s="75"/>
    </row>
    <row r="8218" spans="2:6">
      <c r="B8218" s="75"/>
      <c r="C8218" s="75"/>
      <c r="D8218" s="75"/>
      <c r="E8218" s="75"/>
      <c r="F8218" s="75"/>
    </row>
    <row r="8219" spans="2:6">
      <c r="B8219" s="75"/>
      <c r="C8219" s="75"/>
      <c r="D8219" s="75"/>
      <c r="E8219" s="75"/>
      <c r="F8219" s="75"/>
    </row>
    <row r="8220" spans="2:6">
      <c r="B8220" s="75"/>
      <c r="C8220" s="75"/>
      <c r="D8220" s="75"/>
      <c r="E8220" s="75"/>
      <c r="F8220" s="75"/>
    </row>
    <row r="8221" spans="2:6">
      <c r="B8221" s="75"/>
      <c r="C8221" s="75"/>
      <c r="D8221" s="75"/>
      <c r="E8221" s="75"/>
      <c r="F8221" s="75"/>
    </row>
    <row r="8222" spans="2:6">
      <c r="B8222" s="75"/>
      <c r="C8222" s="75"/>
      <c r="D8222" s="75"/>
      <c r="E8222" s="75"/>
      <c r="F8222" s="75"/>
    </row>
    <row r="8223" spans="2:6">
      <c r="B8223" s="75"/>
      <c r="C8223" s="75"/>
      <c r="D8223" s="75"/>
      <c r="E8223" s="75"/>
      <c r="F8223" s="75"/>
    </row>
    <row r="8224" spans="2:6">
      <c r="B8224" s="75"/>
      <c r="C8224" s="75"/>
      <c r="D8224" s="75"/>
      <c r="E8224" s="75"/>
      <c r="F8224" s="75"/>
    </row>
    <row r="8225" spans="2:6">
      <c r="B8225" s="75"/>
      <c r="C8225" s="75"/>
      <c r="D8225" s="75"/>
      <c r="E8225" s="75"/>
      <c r="F8225" s="75"/>
    </row>
    <row r="8226" spans="2:6">
      <c r="B8226" s="75"/>
      <c r="C8226" s="75"/>
      <c r="D8226" s="75"/>
      <c r="E8226" s="75"/>
      <c r="F8226" s="75"/>
    </row>
    <row r="8227" spans="2:6">
      <c r="B8227" s="75"/>
      <c r="C8227" s="75"/>
      <c r="D8227" s="75"/>
      <c r="E8227" s="75"/>
      <c r="F8227" s="75"/>
    </row>
    <row r="8228" spans="2:6">
      <c r="B8228" s="75"/>
      <c r="C8228" s="75"/>
      <c r="D8228" s="75"/>
      <c r="E8228" s="75"/>
      <c r="F8228" s="75"/>
    </row>
    <row r="8229" spans="2:6">
      <c r="B8229" s="75"/>
      <c r="C8229" s="75"/>
      <c r="D8229" s="75"/>
      <c r="E8229" s="75"/>
      <c r="F8229" s="75"/>
    </row>
    <row r="8230" spans="2:6">
      <c r="B8230" s="75"/>
      <c r="C8230" s="75"/>
      <c r="D8230" s="75"/>
      <c r="E8230" s="75"/>
      <c r="F8230" s="75"/>
    </row>
    <row r="8231" spans="2:6">
      <c r="B8231" s="75"/>
      <c r="C8231" s="75"/>
      <c r="D8231" s="75"/>
      <c r="E8231" s="75"/>
      <c r="F8231" s="75"/>
    </row>
    <row r="8232" spans="2:6">
      <c r="B8232" s="75"/>
      <c r="C8232" s="75"/>
      <c r="D8232" s="75"/>
      <c r="E8232" s="75"/>
      <c r="F8232" s="75"/>
    </row>
    <row r="8233" spans="2:6">
      <c r="B8233" s="75"/>
      <c r="C8233" s="75"/>
      <c r="D8233" s="75"/>
      <c r="E8233" s="75"/>
      <c r="F8233" s="75"/>
    </row>
    <row r="8234" spans="2:6">
      <c r="B8234" s="75"/>
      <c r="C8234" s="75"/>
      <c r="D8234" s="75"/>
      <c r="E8234" s="75"/>
      <c r="F8234" s="75"/>
    </row>
    <row r="8235" spans="2:6">
      <c r="B8235" s="75"/>
      <c r="C8235" s="75"/>
      <c r="D8235" s="75"/>
      <c r="E8235" s="75"/>
      <c r="F8235" s="75"/>
    </row>
    <row r="8236" spans="2:6">
      <c r="B8236" s="75"/>
      <c r="C8236" s="75"/>
      <c r="D8236" s="75"/>
      <c r="E8236" s="75"/>
      <c r="F8236" s="75"/>
    </row>
    <row r="8237" spans="2:6">
      <c r="B8237" s="75"/>
      <c r="C8237" s="75"/>
      <c r="D8237" s="75"/>
      <c r="E8237" s="75"/>
      <c r="F8237" s="75"/>
    </row>
    <row r="8238" spans="2:6">
      <c r="B8238" s="75"/>
      <c r="C8238" s="75"/>
      <c r="D8238" s="75"/>
      <c r="E8238" s="75"/>
      <c r="F8238" s="75"/>
    </row>
    <row r="8239" spans="2:6">
      <c r="B8239" s="75"/>
      <c r="C8239" s="75"/>
      <c r="D8239" s="75"/>
      <c r="E8239" s="75"/>
      <c r="F8239" s="75"/>
    </row>
    <row r="8240" spans="2:6">
      <c r="B8240" s="75"/>
      <c r="C8240" s="75"/>
      <c r="D8240" s="75"/>
      <c r="E8240" s="75"/>
      <c r="F8240" s="75"/>
    </row>
    <row r="8241" spans="2:6">
      <c r="B8241" s="75"/>
      <c r="C8241" s="75"/>
      <c r="D8241" s="75"/>
      <c r="E8241" s="75"/>
      <c r="F8241" s="75"/>
    </row>
    <row r="8242" spans="2:6">
      <c r="B8242" s="75"/>
      <c r="C8242" s="75"/>
      <c r="D8242" s="75"/>
      <c r="E8242" s="75"/>
      <c r="F8242" s="75"/>
    </row>
    <row r="8243" spans="2:6">
      <c r="B8243" s="75"/>
      <c r="C8243" s="75"/>
      <c r="D8243" s="75"/>
      <c r="E8243" s="75"/>
      <c r="F8243" s="75"/>
    </row>
    <row r="8244" spans="2:6">
      <c r="B8244" s="75"/>
      <c r="C8244" s="75"/>
      <c r="D8244" s="75"/>
      <c r="E8244" s="75"/>
      <c r="F8244" s="75"/>
    </row>
    <row r="8245" spans="2:6">
      <c r="B8245" s="75"/>
      <c r="C8245" s="75"/>
      <c r="D8245" s="75"/>
      <c r="E8245" s="75"/>
      <c r="F8245" s="75"/>
    </row>
    <row r="8246" spans="2:6">
      <c r="B8246" s="75"/>
      <c r="C8246" s="75"/>
      <c r="D8246" s="75"/>
      <c r="E8246" s="75"/>
      <c r="F8246" s="75"/>
    </row>
    <row r="8247" spans="2:6">
      <c r="B8247" s="75"/>
      <c r="C8247" s="75"/>
      <c r="D8247" s="75"/>
      <c r="E8247" s="75"/>
      <c r="F8247" s="75"/>
    </row>
    <row r="8248" spans="2:6">
      <c r="B8248" s="75"/>
      <c r="C8248" s="75"/>
      <c r="D8248" s="75"/>
      <c r="E8248" s="75"/>
      <c r="F8248" s="75"/>
    </row>
    <row r="8249" spans="2:6">
      <c r="B8249" s="75"/>
      <c r="C8249" s="75"/>
      <c r="D8249" s="75"/>
      <c r="E8249" s="75"/>
      <c r="F8249" s="75"/>
    </row>
    <row r="8250" spans="2:6">
      <c r="B8250" s="75"/>
      <c r="C8250" s="75"/>
      <c r="D8250" s="75"/>
      <c r="E8250" s="75"/>
      <c r="F8250" s="75"/>
    </row>
    <row r="8251" spans="2:6">
      <c r="B8251" s="75"/>
      <c r="C8251" s="75"/>
      <c r="D8251" s="75"/>
      <c r="E8251" s="75"/>
      <c r="F8251" s="75"/>
    </row>
    <row r="8252" spans="2:6">
      <c r="B8252" s="75"/>
      <c r="C8252" s="75"/>
      <c r="D8252" s="75"/>
      <c r="E8252" s="75"/>
      <c r="F8252" s="75"/>
    </row>
    <row r="8253" spans="2:6">
      <c r="B8253" s="75"/>
      <c r="C8253" s="75"/>
      <c r="D8253" s="75"/>
      <c r="E8253" s="75"/>
      <c r="F8253" s="75"/>
    </row>
    <row r="8254" spans="2:6">
      <c r="B8254" s="75"/>
      <c r="C8254" s="75"/>
      <c r="D8254" s="75"/>
      <c r="E8254" s="75"/>
      <c r="F8254" s="75"/>
    </row>
    <row r="8255" spans="2:6">
      <c r="B8255" s="75"/>
      <c r="C8255" s="75"/>
      <c r="D8255" s="75"/>
      <c r="E8255" s="75"/>
      <c r="F8255" s="75"/>
    </row>
    <row r="8256" spans="2:6">
      <c r="B8256" s="75"/>
      <c r="C8256" s="75"/>
      <c r="D8256" s="75"/>
      <c r="E8256" s="75"/>
      <c r="F8256" s="75"/>
    </row>
    <row r="8257" spans="2:6">
      <c r="B8257" s="75"/>
      <c r="C8257" s="75"/>
      <c r="D8257" s="75"/>
      <c r="E8257" s="75"/>
      <c r="F8257" s="75"/>
    </row>
    <row r="8258" spans="2:6">
      <c r="B8258" s="75"/>
      <c r="C8258" s="75"/>
      <c r="D8258" s="75"/>
      <c r="E8258" s="75"/>
      <c r="F8258" s="75"/>
    </row>
    <row r="8259" spans="2:6">
      <c r="B8259" s="75"/>
      <c r="C8259" s="75"/>
      <c r="D8259" s="75"/>
      <c r="E8259" s="75"/>
      <c r="F8259" s="75"/>
    </row>
    <row r="8260" spans="2:6">
      <c r="B8260" s="75"/>
      <c r="C8260" s="75"/>
      <c r="D8260" s="75"/>
      <c r="E8260" s="75"/>
      <c r="F8260" s="75"/>
    </row>
    <row r="8261" spans="2:6">
      <c r="B8261" s="75"/>
      <c r="C8261" s="75"/>
      <c r="D8261" s="75"/>
      <c r="E8261" s="75"/>
      <c r="F8261" s="75"/>
    </row>
    <row r="8262" spans="2:6">
      <c r="B8262" s="75"/>
      <c r="C8262" s="75"/>
      <c r="D8262" s="75"/>
      <c r="E8262" s="75"/>
      <c r="F8262" s="75"/>
    </row>
    <row r="8263" spans="2:6">
      <c r="B8263" s="75"/>
      <c r="C8263" s="75"/>
      <c r="D8263" s="75"/>
      <c r="E8263" s="75"/>
      <c r="F8263" s="75"/>
    </row>
    <row r="8264" spans="2:6">
      <c r="B8264" s="75"/>
      <c r="C8264" s="75"/>
      <c r="D8264" s="75"/>
      <c r="E8264" s="75"/>
      <c r="F8264" s="75"/>
    </row>
    <row r="8265" spans="2:6">
      <c r="B8265" s="75"/>
      <c r="C8265" s="75"/>
      <c r="D8265" s="75"/>
      <c r="E8265" s="75"/>
      <c r="F8265" s="75"/>
    </row>
    <row r="8266" spans="2:6">
      <c r="B8266" s="75"/>
      <c r="C8266" s="75"/>
      <c r="D8266" s="75"/>
      <c r="E8266" s="75"/>
      <c r="F8266" s="75"/>
    </row>
    <row r="8267" spans="2:6">
      <c r="B8267" s="75"/>
      <c r="C8267" s="75"/>
      <c r="D8267" s="75"/>
      <c r="E8267" s="75"/>
      <c r="F8267" s="75"/>
    </row>
    <row r="8268" spans="2:6">
      <c r="B8268" s="75"/>
      <c r="C8268" s="75"/>
      <c r="D8268" s="75"/>
      <c r="E8268" s="75"/>
      <c r="F8268" s="75"/>
    </row>
    <row r="8269" spans="2:6">
      <c r="B8269" s="75"/>
      <c r="C8269" s="75"/>
      <c r="D8269" s="75"/>
      <c r="E8269" s="75"/>
      <c r="F8269" s="75"/>
    </row>
    <row r="8270" spans="2:6">
      <c r="B8270" s="75"/>
      <c r="C8270" s="75"/>
      <c r="D8270" s="75"/>
      <c r="E8270" s="75"/>
      <c r="F8270" s="75"/>
    </row>
    <row r="8271" spans="2:6">
      <c r="B8271" s="75"/>
      <c r="C8271" s="75"/>
      <c r="D8271" s="75"/>
      <c r="E8271" s="75"/>
      <c r="F8271" s="75"/>
    </row>
    <row r="8272" spans="2:6">
      <c r="B8272" s="75"/>
      <c r="C8272" s="75"/>
      <c r="D8272" s="75"/>
      <c r="E8272" s="75"/>
      <c r="F8272" s="75"/>
    </row>
    <row r="8273" spans="2:6">
      <c r="B8273" s="75"/>
      <c r="C8273" s="75"/>
      <c r="D8273" s="75"/>
      <c r="E8273" s="75"/>
      <c r="F8273" s="75"/>
    </row>
    <row r="8274" spans="2:6">
      <c r="B8274" s="75"/>
      <c r="C8274" s="75"/>
      <c r="D8274" s="75"/>
      <c r="E8274" s="75"/>
      <c r="F8274" s="75"/>
    </row>
    <row r="8275" spans="2:6">
      <c r="B8275" s="75"/>
      <c r="C8275" s="75"/>
      <c r="D8275" s="75"/>
      <c r="E8275" s="75"/>
      <c r="F8275" s="75"/>
    </row>
    <row r="8276" spans="2:6">
      <c r="B8276" s="75"/>
      <c r="C8276" s="75"/>
      <c r="D8276" s="75"/>
      <c r="E8276" s="75"/>
      <c r="F8276" s="75"/>
    </row>
    <row r="8277" spans="2:6">
      <c r="B8277" s="75"/>
      <c r="C8277" s="75"/>
      <c r="D8277" s="75"/>
      <c r="E8277" s="75"/>
      <c r="F8277" s="75"/>
    </row>
    <row r="8278" spans="2:6">
      <c r="B8278" s="75"/>
      <c r="C8278" s="75"/>
      <c r="D8278" s="75"/>
      <c r="E8278" s="75"/>
      <c r="F8278" s="75"/>
    </row>
    <row r="8279" spans="2:6">
      <c r="B8279" s="75"/>
      <c r="C8279" s="75"/>
      <c r="D8279" s="75"/>
      <c r="E8279" s="75"/>
      <c r="F8279" s="75"/>
    </row>
    <row r="8280" spans="2:6">
      <c r="B8280" s="75"/>
      <c r="C8280" s="75"/>
      <c r="D8280" s="75"/>
      <c r="E8280" s="75"/>
      <c r="F8280" s="75"/>
    </row>
    <row r="8281" spans="2:6">
      <c r="B8281" s="75"/>
      <c r="C8281" s="75"/>
      <c r="D8281" s="75"/>
      <c r="E8281" s="75"/>
      <c r="F8281" s="75"/>
    </row>
    <row r="8282" spans="2:6">
      <c r="B8282" s="75"/>
      <c r="C8282" s="75"/>
      <c r="D8282" s="75"/>
      <c r="E8282" s="75"/>
      <c r="F8282" s="75"/>
    </row>
    <row r="8283" spans="2:6">
      <c r="B8283" s="75"/>
      <c r="C8283" s="75"/>
      <c r="D8283" s="75"/>
      <c r="E8283" s="75"/>
      <c r="F8283" s="75"/>
    </row>
    <row r="8284" spans="2:6">
      <c r="B8284" s="75"/>
      <c r="C8284" s="75"/>
      <c r="D8284" s="75"/>
      <c r="E8284" s="75"/>
      <c r="F8284" s="75"/>
    </row>
    <row r="8285" spans="2:6">
      <c r="B8285" s="75"/>
      <c r="C8285" s="75"/>
      <c r="D8285" s="75"/>
      <c r="E8285" s="75"/>
      <c r="F8285" s="75"/>
    </row>
    <row r="8286" spans="2:6">
      <c r="B8286" s="75"/>
      <c r="C8286" s="75"/>
      <c r="D8286" s="75"/>
      <c r="E8286" s="75"/>
      <c r="F8286" s="75"/>
    </row>
    <row r="8287" spans="2:6">
      <c r="B8287" s="75"/>
      <c r="C8287" s="75"/>
      <c r="D8287" s="75"/>
      <c r="E8287" s="75"/>
      <c r="F8287" s="75"/>
    </row>
    <row r="8288" spans="2:6">
      <c r="B8288" s="75"/>
      <c r="C8288" s="75"/>
      <c r="D8288" s="75"/>
      <c r="E8288" s="75"/>
      <c r="F8288" s="75"/>
    </row>
    <row r="8289" spans="2:6">
      <c r="B8289" s="75"/>
      <c r="C8289" s="75"/>
      <c r="D8289" s="75"/>
      <c r="E8289" s="75"/>
      <c r="F8289" s="75"/>
    </row>
    <row r="8290" spans="2:6">
      <c r="B8290" s="75"/>
      <c r="C8290" s="75"/>
      <c r="D8290" s="75"/>
      <c r="E8290" s="75"/>
      <c r="F8290" s="75"/>
    </row>
    <row r="8291" spans="2:6">
      <c r="B8291" s="75"/>
      <c r="C8291" s="75"/>
      <c r="D8291" s="75"/>
      <c r="E8291" s="75"/>
      <c r="F8291" s="75"/>
    </row>
    <row r="8292" spans="2:6">
      <c r="B8292" s="75"/>
      <c r="C8292" s="75"/>
      <c r="D8292" s="75"/>
      <c r="E8292" s="75"/>
      <c r="F8292" s="75"/>
    </row>
    <row r="8293" spans="2:6">
      <c r="B8293" s="75"/>
      <c r="C8293" s="75"/>
      <c r="D8293" s="75"/>
      <c r="E8293" s="75"/>
      <c r="F8293" s="75"/>
    </row>
    <row r="8294" spans="2:6">
      <c r="B8294" s="75"/>
      <c r="C8294" s="75"/>
      <c r="D8294" s="75"/>
      <c r="E8294" s="75"/>
      <c r="F8294" s="75"/>
    </row>
    <row r="8295" spans="2:6">
      <c r="B8295" s="75"/>
      <c r="C8295" s="75"/>
      <c r="D8295" s="75"/>
      <c r="E8295" s="75"/>
      <c r="F8295" s="75"/>
    </row>
    <row r="8296" spans="2:6">
      <c r="B8296" s="75"/>
      <c r="C8296" s="75"/>
      <c r="D8296" s="75"/>
      <c r="E8296" s="75"/>
      <c r="F8296" s="75"/>
    </row>
    <row r="8297" spans="2:6">
      <c r="B8297" s="75"/>
      <c r="C8297" s="75"/>
      <c r="D8297" s="75"/>
      <c r="E8297" s="75"/>
      <c r="F8297" s="75"/>
    </row>
    <row r="8298" spans="2:6">
      <c r="B8298" s="75"/>
      <c r="C8298" s="75"/>
      <c r="D8298" s="75"/>
      <c r="E8298" s="75"/>
      <c r="F8298" s="75"/>
    </row>
    <row r="8299" spans="2:6">
      <c r="B8299" s="75"/>
      <c r="C8299" s="75"/>
      <c r="D8299" s="75"/>
      <c r="E8299" s="75"/>
      <c r="F8299" s="75"/>
    </row>
    <row r="8300" spans="2:6">
      <c r="B8300" s="75"/>
      <c r="C8300" s="75"/>
      <c r="D8300" s="75"/>
      <c r="E8300" s="75"/>
      <c r="F8300" s="75"/>
    </row>
    <row r="8301" spans="2:6">
      <c r="B8301" s="75"/>
      <c r="C8301" s="75"/>
      <c r="D8301" s="75"/>
      <c r="E8301" s="75"/>
      <c r="F8301" s="75"/>
    </row>
    <row r="8302" spans="2:6">
      <c r="B8302" s="75"/>
      <c r="C8302" s="75"/>
      <c r="D8302" s="75"/>
      <c r="E8302" s="75"/>
      <c r="F8302" s="75"/>
    </row>
    <row r="8303" spans="2:6">
      <c r="B8303" s="75"/>
      <c r="C8303" s="75"/>
      <c r="D8303" s="75"/>
      <c r="E8303" s="75"/>
      <c r="F8303" s="75"/>
    </row>
    <row r="8304" spans="2:6">
      <c r="B8304" s="75"/>
      <c r="C8304" s="75"/>
      <c r="D8304" s="75"/>
      <c r="E8304" s="75"/>
      <c r="F8304" s="75"/>
    </row>
    <row r="8305" spans="2:6">
      <c r="B8305" s="75"/>
      <c r="C8305" s="75"/>
      <c r="D8305" s="75"/>
      <c r="E8305" s="75"/>
      <c r="F8305" s="75"/>
    </row>
    <row r="8306" spans="2:6">
      <c r="B8306" s="75"/>
      <c r="C8306" s="75"/>
      <c r="D8306" s="75"/>
      <c r="E8306" s="75"/>
      <c r="F8306" s="75"/>
    </row>
    <row r="8307" spans="2:6">
      <c r="B8307" s="75"/>
      <c r="C8307" s="75"/>
      <c r="D8307" s="75"/>
      <c r="E8307" s="75"/>
      <c r="F8307" s="75"/>
    </row>
    <row r="8308" spans="2:6">
      <c r="B8308" s="75"/>
      <c r="C8308" s="75"/>
      <c r="D8308" s="75"/>
      <c r="E8308" s="75"/>
      <c r="F8308" s="75"/>
    </row>
    <row r="8309" spans="2:6">
      <c r="B8309" s="75"/>
      <c r="C8309" s="75"/>
      <c r="D8309" s="75"/>
      <c r="E8309" s="75"/>
      <c r="F8309" s="75"/>
    </row>
    <row r="8310" spans="2:6">
      <c r="B8310" s="75"/>
      <c r="C8310" s="75"/>
      <c r="D8310" s="75"/>
      <c r="E8310" s="75"/>
      <c r="F8310" s="75"/>
    </row>
    <row r="8311" spans="2:6">
      <c r="B8311" s="75"/>
      <c r="C8311" s="75"/>
      <c r="D8311" s="75"/>
      <c r="E8311" s="75"/>
      <c r="F8311" s="75"/>
    </row>
    <row r="8312" spans="2:6">
      <c r="B8312" s="75"/>
      <c r="C8312" s="75"/>
      <c r="D8312" s="75"/>
      <c r="E8312" s="75"/>
      <c r="F8312" s="75"/>
    </row>
    <row r="8313" spans="2:6">
      <c r="B8313" s="75"/>
      <c r="C8313" s="75"/>
      <c r="D8313" s="75"/>
      <c r="E8313" s="75"/>
      <c r="F8313" s="75"/>
    </row>
    <row r="8314" spans="2:6">
      <c r="B8314" s="75"/>
      <c r="C8314" s="75"/>
      <c r="D8314" s="75"/>
      <c r="E8314" s="75"/>
      <c r="F8314" s="75"/>
    </row>
    <row r="8315" spans="2:6">
      <c r="B8315" s="75"/>
      <c r="C8315" s="75"/>
      <c r="D8315" s="75"/>
      <c r="E8315" s="75"/>
      <c r="F8315" s="75"/>
    </row>
    <row r="8316" spans="2:6">
      <c r="B8316" s="75"/>
      <c r="C8316" s="75"/>
      <c r="D8316" s="75"/>
      <c r="E8316" s="75"/>
      <c r="F8316" s="75"/>
    </row>
    <row r="8317" spans="2:6">
      <c r="B8317" s="75"/>
      <c r="C8317" s="75"/>
      <c r="D8317" s="75"/>
      <c r="E8317" s="75"/>
      <c r="F8317" s="75"/>
    </row>
    <row r="8318" spans="2:6">
      <c r="B8318" s="75"/>
      <c r="C8318" s="75"/>
      <c r="D8318" s="75"/>
      <c r="E8318" s="75"/>
      <c r="F8318" s="75"/>
    </row>
    <row r="8319" spans="2:6">
      <c r="B8319" s="75"/>
      <c r="C8319" s="75"/>
      <c r="D8319" s="75"/>
      <c r="E8319" s="75"/>
      <c r="F8319" s="75"/>
    </row>
    <row r="8320" spans="2:6">
      <c r="B8320" s="75"/>
      <c r="C8320" s="75"/>
      <c r="D8320" s="75"/>
      <c r="E8320" s="75"/>
      <c r="F8320" s="75"/>
    </row>
    <row r="8321" spans="2:6">
      <c r="B8321" s="75"/>
      <c r="C8321" s="75"/>
      <c r="D8321" s="75"/>
      <c r="E8321" s="75"/>
      <c r="F8321" s="75"/>
    </row>
    <row r="8322" spans="2:6">
      <c r="B8322" s="75"/>
      <c r="C8322" s="75"/>
      <c r="D8322" s="75"/>
      <c r="E8322" s="75"/>
      <c r="F8322" s="75"/>
    </row>
    <row r="8323" spans="2:6">
      <c r="B8323" s="75"/>
      <c r="C8323" s="75"/>
      <c r="D8323" s="75"/>
      <c r="E8323" s="75"/>
      <c r="F8323" s="75"/>
    </row>
    <row r="8324" spans="2:6">
      <c r="B8324" s="75"/>
      <c r="C8324" s="75"/>
      <c r="D8324" s="75"/>
      <c r="E8324" s="75"/>
      <c r="F8324" s="75"/>
    </row>
    <row r="8325" spans="2:6">
      <c r="B8325" s="75"/>
      <c r="C8325" s="75"/>
      <c r="D8325" s="75"/>
      <c r="E8325" s="75"/>
      <c r="F8325" s="75"/>
    </row>
    <row r="8326" spans="2:6">
      <c r="B8326" s="75"/>
      <c r="C8326" s="75"/>
      <c r="D8326" s="75"/>
      <c r="E8326" s="75"/>
      <c r="F8326" s="75"/>
    </row>
    <row r="8327" spans="2:6">
      <c r="B8327" s="75"/>
      <c r="C8327" s="75"/>
      <c r="D8327" s="75"/>
      <c r="E8327" s="75"/>
      <c r="F8327" s="75"/>
    </row>
    <row r="8328" spans="2:6">
      <c r="B8328" s="75"/>
      <c r="C8328" s="75"/>
      <c r="D8328" s="75"/>
      <c r="E8328" s="75"/>
      <c r="F8328" s="75"/>
    </row>
    <row r="8329" spans="2:6">
      <c r="B8329" s="75"/>
      <c r="C8329" s="75"/>
      <c r="D8329" s="75"/>
      <c r="E8329" s="75"/>
      <c r="F8329" s="75"/>
    </row>
    <row r="8330" spans="2:6">
      <c r="B8330" s="75"/>
      <c r="C8330" s="75"/>
      <c r="D8330" s="75"/>
      <c r="E8330" s="75"/>
      <c r="F8330" s="75"/>
    </row>
    <row r="8331" spans="2:6">
      <c r="B8331" s="75"/>
      <c r="C8331" s="75"/>
      <c r="D8331" s="75"/>
      <c r="E8331" s="75"/>
      <c r="F8331" s="75"/>
    </row>
    <row r="8332" spans="2:6">
      <c r="B8332" s="75"/>
      <c r="C8332" s="75"/>
      <c r="D8332" s="75"/>
      <c r="E8332" s="75"/>
      <c r="F8332" s="75"/>
    </row>
    <row r="8333" spans="2:6">
      <c r="B8333" s="75"/>
      <c r="C8333" s="75"/>
      <c r="D8333" s="75"/>
      <c r="E8333" s="75"/>
      <c r="F8333" s="75"/>
    </row>
    <row r="8334" spans="2:6">
      <c r="B8334" s="75"/>
      <c r="C8334" s="75"/>
      <c r="D8334" s="75"/>
      <c r="E8334" s="75"/>
      <c r="F8334" s="75"/>
    </row>
    <row r="8335" spans="2:6">
      <c r="B8335" s="75"/>
      <c r="C8335" s="75"/>
      <c r="D8335" s="75"/>
      <c r="E8335" s="75"/>
      <c r="F8335" s="75"/>
    </row>
    <row r="8336" spans="2:6">
      <c r="B8336" s="75"/>
      <c r="C8336" s="75"/>
      <c r="D8336" s="75"/>
      <c r="E8336" s="75"/>
      <c r="F8336" s="75"/>
    </row>
    <row r="8337" spans="2:6">
      <c r="B8337" s="75"/>
      <c r="C8337" s="75"/>
      <c r="D8337" s="75"/>
      <c r="E8337" s="75"/>
      <c r="F8337" s="75"/>
    </row>
    <row r="8338" spans="2:6">
      <c r="B8338" s="75"/>
      <c r="C8338" s="75"/>
      <c r="D8338" s="75"/>
      <c r="E8338" s="75"/>
      <c r="F8338" s="75"/>
    </row>
    <row r="8339" spans="2:6">
      <c r="B8339" s="75"/>
      <c r="C8339" s="75"/>
      <c r="D8339" s="75"/>
      <c r="E8339" s="75"/>
      <c r="F8339" s="75"/>
    </row>
    <row r="8340" spans="2:6">
      <c r="B8340" s="75"/>
      <c r="C8340" s="75"/>
      <c r="D8340" s="75"/>
      <c r="E8340" s="75"/>
      <c r="F8340" s="75"/>
    </row>
    <row r="8341" spans="2:6">
      <c r="B8341" s="75"/>
      <c r="C8341" s="75"/>
      <c r="D8341" s="75"/>
      <c r="E8341" s="75"/>
      <c r="F8341" s="75"/>
    </row>
    <row r="8342" spans="2:6">
      <c r="B8342" s="75"/>
      <c r="C8342" s="75"/>
      <c r="D8342" s="75"/>
      <c r="E8342" s="75"/>
      <c r="F8342" s="75"/>
    </row>
    <row r="8343" spans="2:6">
      <c r="B8343" s="75"/>
      <c r="C8343" s="75"/>
      <c r="D8343" s="75"/>
      <c r="E8343" s="75"/>
      <c r="F8343" s="75"/>
    </row>
    <row r="8344" spans="2:6">
      <c r="B8344" s="75"/>
      <c r="C8344" s="75"/>
      <c r="D8344" s="75"/>
      <c r="E8344" s="75"/>
      <c r="F8344" s="75"/>
    </row>
    <row r="8345" spans="2:6">
      <c r="B8345" s="75"/>
      <c r="C8345" s="75"/>
      <c r="D8345" s="75"/>
      <c r="E8345" s="75"/>
      <c r="F8345" s="75"/>
    </row>
    <row r="8346" spans="2:6">
      <c r="B8346" s="75"/>
      <c r="C8346" s="75"/>
      <c r="D8346" s="75"/>
      <c r="E8346" s="75"/>
      <c r="F8346" s="75"/>
    </row>
    <row r="8347" spans="2:6">
      <c r="B8347" s="75"/>
      <c r="C8347" s="75"/>
      <c r="D8347" s="75"/>
      <c r="E8347" s="75"/>
      <c r="F8347" s="75"/>
    </row>
    <row r="8348" spans="2:6">
      <c r="B8348" s="75"/>
      <c r="C8348" s="75"/>
      <c r="D8348" s="75"/>
      <c r="E8348" s="75"/>
      <c r="F8348" s="75"/>
    </row>
    <row r="8349" spans="2:6">
      <c r="B8349" s="75"/>
      <c r="C8349" s="75"/>
      <c r="D8349" s="75"/>
      <c r="E8349" s="75"/>
      <c r="F8349" s="75"/>
    </row>
    <row r="8350" spans="2:6">
      <c r="B8350" s="75"/>
      <c r="C8350" s="75"/>
      <c r="D8350" s="75"/>
      <c r="E8350" s="75"/>
      <c r="F8350" s="75"/>
    </row>
    <row r="8351" spans="2:6">
      <c r="B8351" s="75"/>
      <c r="C8351" s="75"/>
      <c r="D8351" s="75"/>
      <c r="E8351" s="75"/>
      <c r="F8351" s="75"/>
    </row>
    <row r="8352" spans="2:6">
      <c r="B8352" s="75"/>
      <c r="C8352" s="75"/>
      <c r="D8352" s="75"/>
      <c r="E8352" s="75"/>
      <c r="F8352" s="75"/>
    </row>
    <row r="8353" spans="2:6">
      <c r="B8353" s="75"/>
      <c r="C8353" s="75"/>
      <c r="D8353" s="75"/>
      <c r="E8353" s="75"/>
      <c r="F8353" s="75"/>
    </row>
    <row r="8354" spans="2:6">
      <c r="B8354" s="75"/>
      <c r="C8354" s="75"/>
      <c r="D8354" s="75"/>
      <c r="E8354" s="75"/>
      <c r="F8354" s="75"/>
    </row>
    <row r="8355" spans="2:6">
      <c r="B8355" s="75"/>
      <c r="C8355" s="75"/>
      <c r="D8355" s="75"/>
      <c r="E8355" s="75"/>
      <c r="F8355" s="75"/>
    </row>
    <row r="8356" spans="2:6">
      <c r="B8356" s="75"/>
      <c r="C8356" s="75"/>
      <c r="D8356" s="75"/>
      <c r="E8356" s="75"/>
      <c r="F8356" s="75"/>
    </row>
    <row r="8357" spans="2:6">
      <c r="B8357" s="75"/>
      <c r="C8357" s="75"/>
      <c r="D8357" s="75"/>
      <c r="E8357" s="75"/>
      <c r="F8357" s="75"/>
    </row>
    <row r="8358" spans="2:6">
      <c r="B8358" s="75"/>
      <c r="C8358" s="75"/>
      <c r="D8358" s="75"/>
      <c r="E8358" s="75"/>
      <c r="F8358" s="75"/>
    </row>
    <row r="8359" spans="2:6">
      <c r="B8359" s="75"/>
      <c r="C8359" s="75"/>
      <c r="D8359" s="75"/>
      <c r="E8359" s="75"/>
      <c r="F8359" s="75"/>
    </row>
    <row r="8360" spans="2:6">
      <c r="B8360" s="75"/>
      <c r="C8360" s="75"/>
      <c r="D8360" s="75"/>
      <c r="E8360" s="75"/>
      <c r="F8360" s="75"/>
    </row>
    <row r="8361" spans="2:6">
      <c r="B8361" s="75"/>
      <c r="C8361" s="75"/>
      <c r="D8361" s="75"/>
      <c r="E8361" s="75"/>
      <c r="F8361" s="75"/>
    </row>
    <row r="8362" spans="2:6">
      <c r="B8362" s="75"/>
      <c r="C8362" s="75"/>
      <c r="D8362" s="75"/>
      <c r="E8362" s="75"/>
      <c r="F8362" s="75"/>
    </row>
    <row r="8363" spans="2:6">
      <c r="B8363" s="75"/>
      <c r="C8363" s="75"/>
      <c r="D8363" s="75"/>
      <c r="E8363" s="75"/>
      <c r="F8363" s="75"/>
    </row>
    <row r="8364" spans="2:6">
      <c r="B8364" s="75"/>
      <c r="C8364" s="75"/>
      <c r="D8364" s="75"/>
      <c r="E8364" s="75"/>
      <c r="F8364" s="75"/>
    </row>
    <row r="8365" spans="2:6">
      <c r="B8365" s="75"/>
      <c r="C8365" s="75"/>
      <c r="D8365" s="75"/>
      <c r="E8365" s="75"/>
      <c r="F8365" s="75"/>
    </row>
    <row r="8366" spans="2:6">
      <c r="B8366" s="75"/>
      <c r="C8366" s="75"/>
      <c r="D8366" s="75"/>
      <c r="E8366" s="75"/>
      <c r="F8366" s="75"/>
    </row>
    <row r="8367" spans="2:6">
      <c r="B8367" s="75"/>
      <c r="C8367" s="75"/>
      <c r="D8367" s="75"/>
      <c r="E8367" s="75"/>
      <c r="F8367" s="75"/>
    </row>
    <row r="8368" spans="2:6">
      <c r="B8368" s="75"/>
      <c r="C8368" s="75"/>
      <c r="D8368" s="75"/>
      <c r="E8368" s="75"/>
      <c r="F8368" s="75"/>
    </row>
    <row r="8369" spans="2:6">
      <c r="B8369" s="75"/>
      <c r="C8369" s="75"/>
      <c r="D8369" s="75"/>
      <c r="E8369" s="75"/>
      <c r="F8369" s="75"/>
    </row>
    <row r="8370" spans="2:6">
      <c r="B8370" s="75"/>
      <c r="C8370" s="75"/>
      <c r="D8370" s="75"/>
      <c r="E8370" s="75"/>
      <c r="F8370" s="75"/>
    </row>
    <row r="8371" spans="2:6">
      <c r="B8371" s="75"/>
      <c r="C8371" s="75"/>
      <c r="D8371" s="75"/>
      <c r="E8371" s="75"/>
      <c r="F8371" s="75"/>
    </row>
    <row r="8372" spans="2:6">
      <c r="B8372" s="75"/>
      <c r="C8372" s="75"/>
      <c r="D8372" s="75"/>
      <c r="E8372" s="75"/>
      <c r="F8372" s="75"/>
    </row>
    <row r="8373" spans="2:6">
      <c r="B8373" s="75"/>
      <c r="C8373" s="75"/>
      <c r="D8373" s="75"/>
      <c r="E8373" s="75"/>
      <c r="F8373" s="75"/>
    </row>
    <row r="8374" spans="2:6">
      <c r="B8374" s="75"/>
      <c r="C8374" s="75"/>
      <c r="D8374" s="75"/>
      <c r="E8374" s="75"/>
      <c r="F8374" s="75"/>
    </row>
    <row r="8375" spans="2:6">
      <c r="B8375" s="75"/>
      <c r="C8375" s="75"/>
      <c r="D8375" s="75"/>
      <c r="E8375" s="75"/>
      <c r="F8375" s="75"/>
    </row>
    <row r="8376" spans="2:6">
      <c r="B8376" s="75"/>
      <c r="C8376" s="75"/>
      <c r="D8376" s="75"/>
      <c r="E8376" s="75"/>
      <c r="F8376" s="75"/>
    </row>
    <row r="8377" spans="2:6">
      <c r="B8377" s="75"/>
      <c r="C8377" s="75"/>
      <c r="D8377" s="75"/>
      <c r="E8377" s="75"/>
      <c r="F8377" s="75"/>
    </row>
    <row r="8378" spans="2:6">
      <c r="B8378" s="75"/>
      <c r="C8378" s="75"/>
      <c r="D8378" s="75"/>
      <c r="E8378" s="75"/>
      <c r="F8378" s="75"/>
    </row>
    <row r="8379" spans="2:6">
      <c r="B8379" s="75"/>
      <c r="C8379" s="75"/>
      <c r="D8379" s="75"/>
      <c r="E8379" s="75"/>
      <c r="F8379" s="75"/>
    </row>
    <row r="8380" spans="2:6">
      <c r="B8380" s="75"/>
      <c r="C8380" s="75"/>
      <c r="D8380" s="75"/>
      <c r="E8380" s="75"/>
      <c r="F8380" s="75"/>
    </row>
    <row r="8381" spans="2:6">
      <c r="B8381" s="75"/>
      <c r="C8381" s="75"/>
      <c r="D8381" s="75"/>
      <c r="E8381" s="75"/>
      <c r="F8381" s="75"/>
    </row>
    <row r="8382" spans="2:6">
      <c r="B8382" s="75"/>
      <c r="C8382" s="75"/>
      <c r="D8382" s="75"/>
      <c r="E8382" s="75"/>
      <c r="F8382" s="75"/>
    </row>
    <row r="8383" spans="2:6">
      <c r="B8383" s="75"/>
      <c r="C8383" s="75"/>
      <c r="D8383" s="75"/>
      <c r="E8383" s="75"/>
      <c r="F8383" s="75"/>
    </row>
    <row r="8384" spans="2:6">
      <c r="B8384" s="75"/>
      <c r="C8384" s="75"/>
      <c r="D8384" s="75"/>
      <c r="E8384" s="75"/>
      <c r="F8384" s="75"/>
    </row>
    <row r="8385" spans="2:6">
      <c r="B8385" s="75"/>
      <c r="C8385" s="75"/>
      <c r="D8385" s="75"/>
      <c r="E8385" s="75"/>
      <c r="F8385" s="75"/>
    </row>
    <row r="8386" spans="2:6">
      <c r="B8386" s="75"/>
      <c r="C8386" s="75"/>
      <c r="D8386" s="75"/>
      <c r="E8386" s="75"/>
      <c r="F8386" s="75"/>
    </row>
    <row r="8387" spans="2:6">
      <c r="B8387" s="75"/>
      <c r="C8387" s="75"/>
      <c r="D8387" s="75"/>
      <c r="E8387" s="75"/>
      <c r="F8387" s="75"/>
    </row>
    <row r="8388" spans="2:6">
      <c r="B8388" s="75"/>
      <c r="C8388" s="75"/>
      <c r="D8388" s="75"/>
      <c r="E8388" s="75"/>
      <c r="F8388" s="75"/>
    </row>
    <row r="8389" spans="2:6">
      <c r="B8389" s="75"/>
      <c r="C8389" s="75"/>
      <c r="D8389" s="75"/>
      <c r="E8389" s="75"/>
      <c r="F8389" s="75"/>
    </row>
    <row r="8390" spans="2:6">
      <c r="B8390" s="75"/>
      <c r="C8390" s="75"/>
      <c r="D8390" s="75"/>
      <c r="E8390" s="75"/>
      <c r="F8390" s="75"/>
    </row>
    <row r="8391" spans="2:6">
      <c r="B8391" s="75"/>
      <c r="C8391" s="75"/>
      <c r="D8391" s="75"/>
      <c r="E8391" s="75"/>
      <c r="F8391" s="75"/>
    </row>
    <row r="8392" spans="2:6">
      <c r="B8392" s="75"/>
      <c r="C8392" s="75"/>
      <c r="D8392" s="75"/>
      <c r="E8392" s="75"/>
      <c r="F8392" s="75"/>
    </row>
    <row r="8393" spans="2:6">
      <c r="B8393" s="75"/>
      <c r="C8393" s="75"/>
      <c r="D8393" s="75"/>
      <c r="E8393" s="75"/>
      <c r="F8393" s="75"/>
    </row>
    <row r="8394" spans="2:6">
      <c r="B8394" s="75"/>
      <c r="C8394" s="75"/>
      <c r="D8394" s="75"/>
      <c r="E8394" s="75"/>
      <c r="F8394" s="75"/>
    </row>
    <row r="8395" spans="2:6">
      <c r="B8395" s="75"/>
      <c r="C8395" s="75"/>
      <c r="D8395" s="75"/>
      <c r="E8395" s="75"/>
      <c r="F8395" s="75"/>
    </row>
    <row r="8396" spans="2:6">
      <c r="B8396" s="75"/>
      <c r="C8396" s="75"/>
      <c r="D8396" s="75"/>
      <c r="E8396" s="75"/>
      <c r="F8396" s="75"/>
    </row>
    <row r="8397" spans="2:6">
      <c r="B8397" s="75"/>
      <c r="C8397" s="75"/>
      <c r="D8397" s="75"/>
      <c r="E8397" s="75"/>
      <c r="F8397" s="75"/>
    </row>
    <row r="8398" spans="2:6">
      <c r="B8398" s="75"/>
      <c r="C8398" s="75"/>
      <c r="D8398" s="75"/>
      <c r="E8398" s="75"/>
      <c r="F8398" s="75"/>
    </row>
    <row r="8399" spans="2:6">
      <c r="B8399" s="75"/>
      <c r="C8399" s="75"/>
      <c r="D8399" s="75"/>
      <c r="E8399" s="75"/>
      <c r="F8399" s="75"/>
    </row>
    <row r="8400" spans="2:6">
      <c r="B8400" s="75"/>
      <c r="C8400" s="75"/>
      <c r="D8400" s="75"/>
      <c r="E8400" s="75"/>
      <c r="F8400" s="75"/>
    </row>
    <row r="8401" spans="2:6">
      <c r="B8401" s="75"/>
      <c r="C8401" s="75"/>
      <c r="D8401" s="75"/>
      <c r="E8401" s="75"/>
      <c r="F8401" s="75"/>
    </row>
    <row r="8402" spans="2:6">
      <c r="B8402" s="75"/>
      <c r="C8402" s="75"/>
      <c r="D8402" s="75"/>
      <c r="E8402" s="75"/>
      <c r="F8402" s="75"/>
    </row>
    <row r="8403" spans="2:6">
      <c r="B8403" s="75"/>
      <c r="C8403" s="75"/>
      <c r="D8403" s="75"/>
      <c r="E8403" s="75"/>
      <c r="F8403" s="75"/>
    </row>
    <row r="8404" spans="2:6">
      <c r="B8404" s="75"/>
      <c r="C8404" s="75"/>
      <c r="D8404" s="75"/>
      <c r="E8404" s="75"/>
      <c r="F8404" s="75"/>
    </row>
    <row r="8405" spans="2:6">
      <c r="B8405" s="75"/>
      <c r="C8405" s="75"/>
      <c r="D8405" s="75"/>
      <c r="E8405" s="75"/>
      <c r="F8405" s="75"/>
    </row>
    <row r="8406" spans="2:6">
      <c r="B8406" s="75"/>
      <c r="C8406" s="75"/>
      <c r="D8406" s="75"/>
      <c r="E8406" s="75"/>
      <c r="F8406" s="75"/>
    </row>
    <row r="8407" spans="2:6">
      <c r="B8407" s="75"/>
      <c r="C8407" s="75"/>
      <c r="D8407" s="75"/>
      <c r="E8407" s="75"/>
      <c r="F8407" s="75"/>
    </row>
    <row r="8408" spans="2:6">
      <c r="B8408" s="75"/>
      <c r="C8408" s="75"/>
      <c r="D8408" s="75"/>
      <c r="E8408" s="75"/>
      <c r="F8408" s="75"/>
    </row>
    <row r="8409" spans="2:6">
      <c r="B8409" s="75"/>
      <c r="C8409" s="75"/>
      <c r="D8409" s="75"/>
      <c r="E8409" s="75"/>
      <c r="F8409" s="75"/>
    </row>
    <row r="8410" spans="2:6">
      <c r="B8410" s="75"/>
      <c r="C8410" s="75"/>
      <c r="D8410" s="75"/>
      <c r="E8410" s="75"/>
      <c r="F8410" s="75"/>
    </row>
    <row r="8411" spans="2:6">
      <c r="B8411" s="75"/>
      <c r="C8411" s="75"/>
      <c r="D8411" s="75"/>
      <c r="E8411" s="75"/>
      <c r="F8411" s="75"/>
    </row>
    <row r="8412" spans="2:6">
      <c r="B8412" s="75"/>
      <c r="C8412" s="75"/>
      <c r="D8412" s="75"/>
      <c r="E8412" s="75"/>
      <c r="F8412" s="75"/>
    </row>
    <row r="8413" spans="2:6">
      <c r="B8413" s="75"/>
      <c r="C8413" s="75"/>
      <c r="D8413" s="75"/>
      <c r="E8413" s="75"/>
      <c r="F8413" s="75"/>
    </row>
    <row r="8414" spans="2:6">
      <c r="B8414" s="75"/>
      <c r="C8414" s="75"/>
      <c r="D8414" s="75"/>
      <c r="E8414" s="75"/>
      <c r="F8414" s="75"/>
    </row>
    <row r="8415" spans="2:6">
      <c r="B8415" s="75"/>
      <c r="C8415" s="75"/>
      <c r="D8415" s="75"/>
      <c r="E8415" s="75"/>
      <c r="F8415" s="75"/>
    </row>
    <row r="8416" spans="2:6">
      <c r="B8416" s="75"/>
      <c r="C8416" s="75"/>
      <c r="D8416" s="75"/>
      <c r="E8416" s="75"/>
      <c r="F8416" s="75"/>
    </row>
    <row r="8417" spans="2:6">
      <c r="B8417" s="75"/>
      <c r="C8417" s="75"/>
      <c r="D8417" s="75"/>
      <c r="E8417" s="75"/>
      <c r="F8417" s="75"/>
    </row>
    <row r="8418" spans="2:6">
      <c r="B8418" s="75"/>
      <c r="C8418" s="75"/>
      <c r="D8418" s="75"/>
      <c r="E8418" s="75"/>
      <c r="F8418" s="75"/>
    </row>
    <row r="8419" spans="2:6">
      <c r="B8419" s="75"/>
      <c r="C8419" s="75"/>
      <c r="D8419" s="75"/>
      <c r="E8419" s="75"/>
      <c r="F8419" s="75"/>
    </row>
    <row r="8420" spans="2:6">
      <c r="B8420" s="75"/>
      <c r="C8420" s="75"/>
      <c r="D8420" s="75"/>
      <c r="E8420" s="75"/>
      <c r="F8420" s="75"/>
    </row>
    <row r="8421" spans="2:6">
      <c r="B8421" s="75"/>
      <c r="C8421" s="75"/>
      <c r="D8421" s="75"/>
      <c r="E8421" s="75"/>
      <c r="F8421" s="75"/>
    </row>
    <row r="8422" spans="2:6">
      <c r="B8422" s="75"/>
      <c r="C8422" s="75"/>
      <c r="D8422" s="75"/>
      <c r="E8422" s="75"/>
      <c r="F8422" s="75"/>
    </row>
    <row r="8423" spans="2:6">
      <c r="B8423" s="75"/>
      <c r="C8423" s="75"/>
      <c r="D8423" s="75"/>
      <c r="E8423" s="75"/>
      <c r="F8423" s="75"/>
    </row>
    <row r="8424" spans="2:6">
      <c r="B8424" s="75"/>
      <c r="C8424" s="75"/>
      <c r="D8424" s="75"/>
      <c r="E8424" s="75"/>
      <c r="F8424" s="75"/>
    </row>
    <row r="8425" spans="2:6">
      <c r="B8425" s="75"/>
      <c r="C8425" s="75"/>
      <c r="D8425" s="75"/>
      <c r="E8425" s="75"/>
      <c r="F8425" s="75"/>
    </row>
    <row r="8426" spans="2:6">
      <c r="B8426" s="75"/>
      <c r="C8426" s="75"/>
      <c r="D8426" s="75"/>
      <c r="E8426" s="75"/>
      <c r="F8426" s="75"/>
    </row>
    <row r="8427" spans="2:6">
      <c r="B8427" s="75"/>
      <c r="C8427" s="75"/>
      <c r="D8427" s="75"/>
      <c r="E8427" s="75"/>
      <c r="F8427" s="75"/>
    </row>
    <row r="8428" spans="2:6">
      <c r="B8428" s="75"/>
      <c r="C8428" s="75"/>
      <c r="D8428" s="75"/>
      <c r="E8428" s="75"/>
      <c r="F8428" s="75"/>
    </row>
    <row r="8429" spans="2:6">
      <c r="B8429" s="75"/>
      <c r="C8429" s="75"/>
      <c r="D8429" s="75"/>
      <c r="E8429" s="75"/>
      <c r="F8429" s="75"/>
    </row>
    <row r="8430" spans="2:6">
      <c r="B8430" s="75"/>
      <c r="C8430" s="75"/>
      <c r="D8430" s="75"/>
      <c r="E8430" s="75"/>
      <c r="F8430" s="75"/>
    </row>
    <row r="8431" spans="2:6">
      <c r="B8431" s="75"/>
      <c r="C8431" s="75"/>
      <c r="D8431" s="75"/>
      <c r="E8431" s="75"/>
      <c r="F8431" s="75"/>
    </row>
    <row r="8432" spans="2:6">
      <c r="B8432" s="75"/>
      <c r="C8432" s="75"/>
      <c r="D8432" s="75"/>
      <c r="E8432" s="75"/>
      <c r="F8432" s="75"/>
    </row>
    <row r="8433" spans="2:6">
      <c r="B8433" s="75"/>
      <c r="C8433" s="75"/>
      <c r="D8433" s="75"/>
      <c r="E8433" s="75"/>
      <c r="F8433" s="75"/>
    </row>
    <row r="8434" spans="2:6">
      <c r="B8434" s="75"/>
      <c r="C8434" s="75"/>
      <c r="D8434" s="75"/>
      <c r="E8434" s="75"/>
      <c r="F8434" s="75"/>
    </row>
    <row r="8435" spans="2:6">
      <c r="B8435" s="75"/>
      <c r="C8435" s="75"/>
      <c r="D8435" s="75"/>
      <c r="E8435" s="75"/>
      <c r="F8435" s="75"/>
    </row>
    <row r="8436" spans="2:6">
      <c r="B8436" s="75"/>
      <c r="C8436" s="75"/>
      <c r="D8436" s="75"/>
      <c r="E8436" s="75"/>
      <c r="F8436" s="75"/>
    </row>
    <row r="8437" spans="2:6">
      <c r="B8437" s="75"/>
      <c r="C8437" s="75"/>
      <c r="D8437" s="75"/>
      <c r="E8437" s="75"/>
      <c r="F8437" s="75"/>
    </row>
    <row r="8438" spans="2:6">
      <c r="B8438" s="75"/>
      <c r="C8438" s="75"/>
      <c r="D8438" s="75"/>
      <c r="E8438" s="75"/>
      <c r="F8438" s="75"/>
    </row>
    <row r="8439" spans="2:6">
      <c r="B8439" s="75"/>
      <c r="C8439" s="75"/>
      <c r="D8439" s="75"/>
      <c r="E8439" s="75"/>
      <c r="F8439" s="75"/>
    </row>
    <row r="8440" spans="2:6">
      <c r="B8440" s="75"/>
      <c r="C8440" s="75"/>
      <c r="D8440" s="75"/>
      <c r="E8440" s="75"/>
      <c r="F8440" s="75"/>
    </row>
    <row r="8441" spans="2:6">
      <c r="B8441" s="75"/>
      <c r="C8441" s="75"/>
      <c r="D8441" s="75"/>
      <c r="E8441" s="75"/>
      <c r="F8441" s="75"/>
    </row>
    <row r="8442" spans="2:6">
      <c r="B8442" s="75"/>
      <c r="C8442" s="75"/>
      <c r="D8442" s="75"/>
      <c r="E8442" s="75"/>
      <c r="F8442" s="75"/>
    </row>
    <row r="8443" spans="2:6">
      <c r="B8443" s="75"/>
      <c r="C8443" s="75"/>
      <c r="D8443" s="75"/>
      <c r="E8443" s="75"/>
      <c r="F8443" s="75"/>
    </row>
    <row r="8444" spans="2:6">
      <c r="B8444" s="75"/>
      <c r="C8444" s="75"/>
      <c r="D8444" s="75"/>
      <c r="E8444" s="75"/>
      <c r="F8444" s="75"/>
    </row>
    <row r="8445" spans="2:6">
      <c r="B8445" s="75"/>
      <c r="C8445" s="75"/>
      <c r="D8445" s="75"/>
      <c r="E8445" s="75"/>
      <c r="F8445" s="75"/>
    </row>
    <row r="8446" spans="2:6">
      <c r="B8446" s="75"/>
      <c r="C8446" s="75"/>
      <c r="D8446" s="75"/>
      <c r="E8446" s="75"/>
      <c r="F8446" s="75"/>
    </row>
    <row r="8447" spans="2:6">
      <c r="B8447" s="75"/>
      <c r="C8447" s="75"/>
      <c r="D8447" s="75"/>
      <c r="E8447" s="75"/>
      <c r="F8447" s="75"/>
    </row>
    <row r="8448" spans="2:6">
      <c r="B8448" s="75"/>
      <c r="C8448" s="75"/>
      <c r="D8448" s="75"/>
      <c r="E8448" s="75"/>
      <c r="F8448" s="75"/>
    </row>
    <row r="8449" spans="2:6">
      <c r="B8449" s="75"/>
      <c r="C8449" s="75"/>
      <c r="D8449" s="75"/>
      <c r="E8449" s="75"/>
      <c r="F8449" s="75"/>
    </row>
    <row r="8450" spans="2:6">
      <c r="B8450" s="75"/>
      <c r="C8450" s="75"/>
      <c r="D8450" s="75"/>
      <c r="E8450" s="75"/>
      <c r="F8450" s="75"/>
    </row>
    <row r="8451" spans="2:6">
      <c r="B8451" s="75"/>
      <c r="C8451" s="75"/>
      <c r="D8451" s="75"/>
      <c r="E8451" s="75"/>
      <c r="F8451" s="75"/>
    </row>
    <row r="8452" spans="2:6">
      <c r="B8452" s="75"/>
      <c r="C8452" s="75"/>
      <c r="D8452" s="75"/>
      <c r="E8452" s="75"/>
      <c r="F8452" s="75"/>
    </row>
    <row r="8453" spans="2:6">
      <c r="B8453" s="75"/>
      <c r="C8453" s="75"/>
      <c r="D8453" s="75"/>
      <c r="E8453" s="75"/>
      <c r="F8453" s="75"/>
    </row>
    <row r="8454" spans="2:6">
      <c r="B8454" s="75"/>
      <c r="C8454" s="75"/>
      <c r="D8454" s="75"/>
      <c r="E8454" s="75"/>
      <c r="F8454" s="75"/>
    </row>
    <row r="8455" spans="2:6">
      <c r="B8455" s="75"/>
      <c r="C8455" s="75"/>
      <c r="D8455" s="75"/>
      <c r="E8455" s="75"/>
      <c r="F8455" s="75"/>
    </row>
    <row r="8456" spans="2:6">
      <c r="B8456" s="75"/>
      <c r="C8456" s="75"/>
      <c r="D8456" s="75"/>
      <c r="E8456" s="75"/>
      <c r="F8456" s="75"/>
    </row>
    <row r="8457" spans="2:6">
      <c r="B8457" s="75"/>
      <c r="C8457" s="75"/>
      <c r="D8457" s="75"/>
      <c r="E8457" s="75"/>
      <c r="F8457" s="75"/>
    </row>
    <row r="8458" spans="2:6">
      <c r="B8458" s="75"/>
      <c r="C8458" s="75"/>
      <c r="D8458" s="75"/>
      <c r="E8458" s="75"/>
      <c r="F8458" s="75"/>
    </row>
    <row r="8459" spans="2:6">
      <c r="B8459" s="75"/>
      <c r="C8459" s="75"/>
      <c r="D8459" s="75"/>
      <c r="E8459" s="75"/>
      <c r="F8459" s="75"/>
    </row>
    <row r="8460" spans="2:6">
      <c r="B8460" s="75"/>
      <c r="C8460" s="75"/>
      <c r="D8460" s="75"/>
      <c r="E8460" s="75"/>
      <c r="F8460" s="75"/>
    </row>
    <row r="8461" spans="2:6">
      <c r="B8461" s="75"/>
      <c r="C8461" s="75"/>
      <c r="D8461" s="75"/>
      <c r="E8461" s="75"/>
      <c r="F8461" s="75"/>
    </row>
    <row r="8462" spans="2:6">
      <c r="B8462" s="75"/>
      <c r="C8462" s="75"/>
      <c r="D8462" s="75"/>
      <c r="E8462" s="75"/>
      <c r="F8462" s="75"/>
    </row>
    <row r="8463" spans="2:6">
      <c r="B8463" s="75"/>
      <c r="C8463" s="75"/>
      <c r="D8463" s="75"/>
      <c r="E8463" s="75"/>
      <c r="F8463" s="75"/>
    </row>
    <row r="8464" spans="2:6">
      <c r="B8464" s="75"/>
      <c r="C8464" s="75"/>
      <c r="D8464" s="75"/>
      <c r="E8464" s="75"/>
      <c r="F8464" s="75"/>
    </row>
    <row r="8465" spans="2:6">
      <c r="B8465" s="75"/>
      <c r="C8465" s="75"/>
      <c r="D8465" s="75"/>
      <c r="E8465" s="75"/>
      <c r="F8465" s="75"/>
    </row>
    <row r="8466" spans="2:6">
      <c r="B8466" s="75"/>
      <c r="C8466" s="75"/>
      <c r="D8466" s="75"/>
      <c r="E8466" s="75"/>
      <c r="F8466" s="75"/>
    </row>
    <row r="8467" spans="2:6">
      <c r="B8467" s="75"/>
      <c r="C8467" s="75"/>
      <c r="D8467" s="75"/>
      <c r="E8467" s="75"/>
      <c r="F8467" s="75"/>
    </row>
    <row r="8468" spans="2:6">
      <c r="B8468" s="75"/>
      <c r="C8468" s="75"/>
      <c r="D8468" s="75"/>
      <c r="E8468" s="75"/>
      <c r="F8468" s="75"/>
    </row>
    <row r="8469" spans="2:6">
      <c r="B8469" s="75"/>
      <c r="C8469" s="75"/>
      <c r="D8469" s="75"/>
      <c r="E8469" s="75"/>
      <c r="F8469" s="75"/>
    </row>
    <row r="8470" spans="2:6">
      <c r="B8470" s="75"/>
      <c r="C8470" s="75"/>
      <c r="D8470" s="75"/>
      <c r="E8470" s="75"/>
      <c r="F8470" s="75"/>
    </row>
    <row r="8471" spans="2:6">
      <c r="B8471" s="75"/>
      <c r="C8471" s="75"/>
      <c r="D8471" s="75"/>
      <c r="E8471" s="75"/>
      <c r="F8471" s="75"/>
    </row>
    <row r="8472" spans="2:6">
      <c r="B8472" s="75"/>
      <c r="C8472" s="75"/>
      <c r="D8472" s="75"/>
      <c r="E8472" s="75"/>
      <c r="F8472" s="75"/>
    </row>
    <row r="8473" spans="2:6">
      <c r="B8473" s="75"/>
      <c r="C8473" s="75"/>
      <c r="D8473" s="75"/>
      <c r="E8473" s="75"/>
      <c r="F8473" s="75"/>
    </row>
    <row r="8474" spans="2:6">
      <c r="B8474" s="75"/>
      <c r="C8474" s="75"/>
      <c r="D8474" s="75"/>
      <c r="E8474" s="75"/>
      <c r="F8474" s="75"/>
    </row>
    <row r="8475" spans="2:6">
      <c r="B8475" s="75"/>
      <c r="C8475" s="75"/>
      <c r="D8475" s="75"/>
      <c r="E8475" s="75"/>
      <c r="F8475" s="75"/>
    </row>
    <row r="8476" spans="2:6">
      <c r="B8476" s="75"/>
      <c r="C8476" s="75"/>
      <c r="D8476" s="75"/>
      <c r="E8476" s="75"/>
      <c r="F8476" s="75"/>
    </row>
    <row r="8477" spans="2:6">
      <c r="B8477" s="75"/>
      <c r="C8477" s="75"/>
      <c r="D8477" s="75"/>
      <c r="E8477" s="75"/>
      <c r="F8477" s="75"/>
    </row>
    <row r="8478" spans="2:6">
      <c r="B8478" s="75"/>
      <c r="C8478" s="75"/>
      <c r="D8478" s="75"/>
      <c r="E8478" s="75"/>
      <c r="F8478" s="75"/>
    </row>
    <row r="8479" spans="2:6">
      <c r="B8479" s="75"/>
      <c r="C8479" s="75"/>
      <c r="D8479" s="75"/>
      <c r="E8479" s="75"/>
      <c r="F8479" s="75"/>
    </row>
    <row r="8480" spans="2:6">
      <c r="B8480" s="75"/>
      <c r="C8480" s="75"/>
      <c r="D8480" s="75"/>
      <c r="E8480" s="75"/>
      <c r="F8480" s="75"/>
    </row>
    <row r="8481" spans="2:6">
      <c r="B8481" s="75"/>
      <c r="C8481" s="75"/>
      <c r="D8481" s="75"/>
      <c r="E8481" s="75"/>
      <c r="F8481" s="75"/>
    </row>
    <row r="8482" spans="2:6">
      <c r="B8482" s="75"/>
      <c r="C8482" s="75"/>
      <c r="D8482" s="75"/>
      <c r="E8482" s="75"/>
      <c r="F8482" s="75"/>
    </row>
    <row r="8483" spans="2:6">
      <c r="B8483" s="75"/>
      <c r="C8483" s="75"/>
      <c r="D8483" s="75"/>
      <c r="E8483" s="75"/>
      <c r="F8483" s="75"/>
    </row>
    <row r="8484" spans="2:6">
      <c r="B8484" s="75"/>
      <c r="C8484" s="75"/>
      <c r="D8484" s="75"/>
      <c r="E8484" s="75"/>
      <c r="F8484" s="75"/>
    </row>
    <row r="8485" spans="2:6">
      <c r="B8485" s="75"/>
      <c r="C8485" s="75"/>
      <c r="D8485" s="75"/>
      <c r="E8485" s="75"/>
      <c r="F8485" s="75"/>
    </row>
    <row r="8486" spans="2:6">
      <c r="B8486" s="75"/>
      <c r="C8486" s="75"/>
      <c r="D8486" s="75"/>
      <c r="E8486" s="75"/>
      <c r="F8486" s="75"/>
    </row>
    <row r="8487" spans="2:6">
      <c r="B8487" s="75"/>
      <c r="C8487" s="75"/>
      <c r="D8487" s="75"/>
      <c r="E8487" s="75"/>
      <c r="F8487" s="75"/>
    </row>
    <row r="8488" spans="2:6">
      <c r="B8488" s="75"/>
      <c r="C8488" s="75"/>
      <c r="D8488" s="75"/>
      <c r="E8488" s="75"/>
      <c r="F8488" s="75"/>
    </row>
    <row r="8489" spans="2:6">
      <c r="B8489" s="75"/>
      <c r="C8489" s="75"/>
      <c r="D8489" s="75"/>
      <c r="E8489" s="75"/>
      <c r="F8489" s="75"/>
    </row>
    <row r="8490" spans="2:6">
      <c r="B8490" s="75"/>
      <c r="C8490" s="75"/>
      <c r="D8490" s="75"/>
      <c r="E8490" s="75"/>
      <c r="F8490" s="75"/>
    </row>
    <row r="8491" spans="2:6">
      <c r="B8491" s="75"/>
      <c r="C8491" s="75"/>
      <c r="D8491" s="75"/>
      <c r="E8491" s="75"/>
      <c r="F8491" s="75"/>
    </row>
    <row r="8492" spans="2:6">
      <c r="B8492" s="75"/>
      <c r="C8492" s="75"/>
      <c r="D8492" s="75"/>
      <c r="E8492" s="75"/>
      <c r="F8492" s="75"/>
    </row>
    <row r="8493" spans="2:6">
      <c r="B8493" s="75"/>
      <c r="C8493" s="75"/>
      <c r="D8493" s="75"/>
      <c r="E8493" s="75"/>
      <c r="F8493" s="75"/>
    </row>
    <row r="8494" spans="2:6">
      <c r="B8494" s="75"/>
      <c r="C8494" s="75"/>
      <c r="D8494" s="75"/>
      <c r="E8494" s="75"/>
      <c r="F8494" s="75"/>
    </row>
    <row r="8495" spans="2:6">
      <c r="B8495" s="75"/>
      <c r="C8495" s="75"/>
      <c r="D8495" s="75"/>
      <c r="E8495" s="75"/>
      <c r="F8495" s="75"/>
    </row>
    <row r="8496" spans="2:6">
      <c r="B8496" s="75"/>
      <c r="C8496" s="75"/>
      <c r="D8496" s="75"/>
      <c r="E8496" s="75"/>
      <c r="F8496" s="75"/>
    </row>
    <row r="8497" spans="2:6">
      <c r="B8497" s="75"/>
      <c r="C8497" s="75"/>
      <c r="D8497" s="75"/>
      <c r="E8497" s="75"/>
      <c r="F8497" s="75"/>
    </row>
    <row r="8498" spans="2:6">
      <c r="B8498" s="75"/>
      <c r="C8498" s="75"/>
      <c r="D8498" s="75"/>
      <c r="E8498" s="75"/>
      <c r="F8498" s="75"/>
    </row>
    <row r="8499" spans="2:6">
      <c r="B8499" s="75"/>
      <c r="C8499" s="75"/>
      <c r="D8499" s="75"/>
      <c r="E8499" s="75"/>
      <c r="F8499" s="75"/>
    </row>
    <row r="8500" spans="2:6">
      <c r="B8500" s="75"/>
      <c r="C8500" s="75"/>
      <c r="D8500" s="75"/>
      <c r="E8500" s="75"/>
      <c r="F8500" s="75"/>
    </row>
    <row r="8501" spans="2:6">
      <c r="B8501" s="75"/>
      <c r="C8501" s="75"/>
      <c r="D8501" s="75"/>
      <c r="E8501" s="75"/>
      <c r="F8501" s="75"/>
    </row>
    <row r="8502" spans="2:6">
      <c r="B8502" s="75"/>
      <c r="C8502" s="75"/>
      <c r="D8502" s="75"/>
      <c r="E8502" s="75"/>
      <c r="F8502" s="75"/>
    </row>
    <row r="8503" spans="2:6">
      <c r="B8503" s="75"/>
      <c r="C8503" s="75"/>
      <c r="D8503" s="75"/>
      <c r="E8503" s="75"/>
      <c r="F8503" s="75"/>
    </row>
    <row r="8504" spans="2:6">
      <c r="B8504" s="75"/>
      <c r="C8504" s="75"/>
      <c r="D8504" s="75"/>
      <c r="E8504" s="75"/>
      <c r="F8504" s="75"/>
    </row>
    <row r="8505" spans="2:6">
      <c r="B8505" s="75"/>
      <c r="C8505" s="75"/>
      <c r="D8505" s="75"/>
      <c r="E8505" s="75"/>
      <c r="F8505" s="75"/>
    </row>
    <row r="8506" spans="2:6">
      <c r="B8506" s="75"/>
      <c r="C8506" s="75"/>
      <c r="D8506" s="75"/>
      <c r="E8506" s="75"/>
      <c r="F8506" s="75"/>
    </row>
    <row r="8507" spans="2:6">
      <c r="B8507" s="75"/>
      <c r="C8507" s="75"/>
      <c r="D8507" s="75"/>
      <c r="E8507" s="75"/>
      <c r="F8507" s="75"/>
    </row>
    <row r="8508" spans="2:6">
      <c r="B8508" s="75"/>
      <c r="C8508" s="75"/>
      <c r="D8508" s="75"/>
      <c r="E8508" s="75"/>
      <c r="F8508" s="75"/>
    </row>
    <row r="8509" spans="2:6">
      <c r="B8509" s="75"/>
      <c r="C8509" s="75"/>
      <c r="D8509" s="75"/>
      <c r="E8509" s="75"/>
      <c r="F8509" s="75"/>
    </row>
    <row r="8510" spans="2:6">
      <c r="B8510" s="75"/>
      <c r="C8510" s="75"/>
      <c r="D8510" s="75"/>
      <c r="E8510" s="75"/>
      <c r="F8510" s="75"/>
    </row>
    <row r="8511" spans="2:6">
      <c r="B8511" s="75"/>
      <c r="C8511" s="75"/>
      <c r="D8511" s="75"/>
      <c r="E8511" s="75"/>
      <c r="F8511" s="75"/>
    </row>
    <row r="8512" spans="2:6">
      <c r="B8512" s="75"/>
      <c r="C8512" s="75"/>
      <c r="D8512" s="75"/>
      <c r="E8512" s="75"/>
      <c r="F8512" s="75"/>
    </row>
    <row r="8513" spans="2:6">
      <c r="B8513" s="75"/>
      <c r="C8513" s="75"/>
      <c r="D8513" s="75"/>
      <c r="E8513" s="75"/>
      <c r="F8513" s="75"/>
    </row>
    <row r="8514" spans="2:6">
      <c r="B8514" s="75"/>
      <c r="C8514" s="75"/>
      <c r="D8514" s="75"/>
      <c r="E8514" s="75"/>
      <c r="F8514" s="75"/>
    </row>
    <row r="8515" spans="2:6">
      <c r="B8515" s="75"/>
      <c r="C8515" s="75"/>
      <c r="D8515" s="75"/>
      <c r="E8515" s="75"/>
      <c r="F8515" s="75"/>
    </row>
    <row r="8516" spans="2:6">
      <c r="B8516" s="75"/>
      <c r="C8516" s="75"/>
      <c r="D8516" s="75"/>
      <c r="E8516" s="75"/>
      <c r="F8516" s="75"/>
    </row>
    <row r="8517" spans="2:6">
      <c r="B8517" s="75"/>
      <c r="C8517" s="75"/>
      <c r="D8517" s="75"/>
      <c r="E8517" s="75"/>
      <c r="F8517" s="75"/>
    </row>
    <row r="8518" spans="2:6">
      <c r="B8518" s="75"/>
      <c r="C8518" s="75"/>
      <c r="D8518" s="75"/>
      <c r="E8518" s="75"/>
      <c r="F8518" s="75"/>
    </row>
    <row r="8519" spans="2:6">
      <c r="B8519" s="75"/>
      <c r="C8519" s="75"/>
      <c r="D8519" s="75"/>
      <c r="E8519" s="75"/>
      <c r="F8519" s="75"/>
    </row>
    <row r="8520" spans="2:6">
      <c r="B8520" s="75"/>
      <c r="C8520" s="75"/>
      <c r="D8520" s="75"/>
      <c r="E8520" s="75"/>
      <c r="F8520" s="75"/>
    </row>
    <row r="8521" spans="2:6">
      <c r="B8521" s="75"/>
      <c r="C8521" s="75"/>
      <c r="D8521" s="75"/>
      <c r="E8521" s="75"/>
      <c r="F8521" s="75"/>
    </row>
    <row r="8522" spans="2:6">
      <c r="B8522" s="75"/>
      <c r="C8522" s="75"/>
      <c r="D8522" s="75"/>
      <c r="E8522" s="75"/>
      <c r="F8522" s="75"/>
    </row>
    <row r="8523" spans="2:6">
      <c r="B8523" s="75"/>
      <c r="C8523" s="75"/>
      <c r="D8523" s="75"/>
      <c r="E8523" s="75"/>
      <c r="F8523" s="75"/>
    </row>
    <row r="8524" spans="2:6">
      <c r="B8524" s="75"/>
      <c r="C8524" s="75"/>
      <c r="D8524" s="75"/>
      <c r="E8524" s="75"/>
      <c r="F8524" s="75"/>
    </row>
    <row r="8525" spans="2:6">
      <c r="B8525" s="75"/>
      <c r="C8525" s="75"/>
      <c r="D8525" s="75"/>
      <c r="E8525" s="75"/>
      <c r="F8525" s="75"/>
    </row>
    <row r="8526" spans="2:6">
      <c r="B8526" s="75"/>
      <c r="C8526" s="75"/>
      <c r="D8526" s="75"/>
      <c r="E8526" s="75"/>
      <c r="F8526" s="75"/>
    </row>
    <row r="8527" spans="2:6">
      <c r="B8527" s="75"/>
      <c r="C8527" s="75"/>
      <c r="D8527" s="75"/>
      <c r="E8527" s="75"/>
      <c r="F8527" s="75"/>
    </row>
    <row r="8528" spans="2:6">
      <c r="B8528" s="75"/>
      <c r="C8528" s="75"/>
      <c r="D8528" s="75"/>
      <c r="E8528" s="75"/>
      <c r="F8528" s="75"/>
    </row>
    <row r="8529" spans="2:6">
      <c r="B8529" s="75"/>
      <c r="C8529" s="75"/>
      <c r="D8529" s="75"/>
      <c r="E8529" s="75"/>
      <c r="F8529" s="75"/>
    </row>
    <row r="8530" spans="2:6">
      <c r="B8530" s="75"/>
      <c r="C8530" s="75"/>
      <c r="D8530" s="75"/>
      <c r="E8530" s="75"/>
      <c r="F8530" s="75"/>
    </row>
    <row r="8531" spans="2:6">
      <c r="B8531" s="75"/>
      <c r="C8531" s="75"/>
      <c r="D8531" s="75"/>
      <c r="E8531" s="75"/>
      <c r="F8531" s="75"/>
    </row>
    <row r="8532" spans="2:6">
      <c r="B8532" s="75"/>
      <c r="C8532" s="75"/>
      <c r="D8532" s="75"/>
      <c r="E8532" s="75"/>
      <c r="F8532" s="75"/>
    </row>
    <row r="8533" spans="2:6">
      <c r="B8533" s="75"/>
      <c r="C8533" s="75"/>
      <c r="D8533" s="75"/>
      <c r="E8533" s="75"/>
      <c r="F8533" s="75"/>
    </row>
    <row r="8534" spans="2:6">
      <c r="B8534" s="75"/>
      <c r="C8534" s="75"/>
      <c r="D8534" s="75"/>
      <c r="E8534" s="75"/>
      <c r="F8534" s="75"/>
    </row>
    <row r="8535" spans="2:6">
      <c r="B8535" s="75"/>
      <c r="C8535" s="75"/>
      <c r="D8535" s="75"/>
      <c r="E8535" s="75"/>
      <c r="F8535" s="75"/>
    </row>
    <row r="8536" spans="2:6">
      <c r="B8536" s="75"/>
      <c r="C8536" s="75"/>
      <c r="D8536" s="75"/>
      <c r="E8536" s="75"/>
      <c r="F8536" s="75"/>
    </row>
    <row r="8537" spans="2:6">
      <c r="B8537" s="75"/>
      <c r="C8537" s="75"/>
      <c r="D8537" s="75"/>
      <c r="E8537" s="75"/>
      <c r="F8537" s="75"/>
    </row>
    <row r="8538" spans="2:6">
      <c r="B8538" s="75"/>
      <c r="C8538" s="75"/>
      <c r="D8538" s="75"/>
      <c r="E8538" s="75"/>
      <c r="F8538" s="75"/>
    </row>
    <row r="8539" spans="2:6">
      <c r="B8539" s="75"/>
      <c r="C8539" s="75"/>
      <c r="D8539" s="75"/>
      <c r="E8539" s="75"/>
      <c r="F8539" s="75"/>
    </row>
    <row r="8540" spans="2:6">
      <c r="B8540" s="75"/>
      <c r="C8540" s="75"/>
      <c r="D8540" s="75"/>
      <c r="E8540" s="75"/>
      <c r="F8540" s="75"/>
    </row>
    <row r="8541" spans="2:6">
      <c r="B8541" s="75"/>
      <c r="C8541" s="75"/>
      <c r="D8541" s="75"/>
      <c r="E8541" s="75"/>
      <c r="F8541" s="75"/>
    </row>
    <row r="8542" spans="2:6">
      <c r="B8542" s="75"/>
      <c r="C8542" s="75"/>
      <c r="D8542" s="75"/>
      <c r="E8542" s="75"/>
      <c r="F8542" s="75"/>
    </row>
    <row r="8543" spans="2:6">
      <c r="B8543" s="75"/>
      <c r="C8543" s="75"/>
      <c r="D8543" s="75"/>
      <c r="E8543" s="75"/>
      <c r="F8543" s="75"/>
    </row>
    <row r="8544" spans="2:6">
      <c r="B8544" s="75"/>
      <c r="C8544" s="75"/>
      <c r="D8544" s="75"/>
      <c r="E8544" s="75"/>
      <c r="F8544" s="75"/>
    </row>
    <row r="8545" spans="2:6">
      <c r="B8545" s="75"/>
      <c r="C8545" s="75"/>
      <c r="D8545" s="75"/>
      <c r="E8545" s="75"/>
      <c r="F8545" s="75"/>
    </row>
    <row r="8546" spans="2:6">
      <c r="B8546" s="75"/>
      <c r="C8546" s="75"/>
      <c r="D8546" s="75"/>
      <c r="E8546" s="75"/>
      <c r="F8546" s="75"/>
    </row>
    <row r="8547" spans="2:6">
      <c r="B8547" s="75"/>
      <c r="C8547" s="75"/>
      <c r="D8547" s="75"/>
      <c r="E8547" s="75"/>
      <c r="F8547" s="75"/>
    </row>
    <row r="8548" spans="2:6">
      <c r="B8548" s="75"/>
      <c r="C8548" s="75"/>
      <c r="D8548" s="75"/>
      <c r="E8548" s="75"/>
      <c r="F8548" s="75"/>
    </row>
    <row r="8549" spans="2:6">
      <c r="B8549" s="75"/>
      <c r="C8549" s="75"/>
      <c r="D8549" s="75"/>
      <c r="E8549" s="75"/>
      <c r="F8549" s="75"/>
    </row>
    <row r="8550" spans="2:6">
      <c r="B8550" s="75"/>
      <c r="C8550" s="75"/>
      <c r="D8550" s="75"/>
      <c r="E8550" s="75"/>
      <c r="F8550" s="75"/>
    </row>
    <row r="8551" spans="2:6">
      <c r="B8551" s="75"/>
      <c r="C8551" s="75"/>
      <c r="D8551" s="75"/>
      <c r="E8551" s="75"/>
      <c r="F8551" s="75"/>
    </row>
    <row r="8552" spans="2:6">
      <c r="B8552" s="75"/>
      <c r="C8552" s="75"/>
      <c r="D8552" s="75"/>
      <c r="E8552" s="75"/>
      <c r="F8552" s="75"/>
    </row>
    <row r="8553" spans="2:6">
      <c r="B8553" s="75"/>
      <c r="C8553" s="75"/>
      <c r="D8553" s="75"/>
      <c r="E8553" s="75"/>
      <c r="F8553" s="75"/>
    </row>
    <row r="8554" spans="2:6">
      <c r="B8554" s="75"/>
      <c r="C8554" s="75"/>
      <c r="D8554" s="75"/>
      <c r="E8554" s="75"/>
      <c r="F8554" s="75"/>
    </row>
    <row r="8555" spans="2:6">
      <c r="B8555" s="75"/>
      <c r="C8555" s="75"/>
      <c r="D8555" s="75"/>
      <c r="E8555" s="75"/>
      <c r="F8555" s="75"/>
    </row>
    <row r="8556" spans="2:6">
      <c r="B8556" s="75"/>
      <c r="C8556" s="75"/>
      <c r="D8556" s="75"/>
      <c r="E8556" s="75"/>
      <c r="F8556" s="75"/>
    </row>
    <row r="8557" spans="2:6">
      <c r="B8557" s="75"/>
      <c r="C8557" s="75"/>
      <c r="D8557" s="75"/>
      <c r="E8557" s="75"/>
      <c r="F8557" s="75"/>
    </row>
    <row r="8558" spans="2:6">
      <c r="B8558" s="75"/>
      <c r="C8558" s="75"/>
      <c r="D8558" s="75"/>
      <c r="E8558" s="75"/>
      <c r="F8558" s="75"/>
    </row>
    <row r="8559" spans="2:6">
      <c r="B8559" s="75"/>
      <c r="C8559" s="75"/>
      <c r="D8559" s="75"/>
      <c r="E8559" s="75"/>
      <c r="F8559" s="75"/>
    </row>
    <row r="8560" spans="2:6">
      <c r="B8560" s="75"/>
      <c r="C8560" s="75"/>
      <c r="D8560" s="75"/>
      <c r="E8560" s="75"/>
      <c r="F8560" s="75"/>
    </row>
    <row r="8561" spans="2:6">
      <c r="B8561" s="75"/>
      <c r="C8561" s="75"/>
      <c r="D8561" s="75"/>
      <c r="E8561" s="75"/>
      <c r="F8561" s="75"/>
    </row>
    <row r="8562" spans="2:6">
      <c r="B8562" s="75"/>
      <c r="C8562" s="75"/>
      <c r="D8562" s="75"/>
      <c r="E8562" s="75"/>
      <c r="F8562" s="75"/>
    </row>
    <row r="8563" spans="2:6">
      <c r="B8563" s="75"/>
      <c r="C8563" s="75"/>
      <c r="D8563" s="75"/>
      <c r="E8563" s="75"/>
      <c r="F8563" s="75"/>
    </row>
    <row r="8564" spans="2:6">
      <c r="B8564" s="75"/>
      <c r="C8564" s="75"/>
      <c r="D8564" s="75"/>
      <c r="E8564" s="75"/>
      <c r="F8564" s="75"/>
    </row>
    <row r="8565" spans="2:6">
      <c r="B8565" s="75"/>
      <c r="C8565" s="75"/>
      <c r="D8565" s="75"/>
      <c r="E8565" s="75"/>
      <c r="F8565" s="75"/>
    </row>
    <row r="8566" spans="2:6">
      <c r="B8566" s="75"/>
      <c r="C8566" s="75"/>
      <c r="D8566" s="75"/>
      <c r="E8566" s="75"/>
      <c r="F8566" s="75"/>
    </row>
    <row r="8567" spans="2:6">
      <c r="B8567" s="75"/>
      <c r="C8567" s="75"/>
      <c r="D8567" s="75"/>
      <c r="E8567" s="75"/>
      <c r="F8567" s="75"/>
    </row>
    <row r="8568" spans="2:6">
      <c r="B8568" s="75"/>
      <c r="C8568" s="75"/>
      <c r="D8568" s="75"/>
      <c r="E8568" s="75"/>
      <c r="F8568" s="75"/>
    </row>
    <row r="8569" spans="2:6">
      <c r="B8569" s="75"/>
      <c r="C8569" s="75"/>
      <c r="D8569" s="75"/>
      <c r="E8569" s="75"/>
      <c r="F8569" s="75"/>
    </row>
    <row r="8570" spans="2:6">
      <c r="B8570" s="75"/>
      <c r="C8570" s="75"/>
      <c r="D8570" s="75"/>
      <c r="E8570" s="75"/>
      <c r="F8570" s="75"/>
    </row>
    <row r="8571" spans="2:6">
      <c r="B8571" s="75"/>
      <c r="C8571" s="75"/>
      <c r="D8571" s="75"/>
      <c r="E8571" s="75"/>
      <c r="F8571" s="75"/>
    </row>
    <row r="8572" spans="2:6">
      <c r="B8572" s="75"/>
      <c r="C8572" s="75"/>
      <c r="D8572" s="75"/>
      <c r="E8572" s="75"/>
      <c r="F8572" s="75"/>
    </row>
    <row r="8573" spans="2:6">
      <c r="B8573" s="75"/>
      <c r="C8573" s="75"/>
      <c r="D8573" s="75"/>
      <c r="E8573" s="75"/>
      <c r="F8573" s="75"/>
    </row>
    <row r="8574" spans="2:6">
      <c r="B8574" s="75"/>
      <c r="C8574" s="75"/>
      <c r="D8574" s="75"/>
      <c r="E8574" s="75"/>
      <c r="F8574" s="75"/>
    </row>
    <row r="8575" spans="2:6">
      <c r="B8575" s="75"/>
      <c r="C8575" s="75"/>
      <c r="D8575" s="75"/>
      <c r="E8575" s="75"/>
      <c r="F8575" s="75"/>
    </row>
    <row r="8576" spans="2:6">
      <c r="B8576" s="75"/>
      <c r="C8576" s="75"/>
      <c r="D8576" s="75"/>
      <c r="E8576" s="75"/>
      <c r="F8576" s="75"/>
    </row>
    <row r="8577" spans="2:6">
      <c r="B8577" s="75"/>
      <c r="C8577" s="75"/>
      <c r="D8577" s="75"/>
      <c r="E8577" s="75"/>
      <c r="F8577" s="75"/>
    </row>
    <row r="8578" spans="2:6">
      <c r="B8578" s="75"/>
      <c r="C8578" s="75"/>
      <c r="D8578" s="75"/>
      <c r="E8578" s="75"/>
      <c r="F8578" s="75"/>
    </row>
    <row r="8579" spans="2:6">
      <c r="B8579" s="75"/>
      <c r="C8579" s="75"/>
      <c r="D8579" s="75"/>
      <c r="E8579" s="75"/>
      <c r="F8579" s="75"/>
    </row>
    <row r="8580" spans="2:6">
      <c r="B8580" s="75"/>
      <c r="C8580" s="75"/>
      <c r="D8580" s="75"/>
      <c r="E8580" s="75"/>
      <c r="F8580" s="75"/>
    </row>
    <row r="8581" spans="2:6">
      <c r="B8581" s="75"/>
      <c r="C8581" s="75"/>
      <c r="D8581" s="75"/>
      <c r="E8581" s="75"/>
      <c r="F8581" s="75"/>
    </row>
    <row r="8582" spans="2:6">
      <c r="B8582" s="75"/>
      <c r="C8582" s="75"/>
      <c r="D8582" s="75"/>
      <c r="E8582" s="75"/>
      <c r="F8582" s="75"/>
    </row>
    <row r="8583" spans="2:6">
      <c r="B8583" s="75"/>
      <c r="C8583" s="75"/>
      <c r="D8583" s="75"/>
      <c r="E8583" s="75"/>
      <c r="F8583" s="75"/>
    </row>
    <row r="8584" spans="2:6">
      <c r="B8584" s="75"/>
      <c r="C8584" s="75"/>
      <c r="D8584" s="75"/>
      <c r="E8584" s="75"/>
      <c r="F8584" s="75"/>
    </row>
    <row r="8585" spans="2:6">
      <c r="B8585" s="75"/>
      <c r="C8585" s="75"/>
      <c r="D8585" s="75"/>
      <c r="E8585" s="75"/>
      <c r="F8585" s="75"/>
    </row>
    <row r="8586" spans="2:6">
      <c r="B8586" s="75"/>
      <c r="C8586" s="75"/>
      <c r="D8586" s="75"/>
      <c r="E8586" s="75"/>
      <c r="F8586" s="75"/>
    </row>
    <row r="8587" spans="2:6">
      <c r="B8587" s="75"/>
      <c r="C8587" s="75"/>
      <c r="D8587" s="75"/>
      <c r="E8587" s="75"/>
      <c r="F8587" s="75"/>
    </row>
    <row r="8588" spans="2:6">
      <c r="B8588" s="75"/>
      <c r="C8588" s="75"/>
      <c r="D8588" s="75"/>
      <c r="E8588" s="75"/>
      <c r="F8588" s="75"/>
    </row>
    <row r="8589" spans="2:6">
      <c r="B8589" s="75"/>
      <c r="C8589" s="75"/>
      <c r="D8589" s="75"/>
      <c r="E8589" s="75"/>
      <c r="F8589" s="75"/>
    </row>
    <row r="8590" spans="2:6">
      <c r="B8590" s="75"/>
      <c r="C8590" s="75"/>
      <c r="D8590" s="75"/>
      <c r="E8590" s="75"/>
      <c r="F8590" s="75"/>
    </row>
    <row r="8591" spans="2:6">
      <c r="B8591" s="75"/>
      <c r="C8591" s="75"/>
      <c r="D8591" s="75"/>
      <c r="E8591" s="75"/>
      <c r="F8591" s="75"/>
    </row>
    <row r="8592" spans="2:6">
      <c r="B8592" s="75"/>
      <c r="C8592" s="75"/>
      <c r="D8592" s="75"/>
      <c r="E8592" s="75"/>
      <c r="F8592" s="75"/>
    </row>
    <row r="8593" spans="2:6">
      <c r="B8593" s="75"/>
      <c r="C8593" s="75"/>
      <c r="D8593" s="75"/>
      <c r="E8593" s="75"/>
      <c r="F8593" s="75"/>
    </row>
    <row r="8594" spans="2:6">
      <c r="B8594" s="75"/>
      <c r="C8594" s="75"/>
      <c r="D8594" s="75"/>
      <c r="E8594" s="75"/>
      <c r="F8594" s="75"/>
    </row>
    <row r="8595" spans="2:6">
      <c r="B8595" s="75"/>
      <c r="C8595" s="75"/>
      <c r="D8595" s="75"/>
      <c r="E8595" s="75"/>
      <c r="F8595" s="75"/>
    </row>
    <row r="8596" spans="2:6">
      <c r="B8596" s="75"/>
      <c r="C8596" s="75"/>
      <c r="D8596" s="75"/>
      <c r="E8596" s="75"/>
      <c r="F8596" s="75"/>
    </row>
    <row r="8597" spans="2:6">
      <c r="B8597" s="75"/>
      <c r="C8597" s="75"/>
      <c r="D8597" s="75"/>
      <c r="E8597" s="75"/>
      <c r="F8597" s="75"/>
    </row>
    <row r="8598" spans="2:6">
      <c r="B8598" s="75"/>
      <c r="C8598" s="75"/>
      <c r="D8598" s="75"/>
      <c r="E8598" s="75"/>
      <c r="F8598" s="75"/>
    </row>
    <row r="8599" spans="2:6">
      <c r="B8599" s="75"/>
      <c r="C8599" s="75"/>
      <c r="D8599" s="75"/>
      <c r="E8599" s="75"/>
      <c r="F8599" s="75"/>
    </row>
    <row r="8600" spans="2:6">
      <c r="B8600" s="75"/>
      <c r="C8600" s="75"/>
      <c r="D8600" s="75"/>
      <c r="E8600" s="75"/>
      <c r="F8600" s="75"/>
    </row>
    <row r="8601" spans="2:6">
      <c r="B8601" s="75"/>
      <c r="C8601" s="75"/>
      <c r="D8601" s="75"/>
      <c r="E8601" s="75"/>
      <c r="F8601" s="75"/>
    </row>
    <row r="8602" spans="2:6">
      <c r="B8602" s="75"/>
      <c r="C8602" s="75"/>
      <c r="D8602" s="75"/>
      <c r="E8602" s="75"/>
      <c r="F8602" s="75"/>
    </row>
    <row r="8603" spans="2:6">
      <c r="B8603" s="75"/>
      <c r="C8603" s="75"/>
      <c r="D8603" s="75"/>
      <c r="E8603" s="75"/>
      <c r="F8603" s="75"/>
    </row>
    <row r="8604" spans="2:6">
      <c r="B8604" s="75"/>
      <c r="C8604" s="75"/>
      <c r="D8604" s="75"/>
      <c r="E8604" s="75"/>
      <c r="F8604" s="75"/>
    </row>
    <row r="8605" spans="2:6">
      <c r="B8605" s="75"/>
      <c r="C8605" s="75"/>
      <c r="D8605" s="75"/>
      <c r="E8605" s="75"/>
      <c r="F8605" s="75"/>
    </row>
    <row r="8606" spans="2:6">
      <c r="B8606" s="75"/>
      <c r="C8606" s="75"/>
      <c r="D8606" s="75"/>
      <c r="E8606" s="75"/>
      <c r="F8606" s="75"/>
    </row>
    <row r="8607" spans="2:6">
      <c r="B8607" s="75"/>
      <c r="C8607" s="75"/>
      <c r="D8607" s="75"/>
      <c r="E8607" s="75"/>
      <c r="F8607" s="75"/>
    </row>
    <row r="8608" spans="2:6">
      <c r="B8608" s="75"/>
      <c r="C8608" s="75"/>
      <c r="D8608" s="75"/>
      <c r="E8608" s="75"/>
      <c r="F8608" s="75"/>
    </row>
    <row r="8609" spans="2:6">
      <c r="B8609" s="75"/>
      <c r="C8609" s="75"/>
      <c r="D8609" s="75"/>
      <c r="E8609" s="75"/>
      <c r="F8609" s="75"/>
    </row>
    <row r="8610" spans="2:6">
      <c r="B8610" s="75"/>
      <c r="C8610" s="75"/>
      <c r="D8610" s="75"/>
      <c r="E8610" s="75"/>
      <c r="F8610" s="75"/>
    </row>
    <row r="8611" spans="2:6">
      <c r="B8611" s="75"/>
      <c r="C8611" s="75"/>
      <c r="D8611" s="75"/>
      <c r="E8611" s="75"/>
      <c r="F8611" s="75"/>
    </row>
    <row r="8612" spans="2:6">
      <c r="B8612" s="75"/>
      <c r="C8612" s="75"/>
      <c r="D8612" s="75"/>
      <c r="E8612" s="75"/>
      <c r="F8612" s="75"/>
    </row>
    <row r="8613" spans="2:6">
      <c r="B8613" s="75"/>
      <c r="C8613" s="75"/>
      <c r="D8613" s="75"/>
      <c r="E8613" s="75"/>
      <c r="F8613" s="75"/>
    </row>
    <row r="8614" spans="2:6">
      <c r="B8614" s="75"/>
      <c r="C8614" s="75"/>
      <c r="D8614" s="75"/>
      <c r="E8614" s="75"/>
      <c r="F8614" s="75"/>
    </row>
    <row r="8615" spans="2:6">
      <c r="B8615" s="75"/>
      <c r="C8615" s="75"/>
      <c r="D8615" s="75"/>
      <c r="E8615" s="75"/>
      <c r="F8615" s="75"/>
    </row>
    <row r="8616" spans="2:6">
      <c r="B8616" s="75"/>
      <c r="C8616" s="75"/>
      <c r="D8616" s="75"/>
      <c r="E8616" s="75"/>
      <c r="F8616" s="75"/>
    </row>
    <row r="8617" spans="2:6">
      <c r="B8617" s="75"/>
      <c r="C8617" s="75"/>
      <c r="D8617" s="75"/>
      <c r="E8617" s="75"/>
      <c r="F8617" s="75"/>
    </row>
    <row r="8618" spans="2:6">
      <c r="B8618" s="75"/>
      <c r="C8618" s="75"/>
      <c r="D8618" s="75"/>
      <c r="E8618" s="75"/>
      <c r="F8618" s="75"/>
    </row>
    <row r="8619" spans="2:6">
      <c r="B8619" s="75"/>
      <c r="C8619" s="75"/>
      <c r="D8619" s="75"/>
      <c r="E8619" s="75"/>
      <c r="F8619" s="75"/>
    </row>
    <row r="8620" spans="2:6">
      <c r="B8620" s="75"/>
      <c r="C8620" s="75"/>
      <c r="D8620" s="75"/>
      <c r="E8620" s="75"/>
      <c r="F8620" s="75"/>
    </row>
    <row r="8621" spans="2:6">
      <c r="B8621" s="75"/>
      <c r="C8621" s="75"/>
      <c r="D8621" s="75"/>
      <c r="E8621" s="75"/>
      <c r="F8621" s="75"/>
    </row>
    <row r="8622" spans="2:6">
      <c r="B8622" s="75"/>
      <c r="C8622" s="75"/>
      <c r="D8622" s="75"/>
      <c r="E8622" s="75"/>
      <c r="F8622" s="75"/>
    </row>
    <row r="8623" spans="2:6">
      <c r="B8623" s="75"/>
      <c r="C8623" s="75"/>
      <c r="D8623" s="75"/>
      <c r="E8623" s="75"/>
      <c r="F8623" s="75"/>
    </row>
    <row r="8624" spans="2:6">
      <c r="B8624" s="75"/>
      <c r="C8624" s="75"/>
      <c r="D8624" s="75"/>
      <c r="E8624" s="75"/>
      <c r="F8624" s="75"/>
    </row>
    <row r="8625" spans="2:6">
      <c r="B8625" s="75"/>
      <c r="C8625" s="75"/>
      <c r="D8625" s="75"/>
      <c r="E8625" s="75"/>
      <c r="F8625" s="75"/>
    </row>
    <row r="8626" spans="2:6">
      <c r="B8626" s="75"/>
      <c r="C8626" s="75"/>
      <c r="D8626" s="75"/>
      <c r="E8626" s="75"/>
      <c r="F8626" s="75"/>
    </row>
    <row r="8627" spans="2:6">
      <c r="B8627" s="75"/>
      <c r="C8627" s="75"/>
      <c r="D8627" s="75"/>
      <c r="E8627" s="75"/>
      <c r="F8627" s="75"/>
    </row>
    <row r="8628" spans="2:6">
      <c r="B8628" s="75"/>
      <c r="C8628" s="75"/>
      <c r="D8628" s="75"/>
      <c r="E8628" s="75"/>
      <c r="F8628" s="75"/>
    </row>
    <row r="8629" spans="2:6">
      <c r="B8629" s="75"/>
      <c r="C8629" s="75"/>
      <c r="D8629" s="75"/>
      <c r="E8629" s="75"/>
      <c r="F8629" s="75"/>
    </row>
    <row r="8630" spans="2:6">
      <c r="B8630" s="75"/>
      <c r="C8630" s="75"/>
      <c r="D8630" s="75"/>
      <c r="E8630" s="75"/>
      <c r="F8630" s="75"/>
    </row>
    <row r="8631" spans="2:6">
      <c r="B8631" s="75"/>
      <c r="C8631" s="75"/>
      <c r="D8631" s="75"/>
      <c r="E8631" s="75"/>
      <c r="F8631" s="75"/>
    </row>
    <row r="8632" spans="2:6">
      <c r="B8632" s="75"/>
      <c r="C8632" s="75"/>
      <c r="D8632" s="75"/>
      <c r="E8632" s="75"/>
      <c r="F8632" s="75"/>
    </row>
    <row r="8633" spans="2:6">
      <c r="B8633" s="75"/>
      <c r="C8633" s="75"/>
      <c r="D8633" s="75"/>
      <c r="E8633" s="75"/>
      <c r="F8633" s="75"/>
    </row>
    <row r="8634" spans="2:6">
      <c r="B8634" s="75"/>
      <c r="C8634" s="75"/>
      <c r="D8634" s="75"/>
      <c r="E8634" s="75"/>
      <c r="F8634" s="75"/>
    </row>
    <row r="8635" spans="2:6">
      <c r="B8635" s="75"/>
      <c r="C8635" s="75"/>
      <c r="D8635" s="75"/>
      <c r="E8635" s="75"/>
      <c r="F8635" s="75"/>
    </row>
    <row r="8636" spans="2:6">
      <c r="B8636" s="75"/>
      <c r="C8636" s="75"/>
      <c r="D8636" s="75"/>
      <c r="E8636" s="75"/>
      <c r="F8636" s="75"/>
    </row>
    <row r="8637" spans="2:6">
      <c r="B8637" s="75"/>
      <c r="C8637" s="75"/>
      <c r="D8637" s="75"/>
      <c r="E8637" s="75"/>
      <c r="F8637" s="75"/>
    </row>
    <row r="8638" spans="2:6">
      <c r="B8638" s="75"/>
      <c r="C8638" s="75"/>
      <c r="D8638" s="75"/>
      <c r="E8638" s="75"/>
      <c r="F8638" s="75"/>
    </row>
    <row r="8639" spans="2:6">
      <c r="B8639" s="75"/>
      <c r="C8639" s="75"/>
      <c r="D8639" s="75"/>
      <c r="E8639" s="75"/>
      <c r="F8639" s="75"/>
    </row>
    <row r="8640" spans="2:6">
      <c r="B8640" s="75"/>
      <c r="C8640" s="75"/>
      <c r="D8640" s="75"/>
      <c r="E8640" s="75"/>
      <c r="F8640" s="75"/>
    </row>
    <row r="8641" spans="2:6">
      <c r="B8641" s="75"/>
      <c r="C8641" s="75"/>
      <c r="D8641" s="75"/>
      <c r="E8641" s="75"/>
      <c r="F8641" s="75"/>
    </row>
    <row r="8642" spans="2:6">
      <c r="B8642" s="75"/>
      <c r="C8642" s="75"/>
      <c r="D8642" s="75"/>
      <c r="E8642" s="75"/>
      <c r="F8642" s="75"/>
    </row>
    <row r="8643" spans="2:6">
      <c r="B8643" s="75"/>
      <c r="C8643" s="75"/>
      <c r="D8643" s="75"/>
      <c r="E8643" s="75"/>
      <c r="F8643" s="75"/>
    </row>
    <row r="8644" spans="2:6">
      <c r="B8644" s="75"/>
      <c r="C8644" s="75"/>
      <c r="D8644" s="75"/>
      <c r="E8644" s="75"/>
      <c r="F8644" s="75"/>
    </row>
    <row r="8645" spans="2:6">
      <c r="B8645" s="75"/>
      <c r="C8645" s="75"/>
      <c r="D8645" s="75"/>
      <c r="E8645" s="75"/>
      <c r="F8645" s="75"/>
    </row>
    <row r="8646" spans="2:6">
      <c r="B8646" s="75"/>
      <c r="C8646" s="75"/>
      <c r="D8646" s="75"/>
      <c r="E8646" s="75"/>
      <c r="F8646" s="75"/>
    </row>
    <row r="8647" spans="2:6">
      <c r="B8647" s="75"/>
      <c r="C8647" s="75"/>
      <c r="D8647" s="75"/>
      <c r="E8647" s="75"/>
      <c r="F8647" s="75"/>
    </row>
    <row r="8648" spans="2:6">
      <c r="B8648" s="75"/>
      <c r="C8648" s="75"/>
      <c r="D8648" s="75"/>
      <c r="E8648" s="75"/>
      <c r="F8648" s="75"/>
    </row>
    <row r="8649" spans="2:6">
      <c r="B8649" s="75"/>
      <c r="C8649" s="75"/>
      <c r="D8649" s="75"/>
      <c r="E8649" s="75"/>
      <c r="F8649" s="75"/>
    </row>
    <row r="8650" spans="2:6">
      <c r="B8650" s="75"/>
      <c r="C8650" s="75"/>
      <c r="D8650" s="75"/>
      <c r="E8650" s="75"/>
      <c r="F8650" s="75"/>
    </row>
    <row r="8651" spans="2:6">
      <c r="B8651" s="75"/>
      <c r="C8651" s="75"/>
      <c r="D8651" s="75"/>
      <c r="E8651" s="75"/>
      <c r="F8651" s="75"/>
    </row>
    <row r="8652" spans="2:6">
      <c r="B8652" s="75"/>
      <c r="C8652" s="75"/>
      <c r="D8652" s="75"/>
      <c r="E8652" s="75"/>
      <c r="F8652" s="75"/>
    </row>
    <row r="8653" spans="2:6">
      <c r="B8653" s="75"/>
      <c r="C8653" s="75"/>
      <c r="D8653" s="75"/>
      <c r="E8653" s="75"/>
      <c r="F8653" s="75"/>
    </row>
    <row r="8654" spans="2:6">
      <c r="B8654" s="75"/>
      <c r="C8654" s="75"/>
      <c r="D8654" s="75"/>
      <c r="E8654" s="75"/>
      <c r="F8654" s="75"/>
    </row>
    <row r="8655" spans="2:6">
      <c r="B8655" s="75"/>
      <c r="C8655" s="75"/>
      <c r="D8655" s="75"/>
      <c r="E8655" s="75"/>
      <c r="F8655" s="75"/>
    </row>
    <row r="8656" spans="2:6">
      <c r="B8656" s="75"/>
      <c r="C8656" s="75"/>
      <c r="D8656" s="75"/>
      <c r="E8656" s="75"/>
      <c r="F8656" s="75"/>
    </row>
    <row r="8657" spans="2:6">
      <c r="B8657" s="75"/>
      <c r="C8657" s="75"/>
      <c r="D8657" s="75"/>
      <c r="E8657" s="75"/>
      <c r="F8657" s="75"/>
    </row>
    <row r="8658" spans="2:6">
      <c r="B8658" s="75"/>
      <c r="C8658" s="75"/>
      <c r="D8658" s="75"/>
      <c r="E8658" s="75"/>
      <c r="F8658" s="75"/>
    </row>
    <row r="8659" spans="2:6">
      <c r="B8659" s="75"/>
      <c r="C8659" s="75"/>
      <c r="D8659" s="75"/>
      <c r="E8659" s="75"/>
      <c r="F8659" s="75"/>
    </row>
    <row r="8660" spans="2:6">
      <c r="B8660" s="75"/>
      <c r="C8660" s="75"/>
      <c r="D8660" s="75"/>
      <c r="E8660" s="75"/>
      <c r="F8660" s="75"/>
    </row>
    <row r="8661" spans="2:6">
      <c r="B8661" s="75"/>
      <c r="C8661" s="75"/>
      <c r="D8661" s="75"/>
      <c r="E8661" s="75"/>
      <c r="F8661" s="75"/>
    </row>
    <row r="8662" spans="2:6">
      <c r="B8662" s="75"/>
      <c r="C8662" s="75"/>
      <c r="D8662" s="75"/>
      <c r="E8662" s="75"/>
      <c r="F8662" s="75"/>
    </row>
    <row r="8663" spans="2:6">
      <c r="B8663" s="75"/>
      <c r="C8663" s="75"/>
      <c r="D8663" s="75"/>
      <c r="E8663" s="75"/>
      <c r="F8663" s="75"/>
    </row>
    <row r="8664" spans="2:6">
      <c r="B8664" s="75"/>
      <c r="C8664" s="75"/>
      <c r="D8664" s="75"/>
      <c r="E8664" s="75"/>
      <c r="F8664" s="75"/>
    </row>
    <row r="8665" spans="2:6">
      <c r="B8665" s="75"/>
      <c r="C8665" s="75"/>
      <c r="D8665" s="75"/>
      <c r="E8665" s="75"/>
      <c r="F8665" s="75"/>
    </row>
    <row r="8666" spans="2:6">
      <c r="B8666" s="75"/>
      <c r="C8666" s="75"/>
      <c r="D8666" s="75"/>
      <c r="E8666" s="75"/>
      <c r="F8666" s="75"/>
    </row>
    <row r="8667" spans="2:6">
      <c r="B8667" s="75"/>
      <c r="C8667" s="75"/>
      <c r="D8667" s="75"/>
      <c r="E8667" s="75"/>
      <c r="F8667" s="75"/>
    </row>
    <row r="8668" spans="2:6">
      <c r="B8668" s="75"/>
      <c r="C8668" s="75"/>
      <c r="D8668" s="75"/>
      <c r="E8668" s="75"/>
      <c r="F8668" s="75"/>
    </row>
    <row r="8669" spans="2:6">
      <c r="B8669" s="75"/>
      <c r="C8669" s="75"/>
      <c r="D8669" s="75"/>
      <c r="E8669" s="75"/>
      <c r="F8669" s="75"/>
    </row>
    <row r="8670" spans="2:6">
      <c r="B8670" s="75"/>
      <c r="C8670" s="75"/>
      <c r="D8670" s="75"/>
      <c r="E8670" s="75"/>
      <c r="F8670" s="75"/>
    </row>
    <row r="8671" spans="2:6">
      <c r="B8671" s="75"/>
      <c r="C8671" s="75"/>
      <c r="D8671" s="75"/>
      <c r="E8671" s="75"/>
      <c r="F8671" s="75"/>
    </row>
    <row r="8672" spans="2:6">
      <c r="B8672" s="75"/>
      <c r="C8672" s="75"/>
      <c r="D8672" s="75"/>
      <c r="E8672" s="75"/>
      <c r="F8672" s="75"/>
    </row>
    <row r="8673" spans="2:6">
      <c r="B8673" s="75"/>
      <c r="C8673" s="75"/>
      <c r="D8673" s="75"/>
      <c r="E8673" s="75"/>
      <c r="F8673" s="75"/>
    </row>
    <row r="8674" spans="2:6">
      <c r="B8674" s="75"/>
      <c r="C8674" s="75"/>
      <c r="D8674" s="75"/>
      <c r="E8674" s="75"/>
      <c r="F8674" s="75"/>
    </row>
    <row r="8675" spans="2:6">
      <c r="B8675" s="75"/>
      <c r="C8675" s="75"/>
      <c r="D8675" s="75"/>
      <c r="E8675" s="75"/>
      <c r="F8675" s="75"/>
    </row>
    <row r="8676" spans="2:6">
      <c r="B8676" s="75"/>
      <c r="C8676" s="75"/>
      <c r="D8676" s="75"/>
      <c r="E8676" s="75"/>
      <c r="F8676" s="75"/>
    </row>
    <row r="8677" spans="2:6">
      <c r="B8677" s="75"/>
      <c r="C8677" s="75"/>
      <c r="D8677" s="75"/>
      <c r="E8677" s="75"/>
      <c r="F8677" s="75"/>
    </row>
    <row r="8678" spans="2:6">
      <c r="B8678" s="75"/>
      <c r="C8678" s="75"/>
      <c r="D8678" s="75"/>
      <c r="E8678" s="75"/>
      <c r="F8678" s="75"/>
    </row>
    <row r="8679" spans="2:6">
      <c r="B8679" s="75"/>
      <c r="C8679" s="75"/>
      <c r="D8679" s="75"/>
      <c r="E8679" s="75"/>
      <c r="F8679" s="75"/>
    </row>
    <row r="8680" spans="2:6">
      <c r="B8680" s="75"/>
      <c r="C8680" s="75"/>
      <c r="D8680" s="75"/>
      <c r="E8680" s="75"/>
      <c r="F8680" s="75"/>
    </row>
    <row r="8681" spans="2:6">
      <c r="B8681" s="75"/>
      <c r="C8681" s="75"/>
      <c r="D8681" s="75"/>
      <c r="E8681" s="75"/>
      <c r="F8681" s="75"/>
    </row>
    <row r="8682" spans="2:6">
      <c r="B8682" s="75"/>
      <c r="C8682" s="75"/>
      <c r="D8682" s="75"/>
      <c r="E8682" s="75"/>
      <c r="F8682" s="75"/>
    </row>
    <row r="8683" spans="2:6">
      <c r="B8683" s="75"/>
      <c r="C8683" s="75"/>
      <c r="D8683" s="75"/>
      <c r="E8683" s="75"/>
      <c r="F8683" s="75"/>
    </row>
    <row r="8684" spans="2:6">
      <c r="B8684" s="75"/>
      <c r="C8684" s="75"/>
      <c r="D8684" s="75"/>
      <c r="E8684" s="75"/>
      <c r="F8684" s="75"/>
    </row>
    <row r="8685" spans="2:6">
      <c r="B8685" s="75"/>
      <c r="C8685" s="75"/>
      <c r="D8685" s="75"/>
      <c r="E8685" s="75"/>
      <c r="F8685" s="75"/>
    </row>
    <row r="8686" spans="2:6">
      <c r="B8686" s="75"/>
      <c r="C8686" s="75"/>
      <c r="D8686" s="75"/>
      <c r="E8686" s="75"/>
      <c r="F8686" s="75"/>
    </row>
    <row r="8687" spans="2:6">
      <c r="B8687" s="75"/>
      <c r="C8687" s="75"/>
      <c r="D8687" s="75"/>
      <c r="E8687" s="75"/>
      <c r="F8687" s="75"/>
    </row>
    <row r="8688" spans="2:6">
      <c r="B8688" s="75"/>
      <c r="C8688" s="75"/>
      <c r="D8688" s="75"/>
      <c r="E8688" s="75"/>
      <c r="F8688" s="75"/>
    </row>
    <row r="8689" spans="2:6">
      <c r="B8689" s="75"/>
      <c r="C8689" s="75"/>
      <c r="D8689" s="75"/>
      <c r="E8689" s="75"/>
      <c r="F8689" s="75"/>
    </row>
    <row r="8690" spans="2:6">
      <c r="B8690" s="75"/>
      <c r="C8690" s="75"/>
      <c r="D8690" s="75"/>
      <c r="E8690" s="75"/>
      <c r="F8690" s="75"/>
    </row>
    <row r="8691" spans="2:6">
      <c r="B8691" s="75"/>
      <c r="C8691" s="75"/>
      <c r="D8691" s="75"/>
      <c r="E8691" s="75"/>
      <c r="F8691" s="75"/>
    </row>
    <row r="8692" spans="2:6">
      <c r="B8692" s="75"/>
      <c r="C8692" s="75"/>
      <c r="D8692" s="75"/>
      <c r="E8692" s="75"/>
      <c r="F8692" s="75"/>
    </row>
    <row r="8693" spans="2:6">
      <c r="B8693" s="75"/>
      <c r="C8693" s="75"/>
      <c r="D8693" s="75"/>
      <c r="E8693" s="75"/>
      <c r="F8693" s="75"/>
    </row>
    <row r="8694" spans="2:6">
      <c r="B8694" s="75"/>
      <c r="C8694" s="75"/>
      <c r="D8694" s="75"/>
      <c r="E8694" s="75"/>
      <c r="F8694" s="75"/>
    </row>
    <row r="8695" spans="2:6">
      <c r="B8695" s="75"/>
      <c r="C8695" s="75"/>
      <c r="D8695" s="75"/>
      <c r="E8695" s="75"/>
      <c r="F8695" s="75"/>
    </row>
    <row r="8696" spans="2:6">
      <c r="B8696" s="75"/>
      <c r="C8696" s="75"/>
      <c r="D8696" s="75"/>
      <c r="E8696" s="75"/>
      <c r="F8696" s="75"/>
    </row>
    <row r="8697" spans="2:6">
      <c r="B8697" s="75"/>
      <c r="C8697" s="75"/>
      <c r="D8697" s="75"/>
      <c r="E8697" s="75"/>
      <c r="F8697" s="75"/>
    </row>
    <row r="8698" spans="2:6">
      <c r="B8698" s="75"/>
      <c r="C8698" s="75"/>
      <c r="D8698" s="75"/>
      <c r="E8698" s="75"/>
      <c r="F8698" s="75"/>
    </row>
    <row r="8699" spans="2:6">
      <c r="B8699" s="75"/>
      <c r="C8699" s="75"/>
      <c r="D8699" s="75"/>
      <c r="E8699" s="75"/>
      <c r="F8699" s="75"/>
    </row>
    <row r="8700" spans="2:6">
      <c r="B8700" s="75"/>
      <c r="C8700" s="75"/>
      <c r="D8700" s="75"/>
      <c r="E8700" s="75"/>
      <c r="F8700" s="75"/>
    </row>
    <row r="8701" spans="2:6">
      <c r="B8701" s="75"/>
      <c r="C8701" s="75"/>
      <c r="D8701" s="75"/>
      <c r="E8701" s="75"/>
      <c r="F8701" s="75"/>
    </row>
    <row r="8702" spans="2:6">
      <c r="B8702" s="75"/>
      <c r="C8702" s="75"/>
      <c r="D8702" s="75"/>
      <c r="E8702" s="75"/>
      <c r="F8702" s="75"/>
    </row>
    <row r="8703" spans="2:6">
      <c r="B8703" s="75"/>
      <c r="C8703" s="75"/>
      <c r="D8703" s="75"/>
      <c r="E8703" s="75"/>
      <c r="F8703" s="75"/>
    </row>
    <row r="8704" spans="2:6">
      <c r="B8704" s="75"/>
      <c r="C8704" s="75"/>
      <c r="D8704" s="75"/>
      <c r="E8704" s="75"/>
      <c r="F8704" s="75"/>
    </row>
    <row r="8705" spans="2:6">
      <c r="B8705" s="75"/>
      <c r="C8705" s="75"/>
      <c r="D8705" s="75"/>
      <c r="E8705" s="75"/>
      <c r="F8705" s="75"/>
    </row>
    <row r="8706" spans="2:6">
      <c r="B8706" s="75"/>
      <c r="C8706" s="75"/>
      <c r="D8706" s="75"/>
      <c r="E8706" s="75"/>
      <c r="F8706" s="75"/>
    </row>
    <row r="8707" spans="2:6">
      <c r="B8707" s="75"/>
      <c r="C8707" s="75"/>
      <c r="D8707" s="75"/>
      <c r="E8707" s="75"/>
      <c r="F8707" s="75"/>
    </row>
    <row r="8708" spans="2:6">
      <c r="B8708" s="75"/>
      <c r="C8708" s="75"/>
      <c r="D8708" s="75"/>
      <c r="E8708" s="75"/>
      <c r="F8708" s="75"/>
    </row>
    <row r="8709" spans="2:6">
      <c r="B8709" s="75"/>
      <c r="C8709" s="75"/>
      <c r="D8709" s="75"/>
      <c r="E8709" s="75"/>
      <c r="F8709" s="75"/>
    </row>
    <row r="8710" spans="2:6">
      <c r="B8710" s="75"/>
      <c r="C8710" s="75"/>
      <c r="D8710" s="75"/>
      <c r="E8710" s="75"/>
      <c r="F8710" s="75"/>
    </row>
    <row r="8711" spans="2:6">
      <c r="B8711" s="75"/>
      <c r="C8711" s="75"/>
      <c r="D8711" s="75"/>
      <c r="E8711" s="75"/>
      <c r="F8711" s="75"/>
    </row>
    <row r="8712" spans="2:6">
      <c r="B8712" s="75"/>
      <c r="C8712" s="75"/>
      <c r="D8712" s="75"/>
      <c r="E8712" s="75"/>
      <c r="F8712" s="75"/>
    </row>
    <row r="8713" spans="2:6">
      <c r="B8713" s="75"/>
      <c r="C8713" s="75"/>
      <c r="D8713" s="75"/>
      <c r="E8713" s="75"/>
      <c r="F8713" s="75"/>
    </row>
    <row r="8714" spans="2:6">
      <c r="B8714" s="75"/>
      <c r="C8714" s="75"/>
      <c r="D8714" s="75"/>
      <c r="E8714" s="75"/>
      <c r="F8714" s="75"/>
    </row>
    <row r="8715" spans="2:6">
      <c r="B8715" s="75"/>
      <c r="C8715" s="75"/>
      <c r="D8715" s="75"/>
      <c r="E8715" s="75"/>
      <c r="F8715" s="75"/>
    </row>
    <row r="8716" spans="2:6">
      <c r="B8716" s="75"/>
      <c r="C8716" s="75"/>
      <c r="D8716" s="75"/>
      <c r="E8716" s="75"/>
      <c r="F8716" s="75"/>
    </row>
    <row r="8717" spans="2:6">
      <c r="B8717" s="75"/>
      <c r="C8717" s="75"/>
      <c r="D8717" s="75"/>
      <c r="E8717" s="75"/>
      <c r="F8717" s="75"/>
    </row>
    <row r="8718" spans="2:6">
      <c r="B8718" s="75"/>
      <c r="C8718" s="75"/>
      <c r="D8718" s="75"/>
      <c r="E8718" s="75"/>
      <c r="F8718" s="75"/>
    </row>
    <row r="8719" spans="2:6">
      <c r="B8719" s="75"/>
      <c r="C8719" s="75"/>
      <c r="D8719" s="75"/>
      <c r="E8719" s="75"/>
      <c r="F8719" s="75"/>
    </row>
    <row r="8720" spans="2:6">
      <c r="B8720" s="75"/>
      <c r="C8720" s="75"/>
      <c r="D8720" s="75"/>
      <c r="E8720" s="75"/>
      <c r="F8720" s="75"/>
    </row>
    <row r="8721" spans="2:6">
      <c r="B8721" s="75"/>
      <c r="C8721" s="75"/>
      <c r="D8721" s="75"/>
      <c r="E8721" s="75"/>
      <c r="F8721" s="75"/>
    </row>
    <row r="8722" spans="2:6">
      <c r="B8722" s="75"/>
      <c r="C8722" s="75"/>
      <c r="D8722" s="75"/>
      <c r="E8722" s="75"/>
      <c r="F8722" s="75"/>
    </row>
    <row r="8723" spans="2:6">
      <c r="B8723" s="75"/>
      <c r="C8723" s="75"/>
      <c r="D8723" s="75"/>
      <c r="E8723" s="75"/>
      <c r="F8723" s="75"/>
    </row>
    <row r="8724" spans="2:6">
      <c r="B8724" s="75"/>
      <c r="C8724" s="75"/>
      <c r="D8724" s="75"/>
      <c r="E8724" s="75"/>
      <c r="F8724" s="75"/>
    </row>
    <row r="8725" spans="2:6">
      <c r="B8725" s="75"/>
      <c r="C8725" s="75"/>
      <c r="D8725" s="75"/>
      <c r="E8725" s="75"/>
      <c r="F8725" s="75"/>
    </row>
    <row r="8726" spans="2:6">
      <c r="B8726" s="75"/>
      <c r="C8726" s="75"/>
      <c r="D8726" s="75"/>
      <c r="E8726" s="75"/>
      <c r="F8726" s="75"/>
    </row>
    <row r="8727" spans="2:6">
      <c r="B8727" s="75"/>
      <c r="C8727" s="75"/>
      <c r="D8727" s="75"/>
      <c r="E8727" s="75"/>
      <c r="F8727" s="75"/>
    </row>
    <row r="8728" spans="2:6">
      <c r="B8728" s="75"/>
      <c r="C8728" s="75"/>
      <c r="D8728" s="75"/>
      <c r="E8728" s="75"/>
      <c r="F8728" s="75"/>
    </row>
    <row r="8729" spans="2:6">
      <c r="B8729" s="75"/>
      <c r="C8729" s="75"/>
      <c r="D8729" s="75"/>
      <c r="E8729" s="75"/>
      <c r="F8729" s="75"/>
    </row>
    <row r="8730" spans="2:6">
      <c r="B8730" s="75"/>
      <c r="C8730" s="75"/>
      <c r="D8730" s="75"/>
      <c r="E8730" s="75"/>
      <c r="F8730" s="75"/>
    </row>
    <row r="8731" spans="2:6">
      <c r="B8731" s="75"/>
      <c r="C8731" s="75"/>
      <c r="D8731" s="75"/>
      <c r="E8731" s="75"/>
      <c r="F8731" s="75"/>
    </row>
    <row r="8732" spans="2:6">
      <c r="B8732" s="75"/>
      <c r="C8732" s="75"/>
      <c r="D8732" s="75"/>
      <c r="E8732" s="75"/>
      <c r="F8732" s="75"/>
    </row>
    <row r="8733" spans="2:6">
      <c r="B8733" s="75"/>
      <c r="C8733" s="75"/>
      <c r="D8733" s="75"/>
      <c r="E8733" s="75"/>
      <c r="F8733" s="75"/>
    </row>
    <row r="8734" spans="2:6">
      <c r="B8734" s="75"/>
      <c r="C8734" s="75"/>
      <c r="D8734" s="75"/>
      <c r="E8734" s="75"/>
      <c r="F8734" s="75"/>
    </row>
    <row r="8735" spans="2:6">
      <c r="B8735" s="75"/>
      <c r="C8735" s="75"/>
      <c r="D8735" s="75"/>
      <c r="E8735" s="75"/>
      <c r="F8735" s="75"/>
    </row>
    <row r="8736" spans="2:6">
      <c r="B8736" s="75"/>
      <c r="C8736" s="75"/>
      <c r="D8736" s="75"/>
      <c r="E8736" s="75"/>
      <c r="F8736" s="75"/>
    </row>
    <row r="8737" spans="2:6">
      <c r="B8737" s="75"/>
      <c r="C8737" s="75"/>
      <c r="D8737" s="75"/>
      <c r="E8737" s="75"/>
      <c r="F8737" s="75"/>
    </row>
    <row r="8738" spans="2:6">
      <c r="B8738" s="75"/>
      <c r="C8738" s="75"/>
      <c r="D8738" s="75"/>
      <c r="E8738" s="75"/>
      <c r="F8738" s="75"/>
    </row>
    <row r="8739" spans="2:6">
      <c r="B8739" s="75"/>
      <c r="C8739" s="75"/>
      <c r="D8739" s="75"/>
      <c r="E8739" s="75"/>
      <c r="F8739" s="75"/>
    </row>
    <row r="8740" spans="2:6">
      <c r="B8740" s="75"/>
      <c r="C8740" s="75"/>
      <c r="D8740" s="75"/>
      <c r="E8740" s="75"/>
      <c r="F8740" s="75"/>
    </row>
    <row r="8741" spans="2:6">
      <c r="B8741" s="75"/>
      <c r="C8741" s="75"/>
      <c r="D8741" s="75"/>
      <c r="E8741" s="75"/>
      <c r="F8741" s="75"/>
    </row>
    <row r="8742" spans="2:6">
      <c r="B8742" s="75"/>
      <c r="C8742" s="75"/>
      <c r="D8742" s="75"/>
      <c r="E8742" s="75"/>
      <c r="F8742" s="75"/>
    </row>
    <row r="8743" spans="2:6">
      <c r="B8743" s="75"/>
      <c r="C8743" s="75"/>
      <c r="D8743" s="75"/>
      <c r="E8743" s="75"/>
      <c r="F8743" s="75"/>
    </row>
    <row r="8744" spans="2:6">
      <c r="B8744" s="75"/>
      <c r="C8744" s="75"/>
      <c r="D8744" s="75"/>
      <c r="E8744" s="75"/>
      <c r="F8744" s="75"/>
    </row>
    <row r="8745" spans="2:6">
      <c r="B8745" s="75"/>
      <c r="C8745" s="75"/>
      <c r="D8745" s="75"/>
      <c r="E8745" s="75"/>
      <c r="F8745" s="75"/>
    </row>
    <row r="8746" spans="2:6">
      <c r="B8746" s="75"/>
      <c r="C8746" s="75"/>
      <c r="D8746" s="75"/>
      <c r="E8746" s="75"/>
      <c r="F8746" s="75"/>
    </row>
    <row r="8747" spans="2:6">
      <c r="B8747" s="75"/>
      <c r="C8747" s="75"/>
      <c r="D8747" s="75"/>
      <c r="E8747" s="75"/>
      <c r="F8747" s="75"/>
    </row>
    <row r="8748" spans="2:6">
      <c r="B8748" s="75"/>
      <c r="C8748" s="75"/>
      <c r="D8748" s="75"/>
      <c r="E8748" s="75"/>
      <c r="F8748" s="75"/>
    </row>
    <row r="8749" spans="2:6">
      <c r="B8749" s="75"/>
      <c r="C8749" s="75"/>
      <c r="D8749" s="75"/>
      <c r="E8749" s="75"/>
      <c r="F8749" s="75"/>
    </row>
    <row r="8750" spans="2:6">
      <c r="B8750" s="75"/>
      <c r="C8750" s="75"/>
      <c r="D8750" s="75"/>
      <c r="E8750" s="75"/>
      <c r="F8750" s="75"/>
    </row>
    <row r="8751" spans="2:6">
      <c r="B8751" s="75"/>
      <c r="C8751" s="75"/>
      <c r="D8751" s="75"/>
      <c r="E8751" s="75"/>
      <c r="F8751" s="75"/>
    </row>
    <row r="8752" spans="2:6">
      <c r="B8752" s="75"/>
      <c r="C8752" s="75"/>
      <c r="D8752" s="75"/>
      <c r="E8752" s="75"/>
      <c r="F8752" s="75"/>
    </row>
    <row r="8753" spans="2:6">
      <c r="B8753" s="75"/>
      <c r="C8753" s="75"/>
      <c r="D8753" s="75"/>
      <c r="E8753" s="75"/>
      <c r="F8753" s="75"/>
    </row>
    <row r="8754" spans="2:6">
      <c r="B8754" s="75"/>
      <c r="C8754" s="75"/>
      <c r="D8754" s="75"/>
      <c r="E8754" s="75"/>
      <c r="F8754" s="75"/>
    </row>
    <row r="8755" spans="2:6">
      <c r="B8755" s="75"/>
      <c r="C8755" s="75"/>
      <c r="D8755" s="75"/>
      <c r="E8755" s="75"/>
      <c r="F8755" s="75"/>
    </row>
    <row r="8756" spans="2:6">
      <c r="B8756" s="75"/>
      <c r="C8756" s="75"/>
      <c r="D8756" s="75"/>
      <c r="E8756" s="75"/>
      <c r="F8756" s="75"/>
    </row>
    <row r="8757" spans="2:6">
      <c r="B8757" s="75"/>
      <c r="C8757" s="75"/>
      <c r="D8757" s="75"/>
      <c r="E8757" s="75"/>
      <c r="F8757" s="75"/>
    </row>
    <row r="8758" spans="2:6">
      <c r="B8758" s="75"/>
      <c r="C8758" s="75"/>
      <c r="D8758" s="75"/>
      <c r="E8758" s="75"/>
      <c r="F8758" s="75"/>
    </row>
    <row r="8759" spans="2:6">
      <c r="B8759" s="75"/>
      <c r="C8759" s="75"/>
      <c r="D8759" s="75"/>
      <c r="E8759" s="75"/>
      <c r="F8759" s="75"/>
    </row>
    <row r="8760" spans="2:6">
      <c r="B8760" s="75"/>
      <c r="C8760" s="75"/>
      <c r="D8760" s="75"/>
      <c r="E8760" s="75"/>
      <c r="F8760" s="75"/>
    </row>
    <row r="8761" spans="2:6">
      <c r="B8761" s="75"/>
      <c r="C8761" s="75"/>
      <c r="D8761" s="75"/>
      <c r="E8761" s="75"/>
      <c r="F8761" s="75"/>
    </row>
    <row r="8762" spans="2:6">
      <c r="B8762" s="75"/>
      <c r="C8762" s="75"/>
      <c r="D8762" s="75"/>
      <c r="E8762" s="75"/>
      <c r="F8762" s="75"/>
    </row>
    <row r="8763" spans="2:6">
      <c r="B8763" s="75"/>
      <c r="C8763" s="75"/>
      <c r="D8763" s="75"/>
      <c r="E8763" s="75"/>
      <c r="F8763" s="75"/>
    </row>
    <row r="8764" spans="2:6">
      <c r="B8764" s="75"/>
      <c r="C8764" s="75"/>
      <c r="D8764" s="75"/>
      <c r="E8764" s="75"/>
      <c r="F8764" s="75"/>
    </row>
    <row r="8765" spans="2:6">
      <c r="B8765" s="75"/>
      <c r="C8765" s="75"/>
      <c r="D8765" s="75"/>
      <c r="E8765" s="75"/>
      <c r="F8765" s="75"/>
    </row>
    <row r="8766" spans="2:6">
      <c r="B8766" s="75"/>
      <c r="C8766" s="75"/>
      <c r="D8766" s="75"/>
      <c r="E8766" s="75"/>
      <c r="F8766" s="75"/>
    </row>
    <row r="8767" spans="2:6">
      <c r="B8767" s="75"/>
      <c r="C8767" s="75"/>
      <c r="D8767" s="75"/>
      <c r="E8767" s="75"/>
      <c r="F8767" s="75"/>
    </row>
    <row r="8768" spans="2:6">
      <c r="B8768" s="75"/>
      <c r="C8768" s="75"/>
      <c r="D8768" s="75"/>
      <c r="E8768" s="75"/>
      <c r="F8768" s="75"/>
    </row>
    <row r="8769" spans="2:6">
      <c r="B8769" s="75"/>
      <c r="C8769" s="75"/>
      <c r="D8769" s="75"/>
      <c r="E8769" s="75"/>
      <c r="F8769" s="75"/>
    </row>
    <row r="8770" spans="2:6">
      <c r="B8770" s="75"/>
      <c r="C8770" s="75"/>
      <c r="D8770" s="75"/>
      <c r="E8770" s="75"/>
      <c r="F8770" s="75"/>
    </row>
    <row r="8771" spans="2:6">
      <c r="B8771" s="75"/>
      <c r="C8771" s="75"/>
      <c r="D8771" s="75"/>
      <c r="E8771" s="75"/>
      <c r="F8771" s="75"/>
    </row>
    <row r="8772" spans="2:6">
      <c r="B8772" s="75"/>
      <c r="C8772" s="75"/>
      <c r="D8772" s="75"/>
      <c r="E8772" s="75"/>
      <c r="F8772" s="75"/>
    </row>
    <row r="8773" spans="2:6">
      <c r="B8773" s="75"/>
      <c r="C8773" s="75"/>
      <c r="D8773" s="75"/>
      <c r="E8773" s="75"/>
      <c r="F8773" s="75"/>
    </row>
    <row r="8774" spans="2:6">
      <c r="B8774" s="75"/>
      <c r="C8774" s="75"/>
      <c r="D8774" s="75"/>
      <c r="E8774" s="75"/>
      <c r="F8774" s="75"/>
    </row>
    <row r="8775" spans="2:6">
      <c r="B8775" s="75"/>
      <c r="C8775" s="75"/>
      <c r="D8775" s="75"/>
      <c r="E8775" s="75"/>
      <c r="F8775" s="75"/>
    </row>
    <row r="8776" spans="2:6">
      <c r="B8776" s="75"/>
      <c r="C8776" s="75"/>
      <c r="D8776" s="75"/>
      <c r="E8776" s="75"/>
      <c r="F8776" s="75"/>
    </row>
    <row r="8777" spans="2:6">
      <c r="B8777" s="75"/>
      <c r="C8777" s="75"/>
      <c r="D8777" s="75"/>
      <c r="E8777" s="75"/>
      <c r="F8777" s="75"/>
    </row>
    <row r="8778" spans="2:6">
      <c r="B8778" s="75"/>
      <c r="C8778" s="75"/>
      <c r="D8778" s="75"/>
      <c r="E8778" s="75"/>
      <c r="F8778" s="75"/>
    </row>
    <row r="8779" spans="2:6">
      <c r="B8779" s="75"/>
      <c r="C8779" s="75"/>
      <c r="D8779" s="75"/>
      <c r="E8779" s="75"/>
      <c r="F8779" s="75"/>
    </row>
    <row r="8780" spans="2:6">
      <c r="B8780" s="75"/>
      <c r="C8780" s="75"/>
      <c r="D8780" s="75"/>
      <c r="E8780" s="75"/>
      <c r="F8780" s="75"/>
    </row>
    <row r="8781" spans="2:6">
      <c r="B8781" s="75"/>
      <c r="C8781" s="75"/>
      <c r="D8781" s="75"/>
      <c r="E8781" s="75"/>
      <c r="F8781" s="75"/>
    </row>
    <row r="8782" spans="2:6">
      <c r="B8782" s="75"/>
      <c r="C8782" s="75"/>
      <c r="D8782" s="75"/>
      <c r="E8782" s="75"/>
      <c r="F8782" s="75"/>
    </row>
    <row r="8783" spans="2:6">
      <c r="B8783" s="75"/>
      <c r="C8783" s="75"/>
      <c r="D8783" s="75"/>
      <c r="E8783" s="75"/>
      <c r="F8783" s="75"/>
    </row>
    <row r="8784" spans="2:6">
      <c r="B8784" s="75"/>
      <c r="C8784" s="75"/>
      <c r="D8784" s="75"/>
      <c r="E8784" s="75"/>
      <c r="F8784" s="75"/>
    </row>
    <row r="8785" spans="2:6">
      <c r="B8785" s="75"/>
      <c r="C8785" s="75"/>
      <c r="D8785" s="75"/>
      <c r="E8785" s="75"/>
      <c r="F8785" s="75"/>
    </row>
    <row r="8786" spans="2:6">
      <c r="B8786" s="75"/>
      <c r="C8786" s="75"/>
      <c r="D8786" s="75"/>
      <c r="E8786" s="75"/>
      <c r="F8786" s="75"/>
    </row>
    <row r="8787" spans="2:6">
      <c r="B8787" s="75"/>
      <c r="C8787" s="75"/>
      <c r="D8787" s="75"/>
      <c r="E8787" s="75"/>
      <c r="F8787" s="75"/>
    </row>
    <row r="8788" spans="2:6">
      <c r="B8788" s="75"/>
      <c r="C8788" s="75"/>
      <c r="D8788" s="75"/>
      <c r="E8788" s="75"/>
      <c r="F8788" s="75"/>
    </row>
    <row r="8789" spans="2:6">
      <c r="B8789" s="75"/>
      <c r="C8789" s="75"/>
      <c r="D8789" s="75"/>
      <c r="E8789" s="75"/>
      <c r="F8789" s="75"/>
    </row>
    <row r="8790" spans="2:6">
      <c r="B8790" s="75"/>
      <c r="C8790" s="75"/>
      <c r="D8790" s="75"/>
      <c r="E8790" s="75"/>
      <c r="F8790" s="75"/>
    </row>
    <row r="8791" spans="2:6">
      <c r="B8791" s="75"/>
      <c r="C8791" s="75"/>
      <c r="D8791" s="75"/>
      <c r="E8791" s="75"/>
      <c r="F8791" s="75"/>
    </row>
    <row r="8792" spans="2:6">
      <c r="B8792" s="75"/>
      <c r="C8792" s="75"/>
      <c r="D8792" s="75"/>
      <c r="E8792" s="75"/>
      <c r="F8792" s="75"/>
    </row>
    <row r="8793" spans="2:6">
      <c r="B8793" s="75"/>
      <c r="C8793" s="75"/>
      <c r="D8793" s="75"/>
      <c r="E8793" s="75"/>
      <c r="F8793" s="75"/>
    </row>
    <row r="8794" spans="2:6">
      <c r="B8794" s="75"/>
      <c r="C8794" s="75"/>
      <c r="D8794" s="75"/>
      <c r="E8794" s="75"/>
      <c r="F8794" s="75"/>
    </row>
    <row r="8795" spans="2:6">
      <c r="B8795" s="75"/>
      <c r="C8795" s="75"/>
      <c r="D8795" s="75"/>
      <c r="E8795" s="75"/>
      <c r="F8795" s="75"/>
    </row>
    <row r="8796" spans="2:6">
      <c r="B8796" s="75"/>
      <c r="C8796" s="75"/>
      <c r="D8796" s="75"/>
      <c r="E8796" s="75"/>
      <c r="F8796" s="75"/>
    </row>
    <row r="8797" spans="2:6">
      <c r="B8797" s="75"/>
      <c r="C8797" s="75"/>
      <c r="D8797" s="75"/>
      <c r="E8797" s="75"/>
      <c r="F8797" s="75"/>
    </row>
    <row r="8798" spans="2:6">
      <c r="B8798" s="75"/>
      <c r="C8798" s="75"/>
      <c r="D8798" s="75"/>
      <c r="E8798" s="75"/>
      <c r="F8798" s="75"/>
    </row>
    <row r="8799" spans="2:6">
      <c r="B8799" s="75"/>
      <c r="C8799" s="75"/>
      <c r="D8799" s="75"/>
      <c r="E8799" s="75"/>
      <c r="F8799" s="75"/>
    </row>
    <row r="8800" spans="2:6">
      <c r="B8800" s="75"/>
      <c r="C8800" s="75"/>
      <c r="D8800" s="75"/>
      <c r="E8800" s="75"/>
      <c r="F8800" s="75"/>
    </row>
    <row r="8801" spans="2:6">
      <c r="B8801" s="75"/>
      <c r="C8801" s="75"/>
      <c r="D8801" s="75"/>
      <c r="E8801" s="75"/>
      <c r="F8801" s="75"/>
    </row>
    <row r="8802" spans="2:6">
      <c r="B8802" s="75"/>
      <c r="C8802" s="75"/>
      <c r="D8802" s="75"/>
      <c r="E8802" s="75"/>
      <c r="F8802" s="75"/>
    </row>
    <row r="8803" spans="2:6">
      <c r="B8803" s="75"/>
      <c r="C8803" s="75"/>
      <c r="D8803" s="75"/>
      <c r="E8803" s="75"/>
      <c r="F8803" s="75"/>
    </row>
    <row r="8804" spans="2:6">
      <c r="B8804" s="75"/>
      <c r="C8804" s="75"/>
      <c r="D8804" s="75"/>
      <c r="E8804" s="75"/>
      <c r="F8804" s="75"/>
    </row>
    <row r="8805" spans="2:6">
      <c r="B8805" s="75"/>
      <c r="C8805" s="75"/>
      <c r="D8805" s="75"/>
      <c r="E8805" s="75"/>
      <c r="F8805" s="75"/>
    </row>
    <row r="8806" spans="2:6">
      <c r="B8806" s="75"/>
      <c r="C8806" s="75"/>
      <c r="D8806" s="75"/>
      <c r="E8806" s="75"/>
      <c r="F8806" s="75"/>
    </row>
    <row r="8807" spans="2:6">
      <c r="B8807" s="75"/>
      <c r="C8807" s="75"/>
      <c r="D8807" s="75"/>
      <c r="E8807" s="75"/>
      <c r="F8807" s="75"/>
    </row>
    <row r="8808" spans="2:6">
      <c r="B8808" s="75"/>
      <c r="C8808" s="75"/>
      <c r="D8808" s="75"/>
      <c r="E8808" s="75"/>
      <c r="F8808" s="75"/>
    </row>
    <row r="8809" spans="2:6">
      <c r="B8809" s="75"/>
      <c r="C8809" s="75"/>
      <c r="D8809" s="75"/>
      <c r="E8809" s="75"/>
      <c r="F8809" s="75"/>
    </row>
    <row r="8810" spans="2:6">
      <c r="B8810" s="75"/>
      <c r="C8810" s="75"/>
      <c r="D8810" s="75"/>
      <c r="E8810" s="75"/>
      <c r="F8810" s="75"/>
    </row>
    <row r="8811" spans="2:6">
      <c r="B8811" s="75"/>
      <c r="C8811" s="75"/>
      <c r="D8811" s="75"/>
      <c r="E8811" s="75"/>
      <c r="F8811" s="75"/>
    </row>
    <row r="8812" spans="2:6">
      <c r="B8812" s="75"/>
      <c r="C8812" s="75"/>
      <c r="D8812" s="75"/>
      <c r="E8812" s="75"/>
      <c r="F8812" s="75"/>
    </row>
    <row r="8813" spans="2:6">
      <c r="B8813" s="75"/>
      <c r="C8813" s="75"/>
      <c r="D8813" s="75"/>
      <c r="E8813" s="75"/>
      <c r="F8813" s="75"/>
    </row>
    <row r="8814" spans="2:6">
      <c r="B8814" s="75"/>
      <c r="C8814" s="75"/>
      <c r="D8814" s="75"/>
      <c r="E8814" s="75"/>
      <c r="F8814" s="75"/>
    </row>
    <row r="8815" spans="2:6">
      <c r="B8815" s="75"/>
      <c r="C8815" s="75"/>
      <c r="D8815" s="75"/>
      <c r="E8815" s="75"/>
      <c r="F8815" s="75"/>
    </row>
    <row r="8816" spans="2:6">
      <c r="B8816" s="75"/>
      <c r="C8816" s="75"/>
      <c r="D8816" s="75"/>
      <c r="E8816" s="75"/>
      <c r="F8816" s="75"/>
    </row>
    <row r="8817" spans="2:6">
      <c r="B8817" s="75"/>
      <c r="C8817" s="75"/>
      <c r="D8817" s="75"/>
      <c r="E8817" s="75"/>
      <c r="F8817" s="75"/>
    </row>
    <row r="8818" spans="2:6">
      <c r="B8818" s="75"/>
      <c r="C8818" s="75"/>
      <c r="D8818" s="75"/>
      <c r="E8818" s="75"/>
      <c r="F8818" s="75"/>
    </row>
    <row r="8819" spans="2:6">
      <c r="B8819" s="75"/>
      <c r="C8819" s="75"/>
      <c r="D8819" s="75"/>
      <c r="E8819" s="75"/>
      <c r="F8819" s="75"/>
    </row>
    <row r="8820" spans="2:6">
      <c r="B8820" s="75"/>
      <c r="C8820" s="75"/>
      <c r="D8820" s="75"/>
      <c r="E8820" s="75"/>
      <c r="F8820" s="75"/>
    </row>
    <row r="8821" spans="2:6">
      <c r="B8821" s="75"/>
      <c r="C8821" s="75"/>
      <c r="D8821" s="75"/>
      <c r="E8821" s="75"/>
      <c r="F8821" s="75"/>
    </row>
    <row r="8822" spans="2:6">
      <c r="B8822" s="75"/>
      <c r="C8822" s="75"/>
      <c r="D8822" s="75"/>
      <c r="E8822" s="75"/>
      <c r="F8822" s="75"/>
    </row>
    <row r="8823" spans="2:6">
      <c r="B8823" s="75"/>
      <c r="C8823" s="75"/>
      <c r="D8823" s="75"/>
      <c r="E8823" s="75"/>
      <c r="F8823" s="75"/>
    </row>
    <row r="8824" spans="2:6">
      <c r="B8824" s="75"/>
      <c r="C8824" s="75"/>
      <c r="D8824" s="75"/>
      <c r="E8824" s="75"/>
      <c r="F8824" s="75"/>
    </row>
    <row r="8825" spans="2:6">
      <c r="B8825" s="75"/>
      <c r="C8825" s="75"/>
      <c r="D8825" s="75"/>
      <c r="E8825" s="75"/>
      <c r="F8825" s="75"/>
    </row>
    <row r="8826" spans="2:6">
      <c r="B8826" s="75"/>
      <c r="C8826" s="75"/>
      <c r="D8826" s="75"/>
      <c r="E8826" s="75"/>
      <c r="F8826" s="75"/>
    </row>
    <row r="8827" spans="2:6">
      <c r="B8827" s="75"/>
      <c r="C8827" s="75"/>
      <c r="D8827" s="75"/>
      <c r="E8827" s="75"/>
      <c r="F8827" s="75"/>
    </row>
    <row r="8828" spans="2:6">
      <c r="B8828" s="75"/>
      <c r="C8828" s="75"/>
      <c r="D8828" s="75"/>
      <c r="E8828" s="75"/>
      <c r="F8828" s="75"/>
    </row>
    <row r="8829" spans="2:6">
      <c r="B8829" s="75"/>
      <c r="C8829" s="75"/>
      <c r="D8829" s="75"/>
      <c r="E8829" s="75"/>
      <c r="F8829" s="75"/>
    </row>
    <row r="8830" spans="2:6">
      <c r="B8830" s="75"/>
      <c r="C8830" s="75"/>
      <c r="D8830" s="75"/>
      <c r="E8830" s="75"/>
      <c r="F8830" s="75"/>
    </row>
    <row r="8831" spans="2:6">
      <c r="B8831" s="75"/>
      <c r="C8831" s="75"/>
      <c r="D8831" s="75"/>
      <c r="E8831" s="75"/>
      <c r="F8831" s="75"/>
    </row>
    <row r="8832" spans="2:6">
      <c r="B8832" s="75"/>
      <c r="C8832" s="75"/>
      <c r="D8832" s="75"/>
      <c r="E8832" s="75"/>
      <c r="F8832" s="75"/>
    </row>
    <row r="8833" spans="2:6">
      <c r="B8833" s="75"/>
      <c r="C8833" s="75"/>
      <c r="D8833" s="75"/>
      <c r="E8833" s="75"/>
      <c r="F8833" s="75"/>
    </row>
    <row r="8834" spans="2:6">
      <c r="B8834" s="75"/>
      <c r="C8834" s="75"/>
      <c r="D8834" s="75"/>
      <c r="E8834" s="75"/>
      <c r="F8834" s="75"/>
    </row>
    <row r="8835" spans="2:6">
      <c r="B8835" s="75"/>
      <c r="C8835" s="75"/>
      <c r="D8835" s="75"/>
      <c r="E8835" s="75"/>
      <c r="F8835" s="75"/>
    </row>
    <row r="8836" spans="2:6">
      <c r="B8836" s="75"/>
      <c r="C8836" s="75"/>
      <c r="D8836" s="75"/>
      <c r="E8836" s="75"/>
      <c r="F8836" s="75"/>
    </row>
    <row r="8837" spans="2:6">
      <c r="B8837" s="75"/>
      <c r="C8837" s="75"/>
      <c r="D8837" s="75"/>
      <c r="E8837" s="75"/>
      <c r="F8837" s="75"/>
    </row>
    <row r="8838" spans="2:6">
      <c r="B8838" s="75"/>
      <c r="C8838" s="75"/>
      <c r="D8838" s="75"/>
      <c r="E8838" s="75"/>
      <c r="F8838" s="75"/>
    </row>
    <row r="8839" spans="2:6">
      <c r="B8839" s="75"/>
      <c r="C8839" s="75"/>
      <c r="D8839" s="75"/>
      <c r="E8839" s="75"/>
      <c r="F8839" s="75"/>
    </row>
    <row r="8840" spans="2:6">
      <c r="B8840" s="75"/>
      <c r="C8840" s="75"/>
      <c r="D8840" s="75"/>
      <c r="E8840" s="75"/>
      <c r="F8840" s="75"/>
    </row>
    <row r="8841" spans="2:6">
      <c r="B8841" s="75"/>
      <c r="C8841" s="75"/>
      <c r="D8841" s="75"/>
      <c r="E8841" s="75"/>
      <c r="F8841" s="75"/>
    </row>
    <row r="8842" spans="2:6">
      <c r="B8842" s="75"/>
      <c r="C8842" s="75"/>
      <c r="D8842" s="75"/>
      <c r="E8842" s="75"/>
      <c r="F8842" s="75"/>
    </row>
    <row r="8843" spans="2:6">
      <c r="B8843" s="75"/>
      <c r="C8843" s="75"/>
      <c r="D8843" s="75"/>
      <c r="E8843" s="75"/>
      <c r="F8843" s="75"/>
    </row>
    <row r="8844" spans="2:6">
      <c r="B8844" s="75"/>
      <c r="C8844" s="75"/>
      <c r="D8844" s="75"/>
      <c r="E8844" s="75"/>
      <c r="F8844" s="75"/>
    </row>
    <row r="8845" spans="2:6">
      <c r="B8845" s="75"/>
      <c r="C8845" s="75"/>
      <c r="D8845" s="75"/>
      <c r="E8845" s="75"/>
      <c r="F8845" s="75"/>
    </row>
    <row r="8846" spans="2:6">
      <c r="B8846" s="75"/>
      <c r="C8846" s="75"/>
      <c r="D8846" s="75"/>
      <c r="E8846" s="75"/>
      <c r="F8846" s="75"/>
    </row>
    <row r="8847" spans="2:6">
      <c r="B8847" s="75"/>
      <c r="C8847" s="75"/>
      <c r="D8847" s="75"/>
      <c r="E8847" s="75"/>
      <c r="F8847" s="75"/>
    </row>
    <row r="8848" spans="2:6">
      <c r="B8848" s="75"/>
      <c r="C8848" s="75"/>
      <c r="D8848" s="75"/>
      <c r="E8848" s="75"/>
      <c r="F8848" s="75"/>
    </row>
    <row r="8849" spans="2:6">
      <c r="B8849" s="75"/>
      <c r="C8849" s="75"/>
      <c r="D8849" s="75"/>
      <c r="E8849" s="75"/>
      <c r="F8849" s="75"/>
    </row>
    <row r="8850" spans="2:6">
      <c r="B8850" s="75"/>
      <c r="C8850" s="75"/>
      <c r="D8850" s="75"/>
      <c r="E8850" s="75"/>
      <c r="F8850" s="75"/>
    </row>
    <row r="8851" spans="2:6">
      <c r="B8851" s="75"/>
      <c r="C8851" s="75"/>
      <c r="D8851" s="75"/>
      <c r="E8851" s="75"/>
      <c r="F8851" s="75"/>
    </row>
    <row r="8852" spans="2:6">
      <c r="B8852" s="75"/>
      <c r="C8852" s="75"/>
      <c r="D8852" s="75"/>
      <c r="E8852" s="75"/>
      <c r="F8852" s="75"/>
    </row>
    <row r="8853" spans="2:6">
      <c r="B8853" s="75"/>
      <c r="C8853" s="75"/>
      <c r="D8853" s="75"/>
      <c r="E8853" s="75"/>
      <c r="F8853" s="75"/>
    </row>
    <row r="8854" spans="2:6">
      <c r="B8854" s="75"/>
      <c r="C8854" s="75"/>
      <c r="D8854" s="75"/>
      <c r="E8854" s="75"/>
      <c r="F8854" s="75"/>
    </row>
    <row r="8855" spans="2:6">
      <c r="B8855" s="75"/>
      <c r="C8855" s="75"/>
      <c r="D8855" s="75"/>
      <c r="E8855" s="75"/>
      <c r="F8855" s="75"/>
    </row>
    <row r="8856" spans="2:6">
      <c r="B8856" s="75"/>
      <c r="C8856" s="75"/>
      <c r="D8856" s="75"/>
      <c r="E8856" s="75"/>
      <c r="F8856" s="75"/>
    </row>
    <row r="8857" spans="2:6">
      <c r="B8857" s="75"/>
      <c r="C8857" s="75"/>
      <c r="D8857" s="75"/>
      <c r="E8857" s="75"/>
      <c r="F8857" s="75"/>
    </row>
    <row r="8858" spans="2:6">
      <c r="B8858" s="75"/>
      <c r="C8858" s="75"/>
      <c r="D8858" s="75"/>
      <c r="E8858" s="75"/>
      <c r="F8858" s="75"/>
    </row>
    <row r="8859" spans="2:6">
      <c r="B8859" s="75"/>
      <c r="C8859" s="75"/>
      <c r="D8859" s="75"/>
      <c r="E8859" s="75"/>
      <c r="F8859" s="75"/>
    </row>
    <row r="8860" spans="2:6">
      <c r="B8860" s="75"/>
      <c r="C8860" s="75"/>
      <c r="D8860" s="75"/>
      <c r="E8860" s="75"/>
      <c r="F8860" s="75"/>
    </row>
    <row r="8861" spans="2:6">
      <c r="B8861" s="75"/>
      <c r="C8861" s="75"/>
      <c r="D8861" s="75"/>
      <c r="E8861" s="75"/>
      <c r="F8861" s="75"/>
    </row>
    <row r="8862" spans="2:6">
      <c r="B8862" s="75"/>
      <c r="C8862" s="75"/>
      <c r="D8862" s="75"/>
      <c r="E8862" s="75"/>
      <c r="F8862" s="75"/>
    </row>
    <row r="8863" spans="2:6">
      <c r="B8863" s="75"/>
      <c r="C8863" s="75"/>
      <c r="D8863" s="75"/>
      <c r="E8863" s="75"/>
      <c r="F8863" s="75"/>
    </row>
    <row r="8864" spans="2:6">
      <c r="B8864" s="75"/>
      <c r="C8864" s="75"/>
      <c r="D8864" s="75"/>
      <c r="E8864" s="75"/>
      <c r="F8864" s="75"/>
    </row>
    <row r="8865" spans="2:6">
      <c r="B8865" s="75"/>
      <c r="C8865" s="75"/>
      <c r="D8865" s="75"/>
      <c r="E8865" s="75"/>
      <c r="F8865" s="75"/>
    </row>
    <row r="8866" spans="2:6">
      <c r="B8866" s="75"/>
      <c r="C8866" s="75"/>
      <c r="D8866" s="75"/>
      <c r="E8866" s="75"/>
      <c r="F8866" s="75"/>
    </row>
    <row r="8867" spans="2:6">
      <c r="B8867" s="75"/>
      <c r="C8867" s="75"/>
      <c r="D8867" s="75"/>
      <c r="E8867" s="75"/>
      <c r="F8867" s="75"/>
    </row>
    <row r="8868" spans="2:6">
      <c r="B8868" s="75"/>
      <c r="C8868" s="75"/>
      <c r="D8868" s="75"/>
      <c r="E8868" s="75"/>
      <c r="F8868" s="75"/>
    </row>
    <row r="8869" spans="2:6">
      <c r="B8869" s="75"/>
      <c r="C8869" s="75"/>
      <c r="D8869" s="75"/>
      <c r="E8869" s="75"/>
      <c r="F8869" s="75"/>
    </row>
    <row r="8870" spans="2:6">
      <c r="B8870" s="75"/>
      <c r="C8870" s="75"/>
      <c r="D8870" s="75"/>
      <c r="E8870" s="75"/>
      <c r="F8870" s="75"/>
    </row>
    <row r="8871" spans="2:6">
      <c r="B8871" s="75"/>
      <c r="C8871" s="75"/>
      <c r="D8871" s="75"/>
      <c r="E8871" s="75"/>
      <c r="F8871" s="75"/>
    </row>
    <row r="8872" spans="2:6">
      <c r="B8872" s="75"/>
      <c r="C8872" s="75"/>
      <c r="D8872" s="75"/>
      <c r="E8872" s="75"/>
      <c r="F8872" s="75"/>
    </row>
    <row r="8873" spans="2:6">
      <c r="B8873" s="75"/>
      <c r="C8873" s="75"/>
      <c r="D8873" s="75"/>
      <c r="E8873" s="75"/>
      <c r="F8873" s="75"/>
    </row>
    <row r="8874" spans="2:6">
      <c r="B8874" s="75"/>
      <c r="C8874" s="75"/>
      <c r="D8874" s="75"/>
      <c r="E8874" s="75"/>
      <c r="F8874" s="75"/>
    </row>
    <row r="8875" spans="2:6">
      <c r="B8875" s="75"/>
      <c r="C8875" s="75"/>
      <c r="D8875" s="75"/>
      <c r="E8875" s="75"/>
      <c r="F8875" s="75"/>
    </row>
    <row r="8876" spans="2:6">
      <c r="B8876" s="75"/>
      <c r="C8876" s="75"/>
      <c r="D8876" s="75"/>
      <c r="E8876" s="75"/>
      <c r="F8876" s="75"/>
    </row>
    <row r="8877" spans="2:6">
      <c r="B8877" s="75"/>
      <c r="C8877" s="75"/>
      <c r="D8877" s="75"/>
      <c r="E8877" s="75"/>
      <c r="F8877" s="75"/>
    </row>
    <row r="8878" spans="2:6">
      <c r="B8878" s="75"/>
      <c r="C8878" s="75"/>
      <c r="D8878" s="75"/>
      <c r="E8878" s="75"/>
      <c r="F8878" s="75"/>
    </row>
    <row r="8879" spans="2:6">
      <c r="B8879" s="75"/>
      <c r="C8879" s="75"/>
      <c r="D8879" s="75"/>
      <c r="E8879" s="75"/>
      <c r="F8879" s="75"/>
    </row>
    <row r="8880" spans="2:6">
      <c r="B8880" s="75"/>
      <c r="C8880" s="75"/>
      <c r="D8880" s="75"/>
      <c r="E8880" s="75"/>
      <c r="F8880" s="75"/>
    </row>
    <row r="8881" spans="2:6">
      <c r="B8881" s="75"/>
      <c r="C8881" s="75"/>
      <c r="D8881" s="75"/>
      <c r="E8881" s="75"/>
      <c r="F8881" s="75"/>
    </row>
    <row r="8882" spans="2:6">
      <c r="B8882" s="75"/>
      <c r="C8882" s="75"/>
      <c r="D8882" s="75"/>
      <c r="E8882" s="75"/>
      <c r="F8882" s="75"/>
    </row>
    <row r="8883" spans="2:6">
      <c r="B8883" s="75"/>
      <c r="C8883" s="75"/>
      <c r="D8883" s="75"/>
      <c r="E8883" s="75"/>
      <c r="F8883" s="75"/>
    </row>
    <row r="8884" spans="2:6">
      <c r="B8884" s="75"/>
      <c r="C8884" s="75"/>
      <c r="D8884" s="75"/>
      <c r="E8884" s="75"/>
      <c r="F8884" s="75"/>
    </row>
    <row r="8885" spans="2:6">
      <c r="B8885" s="75"/>
      <c r="C8885" s="75"/>
      <c r="D8885" s="75"/>
      <c r="E8885" s="75"/>
      <c r="F8885" s="75"/>
    </row>
    <row r="8886" spans="2:6">
      <c r="B8886" s="75"/>
      <c r="C8886" s="75"/>
      <c r="D8886" s="75"/>
      <c r="E8886" s="75"/>
      <c r="F8886" s="75"/>
    </row>
    <row r="8887" spans="2:6">
      <c r="B8887" s="75"/>
      <c r="C8887" s="75"/>
      <c r="D8887" s="75"/>
      <c r="E8887" s="75"/>
      <c r="F8887" s="75"/>
    </row>
    <row r="8888" spans="2:6">
      <c r="B8888" s="75"/>
      <c r="C8888" s="75"/>
      <c r="D8888" s="75"/>
      <c r="E8888" s="75"/>
      <c r="F8888" s="75"/>
    </row>
    <row r="8889" spans="2:6">
      <c r="B8889" s="75"/>
      <c r="C8889" s="75"/>
      <c r="D8889" s="75"/>
      <c r="E8889" s="75"/>
      <c r="F8889" s="75"/>
    </row>
    <row r="8890" spans="2:6">
      <c r="B8890" s="75"/>
      <c r="C8890" s="75"/>
      <c r="D8890" s="75"/>
      <c r="E8890" s="75"/>
      <c r="F8890" s="75"/>
    </row>
    <row r="8891" spans="2:6">
      <c r="B8891" s="75"/>
      <c r="C8891" s="75"/>
      <c r="D8891" s="75"/>
      <c r="E8891" s="75"/>
      <c r="F8891" s="75"/>
    </row>
    <row r="8892" spans="2:6">
      <c r="B8892" s="75"/>
      <c r="C8892" s="75"/>
      <c r="D8892" s="75"/>
      <c r="E8892" s="75"/>
      <c r="F8892" s="75"/>
    </row>
    <row r="8893" spans="2:6">
      <c r="B8893" s="75"/>
      <c r="C8893" s="75"/>
      <c r="D8893" s="75"/>
      <c r="E8893" s="75"/>
      <c r="F8893" s="75"/>
    </row>
    <row r="8894" spans="2:6">
      <c r="B8894" s="75"/>
      <c r="C8894" s="75"/>
      <c r="D8894" s="75"/>
      <c r="E8894" s="75"/>
      <c r="F8894" s="75"/>
    </row>
    <row r="8895" spans="2:6">
      <c r="B8895" s="75"/>
      <c r="C8895" s="75"/>
      <c r="D8895" s="75"/>
      <c r="E8895" s="75"/>
      <c r="F8895" s="75"/>
    </row>
    <row r="8896" spans="2:6">
      <c r="B8896" s="75"/>
      <c r="C8896" s="75"/>
      <c r="D8896" s="75"/>
      <c r="E8896" s="75"/>
      <c r="F8896" s="75"/>
    </row>
    <row r="8897" spans="2:6">
      <c r="B8897" s="75"/>
      <c r="C8897" s="75"/>
      <c r="D8897" s="75"/>
      <c r="E8897" s="75"/>
      <c r="F8897" s="75"/>
    </row>
    <row r="8898" spans="2:6">
      <c r="B8898" s="75"/>
      <c r="C8898" s="75"/>
      <c r="D8898" s="75"/>
      <c r="E8898" s="75"/>
      <c r="F8898" s="75"/>
    </row>
    <row r="8899" spans="2:6">
      <c r="B8899" s="75"/>
      <c r="C8899" s="75"/>
      <c r="D8899" s="75"/>
      <c r="E8899" s="75"/>
      <c r="F8899" s="75"/>
    </row>
    <row r="8900" spans="2:6">
      <c r="B8900" s="75"/>
      <c r="C8900" s="75"/>
      <c r="D8900" s="75"/>
      <c r="E8900" s="75"/>
      <c r="F8900" s="75"/>
    </row>
    <row r="8901" spans="2:6">
      <c r="B8901" s="75"/>
      <c r="C8901" s="75"/>
      <c r="D8901" s="75"/>
      <c r="E8901" s="75"/>
      <c r="F8901" s="75"/>
    </row>
    <row r="8902" spans="2:6">
      <c r="B8902" s="75"/>
      <c r="C8902" s="75"/>
      <c r="D8902" s="75"/>
      <c r="E8902" s="75"/>
      <c r="F8902" s="75"/>
    </row>
    <row r="8903" spans="2:6">
      <c r="B8903" s="75"/>
      <c r="C8903" s="75"/>
      <c r="D8903" s="75"/>
      <c r="E8903" s="75"/>
      <c r="F8903" s="75"/>
    </row>
    <row r="8904" spans="2:6">
      <c r="B8904" s="75"/>
      <c r="C8904" s="75"/>
      <c r="D8904" s="75"/>
      <c r="E8904" s="75"/>
      <c r="F8904" s="75"/>
    </row>
    <row r="8905" spans="2:6">
      <c r="B8905" s="75"/>
      <c r="C8905" s="75"/>
      <c r="D8905" s="75"/>
      <c r="E8905" s="75"/>
      <c r="F8905" s="75"/>
    </row>
    <row r="8906" spans="2:6">
      <c r="B8906" s="75"/>
      <c r="C8906" s="75"/>
      <c r="D8906" s="75"/>
      <c r="E8906" s="75"/>
      <c r="F8906" s="75"/>
    </row>
    <row r="8907" spans="2:6">
      <c r="B8907" s="75"/>
      <c r="C8907" s="75"/>
      <c r="D8907" s="75"/>
      <c r="E8907" s="75"/>
      <c r="F8907" s="75"/>
    </row>
    <row r="8908" spans="2:6">
      <c r="B8908" s="75"/>
      <c r="C8908" s="75"/>
      <c r="D8908" s="75"/>
      <c r="E8908" s="75"/>
      <c r="F8908" s="75"/>
    </row>
    <row r="8909" spans="2:6">
      <c r="B8909" s="75"/>
      <c r="C8909" s="75"/>
      <c r="D8909" s="75"/>
      <c r="E8909" s="75"/>
      <c r="F8909" s="75"/>
    </row>
    <row r="8910" spans="2:6">
      <c r="B8910" s="75"/>
      <c r="C8910" s="75"/>
      <c r="D8910" s="75"/>
      <c r="E8910" s="75"/>
      <c r="F8910" s="75"/>
    </row>
    <row r="8911" spans="2:6">
      <c r="B8911" s="75"/>
      <c r="C8911" s="75"/>
      <c r="D8911" s="75"/>
      <c r="E8911" s="75"/>
      <c r="F8911" s="75"/>
    </row>
    <row r="8912" spans="2:6">
      <c r="B8912" s="75"/>
      <c r="C8912" s="75"/>
      <c r="D8912" s="75"/>
      <c r="E8912" s="75"/>
      <c r="F8912" s="75"/>
    </row>
    <row r="8913" spans="2:6">
      <c r="B8913" s="75"/>
      <c r="C8913" s="75"/>
      <c r="D8913" s="75"/>
      <c r="E8913" s="75"/>
      <c r="F8913" s="75"/>
    </row>
    <row r="8914" spans="2:6">
      <c r="B8914" s="75"/>
      <c r="C8914" s="75"/>
      <c r="D8914" s="75"/>
      <c r="E8914" s="75"/>
      <c r="F8914" s="75"/>
    </row>
    <row r="8915" spans="2:6">
      <c r="B8915" s="75"/>
      <c r="C8915" s="75"/>
      <c r="D8915" s="75"/>
      <c r="E8915" s="75"/>
      <c r="F8915" s="75"/>
    </row>
    <row r="8916" spans="2:6">
      <c r="B8916" s="75"/>
      <c r="C8916" s="75"/>
      <c r="D8916" s="75"/>
      <c r="E8916" s="75"/>
      <c r="F8916" s="75"/>
    </row>
    <row r="8917" spans="2:6">
      <c r="B8917" s="75"/>
      <c r="C8917" s="75"/>
      <c r="D8917" s="75"/>
      <c r="E8917" s="75"/>
      <c r="F8917" s="75"/>
    </row>
    <row r="8918" spans="2:6">
      <c r="B8918" s="75"/>
      <c r="C8918" s="75"/>
      <c r="D8918" s="75"/>
      <c r="E8918" s="75"/>
      <c r="F8918" s="75"/>
    </row>
    <row r="8919" spans="2:6">
      <c r="B8919" s="75"/>
      <c r="C8919" s="75"/>
      <c r="D8919" s="75"/>
      <c r="E8919" s="75"/>
      <c r="F8919" s="75"/>
    </row>
    <row r="8920" spans="2:6">
      <c r="B8920" s="75"/>
      <c r="C8920" s="75"/>
      <c r="D8920" s="75"/>
      <c r="E8920" s="75"/>
      <c r="F8920" s="75"/>
    </row>
    <row r="8921" spans="2:6">
      <c r="B8921" s="75"/>
      <c r="C8921" s="75"/>
      <c r="D8921" s="75"/>
      <c r="E8921" s="75"/>
      <c r="F8921" s="75"/>
    </row>
    <row r="8922" spans="2:6">
      <c r="B8922" s="75"/>
      <c r="C8922" s="75"/>
      <c r="D8922" s="75"/>
      <c r="E8922" s="75"/>
      <c r="F8922" s="75"/>
    </row>
    <row r="8923" spans="2:6">
      <c r="B8923" s="75"/>
      <c r="C8923" s="75"/>
      <c r="D8923" s="75"/>
      <c r="E8923" s="75"/>
      <c r="F8923" s="75"/>
    </row>
    <row r="8924" spans="2:6">
      <c r="B8924" s="75"/>
      <c r="C8924" s="75"/>
      <c r="D8924" s="75"/>
      <c r="E8924" s="75"/>
      <c r="F8924" s="75"/>
    </row>
    <row r="8925" spans="2:6">
      <c r="B8925" s="75"/>
      <c r="C8925" s="75"/>
      <c r="D8925" s="75"/>
      <c r="E8925" s="75"/>
      <c r="F8925" s="75"/>
    </row>
    <row r="8926" spans="2:6">
      <c r="B8926" s="75"/>
      <c r="C8926" s="75"/>
      <c r="D8926" s="75"/>
      <c r="E8926" s="75"/>
      <c r="F8926" s="75"/>
    </row>
    <row r="8927" spans="2:6">
      <c r="B8927" s="75"/>
      <c r="C8927" s="75"/>
      <c r="D8927" s="75"/>
      <c r="E8927" s="75"/>
      <c r="F8927" s="75"/>
    </row>
    <row r="8928" spans="2:6">
      <c r="B8928" s="75"/>
      <c r="C8928" s="75"/>
      <c r="D8928" s="75"/>
      <c r="E8928" s="75"/>
      <c r="F8928" s="75"/>
    </row>
    <row r="8929" spans="2:6">
      <c r="B8929" s="75"/>
      <c r="C8929" s="75"/>
      <c r="D8929" s="75"/>
      <c r="E8929" s="75"/>
      <c r="F8929" s="75"/>
    </row>
    <row r="8930" spans="2:6">
      <c r="B8930" s="75"/>
      <c r="C8930" s="75"/>
      <c r="D8930" s="75"/>
      <c r="E8930" s="75"/>
      <c r="F8930" s="75"/>
    </row>
    <row r="8931" spans="2:6">
      <c r="B8931" s="75"/>
      <c r="C8931" s="75"/>
      <c r="D8931" s="75"/>
      <c r="E8931" s="75"/>
      <c r="F8931" s="75"/>
    </row>
    <row r="8932" spans="2:6">
      <c r="B8932" s="75"/>
      <c r="C8932" s="75"/>
      <c r="D8932" s="75"/>
      <c r="E8932" s="75"/>
      <c r="F8932" s="75"/>
    </row>
    <row r="8933" spans="2:6">
      <c r="B8933" s="75"/>
      <c r="C8933" s="75"/>
      <c r="D8933" s="75"/>
      <c r="E8933" s="75"/>
      <c r="F8933" s="75"/>
    </row>
    <row r="8934" spans="2:6">
      <c r="B8934" s="75"/>
      <c r="C8934" s="75"/>
      <c r="D8934" s="75"/>
      <c r="E8934" s="75"/>
      <c r="F8934" s="75"/>
    </row>
    <row r="8935" spans="2:6">
      <c r="B8935" s="75"/>
      <c r="C8935" s="75"/>
      <c r="D8935" s="75"/>
      <c r="E8935" s="75"/>
      <c r="F8935" s="75"/>
    </row>
    <row r="8936" spans="2:6">
      <c r="B8936" s="75"/>
      <c r="C8936" s="75"/>
      <c r="D8936" s="75"/>
      <c r="E8936" s="75"/>
      <c r="F8936" s="75"/>
    </row>
    <row r="8937" spans="2:6">
      <c r="B8937" s="75"/>
      <c r="C8937" s="75"/>
      <c r="D8937" s="75"/>
      <c r="E8937" s="75"/>
      <c r="F8937" s="75"/>
    </row>
    <row r="8938" spans="2:6">
      <c r="B8938" s="75"/>
      <c r="C8938" s="75"/>
      <c r="D8938" s="75"/>
      <c r="E8938" s="75"/>
      <c r="F8938" s="75"/>
    </row>
    <row r="8939" spans="2:6">
      <c r="B8939" s="75"/>
      <c r="C8939" s="75"/>
      <c r="D8939" s="75"/>
      <c r="E8939" s="75"/>
      <c r="F8939" s="75"/>
    </row>
    <row r="8940" spans="2:6">
      <c r="B8940" s="75"/>
      <c r="C8940" s="75"/>
      <c r="D8940" s="75"/>
      <c r="E8940" s="75"/>
      <c r="F8940" s="75"/>
    </row>
    <row r="8941" spans="2:6">
      <c r="B8941" s="75"/>
      <c r="C8941" s="75"/>
      <c r="D8941" s="75"/>
      <c r="E8941" s="75"/>
      <c r="F8941" s="75"/>
    </row>
    <row r="8942" spans="2:6">
      <c r="B8942" s="75"/>
      <c r="C8942" s="75"/>
      <c r="D8942" s="75"/>
      <c r="E8942" s="75"/>
      <c r="F8942" s="75"/>
    </row>
    <row r="8943" spans="2:6">
      <c r="B8943" s="75"/>
      <c r="C8943" s="75"/>
      <c r="D8943" s="75"/>
      <c r="E8943" s="75"/>
      <c r="F8943" s="75"/>
    </row>
    <row r="8944" spans="2:6">
      <c r="B8944" s="75"/>
      <c r="C8944" s="75"/>
      <c r="D8944" s="75"/>
      <c r="E8944" s="75"/>
      <c r="F8944" s="75"/>
    </row>
    <row r="8945" spans="2:6">
      <c r="B8945" s="75"/>
      <c r="C8945" s="75"/>
      <c r="D8945" s="75"/>
      <c r="E8945" s="75"/>
      <c r="F8945" s="75"/>
    </row>
    <row r="8946" spans="2:6">
      <c r="B8946" s="75"/>
      <c r="C8946" s="75"/>
      <c r="D8946" s="75"/>
      <c r="E8946" s="75"/>
      <c r="F8946" s="75"/>
    </row>
    <row r="8947" spans="2:6">
      <c r="B8947" s="75"/>
      <c r="C8947" s="75"/>
      <c r="D8947" s="75"/>
      <c r="E8947" s="75"/>
      <c r="F8947" s="75"/>
    </row>
    <row r="8948" spans="2:6">
      <c r="B8948" s="75"/>
      <c r="C8948" s="75"/>
      <c r="D8948" s="75"/>
      <c r="E8948" s="75"/>
      <c r="F8948" s="75"/>
    </row>
    <row r="8949" spans="2:6">
      <c r="B8949" s="75"/>
      <c r="C8949" s="75"/>
      <c r="D8949" s="75"/>
      <c r="E8949" s="75"/>
      <c r="F8949" s="75"/>
    </row>
    <row r="8950" spans="2:6">
      <c r="B8950" s="75"/>
      <c r="C8950" s="75"/>
      <c r="D8950" s="75"/>
      <c r="E8950" s="75"/>
      <c r="F8950" s="75"/>
    </row>
    <row r="8951" spans="2:6">
      <c r="B8951" s="75"/>
      <c r="C8951" s="75"/>
      <c r="D8951" s="75"/>
      <c r="E8951" s="75"/>
      <c r="F8951" s="75"/>
    </row>
    <row r="8952" spans="2:6">
      <c r="B8952" s="75"/>
      <c r="C8952" s="75"/>
      <c r="D8952" s="75"/>
      <c r="E8952" s="75"/>
      <c r="F8952" s="75"/>
    </row>
    <row r="8953" spans="2:6">
      <c r="B8953" s="75"/>
      <c r="C8953" s="75"/>
      <c r="D8953" s="75"/>
      <c r="E8953" s="75"/>
      <c r="F8953" s="75"/>
    </row>
    <row r="8954" spans="2:6">
      <c r="B8954" s="75"/>
      <c r="C8954" s="75"/>
      <c r="D8954" s="75"/>
      <c r="E8954" s="75"/>
      <c r="F8954" s="75"/>
    </row>
    <row r="8955" spans="2:6">
      <c r="B8955" s="75"/>
      <c r="C8955" s="75"/>
      <c r="D8955" s="75"/>
      <c r="E8955" s="75"/>
      <c r="F8955" s="75"/>
    </row>
    <row r="8956" spans="2:6">
      <c r="B8956" s="75"/>
      <c r="C8956" s="75"/>
      <c r="D8956" s="75"/>
      <c r="E8956" s="75"/>
      <c r="F8956" s="75"/>
    </row>
    <row r="8957" spans="2:6">
      <c r="B8957" s="75"/>
      <c r="C8957" s="75"/>
      <c r="D8957" s="75"/>
      <c r="E8957" s="75"/>
      <c r="F8957" s="75"/>
    </row>
    <row r="8958" spans="2:6">
      <c r="B8958" s="75"/>
      <c r="C8958" s="75"/>
      <c r="D8958" s="75"/>
      <c r="E8958" s="75"/>
      <c r="F8958" s="75"/>
    </row>
    <row r="8959" spans="2:6">
      <c r="B8959" s="75"/>
      <c r="C8959" s="75"/>
      <c r="D8959" s="75"/>
      <c r="E8959" s="75"/>
      <c r="F8959" s="75"/>
    </row>
    <row r="8960" spans="2:6">
      <c r="B8960" s="75"/>
      <c r="C8960" s="75"/>
      <c r="D8960" s="75"/>
      <c r="E8960" s="75"/>
      <c r="F8960" s="75"/>
    </row>
    <row r="8961" spans="2:6">
      <c r="B8961" s="75"/>
      <c r="C8961" s="75"/>
      <c r="D8961" s="75"/>
      <c r="E8961" s="75"/>
      <c r="F8961" s="75"/>
    </row>
    <row r="8962" spans="2:6">
      <c r="B8962" s="75"/>
      <c r="C8962" s="75"/>
      <c r="D8962" s="75"/>
      <c r="E8962" s="75"/>
      <c r="F8962" s="75"/>
    </row>
    <row r="8963" spans="2:6">
      <c r="B8963" s="75"/>
      <c r="C8963" s="75"/>
      <c r="D8963" s="75"/>
      <c r="E8963" s="75"/>
      <c r="F8963" s="75"/>
    </row>
    <row r="8964" spans="2:6">
      <c r="B8964" s="75"/>
      <c r="C8964" s="75"/>
      <c r="D8964" s="75"/>
      <c r="E8964" s="75"/>
      <c r="F8964" s="75"/>
    </row>
    <row r="8965" spans="2:6">
      <c r="B8965" s="75"/>
      <c r="C8965" s="75"/>
      <c r="D8965" s="75"/>
      <c r="E8965" s="75"/>
      <c r="F8965" s="75"/>
    </row>
    <row r="8966" spans="2:6">
      <c r="B8966" s="75"/>
      <c r="C8966" s="75"/>
      <c r="D8966" s="75"/>
      <c r="E8966" s="75"/>
      <c r="F8966" s="75"/>
    </row>
    <row r="8967" spans="2:6">
      <c r="B8967" s="75"/>
      <c r="C8967" s="75"/>
      <c r="D8967" s="75"/>
      <c r="E8967" s="75"/>
      <c r="F8967" s="75"/>
    </row>
    <row r="8968" spans="2:6">
      <c r="B8968" s="75"/>
      <c r="C8968" s="75"/>
      <c r="D8968" s="75"/>
      <c r="E8968" s="75"/>
      <c r="F8968" s="75"/>
    </row>
    <row r="8969" spans="2:6">
      <c r="B8969" s="75"/>
      <c r="C8969" s="75"/>
      <c r="D8969" s="75"/>
      <c r="E8969" s="75"/>
      <c r="F8969" s="75"/>
    </row>
    <row r="8970" spans="2:6">
      <c r="B8970" s="75"/>
      <c r="C8970" s="75"/>
      <c r="D8970" s="75"/>
      <c r="E8970" s="75"/>
      <c r="F8970" s="75"/>
    </row>
    <row r="8971" spans="2:6">
      <c r="B8971" s="75"/>
      <c r="C8971" s="75"/>
      <c r="D8971" s="75"/>
      <c r="E8971" s="75"/>
      <c r="F8971" s="75"/>
    </row>
    <row r="8972" spans="2:6">
      <c r="B8972" s="75"/>
      <c r="C8972" s="75"/>
      <c r="D8972" s="75"/>
      <c r="E8972" s="75"/>
      <c r="F8972" s="75"/>
    </row>
    <row r="8973" spans="2:6">
      <c r="B8973" s="75"/>
      <c r="C8973" s="75"/>
      <c r="D8973" s="75"/>
      <c r="E8973" s="75"/>
      <c r="F8973" s="75"/>
    </row>
    <row r="8974" spans="2:6">
      <c r="B8974" s="75"/>
      <c r="C8974" s="75"/>
      <c r="D8974" s="75"/>
      <c r="E8974" s="75"/>
      <c r="F8974" s="75"/>
    </row>
    <row r="8975" spans="2:6">
      <c r="B8975" s="75"/>
      <c r="C8975" s="75"/>
      <c r="D8975" s="75"/>
      <c r="E8975" s="75"/>
      <c r="F8975" s="75"/>
    </row>
    <row r="8976" spans="2:6">
      <c r="B8976" s="75"/>
      <c r="C8976" s="75"/>
      <c r="D8976" s="75"/>
      <c r="E8976" s="75"/>
      <c r="F8976" s="75"/>
    </row>
    <row r="8977" spans="2:6">
      <c r="B8977" s="75"/>
      <c r="C8977" s="75"/>
      <c r="D8977" s="75"/>
      <c r="E8977" s="75"/>
      <c r="F8977" s="75"/>
    </row>
    <row r="8978" spans="2:6">
      <c r="B8978" s="75"/>
      <c r="C8978" s="75"/>
      <c r="D8978" s="75"/>
      <c r="E8978" s="75"/>
      <c r="F8978" s="75"/>
    </row>
    <row r="8979" spans="2:6">
      <c r="B8979" s="75"/>
      <c r="C8979" s="75"/>
      <c r="D8979" s="75"/>
      <c r="E8979" s="75"/>
      <c r="F8979" s="75"/>
    </row>
    <row r="8980" spans="2:6">
      <c r="B8980" s="75"/>
      <c r="C8980" s="75"/>
      <c r="D8980" s="75"/>
      <c r="E8980" s="75"/>
      <c r="F8980" s="75"/>
    </row>
    <row r="8981" spans="2:6">
      <c r="B8981" s="75"/>
      <c r="C8981" s="75"/>
      <c r="D8981" s="75"/>
      <c r="E8981" s="75"/>
      <c r="F8981" s="75"/>
    </row>
    <row r="8982" spans="2:6">
      <c r="B8982" s="75"/>
      <c r="C8982" s="75"/>
      <c r="D8982" s="75"/>
      <c r="E8982" s="75"/>
      <c r="F8982" s="75"/>
    </row>
    <row r="8983" spans="2:6">
      <c r="B8983" s="75"/>
      <c r="C8983" s="75"/>
      <c r="D8983" s="75"/>
      <c r="E8983" s="75"/>
      <c r="F8983" s="75"/>
    </row>
    <row r="8984" spans="2:6">
      <c r="B8984" s="75"/>
      <c r="C8984" s="75"/>
      <c r="D8984" s="75"/>
      <c r="E8984" s="75"/>
      <c r="F8984" s="75"/>
    </row>
    <row r="8985" spans="2:6">
      <c r="B8985" s="75"/>
      <c r="C8985" s="75"/>
      <c r="D8985" s="75"/>
      <c r="E8985" s="75"/>
      <c r="F8985" s="75"/>
    </row>
    <row r="8986" spans="2:6">
      <c r="B8986" s="75"/>
      <c r="C8986" s="75"/>
      <c r="D8986" s="75"/>
      <c r="E8986" s="75"/>
      <c r="F8986" s="75"/>
    </row>
    <row r="8987" spans="2:6">
      <c r="B8987" s="75"/>
      <c r="C8987" s="75"/>
      <c r="D8987" s="75"/>
      <c r="E8987" s="75"/>
      <c r="F8987" s="75"/>
    </row>
    <row r="8988" spans="2:6">
      <c r="B8988" s="75"/>
      <c r="C8988" s="75"/>
      <c r="D8988" s="75"/>
      <c r="E8988" s="75"/>
      <c r="F8988" s="75"/>
    </row>
    <row r="8989" spans="2:6">
      <c r="B8989" s="75"/>
      <c r="C8989" s="75"/>
      <c r="D8989" s="75"/>
      <c r="E8989" s="75"/>
      <c r="F8989" s="75"/>
    </row>
    <row r="8990" spans="2:6">
      <c r="B8990" s="75"/>
      <c r="C8990" s="75"/>
      <c r="D8990" s="75"/>
      <c r="E8990" s="75"/>
      <c r="F8990" s="75"/>
    </row>
    <row r="8991" spans="2:6">
      <c r="B8991" s="75"/>
      <c r="C8991" s="75"/>
      <c r="D8991" s="75"/>
      <c r="E8991" s="75"/>
      <c r="F8991" s="75"/>
    </row>
    <row r="8992" spans="2:6">
      <c r="B8992" s="75"/>
      <c r="C8992" s="75"/>
      <c r="D8992" s="75"/>
      <c r="E8992" s="75"/>
      <c r="F8992" s="75"/>
    </row>
    <row r="8993" spans="2:6">
      <c r="B8993" s="75"/>
      <c r="C8993" s="75"/>
      <c r="D8993" s="75"/>
      <c r="E8993" s="75"/>
      <c r="F8993" s="75"/>
    </row>
    <row r="8994" spans="2:6">
      <c r="B8994" s="75"/>
      <c r="C8994" s="75"/>
      <c r="D8994" s="75"/>
      <c r="E8994" s="75"/>
      <c r="F8994" s="75"/>
    </row>
    <row r="8995" spans="2:6">
      <c r="B8995" s="75"/>
      <c r="C8995" s="75"/>
      <c r="D8995" s="75"/>
      <c r="E8995" s="75"/>
      <c r="F8995" s="75"/>
    </row>
    <row r="8996" spans="2:6">
      <c r="B8996" s="75"/>
      <c r="C8996" s="75"/>
      <c r="D8996" s="75"/>
      <c r="E8996" s="75"/>
      <c r="F8996" s="75"/>
    </row>
    <row r="8997" spans="2:6">
      <c r="B8997" s="75"/>
      <c r="C8997" s="75"/>
      <c r="D8997" s="75"/>
      <c r="E8997" s="75"/>
      <c r="F8997" s="75"/>
    </row>
    <row r="8998" spans="2:6">
      <c r="B8998" s="75"/>
      <c r="C8998" s="75"/>
      <c r="D8998" s="75"/>
      <c r="E8998" s="75"/>
      <c r="F8998" s="75"/>
    </row>
    <row r="8999" spans="2:6">
      <c r="B8999" s="75"/>
      <c r="C8999" s="75"/>
      <c r="D8999" s="75"/>
      <c r="E8999" s="75"/>
      <c r="F8999" s="75"/>
    </row>
    <row r="9000" spans="2:6">
      <c r="B9000" s="75"/>
      <c r="C9000" s="75"/>
      <c r="D9000" s="75"/>
      <c r="E9000" s="75"/>
      <c r="F9000" s="75"/>
    </row>
    <row r="9001" spans="2:6">
      <c r="B9001" s="75"/>
      <c r="C9001" s="75"/>
      <c r="D9001" s="75"/>
      <c r="E9001" s="75"/>
      <c r="F9001" s="75"/>
    </row>
    <row r="9002" spans="2:6">
      <c r="B9002" s="75"/>
      <c r="C9002" s="75"/>
      <c r="D9002" s="75"/>
      <c r="E9002" s="75"/>
      <c r="F9002" s="75"/>
    </row>
    <row r="9003" spans="2:6">
      <c r="B9003" s="75"/>
      <c r="C9003" s="75"/>
      <c r="D9003" s="75"/>
      <c r="E9003" s="75"/>
      <c r="F9003" s="75"/>
    </row>
    <row r="9004" spans="2:6">
      <c r="B9004" s="75"/>
      <c r="C9004" s="75"/>
      <c r="D9004" s="75"/>
      <c r="E9004" s="75"/>
      <c r="F9004" s="75"/>
    </row>
    <row r="9005" spans="2:6">
      <c r="B9005" s="75"/>
      <c r="C9005" s="75"/>
      <c r="D9005" s="75"/>
      <c r="E9005" s="75"/>
      <c r="F9005" s="75"/>
    </row>
    <row r="9006" spans="2:6">
      <c r="B9006" s="75"/>
      <c r="C9006" s="75"/>
      <c r="D9006" s="75"/>
      <c r="E9006" s="75"/>
      <c r="F9006" s="75"/>
    </row>
    <row r="9007" spans="2:6">
      <c r="B9007" s="75"/>
      <c r="C9007" s="75"/>
      <c r="D9007" s="75"/>
      <c r="E9007" s="75"/>
      <c r="F9007" s="75"/>
    </row>
    <row r="9008" spans="2:6">
      <c r="B9008" s="75"/>
      <c r="C9008" s="75"/>
      <c r="D9008" s="75"/>
      <c r="E9008" s="75"/>
      <c r="F9008" s="75"/>
    </row>
    <row r="9009" spans="2:6">
      <c r="B9009" s="75"/>
      <c r="C9009" s="75"/>
      <c r="D9009" s="75"/>
      <c r="E9009" s="75"/>
      <c r="F9009" s="75"/>
    </row>
    <row r="9010" spans="2:6">
      <c r="B9010" s="75"/>
      <c r="C9010" s="75"/>
      <c r="D9010" s="75"/>
      <c r="E9010" s="75"/>
      <c r="F9010" s="75"/>
    </row>
    <row r="9011" spans="2:6">
      <c r="B9011" s="75"/>
      <c r="C9011" s="75"/>
      <c r="D9011" s="75"/>
      <c r="E9011" s="75"/>
      <c r="F9011" s="75"/>
    </row>
    <row r="9012" spans="2:6">
      <c r="B9012" s="75"/>
      <c r="C9012" s="75"/>
      <c r="D9012" s="75"/>
      <c r="E9012" s="75"/>
      <c r="F9012" s="75"/>
    </row>
    <row r="9013" spans="2:6">
      <c r="B9013" s="75"/>
      <c r="C9013" s="75"/>
      <c r="D9013" s="75"/>
      <c r="E9013" s="75"/>
      <c r="F9013" s="75"/>
    </row>
    <row r="9014" spans="2:6">
      <c r="B9014" s="75"/>
      <c r="C9014" s="75"/>
      <c r="D9014" s="75"/>
      <c r="E9014" s="75"/>
      <c r="F9014" s="75"/>
    </row>
    <row r="9015" spans="2:6">
      <c r="B9015" s="75"/>
      <c r="C9015" s="75"/>
      <c r="D9015" s="75"/>
      <c r="E9015" s="75"/>
      <c r="F9015" s="75"/>
    </row>
    <row r="9016" spans="2:6">
      <c r="B9016" s="75"/>
      <c r="C9016" s="75"/>
      <c r="D9016" s="75"/>
      <c r="E9016" s="75"/>
      <c r="F9016" s="75"/>
    </row>
    <row r="9017" spans="2:6">
      <c r="B9017" s="75"/>
      <c r="C9017" s="75"/>
      <c r="D9017" s="75"/>
      <c r="E9017" s="75"/>
      <c r="F9017" s="75"/>
    </row>
    <row r="9018" spans="2:6">
      <c r="B9018" s="75"/>
      <c r="C9018" s="75"/>
      <c r="D9018" s="75"/>
      <c r="E9018" s="75"/>
      <c r="F9018" s="75"/>
    </row>
    <row r="9019" spans="2:6">
      <c r="B9019" s="75"/>
      <c r="C9019" s="75"/>
      <c r="D9019" s="75"/>
      <c r="E9019" s="75"/>
      <c r="F9019" s="75"/>
    </row>
    <row r="9020" spans="2:6">
      <c r="B9020" s="75"/>
      <c r="C9020" s="75"/>
      <c r="D9020" s="75"/>
      <c r="E9020" s="75"/>
      <c r="F9020" s="75"/>
    </row>
    <row r="9021" spans="2:6">
      <c r="B9021" s="75"/>
      <c r="C9021" s="75"/>
      <c r="D9021" s="75"/>
      <c r="E9021" s="75"/>
      <c r="F9021" s="75"/>
    </row>
    <row r="9022" spans="2:6">
      <c r="B9022" s="75"/>
      <c r="C9022" s="75"/>
      <c r="D9022" s="75"/>
      <c r="E9022" s="75"/>
      <c r="F9022" s="75"/>
    </row>
    <row r="9023" spans="2:6">
      <c r="B9023" s="75"/>
      <c r="C9023" s="75"/>
      <c r="D9023" s="75"/>
      <c r="E9023" s="75"/>
      <c r="F9023" s="75"/>
    </row>
    <row r="9024" spans="2:6">
      <c r="B9024" s="75"/>
      <c r="C9024" s="75"/>
      <c r="D9024" s="75"/>
      <c r="E9024" s="75"/>
      <c r="F9024" s="75"/>
    </row>
    <row r="9025" spans="2:6">
      <c r="B9025" s="75"/>
      <c r="C9025" s="75"/>
      <c r="D9025" s="75"/>
      <c r="E9025" s="75"/>
      <c r="F9025" s="75"/>
    </row>
    <row r="9026" spans="2:6">
      <c r="B9026" s="75"/>
      <c r="C9026" s="75"/>
      <c r="D9026" s="75"/>
      <c r="E9026" s="75"/>
      <c r="F9026" s="75"/>
    </row>
    <row r="9027" spans="2:6">
      <c r="B9027" s="75"/>
      <c r="C9027" s="75"/>
      <c r="D9027" s="75"/>
      <c r="E9027" s="75"/>
      <c r="F9027" s="75"/>
    </row>
    <row r="9028" spans="2:6">
      <c r="B9028" s="75"/>
      <c r="C9028" s="75"/>
      <c r="D9028" s="75"/>
      <c r="E9028" s="75"/>
      <c r="F9028" s="75"/>
    </row>
    <row r="9029" spans="2:6">
      <c r="B9029" s="75"/>
      <c r="C9029" s="75"/>
      <c r="D9029" s="75"/>
      <c r="E9029" s="75"/>
      <c r="F9029" s="75"/>
    </row>
    <row r="9030" spans="2:6">
      <c r="B9030" s="75"/>
      <c r="C9030" s="75"/>
      <c r="D9030" s="75"/>
      <c r="E9030" s="75"/>
      <c r="F9030" s="75"/>
    </row>
    <row r="9031" spans="2:6">
      <c r="B9031" s="75"/>
      <c r="C9031" s="75"/>
      <c r="D9031" s="75"/>
      <c r="E9031" s="75"/>
      <c r="F9031" s="75"/>
    </row>
    <row r="9032" spans="2:6">
      <c r="B9032" s="75"/>
      <c r="C9032" s="75"/>
      <c r="D9032" s="75"/>
      <c r="E9032" s="75"/>
      <c r="F9032" s="75"/>
    </row>
    <row r="9033" spans="2:6">
      <c r="B9033" s="75"/>
      <c r="C9033" s="75"/>
      <c r="D9033" s="75"/>
      <c r="E9033" s="75"/>
      <c r="F9033" s="75"/>
    </row>
    <row r="9034" spans="2:6">
      <c r="B9034" s="75"/>
      <c r="C9034" s="75"/>
      <c r="D9034" s="75"/>
      <c r="E9034" s="75"/>
      <c r="F9034" s="75"/>
    </row>
    <row r="9035" spans="2:6">
      <c r="B9035" s="75"/>
      <c r="C9035" s="75"/>
      <c r="D9035" s="75"/>
      <c r="E9035" s="75"/>
      <c r="F9035" s="75"/>
    </row>
    <row r="9036" spans="2:6">
      <c r="B9036" s="75"/>
      <c r="C9036" s="75"/>
      <c r="D9036" s="75"/>
      <c r="E9036" s="75"/>
      <c r="F9036" s="75"/>
    </row>
    <row r="9037" spans="2:6">
      <c r="B9037" s="75"/>
      <c r="C9037" s="75"/>
      <c r="D9037" s="75"/>
      <c r="E9037" s="75"/>
      <c r="F9037" s="75"/>
    </row>
    <row r="9038" spans="2:6">
      <c r="B9038" s="75"/>
      <c r="C9038" s="75"/>
      <c r="D9038" s="75"/>
      <c r="E9038" s="75"/>
      <c r="F9038" s="75"/>
    </row>
    <row r="9039" spans="2:6">
      <c r="B9039" s="75"/>
      <c r="C9039" s="75"/>
      <c r="D9039" s="75"/>
      <c r="E9039" s="75"/>
      <c r="F9039" s="75"/>
    </row>
    <row r="9040" spans="2:6">
      <c r="B9040" s="75"/>
      <c r="C9040" s="75"/>
      <c r="D9040" s="75"/>
      <c r="E9040" s="75"/>
      <c r="F9040" s="75"/>
    </row>
    <row r="9041" spans="2:6">
      <c r="B9041" s="75"/>
      <c r="C9041" s="75"/>
      <c r="D9041" s="75"/>
      <c r="E9041" s="75"/>
      <c r="F9041" s="75"/>
    </row>
    <row r="9042" spans="2:6">
      <c r="B9042" s="75"/>
      <c r="C9042" s="75"/>
      <c r="D9042" s="75"/>
      <c r="E9042" s="75"/>
      <c r="F9042" s="75"/>
    </row>
    <row r="9043" spans="2:6">
      <c r="B9043" s="75"/>
      <c r="C9043" s="75"/>
      <c r="D9043" s="75"/>
      <c r="E9043" s="75"/>
      <c r="F9043" s="75"/>
    </row>
    <row r="9044" spans="2:6">
      <c r="B9044" s="75"/>
      <c r="C9044" s="75"/>
      <c r="D9044" s="75"/>
      <c r="E9044" s="75"/>
      <c r="F9044" s="75"/>
    </row>
    <row r="9045" spans="2:6">
      <c r="B9045" s="75"/>
      <c r="C9045" s="75"/>
      <c r="D9045" s="75"/>
      <c r="E9045" s="75"/>
      <c r="F9045" s="75"/>
    </row>
    <row r="9046" spans="2:6">
      <c r="B9046" s="75"/>
      <c r="C9046" s="75"/>
      <c r="D9046" s="75"/>
      <c r="E9046" s="75"/>
      <c r="F9046" s="75"/>
    </row>
    <row r="9047" spans="2:6">
      <c r="B9047" s="75"/>
      <c r="C9047" s="75"/>
      <c r="D9047" s="75"/>
      <c r="E9047" s="75"/>
      <c r="F9047" s="75"/>
    </row>
    <row r="9048" spans="2:6">
      <c r="B9048" s="75"/>
      <c r="C9048" s="75"/>
      <c r="D9048" s="75"/>
      <c r="E9048" s="75"/>
      <c r="F9048" s="75"/>
    </row>
    <row r="9049" spans="2:6">
      <c r="B9049" s="75"/>
      <c r="C9049" s="75"/>
      <c r="D9049" s="75"/>
      <c r="E9049" s="75"/>
      <c r="F9049" s="75"/>
    </row>
    <row r="9050" spans="2:6">
      <c r="B9050" s="75"/>
      <c r="C9050" s="75"/>
      <c r="D9050" s="75"/>
      <c r="E9050" s="75"/>
      <c r="F9050" s="75"/>
    </row>
    <row r="9051" spans="2:6">
      <c r="B9051" s="75"/>
      <c r="C9051" s="75"/>
      <c r="D9051" s="75"/>
      <c r="E9051" s="75"/>
      <c r="F9051" s="75"/>
    </row>
    <row r="9052" spans="2:6">
      <c r="B9052" s="75"/>
      <c r="C9052" s="75"/>
      <c r="D9052" s="75"/>
      <c r="E9052" s="75"/>
      <c r="F9052" s="75"/>
    </row>
    <row r="9053" spans="2:6">
      <c r="B9053" s="75"/>
      <c r="C9053" s="75"/>
      <c r="D9053" s="75"/>
      <c r="E9053" s="75"/>
      <c r="F9053" s="75"/>
    </row>
    <row r="9054" spans="2:6">
      <c r="B9054" s="75"/>
      <c r="C9054" s="75"/>
      <c r="D9054" s="75"/>
      <c r="E9054" s="75"/>
      <c r="F9054" s="75"/>
    </row>
    <row r="9055" spans="2:6">
      <c r="B9055" s="75"/>
      <c r="C9055" s="75"/>
      <c r="D9055" s="75"/>
      <c r="E9055" s="75"/>
      <c r="F9055" s="75"/>
    </row>
    <row r="9056" spans="2:6">
      <c r="B9056" s="75"/>
      <c r="C9056" s="75"/>
      <c r="D9056" s="75"/>
      <c r="E9056" s="75"/>
      <c r="F9056" s="75"/>
    </row>
    <row r="9057" spans="2:6">
      <c r="B9057" s="75"/>
      <c r="C9057" s="75"/>
      <c r="D9057" s="75"/>
      <c r="E9057" s="75"/>
      <c r="F9057" s="75"/>
    </row>
    <row r="9058" spans="2:6">
      <c r="B9058" s="75"/>
      <c r="C9058" s="75"/>
      <c r="D9058" s="75"/>
      <c r="E9058" s="75"/>
      <c r="F9058" s="75"/>
    </row>
    <row r="9059" spans="2:6">
      <c r="B9059" s="75"/>
      <c r="C9059" s="75"/>
      <c r="D9059" s="75"/>
      <c r="E9059" s="75"/>
      <c r="F9059" s="75"/>
    </row>
    <row r="9060" spans="2:6">
      <c r="B9060" s="75"/>
      <c r="C9060" s="75"/>
      <c r="D9060" s="75"/>
      <c r="E9060" s="75"/>
      <c r="F9060" s="75"/>
    </row>
    <row r="9061" spans="2:6">
      <c r="B9061" s="75"/>
      <c r="C9061" s="75"/>
      <c r="D9061" s="75"/>
      <c r="E9061" s="75"/>
      <c r="F9061" s="75"/>
    </row>
    <row r="9062" spans="2:6">
      <c r="B9062" s="75"/>
      <c r="C9062" s="75"/>
      <c r="D9062" s="75"/>
      <c r="E9062" s="75"/>
      <c r="F9062" s="75"/>
    </row>
    <row r="9063" spans="2:6">
      <c r="B9063" s="75"/>
      <c r="C9063" s="75"/>
      <c r="D9063" s="75"/>
      <c r="E9063" s="75"/>
      <c r="F9063" s="75"/>
    </row>
    <row r="9064" spans="2:6">
      <c r="B9064" s="75"/>
      <c r="C9064" s="75"/>
      <c r="D9064" s="75"/>
      <c r="E9064" s="75"/>
      <c r="F9064" s="75"/>
    </row>
    <row r="9065" spans="2:6">
      <c r="B9065" s="75"/>
      <c r="C9065" s="75"/>
      <c r="D9065" s="75"/>
      <c r="E9065" s="75"/>
      <c r="F9065" s="75"/>
    </row>
    <row r="9066" spans="2:6">
      <c r="B9066" s="75"/>
      <c r="C9066" s="75"/>
      <c r="D9066" s="75"/>
      <c r="E9066" s="75"/>
      <c r="F9066" s="75"/>
    </row>
    <row r="9067" spans="2:6">
      <c r="B9067" s="75"/>
      <c r="C9067" s="75"/>
      <c r="D9067" s="75"/>
      <c r="E9067" s="75"/>
      <c r="F9067" s="75"/>
    </row>
    <row r="9068" spans="2:6">
      <c r="B9068" s="75"/>
      <c r="C9068" s="75"/>
      <c r="D9068" s="75"/>
      <c r="E9068" s="75"/>
      <c r="F9068" s="75"/>
    </row>
    <row r="9069" spans="2:6">
      <c r="B9069" s="75"/>
      <c r="C9069" s="75"/>
      <c r="D9069" s="75"/>
      <c r="E9069" s="75"/>
      <c r="F9069" s="75"/>
    </row>
    <row r="9070" spans="2:6">
      <c r="B9070" s="75"/>
      <c r="C9070" s="75"/>
      <c r="D9070" s="75"/>
      <c r="E9070" s="75"/>
      <c r="F9070" s="75"/>
    </row>
    <row r="9071" spans="2:6">
      <c r="B9071" s="75"/>
      <c r="C9071" s="75"/>
      <c r="D9071" s="75"/>
      <c r="E9071" s="75"/>
      <c r="F9071" s="75"/>
    </row>
    <row r="9072" spans="2:6">
      <c r="B9072" s="75"/>
      <c r="C9072" s="75"/>
      <c r="D9072" s="75"/>
      <c r="E9072" s="75"/>
      <c r="F9072" s="75"/>
    </row>
    <row r="9073" spans="2:6">
      <c r="B9073" s="75"/>
      <c r="C9073" s="75"/>
      <c r="D9073" s="75"/>
      <c r="E9073" s="75"/>
      <c r="F9073" s="75"/>
    </row>
    <row r="9074" spans="2:6">
      <c r="B9074" s="75"/>
      <c r="C9074" s="75"/>
      <c r="D9074" s="75"/>
      <c r="E9074" s="75"/>
      <c r="F9074" s="75"/>
    </row>
    <row r="9075" spans="2:6">
      <c r="B9075" s="75"/>
      <c r="C9075" s="75"/>
      <c r="D9075" s="75"/>
      <c r="E9075" s="75"/>
      <c r="F9075" s="75"/>
    </row>
    <row r="9076" spans="2:6">
      <c r="B9076" s="75"/>
      <c r="C9076" s="75"/>
      <c r="D9076" s="75"/>
      <c r="E9076" s="75"/>
      <c r="F9076" s="75"/>
    </row>
    <row r="9077" spans="2:6">
      <c r="B9077" s="75"/>
      <c r="C9077" s="75"/>
      <c r="D9077" s="75"/>
      <c r="E9077" s="75"/>
      <c r="F9077" s="75"/>
    </row>
    <row r="9078" spans="2:6">
      <c r="B9078" s="75"/>
      <c r="C9078" s="75"/>
      <c r="D9078" s="75"/>
      <c r="E9078" s="75"/>
      <c r="F9078" s="75"/>
    </row>
    <row r="9079" spans="2:6">
      <c r="B9079" s="75"/>
      <c r="C9079" s="75"/>
      <c r="D9079" s="75"/>
      <c r="E9079" s="75"/>
      <c r="F9079" s="75"/>
    </row>
    <row r="9080" spans="2:6">
      <c r="B9080" s="75"/>
      <c r="C9080" s="75"/>
      <c r="D9080" s="75"/>
      <c r="E9080" s="75"/>
      <c r="F9080" s="75"/>
    </row>
    <row r="9081" spans="2:6">
      <c r="B9081" s="75"/>
      <c r="C9081" s="75"/>
      <c r="D9081" s="75"/>
      <c r="E9081" s="75"/>
      <c r="F9081" s="75"/>
    </row>
    <row r="9082" spans="2:6">
      <c r="B9082" s="75"/>
      <c r="C9082" s="75"/>
      <c r="D9082" s="75"/>
      <c r="E9082" s="75"/>
      <c r="F9082" s="75"/>
    </row>
    <row r="9083" spans="2:6">
      <c r="B9083" s="75"/>
      <c r="C9083" s="75"/>
      <c r="D9083" s="75"/>
      <c r="E9083" s="75"/>
      <c r="F9083" s="75"/>
    </row>
    <row r="9084" spans="2:6">
      <c r="B9084" s="75"/>
      <c r="C9084" s="75"/>
      <c r="D9084" s="75"/>
      <c r="E9084" s="75"/>
      <c r="F9084" s="75"/>
    </row>
    <row r="9085" spans="2:6">
      <c r="B9085" s="75"/>
      <c r="C9085" s="75"/>
      <c r="D9085" s="75"/>
      <c r="E9085" s="75"/>
      <c r="F9085" s="75"/>
    </row>
    <row r="9086" spans="2:6">
      <c r="B9086" s="75"/>
      <c r="C9086" s="75"/>
      <c r="D9086" s="75"/>
      <c r="E9086" s="75"/>
      <c r="F9086" s="75"/>
    </row>
    <row r="9087" spans="2:6">
      <c r="B9087" s="75"/>
      <c r="C9087" s="75"/>
      <c r="D9087" s="75"/>
      <c r="E9087" s="75"/>
      <c r="F9087" s="75"/>
    </row>
    <row r="9088" spans="2:6">
      <c r="B9088" s="75"/>
      <c r="C9088" s="75"/>
      <c r="D9088" s="75"/>
      <c r="E9088" s="75"/>
      <c r="F9088" s="75"/>
    </row>
    <row r="9089" spans="2:6">
      <c r="B9089" s="75"/>
      <c r="C9089" s="75"/>
      <c r="D9089" s="75"/>
      <c r="E9089" s="75"/>
      <c r="F9089" s="75"/>
    </row>
    <row r="9090" spans="2:6">
      <c r="B9090" s="75"/>
      <c r="C9090" s="75"/>
      <c r="D9090" s="75"/>
      <c r="E9090" s="75"/>
      <c r="F9090" s="75"/>
    </row>
    <row r="9091" spans="2:6">
      <c r="B9091" s="75"/>
      <c r="C9091" s="75"/>
      <c r="D9091" s="75"/>
      <c r="E9091" s="75"/>
      <c r="F9091" s="75"/>
    </row>
    <row r="9092" spans="2:6">
      <c r="B9092" s="75"/>
      <c r="C9092" s="75"/>
      <c r="D9092" s="75"/>
      <c r="E9092" s="75"/>
      <c r="F9092" s="75"/>
    </row>
    <row r="9093" spans="2:6">
      <c r="B9093" s="75"/>
      <c r="C9093" s="75"/>
      <c r="D9093" s="75"/>
      <c r="E9093" s="75"/>
      <c r="F9093" s="75"/>
    </row>
    <row r="9094" spans="2:6">
      <c r="B9094" s="75"/>
      <c r="C9094" s="75"/>
      <c r="D9094" s="75"/>
      <c r="E9094" s="75"/>
      <c r="F9094" s="75"/>
    </row>
    <row r="9095" spans="2:6">
      <c r="B9095" s="75"/>
      <c r="C9095" s="75"/>
      <c r="D9095" s="75"/>
      <c r="E9095" s="75"/>
      <c r="F9095" s="75"/>
    </row>
    <row r="9096" spans="2:6">
      <c r="B9096" s="75"/>
      <c r="C9096" s="75"/>
      <c r="D9096" s="75"/>
      <c r="E9096" s="75"/>
      <c r="F9096" s="75"/>
    </row>
    <row r="9097" spans="2:6">
      <c r="B9097" s="75"/>
      <c r="C9097" s="75"/>
      <c r="D9097" s="75"/>
      <c r="E9097" s="75"/>
      <c r="F9097" s="75"/>
    </row>
    <row r="9098" spans="2:6">
      <c r="B9098" s="75"/>
      <c r="C9098" s="75"/>
      <c r="D9098" s="75"/>
      <c r="E9098" s="75"/>
      <c r="F9098" s="75"/>
    </row>
    <row r="9099" spans="2:6">
      <c r="B9099" s="75"/>
      <c r="C9099" s="75"/>
      <c r="D9099" s="75"/>
      <c r="E9099" s="75"/>
      <c r="F9099" s="75"/>
    </row>
    <row r="9100" spans="2:6">
      <c r="B9100" s="75"/>
      <c r="C9100" s="75"/>
      <c r="D9100" s="75"/>
      <c r="E9100" s="75"/>
      <c r="F9100" s="75"/>
    </row>
    <row r="9101" spans="2:6">
      <c r="B9101" s="75"/>
      <c r="C9101" s="75"/>
      <c r="D9101" s="75"/>
      <c r="E9101" s="75"/>
      <c r="F9101" s="75"/>
    </row>
    <row r="9102" spans="2:6">
      <c r="B9102" s="75"/>
      <c r="C9102" s="75"/>
      <c r="D9102" s="75"/>
      <c r="E9102" s="75"/>
      <c r="F9102" s="75"/>
    </row>
    <row r="9103" spans="2:6">
      <c r="B9103" s="75"/>
      <c r="C9103" s="75"/>
      <c r="D9103" s="75"/>
      <c r="E9103" s="75"/>
      <c r="F9103" s="75"/>
    </row>
    <row r="9104" spans="2:6">
      <c r="B9104" s="75"/>
      <c r="C9104" s="75"/>
      <c r="D9104" s="75"/>
      <c r="E9104" s="75"/>
      <c r="F9104" s="75"/>
    </row>
    <row r="9105" spans="2:6">
      <c r="B9105" s="75"/>
      <c r="C9105" s="75"/>
      <c r="D9105" s="75"/>
      <c r="E9105" s="75"/>
      <c r="F9105" s="75"/>
    </row>
    <row r="9106" spans="2:6">
      <c r="B9106" s="75"/>
      <c r="C9106" s="75"/>
      <c r="D9106" s="75"/>
      <c r="E9106" s="75"/>
      <c r="F9106" s="75"/>
    </row>
    <row r="9107" spans="2:6">
      <c r="B9107" s="75"/>
      <c r="C9107" s="75"/>
      <c r="D9107" s="75"/>
      <c r="E9107" s="75"/>
      <c r="F9107" s="75"/>
    </row>
    <row r="9108" spans="2:6">
      <c r="B9108" s="75"/>
      <c r="C9108" s="75"/>
      <c r="D9108" s="75"/>
      <c r="E9108" s="75"/>
      <c r="F9108" s="75"/>
    </row>
    <row r="9109" spans="2:6">
      <c r="B9109" s="75"/>
      <c r="C9109" s="75"/>
      <c r="D9109" s="75"/>
      <c r="E9109" s="75"/>
      <c r="F9109" s="75"/>
    </row>
    <row r="9110" spans="2:6">
      <c r="B9110" s="75"/>
      <c r="C9110" s="75"/>
      <c r="D9110" s="75"/>
      <c r="E9110" s="75"/>
      <c r="F9110" s="75"/>
    </row>
    <row r="9111" spans="2:6">
      <c r="B9111" s="75"/>
      <c r="C9111" s="75"/>
      <c r="D9111" s="75"/>
      <c r="E9111" s="75"/>
      <c r="F9111" s="75"/>
    </row>
    <row r="9112" spans="2:6">
      <c r="B9112" s="75"/>
      <c r="C9112" s="75"/>
      <c r="D9112" s="75"/>
      <c r="E9112" s="75"/>
      <c r="F9112" s="75"/>
    </row>
    <row r="9113" spans="2:6">
      <c r="B9113" s="75"/>
      <c r="C9113" s="75"/>
      <c r="D9113" s="75"/>
      <c r="E9113" s="75"/>
      <c r="F9113" s="75"/>
    </row>
    <row r="9114" spans="2:6">
      <c r="B9114" s="75"/>
      <c r="C9114" s="75"/>
      <c r="D9114" s="75"/>
      <c r="E9114" s="75"/>
      <c r="F9114" s="75"/>
    </row>
    <row r="9115" spans="2:6">
      <c r="B9115" s="75"/>
      <c r="C9115" s="75"/>
      <c r="D9115" s="75"/>
      <c r="E9115" s="75"/>
      <c r="F9115" s="75"/>
    </row>
    <row r="9116" spans="2:6">
      <c r="B9116" s="75"/>
      <c r="C9116" s="75"/>
      <c r="D9116" s="75"/>
      <c r="E9116" s="75"/>
      <c r="F9116" s="75"/>
    </row>
    <row r="9117" spans="2:6">
      <c r="B9117" s="75"/>
      <c r="C9117" s="75"/>
      <c r="D9117" s="75"/>
      <c r="E9117" s="75"/>
      <c r="F9117" s="75"/>
    </row>
    <row r="9118" spans="2:6">
      <c r="B9118" s="75"/>
      <c r="C9118" s="75"/>
      <c r="D9118" s="75"/>
      <c r="E9118" s="75"/>
      <c r="F9118" s="75"/>
    </row>
    <row r="9119" spans="2:6">
      <c r="B9119" s="75"/>
      <c r="C9119" s="75"/>
      <c r="D9119" s="75"/>
      <c r="E9119" s="75"/>
      <c r="F9119" s="75"/>
    </row>
    <row r="9120" spans="2:6">
      <c r="B9120" s="75"/>
      <c r="C9120" s="75"/>
      <c r="D9120" s="75"/>
      <c r="E9120" s="75"/>
      <c r="F9120" s="75"/>
    </row>
    <row r="9121" spans="2:6">
      <c r="B9121" s="75"/>
      <c r="C9121" s="75"/>
      <c r="D9121" s="75"/>
      <c r="E9121" s="75"/>
      <c r="F9121" s="75"/>
    </row>
    <row r="9122" spans="2:6">
      <c r="B9122" s="75"/>
      <c r="C9122" s="75"/>
      <c r="D9122" s="75"/>
      <c r="E9122" s="75"/>
      <c r="F9122" s="75"/>
    </row>
    <row r="9123" spans="2:6">
      <c r="B9123" s="75"/>
      <c r="C9123" s="75"/>
      <c r="D9123" s="75"/>
      <c r="E9123" s="75"/>
      <c r="F9123" s="75"/>
    </row>
    <row r="9124" spans="2:6">
      <c r="B9124" s="75"/>
      <c r="C9124" s="75"/>
      <c r="D9124" s="75"/>
      <c r="E9124" s="75"/>
      <c r="F9124" s="75"/>
    </row>
    <row r="9125" spans="2:6">
      <c r="B9125" s="75"/>
      <c r="C9125" s="75"/>
      <c r="D9125" s="75"/>
      <c r="E9125" s="75"/>
      <c r="F9125" s="75"/>
    </row>
    <row r="9126" spans="2:6">
      <c r="B9126" s="75"/>
      <c r="C9126" s="75"/>
      <c r="D9126" s="75"/>
      <c r="E9126" s="75"/>
      <c r="F9126" s="75"/>
    </row>
    <row r="9127" spans="2:6">
      <c r="B9127" s="75"/>
      <c r="C9127" s="75"/>
      <c r="D9127" s="75"/>
      <c r="E9127" s="75"/>
      <c r="F9127" s="75"/>
    </row>
    <row r="9128" spans="2:6">
      <c r="B9128" s="75"/>
      <c r="C9128" s="75"/>
      <c r="D9128" s="75"/>
      <c r="E9128" s="75"/>
      <c r="F9128" s="75"/>
    </row>
    <row r="9129" spans="2:6">
      <c r="B9129" s="75"/>
      <c r="C9129" s="75"/>
      <c r="D9129" s="75"/>
      <c r="E9129" s="75"/>
      <c r="F9129" s="75"/>
    </row>
    <row r="9130" spans="2:6">
      <c r="B9130" s="75"/>
      <c r="C9130" s="75"/>
      <c r="D9130" s="75"/>
      <c r="E9130" s="75"/>
      <c r="F9130" s="75"/>
    </row>
    <row r="9131" spans="2:6">
      <c r="B9131" s="75"/>
      <c r="C9131" s="75"/>
      <c r="D9131" s="75"/>
      <c r="E9131" s="75"/>
      <c r="F9131" s="75"/>
    </row>
    <row r="9132" spans="2:6">
      <c r="B9132" s="75"/>
      <c r="C9132" s="75"/>
      <c r="D9132" s="75"/>
      <c r="E9132" s="75"/>
      <c r="F9132" s="75"/>
    </row>
    <row r="9133" spans="2:6">
      <c r="B9133" s="75"/>
      <c r="C9133" s="75"/>
      <c r="D9133" s="75"/>
      <c r="E9133" s="75"/>
      <c r="F9133" s="75"/>
    </row>
    <row r="9134" spans="2:6">
      <c r="B9134" s="75"/>
      <c r="C9134" s="75"/>
      <c r="D9134" s="75"/>
      <c r="E9134" s="75"/>
      <c r="F9134" s="75"/>
    </row>
    <row r="9135" spans="2:6">
      <c r="B9135" s="75"/>
      <c r="C9135" s="75"/>
      <c r="D9135" s="75"/>
      <c r="E9135" s="75"/>
      <c r="F9135" s="75"/>
    </row>
    <row r="9136" spans="2:6">
      <c r="B9136" s="75"/>
      <c r="C9136" s="75"/>
      <c r="D9136" s="75"/>
      <c r="E9136" s="75"/>
      <c r="F9136" s="75"/>
    </row>
    <row r="9137" spans="2:6">
      <c r="B9137" s="75"/>
      <c r="C9137" s="75"/>
      <c r="D9137" s="75"/>
      <c r="E9137" s="75"/>
      <c r="F9137" s="75"/>
    </row>
    <row r="9138" spans="2:6">
      <c r="B9138" s="75"/>
      <c r="C9138" s="75"/>
      <c r="D9138" s="75"/>
      <c r="E9138" s="75"/>
      <c r="F9138" s="75"/>
    </row>
    <row r="9139" spans="2:6">
      <c r="B9139" s="75"/>
      <c r="C9139" s="75"/>
      <c r="D9139" s="75"/>
      <c r="E9139" s="75"/>
      <c r="F9139" s="75"/>
    </row>
    <row r="9140" spans="2:6">
      <c r="B9140" s="75"/>
      <c r="C9140" s="75"/>
      <c r="D9140" s="75"/>
      <c r="E9140" s="75"/>
      <c r="F9140" s="75"/>
    </row>
    <row r="9141" spans="2:6">
      <c r="B9141" s="75"/>
      <c r="C9141" s="75"/>
      <c r="D9141" s="75"/>
      <c r="E9141" s="75"/>
      <c r="F9141" s="75"/>
    </row>
    <row r="9142" spans="2:6">
      <c r="B9142" s="75"/>
      <c r="C9142" s="75"/>
      <c r="D9142" s="75"/>
      <c r="E9142" s="75"/>
      <c r="F9142" s="75"/>
    </row>
    <row r="9143" spans="2:6">
      <c r="B9143" s="75"/>
      <c r="C9143" s="75"/>
      <c r="D9143" s="75"/>
      <c r="E9143" s="75"/>
      <c r="F9143" s="75"/>
    </row>
    <row r="9144" spans="2:6">
      <c r="B9144" s="75"/>
      <c r="C9144" s="75"/>
      <c r="D9144" s="75"/>
      <c r="E9144" s="75"/>
      <c r="F9144" s="75"/>
    </row>
    <row r="9145" spans="2:6">
      <c r="B9145" s="75"/>
      <c r="C9145" s="75"/>
      <c r="D9145" s="75"/>
      <c r="E9145" s="75"/>
      <c r="F9145" s="75"/>
    </row>
    <row r="9146" spans="2:6">
      <c r="B9146" s="75"/>
      <c r="C9146" s="75"/>
      <c r="D9146" s="75"/>
      <c r="E9146" s="75"/>
      <c r="F9146" s="75"/>
    </row>
    <row r="9147" spans="2:6">
      <c r="B9147" s="75"/>
      <c r="C9147" s="75"/>
      <c r="D9147" s="75"/>
      <c r="E9147" s="75"/>
      <c r="F9147" s="75"/>
    </row>
    <row r="9148" spans="2:6">
      <c r="B9148" s="75"/>
      <c r="C9148" s="75"/>
      <c r="D9148" s="75"/>
      <c r="E9148" s="75"/>
      <c r="F9148" s="75"/>
    </row>
    <row r="9149" spans="2:6">
      <c r="B9149" s="75"/>
      <c r="C9149" s="75"/>
      <c r="D9149" s="75"/>
      <c r="E9149" s="75"/>
      <c r="F9149" s="75"/>
    </row>
    <row r="9150" spans="2:6">
      <c r="B9150" s="75"/>
      <c r="C9150" s="75"/>
      <c r="D9150" s="75"/>
      <c r="E9150" s="75"/>
      <c r="F9150" s="75"/>
    </row>
    <row r="9151" spans="2:6">
      <c r="B9151" s="75"/>
      <c r="C9151" s="75"/>
      <c r="D9151" s="75"/>
      <c r="E9151" s="75"/>
      <c r="F9151" s="75"/>
    </row>
    <row r="9152" spans="2:6">
      <c r="B9152" s="75"/>
      <c r="C9152" s="75"/>
      <c r="D9152" s="75"/>
      <c r="E9152" s="75"/>
      <c r="F9152" s="75"/>
    </row>
    <row r="9153" spans="2:6">
      <c r="B9153" s="75"/>
      <c r="C9153" s="75"/>
      <c r="D9153" s="75"/>
      <c r="E9153" s="75"/>
      <c r="F9153" s="75"/>
    </row>
    <row r="9154" spans="2:6">
      <c r="B9154" s="75"/>
      <c r="C9154" s="75"/>
      <c r="D9154" s="75"/>
      <c r="E9154" s="75"/>
      <c r="F9154" s="75"/>
    </row>
    <row r="9155" spans="2:6">
      <c r="B9155" s="75"/>
      <c r="C9155" s="75"/>
      <c r="D9155" s="75"/>
      <c r="E9155" s="75"/>
      <c r="F9155" s="75"/>
    </row>
    <row r="9156" spans="2:6">
      <c r="B9156" s="75"/>
      <c r="C9156" s="75"/>
      <c r="D9156" s="75"/>
      <c r="E9156" s="75"/>
      <c r="F9156" s="75"/>
    </row>
    <row r="9157" spans="2:6">
      <c r="B9157" s="75"/>
      <c r="C9157" s="75"/>
      <c r="D9157" s="75"/>
      <c r="E9157" s="75"/>
      <c r="F9157" s="75"/>
    </row>
    <row r="9158" spans="2:6">
      <c r="B9158" s="75"/>
      <c r="C9158" s="75"/>
      <c r="D9158" s="75"/>
      <c r="E9158" s="75"/>
      <c r="F9158" s="75"/>
    </row>
    <row r="9159" spans="2:6">
      <c r="B9159" s="75"/>
      <c r="C9159" s="75"/>
      <c r="D9159" s="75"/>
      <c r="E9159" s="75"/>
      <c r="F9159" s="75"/>
    </row>
    <row r="9160" spans="2:6">
      <c r="B9160" s="75"/>
      <c r="C9160" s="75"/>
      <c r="D9160" s="75"/>
      <c r="E9160" s="75"/>
      <c r="F9160" s="75"/>
    </row>
    <row r="9161" spans="2:6">
      <c r="B9161" s="75"/>
      <c r="C9161" s="75"/>
      <c r="D9161" s="75"/>
      <c r="E9161" s="75"/>
      <c r="F9161" s="75"/>
    </row>
    <row r="9162" spans="2:6">
      <c r="B9162" s="75"/>
      <c r="C9162" s="75"/>
      <c r="D9162" s="75"/>
      <c r="E9162" s="75"/>
      <c r="F9162" s="75"/>
    </row>
    <row r="9163" spans="2:6">
      <c r="B9163" s="75"/>
      <c r="C9163" s="75"/>
      <c r="D9163" s="75"/>
      <c r="E9163" s="75"/>
      <c r="F9163" s="75"/>
    </row>
    <row r="9164" spans="2:6">
      <c r="B9164" s="75"/>
      <c r="C9164" s="75"/>
      <c r="D9164" s="75"/>
      <c r="E9164" s="75"/>
      <c r="F9164" s="75"/>
    </row>
    <row r="9165" spans="2:6">
      <c r="B9165" s="75"/>
      <c r="C9165" s="75"/>
      <c r="D9165" s="75"/>
      <c r="E9165" s="75"/>
      <c r="F9165" s="75"/>
    </row>
    <row r="9166" spans="2:6">
      <c r="B9166" s="75"/>
      <c r="C9166" s="75"/>
      <c r="D9166" s="75"/>
      <c r="E9166" s="75"/>
      <c r="F9166" s="75"/>
    </row>
    <row r="9167" spans="2:6">
      <c r="B9167" s="75"/>
      <c r="C9167" s="75"/>
      <c r="D9167" s="75"/>
      <c r="E9167" s="75"/>
      <c r="F9167" s="75"/>
    </row>
    <row r="9168" spans="2:6">
      <c r="B9168" s="75"/>
      <c r="C9168" s="75"/>
      <c r="D9168" s="75"/>
      <c r="E9168" s="75"/>
      <c r="F9168" s="75"/>
    </row>
    <row r="9169" spans="2:6">
      <c r="B9169" s="75"/>
      <c r="C9169" s="75"/>
      <c r="D9169" s="75"/>
      <c r="E9169" s="75"/>
      <c r="F9169" s="75"/>
    </row>
    <row r="9170" spans="2:6">
      <c r="B9170" s="75"/>
      <c r="C9170" s="75"/>
      <c r="D9170" s="75"/>
      <c r="E9170" s="75"/>
      <c r="F9170" s="75"/>
    </row>
    <row r="9171" spans="2:6">
      <c r="B9171" s="75"/>
      <c r="C9171" s="75"/>
      <c r="D9171" s="75"/>
      <c r="E9171" s="75"/>
      <c r="F9171" s="75"/>
    </row>
    <row r="9172" spans="2:6">
      <c r="B9172" s="75"/>
      <c r="C9172" s="75"/>
      <c r="D9172" s="75"/>
      <c r="E9172" s="75"/>
      <c r="F9172" s="75"/>
    </row>
    <row r="9173" spans="2:6">
      <c r="B9173" s="75"/>
      <c r="C9173" s="75"/>
      <c r="D9173" s="75"/>
      <c r="E9173" s="75"/>
      <c r="F9173" s="75"/>
    </row>
    <row r="9174" spans="2:6">
      <c r="B9174" s="75"/>
      <c r="C9174" s="75"/>
      <c r="D9174" s="75"/>
      <c r="E9174" s="75"/>
      <c r="F9174" s="75"/>
    </row>
    <row r="9175" spans="2:6">
      <c r="B9175" s="75"/>
      <c r="C9175" s="75"/>
      <c r="D9175" s="75"/>
      <c r="E9175" s="75"/>
      <c r="F9175" s="75"/>
    </row>
    <row r="9176" spans="2:6">
      <c r="B9176" s="75"/>
      <c r="C9176" s="75"/>
      <c r="D9176" s="75"/>
      <c r="E9176" s="75"/>
      <c r="F9176" s="75"/>
    </row>
    <row r="9177" spans="2:6">
      <c r="B9177" s="75"/>
      <c r="C9177" s="75"/>
      <c r="D9177" s="75"/>
      <c r="E9177" s="75"/>
      <c r="F9177" s="75"/>
    </row>
    <row r="9178" spans="2:6">
      <c r="B9178" s="75"/>
      <c r="C9178" s="75"/>
      <c r="D9178" s="75"/>
      <c r="E9178" s="75"/>
      <c r="F9178" s="75"/>
    </row>
    <row r="9179" spans="2:6">
      <c r="B9179" s="75"/>
      <c r="C9179" s="75"/>
      <c r="D9179" s="75"/>
      <c r="E9179" s="75"/>
      <c r="F9179" s="75"/>
    </row>
    <row r="9180" spans="2:6">
      <c r="B9180" s="75"/>
      <c r="C9180" s="75"/>
      <c r="D9180" s="75"/>
      <c r="E9180" s="75"/>
      <c r="F9180" s="75"/>
    </row>
    <row r="9181" spans="2:6">
      <c r="B9181" s="75"/>
      <c r="C9181" s="75"/>
      <c r="D9181" s="75"/>
      <c r="E9181" s="75"/>
      <c r="F9181" s="75"/>
    </row>
    <row r="9182" spans="2:6">
      <c r="B9182" s="75"/>
      <c r="C9182" s="75"/>
      <c r="D9182" s="75"/>
      <c r="E9182" s="75"/>
      <c r="F9182" s="75"/>
    </row>
    <row r="9183" spans="2:6">
      <c r="B9183" s="75"/>
      <c r="C9183" s="75"/>
      <c r="D9183" s="75"/>
      <c r="E9183" s="75"/>
      <c r="F9183" s="75"/>
    </row>
    <row r="9184" spans="2:6">
      <c r="B9184" s="75"/>
      <c r="C9184" s="75"/>
      <c r="D9184" s="75"/>
      <c r="E9184" s="75"/>
      <c r="F9184" s="75"/>
    </row>
    <row r="9185" spans="2:6">
      <c r="B9185" s="75"/>
      <c r="C9185" s="75"/>
      <c r="D9185" s="75"/>
      <c r="E9185" s="75"/>
      <c r="F9185" s="75"/>
    </row>
    <row r="9186" spans="2:6">
      <c r="B9186" s="75"/>
      <c r="C9186" s="75"/>
      <c r="D9186" s="75"/>
      <c r="E9186" s="75"/>
      <c r="F9186" s="75"/>
    </row>
    <row r="9187" spans="2:6">
      <c r="B9187" s="75"/>
      <c r="C9187" s="75"/>
      <c r="D9187" s="75"/>
      <c r="E9187" s="75"/>
      <c r="F9187" s="75"/>
    </row>
    <row r="9188" spans="2:6">
      <c r="B9188" s="75"/>
      <c r="C9188" s="75"/>
      <c r="D9188" s="75"/>
      <c r="E9188" s="75"/>
      <c r="F9188" s="75"/>
    </row>
    <row r="9189" spans="2:6">
      <c r="B9189" s="75"/>
      <c r="C9189" s="75"/>
      <c r="D9189" s="75"/>
      <c r="E9189" s="75"/>
      <c r="F9189" s="75"/>
    </row>
    <row r="9190" spans="2:6">
      <c r="B9190" s="75"/>
      <c r="C9190" s="75"/>
      <c r="D9190" s="75"/>
      <c r="E9190" s="75"/>
      <c r="F9190" s="75"/>
    </row>
    <row r="9191" spans="2:6">
      <c r="B9191" s="75"/>
      <c r="C9191" s="75"/>
      <c r="D9191" s="75"/>
      <c r="E9191" s="75"/>
      <c r="F9191" s="75"/>
    </row>
    <row r="9192" spans="2:6">
      <c r="B9192" s="75"/>
      <c r="C9192" s="75"/>
      <c r="D9192" s="75"/>
      <c r="E9192" s="75"/>
      <c r="F9192" s="75"/>
    </row>
    <row r="9193" spans="2:6">
      <c r="B9193" s="75"/>
      <c r="C9193" s="75"/>
      <c r="D9193" s="75"/>
      <c r="E9193" s="75"/>
      <c r="F9193" s="75"/>
    </row>
    <row r="9194" spans="2:6">
      <c r="B9194" s="75"/>
      <c r="C9194" s="75"/>
      <c r="D9194" s="75"/>
      <c r="E9194" s="75"/>
      <c r="F9194" s="75"/>
    </row>
    <row r="9195" spans="2:6">
      <c r="B9195" s="75"/>
      <c r="C9195" s="75"/>
      <c r="D9195" s="75"/>
      <c r="E9195" s="75"/>
      <c r="F9195" s="75"/>
    </row>
    <row r="9196" spans="2:6">
      <c r="B9196" s="75"/>
      <c r="C9196" s="75"/>
      <c r="D9196" s="75"/>
      <c r="E9196" s="75"/>
      <c r="F9196" s="75"/>
    </row>
    <row r="9197" spans="2:6">
      <c r="B9197" s="75"/>
      <c r="C9197" s="75"/>
      <c r="D9197" s="75"/>
      <c r="E9197" s="75"/>
      <c r="F9197" s="75"/>
    </row>
    <row r="9198" spans="2:6">
      <c r="B9198" s="75"/>
      <c r="C9198" s="75"/>
      <c r="D9198" s="75"/>
      <c r="E9198" s="75"/>
      <c r="F9198" s="75"/>
    </row>
    <row r="9199" spans="2:6">
      <c r="B9199" s="75"/>
      <c r="C9199" s="75"/>
      <c r="D9199" s="75"/>
      <c r="E9199" s="75"/>
      <c r="F9199" s="75"/>
    </row>
    <row r="9200" spans="2:6">
      <c r="B9200" s="75"/>
      <c r="C9200" s="75"/>
      <c r="D9200" s="75"/>
      <c r="E9200" s="75"/>
      <c r="F9200" s="75"/>
    </row>
    <row r="9201" spans="2:6">
      <c r="B9201" s="75"/>
      <c r="C9201" s="75"/>
      <c r="D9201" s="75"/>
      <c r="E9201" s="75"/>
      <c r="F9201" s="75"/>
    </row>
    <row r="9202" spans="2:6">
      <c r="B9202" s="75"/>
      <c r="C9202" s="75"/>
      <c r="D9202" s="75"/>
      <c r="E9202" s="75"/>
      <c r="F9202" s="75"/>
    </row>
    <row r="9203" spans="2:6">
      <c r="B9203" s="75"/>
      <c r="C9203" s="75"/>
      <c r="D9203" s="75"/>
      <c r="E9203" s="75"/>
      <c r="F9203" s="75"/>
    </row>
    <row r="9204" spans="2:6">
      <c r="B9204" s="75"/>
      <c r="C9204" s="75"/>
      <c r="D9204" s="75"/>
      <c r="E9204" s="75"/>
      <c r="F9204" s="75"/>
    </row>
    <row r="9205" spans="2:6">
      <c r="B9205" s="75"/>
      <c r="C9205" s="75"/>
      <c r="D9205" s="75"/>
      <c r="E9205" s="75"/>
      <c r="F9205" s="75"/>
    </row>
    <row r="9206" spans="2:6">
      <c r="B9206" s="75"/>
      <c r="C9206" s="75"/>
      <c r="D9206" s="75"/>
      <c r="E9206" s="75"/>
      <c r="F9206" s="75"/>
    </row>
    <row r="9207" spans="2:6">
      <c r="B9207" s="75"/>
      <c r="C9207" s="75"/>
      <c r="D9207" s="75"/>
      <c r="E9207" s="75"/>
      <c r="F9207" s="75"/>
    </row>
    <row r="9208" spans="2:6">
      <c r="B9208" s="75"/>
      <c r="C9208" s="75"/>
      <c r="D9208" s="75"/>
      <c r="E9208" s="75"/>
      <c r="F9208" s="75"/>
    </row>
    <row r="9209" spans="2:6">
      <c r="B9209" s="75"/>
      <c r="C9209" s="75"/>
      <c r="D9209" s="75"/>
      <c r="E9209" s="75"/>
      <c r="F9209" s="75"/>
    </row>
    <row r="9210" spans="2:6">
      <c r="B9210" s="75"/>
      <c r="C9210" s="75"/>
      <c r="D9210" s="75"/>
      <c r="E9210" s="75"/>
      <c r="F9210" s="75"/>
    </row>
    <row r="9211" spans="2:6">
      <c r="B9211" s="75"/>
      <c r="C9211" s="75"/>
      <c r="D9211" s="75"/>
      <c r="E9211" s="75"/>
      <c r="F9211" s="75"/>
    </row>
    <row r="9212" spans="2:6">
      <c r="B9212" s="75"/>
      <c r="C9212" s="75"/>
      <c r="D9212" s="75"/>
      <c r="E9212" s="75"/>
      <c r="F9212" s="75"/>
    </row>
    <row r="9213" spans="2:6">
      <c r="B9213" s="75"/>
      <c r="C9213" s="75"/>
      <c r="D9213" s="75"/>
      <c r="E9213" s="75"/>
      <c r="F9213" s="75"/>
    </row>
    <row r="9214" spans="2:6">
      <c r="B9214" s="75"/>
      <c r="C9214" s="75"/>
      <c r="D9214" s="75"/>
      <c r="E9214" s="75"/>
      <c r="F9214" s="75"/>
    </row>
    <row r="9215" spans="2:6">
      <c r="B9215" s="75"/>
      <c r="C9215" s="75"/>
      <c r="D9215" s="75"/>
      <c r="E9215" s="75"/>
      <c r="F9215" s="75"/>
    </row>
    <row r="9216" spans="2:6">
      <c r="B9216" s="75"/>
      <c r="C9216" s="75"/>
      <c r="D9216" s="75"/>
      <c r="E9216" s="75"/>
      <c r="F9216" s="75"/>
    </row>
    <row r="9217" spans="2:6">
      <c r="B9217" s="75"/>
      <c r="C9217" s="75"/>
      <c r="D9217" s="75"/>
      <c r="E9217" s="75"/>
      <c r="F9217" s="75"/>
    </row>
    <row r="9218" spans="2:6">
      <c r="B9218" s="75"/>
      <c r="C9218" s="75"/>
      <c r="D9218" s="75"/>
      <c r="E9218" s="75"/>
      <c r="F9218" s="75"/>
    </row>
    <row r="9219" spans="2:6">
      <c r="B9219" s="75"/>
      <c r="C9219" s="75"/>
      <c r="D9219" s="75"/>
      <c r="E9219" s="75"/>
      <c r="F9219" s="75"/>
    </row>
    <row r="9220" spans="2:6">
      <c r="B9220" s="75"/>
      <c r="C9220" s="75"/>
      <c r="D9220" s="75"/>
      <c r="E9220" s="75"/>
      <c r="F9220" s="75"/>
    </row>
    <row r="9221" spans="2:6">
      <c r="B9221" s="75"/>
      <c r="C9221" s="75"/>
      <c r="D9221" s="75"/>
      <c r="E9221" s="75"/>
      <c r="F9221" s="75"/>
    </row>
    <row r="9222" spans="2:6">
      <c r="B9222" s="75"/>
      <c r="C9222" s="75"/>
      <c r="D9222" s="75"/>
      <c r="E9222" s="75"/>
      <c r="F9222" s="75"/>
    </row>
    <row r="9223" spans="2:6">
      <c r="B9223" s="75"/>
      <c r="C9223" s="75"/>
      <c r="D9223" s="75"/>
      <c r="E9223" s="75"/>
      <c r="F9223" s="75"/>
    </row>
    <row r="9224" spans="2:6">
      <c r="B9224" s="75"/>
      <c r="C9224" s="75"/>
      <c r="D9224" s="75"/>
      <c r="E9224" s="75"/>
      <c r="F9224" s="75"/>
    </row>
    <row r="9225" spans="2:6">
      <c r="B9225" s="75"/>
      <c r="C9225" s="75"/>
      <c r="D9225" s="75"/>
      <c r="E9225" s="75"/>
      <c r="F9225" s="75"/>
    </row>
    <row r="9226" spans="2:6">
      <c r="B9226" s="75"/>
      <c r="C9226" s="75"/>
      <c r="D9226" s="75"/>
      <c r="E9226" s="75"/>
      <c r="F9226" s="75"/>
    </row>
    <row r="9227" spans="2:6">
      <c r="B9227" s="75"/>
      <c r="C9227" s="75"/>
      <c r="D9227" s="75"/>
      <c r="E9227" s="75"/>
      <c r="F9227" s="75"/>
    </row>
    <row r="9228" spans="2:6">
      <c r="B9228" s="75"/>
      <c r="C9228" s="75"/>
      <c r="D9228" s="75"/>
      <c r="E9228" s="75"/>
      <c r="F9228" s="75"/>
    </row>
    <row r="9229" spans="2:6">
      <c r="B9229" s="75"/>
      <c r="C9229" s="75"/>
      <c r="D9229" s="75"/>
      <c r="E9229" s="75"/>
      <c r="F9229" s="75"/>
    </row>
    <row r="9230" spans="2:6">
      <c r="B9230" s="75"/>
      <c r="C9230" s="75"/>
      <c r="D9230" s="75"/>
      <c r="E9230" s="75"/>
      <c r="F9230" s="75"/>
    </row>
    <row r="9231" spans="2:6">
      <c r="B9231" s="75"/>
      <c r="C9231" s="75"/>
      <c r="D9231" s="75"/>
      <c r="E9231" s="75"/>
      <c r="F9231" s="75"/>
    </row>
    <row r="9232" spans="2:6">
      <c r="B9232" s="75"/>
      <c r="C9232" s="75"/>
      <c r="D9232" s="75"/>
      <c r="E9232" s="75"/>
      <c r="F9232" s="75"/>
    </row>
    <row r="9233" spans="2:6">
      <c r="B9233" s="75"/>
      <c r="C9233" s="75"/>
      <c r="D9233" s="75"/>
      <c r="E9233" s="75"/>
      <c r="F9233" s="75"/>
    </row>
    <row r="9234" spans="2:6">
      <c r="B9234" s="75"/>
      <c r="C9234" s="75"/>
      <c r="D9234" s="75"/>
      <c r="E9234" s="75"/>
      <c r="F9234" s="75"/>
    </row>
    <row r="9235" spans="2:6">
      <c r="B9235" s="75"/>
      <c r="C9235" s="75"/>
      <c r="D9235" s="75"/>
      <c r="E9235" s="75"/>
      <c r="F9235" s="75"/>
    </row>
    <row r="9236" spans="2:6">
      <c r="B9236" s="75"/>
      <c r="C9236" s="75"/>
      <c r="D9236" s="75"/>
      <c r="E9236" s="75"/>
      <c r="F9236" s="75"/>
    </row>
    <row r="9237" spans="2:6">
      <c r="B9237" s="75"/>
      <c r="C9237" s="75"/>
      <c r="D9237" s="75"/>
      <c r="E9237" s="75"/>
      <c r="F9237" s="75"/>
    </row>
    <row r="9238" spans="2:6">
      <c r="B9238" s="75"/>
      <c r="C9238" s="75"/>
      <c r="D9238" s="75"/>
      <c r="E9238" s="75"/>
      <c r="F9238" s="75"/>
    </row>
    <row r="9239" spans="2:6">
      <c r="B9239" s="75"/>
      <c r="C9239" s="75"/>
      <c r="D9239" s="75"/>
      <c r="E9239" s="75"/>
      <c r="F9239" s="75"/>
    </row>
    <row r="9240" spans="2:6">
      <c r="B9240" s="75"/>
      <c r="C9240" s="75"/>
      <c r="D9240" s="75"/>
      <c r="E9240" s="75"/>
      <c r="F9240" s="75"/>
    </row>
    <row r="9241" spans="2:6">
      <c r="B9241" s="75"/>
      <c r="C9241" s="75"/>
      <c r="D9241" s="75"/>
      <c r="E9241" s="75"/>
      <c r="F9241" s="75"/>
    </row>
    <row r="9242" spans="2:6">
      <c r="B9242" s="75"/>
      <c r="C9242" s="75"/>
      <c r="D9242" s="75"/>
      <c r="E9242" s="75"/>
      <c r="F9242" s="75"/>
    </row>
    <row r="9243" spans="2:6">
      <c r="B9243" s="75"/>
      <c r="C9243" s="75"/>
      <c r="D9243" s="75"/>
      <c r="E9243" s="75"/>
      <c r="F9243" s="75"/>
    </row>
    <row r="9244" spans="2:6">
      <c r="B9244" s="75"/>
      <c r="C9244" s="75"/>
      <c r="D9244" s="75"/>
      <c r="E9244" s="75"/>
      <c r="F9244" s="75"/>
    </row>
    <row r="9245" spans="2:6">
      <c r="B9245" s="75"/>
      <c r="C9245" s="75"/>
      <c r="D9245" s="75"/>
      <c r="E9245" s="75"/>
      <c r="F9245" s="75"/>
    </row>
    <row r="9246" spans="2:6">
      <c r="B9246" s="75"/>
      <c r="C9246" s="75"/>
      <c r="D9246" s="75"/>
      <c r="E9246" s="75"/>
      <c r="F9246" s="75"/>
    </row>
    <row r="9247" spans="2:6">
      <c r="B9247" s="75"/>
      <c r="C9247" s="75"/>
      <c r="D9247" s="75"/>
      <c r="E9247" s="75"/>
      <c r="F9247" s="75"/>
    </row>
    <row r="9248" spans="2:6">
      <c r="B9248" s="75"/>
      <c r="C9248" s="75"/>
      <c r="D9248" s="75"/>
      <c r="E9248" s="75"/>
      <c r="F9248" s="75"/>
    </row>
    <row r="9249" spans="2:6">
      <c r="B9249" s="75"/>
      <c r="C9249" s="75"/>
      <c r="D9249" s="75"/>
      <c r="E9249" s="75"/>
      <c r="F9249" s="75"/>
    </row>
    <row r="9250" spans="2:6">
      <c r="B9250" s="75"/>
      <c r="C9250" s="75"/>
      <c r="D9250" s="75"/>
      <c r="E9250" s="75"/>
      <c r="F9250" s="75"/>
    </row>
    <row r="9251" spans="2:6">
      <c r="B9251" s="75"/>
      <c r="C9251" s="75"/>
      <c r="D9251" s="75"/>
      <c r="E9251" s="75"/>
      <c r="F9251" s="75"/>
    </row>
    <row r="9252" spans="2:6">
      <c r="B9252" s="75"/>
      <c r="C9252" s="75"/>
      <c r="D9252" s="75"/>
      <c r="E9252" s="75"/>
      <c r="F9252" s="75"/>
    </row>
    <row r="9253" spans="2:6">
      <c r="B9253" s="75"/>
      <c r="C9253" s="75"/>
      <c r="D9253" s="75"/>
      <c r="E9253" s="75"/>
      <c r="F9253" s="75"/>
    </row>
    <row r="9254" spans="2:6">
      <c r="B9254" s="75"/>
      <c r="C9254" s="75"/>
      <c r="D9254" s="75"/>
      <c r="E9254" s="75"/>
      <c r="F9254" s="75"/>
    </row>
    <row r="9255" spans="2:6">
      <c r="B9255" s="75"/>
      <c r="C9255" s="75"/>
      <c r="D9255" s="75"/>
      <c r="E9255" s="75"/>
      <c r="F9255" s="75"/>
    </row>
    <row r="9256" spans="2:6">
      <c r="B9256" s="75"/>
      <c r="C9256" s="75"/>
      <c r="D9256" s="75"/>
      <c r="E9256" s="75"/>
      <c r="F9256" s="75"/>
    </row>
    <row r="9257" spans="2:6">
      <c r="B9257" s="75"/>
      <c r="C9257" s="75"/>
      <c r="D9257" s="75"/>
      <c r="E9257" s="75"/>
      <c r="F9257" s="75"/>
    </row>
    <row r="9258" spans="2:6">
      <c r="B9258" s="75"/>
      <c r="C9258" s="75"/>
      <c r="D9258" s="75"/>
      <c r="E9258" s="75"/>
      <c r="F9258" s="75"/>
    </row>
    <row r="9259" spans="2:6">
      <c r="B9259" s="75"/>
      <c r="C9259" s="75"/>
      <c r="D9259" s="75"/>
      <c r="E9259" s="75"/>
      <c r="F9259" s="75"/>
    </row>
    <row r="9260" spans="2:6">
      <c r="B9260" s="75"/>
      <c r="C9260" s="75"/>
      <c r="D9260" s="75"/>
      <c r="E9260" s="75"/>
      <c r="F9260" s="75"/>
    </row>
    <row r="9261" spans="2:6">
      <c r="B9261" s="75"/>
      <c r="C9261" s="75"/>
      <c r="D9261" s="75"/>
      <c r="E9261" s="75"/>
      <c r="F9261" s="75"/>
    </row>
    <row r="9262" spans="2:6">
      <c r="B9262" s="75"/>
      <c r="C9262" s="75"/>
      <c r="D9262" s="75"/>
      <c r="E9262" s="75"/>
      <c r="F9262" s="75"/>
    </row>
    <row r="9263" spans="2:6">
      <c r="B9263" s="75"/>
      <c r="C9263" s="75"/>
      <c r="D9263" s="75"/>
      <c r="E9263" s="75"/>
      <c r="F9263" s="75"/>
    </row>
    <row r="9264" spans="2:6">
      <c r="B9264" s="75"/>
      <c r="C9264" s="75"/>
      <c r="D9264" s="75"/>
      <c r="E9264" s="75"/>
      <c r="F9264" s="75"/>
    </row>
    <row r="9265" spans="2:6">
      <c r="B9265" s="75"/>
      <c r="C9265" s="75"/>
      <c r="D9265" s="75"/>
      <c r="E9265" s="75"/>
      <c r="F9265" s="75"/>
    </row>
    <row r="9266" spans="2:6">
      <c r="B9266" s="75"/>
      <c r="C9266" s="75"/>
      <c r="D9266" s="75"/>
      <c r="E9266" s="75"/>
      <c r="F9266" s="75"/>
    </row>
    <row r="9267" spans="2:6">
      <c r="B9267" s="75"/>
      <c r="C9267" s="75"/>
      <c r="D9267" s="75"/>
      <c r="E9267" s="75"/>
      <c r="F9267" s="75"/>
    </row>
    <row r="9268" spans="2:6">
      <c r="B9268" s="75"/>
      <c r="C9268" s="75"/>
      <c r="D9268" s="75"/>
      <c r="E9268" s="75"/>
      <c r="F9268" s="75"/>
    </row>
    <row r="9269" spans="2:6">
      <c r="B9269" s="75"/>
      <c r="C9269" s="75"/>
      <c r="D9269" s="75"/>
      <c r="E9269" s="75"/>
      <c r="F9269" s="75"/>
    </row>
    <row r="9270" spans="2:6">
      <c r="B9270" s="75"/>
      <c r="C9270" s="75"/>
      <c r="D9270" s="75"/>
      <c r="E9270" s="75"/>
      <c r="F9270" s="75"/>
    </row>
    <row r="9271" spans="2:6">
      <c r="B9271" s="75"/>
      <c r="C9271" s="75"/>
      <c r="D9271" s="75"/>
      <c r="E9271" s="75"/>
      <c r="F9271" s="75"/>
    </row>
    <row r="9272" spans="2:6">
      <c r="B9272" s="75"/>
      <c r="C9272" s="75"/>
      <c r="D9272" s="75"/>
      <c r="E9272" s="75"/>
      <c r="F9272" s="75"/>
    </row>
    <row r="9273" spans="2:6">
      <c r="B9273" s="75"/>
      <c r="C9273" s="75"/>
      <c r="D9273" s="75"/>
      <c r="E9273" s="75"/>
      <c r="F9273" s="75"/>
    </row>
    <row r="9274" spans="2:6">
      <c r="B9274" s="75"/>
      <c r="C9274" s="75"/>
      <c r="D9274" s="75"/>
      <c r="E9274" s="75"/>
      <c r="F9274" s="75"/>
    </row>
    <row r="9275" spans="2:6">
      <c r="B9275" s="75"/>
      <c r="C9275" s="75"/>
      <c r="D9275" s="75"/>
      <c r="E9275" s="75"/>
      <c r="F9275" s="75"/>
    </row>
    <row r="9276" spans="2:6">
      <c r="B9276" s="75"/>
      <c r="C9276" s="75"/>
      <c r="D9276" s="75"/>
      <c r="E9276" s="75"/>
      <c r="F9276" s="75"/>
    </row>
    <row r="9277" spans="2:6">
      <c r="B9277" s="75"/>
      <c r="C9277" s="75"/>
      <c r="D9277" s="75"/>
      <c r="E9277" s="75"/>
      <c r="F9277" s="75"/>
    </row>
    <row r="9278" spans="2:6">
      <c r="B9278" s="75"/>
      <c r="C9278" s="75"/>
      <c r="D9278" s="75"/>
      <c r="E9278" s="75"/>
      <c r="F9278" s="75"/>
    </row>
    <row r="9279" spans="2:6">
      <c r="B9279" s="75"/>
      <c r="C9279" s="75"/>
      <c r="D9279" s="75"/>
      <c r="E9279" s="75"/>
      <c r="F9279" s="75"/>
    </row>
    <row r="9280" spans="2:6">
      <c r="B9280" s="75"/>
      <c r="C9280" s="75"/>
      <c r="D9280" s="75"/>
      <c r="E9280" s="75"/>
      <c r="F9280" s="75"/>
    </row>
    <row r="9281" spans="2:6">
      <c r="B9281" s="75"/>
      <c r="C9281" s="75"/>
      <c r="D9281" s="75"/>
      <c r="E9281" s="75"/>
      <c r="F9281" s="75"/>
    </row>
    <row r="9282" spans="2:6">
      <c r="B9282" s="75"/>
      <c r="C9282" s="75"/>
      <c r="D9282" s="75"/>
      <c r="E9282" s="75"/>
      <c r="F9282" s="75"/>
    </row>
    <row r="9283" spans="2:6">
      <c r="B9283" s="75"/>
      <c r="C9283" s="75"/>
      <c r="D9283" s="75"/>
      <c r="E9283" s="75"/>
      <c r="F9283" s="75"/>
    </row>
    <row r="9284" spans="2:6">
      <c r="B9284" s="75"/>
      <c r="C9284" s="75"/>
      <c r="D9284" s="75"/>
      <c r="E9284" s="75"/>
      <c r="F9284" s="75"/>
    </row>
    <row r="9285" spans="2:6">
      <c r="B9285" s="75"/>
      <c r="C9285" s="75"/>
      <c r="D9285" s="75"/>
      <c r="E9285" s="75"/>
      <c r="F9285" s="75"/>
    </row>
    <row r="9286" spans="2:6">
      <c r="B9286" s="75"/>
      <c r="C9286" s="75"/>
      <c r="D9286" s="75"/>
      <c r="E9286" s="75"/>
      <c r="F9286" s="75"/>
    </row>
    <row r="9287" spans="2:6">
      <c r="B9287" s="75"/>
      <c r="C9287" s="75"/>
      <c r="D9287" s="75"/>
      <c r="E9287" s="75"/>
      <c r="F9287" s="75"/>
    </row>
    <row r="9288" spans="2:6">
      <c r="B9288" s="75"/>
      <c r="C9288" s="75"/>
      <c r="D9288" s="75"/>
      <c r="E9288" s="75"/>
      <c r="F9288" s="75"/>
    </row>
    <row r="9289" spans="2:6">
      <c r="B9289" s="75"/>
      <c r="C9289" s="75"/>
      <c r="D9289" s="75"/>
      <c r="E9289" s="75"/>
      <c r="F9289" s="75"/>
    </row>
    <row r="9290" spans="2:6">
      <c r="B9290" s="75"/>
      <c r="C9290" s="75"/>
      <c r="D9290" s="75"/>
      <c r="E9290" s="75"/>
      <c r="F9290" s="75"/>
    </row>
    <row r="9291" spans="2:6">
      <c r="B9291" s="75"/>
      <c r="C9291" s="75"/>
      <c r="D9291" s="75"/>
      <c r="E9291" s="75"/>
      <c r="F9291" s="75"/>
    </row>
    <row r="9292" spans="2:6">
      <c r="B9292" s="75"/>
      <c r="C9292" s="75"/>
      <c r="D9292" s="75"/>
      <c r="E9292" s="75"/>
      <c r="F9292" s="75"/>
    </row>
    <row r="9293" spans="2:6">
      <c r="B9293" s="75"/>
      <c r="C9293" s="75"/>
      <c r="D9293" s="75"/>
      <c r="E9293" s="75"/>
      <c r="F9293" s="75"/>
    </row>
    <row r="9294" spans="2:6">
      <c r="B9294" s="75"/>
      <c r="C9294" s="75"/>
      <c r="D9294" s="75"/>
      <c r="E9294" s="75"/>
      <c r="F9294" s="75"/>
    </row>
    <row r="9295" spans="2:6">
      <c r="B9295" s="75"/>
      <c r="C9295" s="75"/>
      <c r="D9295" s="75"/>
      <c r="E9295" s="75"/>
      <c r="F9295" s="75"/>
    </row>
    <row r="9296" spans="2:6">
      <c r="B9296" s="75"/>
      <c r="C9296" s="75"/>
      <c r="D9296" s="75"/>
      <c r="E9296" s="75"/>
      <c r="F9296" s="75"/>
    </row>
    <row r="9297" spans="2:6">
      <c r="B9297" s="75"/>
      <c r="C9297" s="75"/>
      <c r="D9297" s="75"/>
      <c r="E9297" s="75"/>
      <c r="F9297" s="75"/>
    </row>
    <row r="9298" spans="2:6">
      <c r="B9298" s="75"/>
      <c r="C9298" s="75"/>
      <c r="D9298" s="75"/>
      <c r="E9298" s="75"/>
      <c r="F9298" s="75"/>
    </row>
    <row r="9299" spans="2:6">
      <c r="B9299" s="75"/>
      <c r="C9299" s="75"/>
      <c r="D9299" s="75"/>
      <c r="E9299" s="75"/>
      <c r="F9299" s="75"/>
    </row>
    <row r="9300" spans="2:6">
      <c r="B9300" s="75"/>
      <c r="C9300" s="75"/>
      <c r="D9300" s="75"/>
      <c r="E9300" s="75"/>
      <c r="F9300" s="75"/>
    </row>
    <row r="9301" spans="2:6">
      <c r="B9301" s="75"/>
      <c r="C9301" s="75"/>
      <c r="D9301" s="75"/>
      <c r="E9301" s="75"/>
      <c r="F9301" s="75"/>
    </row>
    <row r="9302" spans="2:6">
      <c r="B9302" s="75"/>
      <c r="C9302" s="75"/>
      <c r="D9302" s="75"/>
      <c r="E9302" s="75"/>
      <c r="F9302" s="75"/>
    </row>
    <row r="9303" spans="2:6">
      <c r="B9303" s="75"/>
      <c r="C9303" s="75"/>
      <c r="D9303" s="75"/>
      <c r="E9303" s="75"/>
      <c r="F9303" s="75"/>
    </row>
    <row r="9304" spans="2:6">
      <c r="B9304" s="75"/>
      <c r="C9304" s="75"/>
      <c r="D9304" s="75"/>
      <c r="E9304" s="75"/>
      <c r="F9304" s="75"/>
    </row>
    <row r="9305" spans="2:6">
      <c r="B9305" s="75"/>
      <c r="C9305" s="75"/>
      <c r="D9305" s="75"/>
      <c r="E9305" s="75"/>
      <c r="F9305" s="75"/>
    </row>
    <row r="9306" spans="2:6">
      <c r="B9306" s="75"/>
      <c r="C9306" s="75"/>
      <c r="D9306" s="75"/>
      <c r="E9306" s="75"/>
      <c r="F9306" s="75"/>
    </row>
    <row r="9307" spans="2:6">
      <c r="B9307" s="75"/>
      <c r="C9307" s="75"/>
      <c r="D9307" s="75"/>
      <c r="E9307" s="75"/>
      <c r="F9307" s="75"/>
    </row>
    <row r="9308" spans="2:6">
      <c r="B9308" s="75"/>
      <c r="C9308" s="75"/>
      <c r="D9308" s="75"/>
      <c r="E9308" s="75"/>
      <c r="F9308" s="75"/>
    </row>
    <row r="9309" spans="2:6">
      <c r="B9309" s="75"/>
      <c r="C9309" s="75"/>
      <c r="D9309" s="75"/>
      <c r="E9309" s="75"/>
      <c r="F9309" s="75"/>
    </row>
    <row r="9310" spans="2:6">
      <c r="B9310" s="75"/>
      <c r="C9310" s="75"/>
      <c r="D9310" s="75"/>
      <c r="E9310" s="75"/>
      <c r="F9310" s="75"/>
    </row>
    <row r="9311" spans="2:6">
      <c r="B9311" s="75"/>
      <c r="C9311" s="75"/>
      <c r="D9311" s="75"/>
      <c r="E9311" s="75"/>
      <c r="F9311" s="75"/>
    </row>
    <row r="9312" spans="2:6">
      <c r="B9312" s="75"/>
      <c r="C9312" s="75"/>
      <c r="D9312" s="75"/>
      <c r="E9312" s="75"/>
      <c r="F9312" s="75"/>
    </row>
    <row r="9313" spans="2:6">
      <c r="B9313" s="75"/>
      <c r="C9313" s="75"/>
      <c r="D9313" s="75"/>
      <c r="E9313" s="75"/>
      <c r="F9313" s="75"/>
    </row>
    <row r="9314" spans="2:6">
      <c r="B9314" s="75"/>
      <c r="C9314" s="75"/>
      <c r="D9314" s="75"/>
      <c r="E9314" s="75"/>
      <c r="F9314" s="75"/>
    </row>
    <row r="9315" spans="2:6">
      <c r="B9315" s="75"/>
      <c r="C9315" s="75"/>
      <c r="D9315" s="75"/>
      <c r="E9315" s="75"/>
      <c r="F9315" s="75"/>
    </row>
    <row r="9316" spans="2:6">
      <c r="B9316" s="75"/>
      <c r="C9316" s="75"/>
      <c r="D9316" s="75"/>
      <c r="E9316" s="75"/>
      <c r="F9316" s="75"/>
    </row>
    <row r="9317" spans="2:6">
      <c r="B9317" s="75"/>
      <c r="C9317" s="75"/>
      <c r="D9317" s="75"/>
      <c r="E9317" s="75"/>
      <c r="F9317" s="75"/>
    </row>
    <row r="9318" spans="2:6">
      <c r="B9318" s="75"/>
      <c r="C9318" s="75"/>
      <c r="D9318" s="75"/>
      <c r="E9318" s="75"/>
      <c r="F9318" s="75"/>
    </row>
    <row r="9319" spans="2:6">
      <c r="B9319" s="75"/>
      <c r="C9319" s="75"/>
      <c r="D9319" s="75"/>
      <c r="E9319" s="75"/>
      <c r="F9319" s="75"/>
    </row>
    <row r="9320" spans="2:6">
      <c r="B9320" s="75"/>
      <c r="C9320" s="75"/>
      <c r="D9320" s="75"/>
      <c r="E9320" s="75"/>
      <c r="F9320" s="75"/>
    </row>
    <row r="9321" spans="2:6">
      <c r="B9321" s="75"/>
      <c r="C9321" s="75"/>
      <c r="D9321" s="75"/>
      <c r="E9321" s="75"/>
      <c r="F9321" s="75"/>
    </row>
    <row r="9322" spans="2:6">
      <c r="B9322" s="75"/>
      <c r="C9322" s="75"/>
      <c r="D9322" s="75"/>
      <c r="E9322" s="75"/>
      <c r="F9322" s="75"/>
    </row>
    <row r="9323" spans="2:6">
      <c r="B9323" s="75"/>
      <c r="C9323" s="75"/>
      <c r="D9323" s="75"/>
      <c r="E9323" s="75"/>
      <c r="F9323" s="75"/>
    </row>
    <row r="9324" spans="2:6">
      <c r="B9324" s="75"/>
      <c r="C9324" s="75"/>
      <c r="D9324" s="75"/>
      <c r="E9324" s="75"/>
      <c r="F9324" s="75"/>
    </row>
    <row r="9325" spans="2:6">
      <c r="B9325" s="75"/>
      <c r="C9325" s="75"/>
      <c r="D9325" s="75"/>
      <c r="E9325" s="75"/>
      <c r="F9325" s="75"/>
    </row>
    <row r="9326" spans="2:6">
      <c r="B9326" s="75"/>
      <c r="C9326" s="75"/>
      <c r="D9326" s="75"/>
      <c r="E9326" s="75"/>
      <c r="F9326" s="75"/>
    </row>
    <row r="9327" spans="2:6">
      <c r="B9327" s="75"/>
      <c r="C9327" s="75"/>
      <c r="D9327" s="75"/>
      <c r="E9327" s="75"/>
      <c r="F9327" s="75"/>
    </row>
    <row r="9328" spans="2:6">
      <c r="B9328" s="75"/>
      <c r="C9328" s="75"/>
      <c r="D9328" s="75"/>
      <c r="E9328" s="75"/>
      <c r="F9328" s="75"/>
    </row>
    <row r="9329" spans="2:6">
      <c r="B9329" s="75"/>
      <c r="C9329" s="75"/>
      <c r="D9329" s="75"/>
      <c r="E9329" s="75"/>
      <c r="F9329" s="75"/>
    </row>
    <row r="9330" spans="2:6">
      <c r="B9330" s="75"/>
      <c r="C9330" s="75"/>
      <c r="D9330" s="75"/>
      <c r="E9330" s="75"/>
      <c r="F9330" s="75"/>
    </row>
    <row r="9331" spans="2:6">
      <c r="B9331" s="75"/>
      <c r="C9331" s="75"/>
      <c r="D9331" s="75"/>
      <c r="E9331" s="75"/>
      <c r="F9331" s="75"/>
    </row>
    <row r="9332" spans="2:6">
      <c r="B9332" s="75"/>
      <c r="C9332" s="75"/>
      <c r="D9332" s="75"/>
      <c r="E9332" s="75"/>
      <c r="F9332" s="75"/>
    </row>
    <row r="9333" spans="2:6">
      <c r="B9333" s="75"/>
      <c r="C9333" s="75"/>
      <c r="D9333" s="75"/>
      <c r="E9333" s="75"/>
      <c r="F9333" s="75"/>
    </row>
    <row r="9334" spans="2:6">
      <c r="B9334" s="75"/>
      <c r="C9334" s="75"/>
      <c r="D9334" s="75"/>
      <c r="E9334" s="75"/>
      <c r="F9334" s="75"/>
    </row>
    <row r="9335" spans="2:6">
      <c r="B9335" s="75"/>
      <c r="C9335" s="75"/>
      <c r="D9335" s="75"/>
      <c r="E9335" s="75"/>
      <c r="F9335" s="75"/>
    </row>
    <row r="9336" spans="2:6">
      <c r="B9336" s="75"/>
      <c r="C9336" s="75"/>
      <c r="D9336" s="75"/>
      <c r="E9336" s="75"/>
      <c r="F9336" s="75"/>
    </row>
    <row r="9337" spans="2:6">
      <c r="B9337" s="75"/>
      <c r="C9337" s="75"/>
      <c r="D9337" s="75"/>
      <c r="E9337" s="75"/>
      <c r="F9337" s="75"/>
    </row>
    <row r="9338" spans="2:6">
      <c r="B9338" s="75"/>
      <c r="C9338" s="75"/>
      <c r="D9338" s="75"/>
      <c r="E9338" s="75"/>
      <c r="F9338" s="75"/>
    </row>
    <row r="9339" spans="2:6">
      <c r="B9339" s="75"/>
      <c r="C9339" s="75"/>
      <c r="D9339" s="75"/>
      <c r="E9339" s="75"/>
      <c r="F9339" s="75"/>
    </row>
    <row r="9340" spans="2:6">
      <c r="B9340" s="75"/>
      <c r="C9340" s="75"/>
      <c r="D9340" s="75"/>
      <c r="E9340" s="75"/>
      <c r="F9340" s="75"/>
    </row>
    <row r="9341" spans="2:6">
      <c r="B9341" s="75"/>
      <c r="C9341" s="75"/>
      <c r="D9341" s="75"/>
      <c r="E9341" s="75"/>
      <c r="F9341" s="75"/>
    </row>
    <row r="9342" spans="2:6">
      <c r="B9342" s="75"/>
      <c r="C9342" s="75"/>
      <c r="D9342" s="75"/>
      <c r="E9342" s="75"/>
      <c r="F9342" s="75"/>
    </row>
    <row r="9343" spans="2:6">
      <c r="B9343" s="75"/>
      <c r="C9343" s="75"/>
      <c r="D9343" s="75"/>
      <c r="E9343" s="75"/>
      <c r="F9343" s="75"/>
    </row>
    <row r="9344" spans="2:6">
      <c r="B9344" s="75"/>
      <c r="C9344" s="75"/>
      <c r="D9344" s="75"/>
      <c r="E9344" s="75"/>
      <c r="F9344" s="75"/>
    </row>
    <row r="9345" spans="2:6">
      <c r="B9345" s="75"/>
      <c r="C9345" s="75"/>
      <c r="D9345" s="75"/>
      <c r="E9345" s="75"/>
      <c r="F9345" s="75"/>
    </row>
    <row r="9346" spans="2:6">
      <c r="B9346" s="75"/>
      <c r="C9346" s="75"/>
      <c r="D9346" s="75"/>
      <c r="E9346" s="75"/>
      <c r="F9346" s="75"/>
    </row>
    <row r="9347" spans="2:6">
      <c r="B9347" s="75"/>
      <c r="C9347" s="75"/>
      <c r="D9347" s="75"/>
      <c r="E9347" s="75"/>
      <c r="F9347" s="75"/>
    </row>
    <row r="9348" spans="2:6">
      <c r="B9348" s="75"/>
      <c r="C9348" s="75"/>
      <c r="D9348" s="75"/>
      <c r="E9348" s="75"/>
      <c r="F9348" s="75"/>
    </row>
    <row r="9349" spans="2:6">
      <c r="B9349" s="75"/>
      <c r="C9349" s="75"/>
      <c r="D9349" s="75"/>
      <c r="E9349" s="75"/>
      <c r="F9349" s="75"/>
    </row>
    <row r="9350" spans="2:6">
      <c r="B9350" s="75"/>
      <c r="C9350" s="75"/>
      <c r="D9350" s="75"/>
      <c r="E9350" s="75"/>
      <c r="F9350" s="75"/>
    </row>
    <row r="9351" spans="2:6">
      <c r="B9351" s="75"/>
      <c r="C9351" s="75"/>
      <c r="D9351" s="75"/>
      <c r="E9351" s="75"/>
      <c r="F9351" s="75"/>
    </row>
    <row r="9352" spans="2:6">
      <c r="B9352" s="75"/>
      <c r="C9352" s="75"/>
      <c r="D9352" s="75"/>
      <c r="E9352" s="75"/>
      <c r="F9352" s="75"/>
    </row>
    <row r="9353" spans="2:6">
      <c r="B9353" s="75"/>
      <c r="C9353" s="75"/>
      <c r="D9353" s="75"/>
      <c r="E9353" s="75"/>
      <c r="F9353" s="75"/>
    </row>
    <row r="9354" spans="2:6">
      <c r="B9354" s="75"/>
      <c r="C9354" s="75"/>
      <c r="D9354" s="75"/>
      <c r="E9354" s="75"/>
      <c r="F9354" s="75"/>
    </row>
    <row r="9355" spans="2:6">
      <c r="B9355" s="75"/>
      <c r="C9355" s="75"/>
      <c r="D9355" s="75"/>
      <c r="E9355" s="75"/>
      <c r="F9355" s="75"/>
    </row>
    <row r="9356" spans="2:6">
      <c r="B9356" s="75"/>
      <c r="C9356" s="75"/>
      <c r="D9356" s="75"/>
      <c r="E9356" s="75"/>
      <c r="F9356" s="75"/>
    </row>
    <row r="9357" spans="2:6">
      <c r="B9357" s="75"/>
      <c r="C9357" s="75"/>
      <c r="D9357" s="75"/>
      <c r="E9357" s="75"/>
      <c r="F9357" s="75"/>
    </row>
    <row r="9358" spans="2:6">
      <c r="B9358" s="75"/>
      <c r="C9358" s="75"/>
      <c r="D9358" s="75"/>
      <c r="E9358" s="75"/>
      <c r="F9358" s="75"/>
    </row>
    <row r="9359" spans="2:6">
      <c r="B9359" s="75"/>
      <c r="C9359" s="75"/>
      <c r="D9359" s="75"/>
      <c r="E9359" s="75"/>
      <c r="F9359" s="75"/>
    </row>
    <row r="9360" spans="2:6">
      <c r="B9360" s="75"/>
      <c r="C9360" s="75"/>
      <c r="D9360" s="75"/>
      <c r="E9360" s="75"/>
      <c r="F9360" s="75"/>
    </row>
    <row r="9361" spans="2:6">
      <c r="B9361" s="75"/>
      <c r="C9361" s="75"/>
      <c r="D9361" s="75"/>
      <c r="E9361" s="75"/>
      <c r="F9361" s="75"/>
    </row>
    <row r="9362" spans="2:6">
      <c r="B9362" s="75"/>
      <c r="C9362" s="75"/>
      <c r="D9362" s="75"/>
      <c r="E9362" s="75"/>
      <c r="F9362" s="75"/>
    </row>
    <row r="9363" spans="2:6">
      <c r="B9363" s="75"/>
      <c r="C9363" s="75"/>
      <c r="D9363" s="75"/>
      <c r="E9363" s="75"/>
      <c r="F9363" s="75"/>
    </row>
    <row r="9364" spans="2:6">
      <c r="B9364" s="75"/>
      <c r="C9364" s="75"/>
      <c r="D9364" s="75"/>
      <c r="E9364" s="75"/>
      <c r="F9364" s="75"/>
    </row>
    <row r="9365" spans="2:6">
      <c r="B9365" s="75"/>
      <c r="C9365" s="75"/>
      <c r="D9365" s="75"/>
      <c r="E9365" s="75"/>
      <c r="F9365" s="75"/>
    </row>
    <row r="9366" spans="2:6">
      <c r="B9366" s="75"/>
      <c r="C9366" s="75"/>
      <c r="D9366" s="75"/>
      <c r="E9366" s="75"/>
      <c r="F9366" s="75"/>
    </row>
    <row r="9367" spans="2:6">
      <c r="B9367" s="75"/>
      <c r="C9367" s="75"/>
      <c r="D9367" s="75"/>
      <c r="E9367" s="75"/>
      <c r="F9367" s="75"/>
    </row>
    <row r="9368" spans="2:6">
      <c r="B9368" s="75"/>
      <c r="C9368" s="75"/>
      <c r="D9368" s="75"/>
      <c r="E9368" s="75"/>
      <c r="F9368" s="75"/>
    </row>
    <row r="9369" spans="2:6">
      <c r="B9369" s="75"/>
      <c r="C9369" s="75"/>
      <c r="D9369" s="75"/>
      <c r="E9369" s="75"/>
      <c r="F9369" s="75"/>
    </row>
    <row r="9370" spans="2:6">
      <c r="B9370" s="75"/>
      <c r="C9370" s="75"/>
      <c r="D9370" s="75"/>
      <c r="E9370" s="75"/>
      <c r="F9370" s="75"/>
    </row>
    <row r="9371" spans="2:6">
      <c r="B9371" s="75"/>
      <c r="C9371" s="75"/>
      <c r="D9371" s="75"/>
      <c r="E9371" s="75"/>
      <c r="F9371" s="75"/>
    </row>
    <row r="9372" spans="2:6">
      <c r="B9372" s="75"/>
      <c r="C9372" s="75"/>
      <c r="D9372" s="75"/>
      <c r="E9372" s="75"/>
      <c r="F9372" s="75"/>
    </row>
    <row r="9373" spans="2:6">
      <c r="B9373" s="75"/>
      <c r="C9373" s="75"/>
      <c r="D9373" s="75"/>
      <c r="E9373" s="75"/>
      <c r="F9373" s="75"/>
    </row>
    <row r="9374" spans="2:6">
      <c r="B9374" s="75"/>
      <c r="C9374" s="75"/>
      <c r="D9374" s="75"/>
      <c r="E9374" s="75"/>
      <c r="F9374" s="75"/>
    </row>
    <row r="9375" spans="2:6">
      <c r="B9375" s="75"/>
      <c r="C9375" s="75"/>
      <c r="D9375" s="75"/>
      <c r="E9375" s="75"/>
      <c r="F9375" s="75"/>
    </row>
    <row r="9376" spans="2:6">
      <c r="B9376" s="75"/>
      <c r="C9376" s="75"/>
      <c r="D9376" s="75"/>
      <c r="E9376" s="75"/>
      <c r="F9376" s="75"/>
    </row>
    <row r="9377" spans="2:6">
      <c r="B9377" s="75"/>
      <c r="C9377" s="75"/>
      <c r="D9377" s="75"/>
      <c r="E9377" s="75"/>
      <c r="F9377" s="75"/>
    </row>
    <row r="9378" spans="2:6">
      <c r="B9378" s="75"/>
      <c r="C9378" s="75"/>
      <c r="D9378" s="75"/>
      <c r="E9378" s="75"/>
      <c r="F9378" s="75"/>
    </row>
    <row r="9379" spans="2:6">
      <c r="B9379" s="75"/>
      <c r="C9379" s="75"/>
      <c r="D9379" s="75"/>
      <c r="E9379" s="75"/>
      <c r="F9379" s="75"/>
    </row>
    <row r="9380" spans="2:6">
      <c r="B9380" s="75"/>
      <c r="C9380" s="75"/>
      <c r="D9380" s="75"/>
      <c r="E9380" s="75"/>
      <c r="F9380" s="75"/>
    </row>
    <row r="9381" spans="2:6">
      <c r="B9381" s="75"/>
      <c r="C9381" s="75"/>
      <c r="D9381" s="75"/>
      <c r="E9381" s="75"/>
      <c r="F9381" s="75"/>
    </row>
    <row r="9382" spans="2:6">
      <c r="B9382" s="75"/>
      <c r="C9382" s="75"/>
      <c r="D9382" s="75"/>
      <c r="E9382" s="75"/>
      <c r="F9382" s="75"/>
    </row>
    <row r="9383" spans="2:6">
      <c r="B9383" s="75"/>
      <c r="C9383" s="75"/>
      <c r="D9383" s="75"/>
      <c r="E9383" s="75"/>
      <c r="F9383" s="75"/>
    </row>
    <row r="9384" spans="2:6">
      <c r="B9384" s="75"/>
      <c r="C9384" s="75"/>
      <c r="D9384" s="75"/>
      <c r="E9384" s="75"/>
      <c r="F9384" s="75"/>
    </row>
    <row r="9385" spans="2:6">
      <c r="B9385" s="75"/>
      <c r="C9385" s="75"/>
      <c r="D9385" s="75"/>
      <c r="E9385" s="75"/>
      <c r="F9385" s="75"/>
    </row>
    <row r="9386" spans="2:6">
      <c r="B9386" s="75"/>
      <c r="C9386" s="75"/>
      <c r="D9386" s="75"/>
      <c r="E9386" s="75"/>
      <c r="F9386" s="75"/>
    </row>
    <row r="9387" spans="2:6">
      <c r="B9387" s="75"/>
      <c r="C9387" s="75"/>
      <c r="D9387" s="75"/>
      <c r="E9387" s="75"/>
      <c r="F9387" s="75"/>
    </row>
    <row r="9388" spans="2:6">
      <c r="B9388" s="75"/>
      <c r="C9388" s="75"/>
      <c r="D9388" s="75"/>
      <c r="E9388" s="75"/>
      <c r="F9388" s="75"/>
    </row>
    <row r="9389" spans="2:6">
      <c r="B9389" s="75"/>
      <c r="C9389" s="75"/>
      <c r="D9389" s="75"/>
      <c r="E9389" s="75"/>
      <c r="F9389" s="75"/>
    </row>
    <row r="9390" spans="2:6">
      <c r="B9390" s="75"/>
      <c r="C9390" s="75"/>
      <c r="D9390" s="75"/>
      <c r="E9390" s="75"/>
      <c r="F9390" s="75"/>
    </row>
    <row r="9391" spans="2:6">
      <c r="B9391" s="75"/>
      <c r="C9391" s="75"/>
      <c r="D9391" s="75"/>
      <c r="E9391" s="75"/>
      <c r="F9391" s="75"/>
    </row>
    <row r="9392" spans="2:6">
      <c r="B9392" s="75"/>
      <c r="C9392" s="75"/>
      <c r="D9392" s="75"/>
      <c r="E9392" s="75"/>
      <c r="F9392" s="75"/>
    </row>
    <row r="9393" spans="2:6">
      <c r="B9393" s="75"/>
      <c r="C9393" s="75"/>
      <c r="D9393" s="75"/>
      <c r="E9393" s="75"/>
      <c r="F9393" s="75"/>
    </row>
    <row r="9394" spans="2:6">
      <c r="B9394" s="75"/>
      <c r="C9394" s="75"/>
      <c r="D9394" s="75"/>
      <c r="E9394" s="75"/>
      <c r="F9394" s="75"/>
    </row>
    <row r="9395" spans="2:6">
      <c r="B9395" s="75"/>
      <c r="C9395" s="75"/>
      <c r="D9395" s="75"/>
      <c r="E9395" s="75"/>
      <c r="F9395" s="75"/>
    </row>
    <row r="9396" spans="2:6">
      <c r="B9396" s="75"/>
      <c r="C9396" s="75"/>
      <c r="D9396" s="75"/>
      <c r="E9396" s="75"/>
      <c r="F9396" s="75"/>
    </row>
    <row r="9397" spans="2:6">
      <c r="B9397" s="75"/>
      <c r="C9397" s="75"/>
      <c r="D9397" s="75"/>
      <c r="E9397" s="75"/>
      <c r="F9397" s="75"/>
    </row>
    <row r="9398" spans="2:6">
      <c r="B9398" s="75"/>
      <c r="C9398" s="75"/>
      <c r="D9398" s="75"/>
      <c r="E9398" s="75"/>
      <c r="F9398" s="75"/>
    </row>
    <row r="9399" spans="2:6">
      <c r="B9399" s="75"/>
      <c r="C9399" s="75"/>
      <c r="D9399" s="75"/>
      <c r="E9399" s="75"/>
      <c r="F9399" s="75"/>
    </row>
    <row r="9400" spans="2:6">
      <c r="B9400" s="75"/>
      <c r="C9400" s="75"/>
      <c r="D9400" s="75"/>
      <c r="E9400" s="75"/>
      <c r="F9400" s="75"/>
    </row>
    <row r="9401" spans="2:6">
      <c r="B9401" s="75"/>
      <c r="C9401" s="75"/>
      <c r="D9401" s="75"/>
      <c r="E9401" s="75"/>
      <c r="F9401" s="75"/>
    </row>
    <row r="9402" spans="2:6">
      <c r="B9402" s="75"/>
      <c r="C9402" s="75"/>
      <c r="D9402" s="75"/>
      <c r="E9402" s="75"/>
      <c r="F9402" s="75"/>
    </row>
    <row r="9403" spans="2:6">
      <c r="B9403" s="75"/>
      <c r="C9403" s="75"/>
      <c r="D9403" s="75"/>
      <c r="E9403" s="75"/>
      <c r="F9403" s="75"/>
    </row>
    <row r="9404" spans="2:6">
      <c r="B9404" s="75"/>
      <c r="C9404" s="75"/>
      <c r="D9404" s="75"/>
      <c r="E9404" s="75"/>
      <c r="F9404" s="75"/>
    </row>
    <row r="9405" spans="2:6">
      <c r="B9405" s="75"/>
      <c r="C9405" s="75"/>
      <c r="D9405" s="75"/>
      <c r="E9405" s="75"/>
      <c r="F9405" s="75"/>
    </row>
    <row r="9406" spans="2:6">
      <c r="B9406" s="75"/>
      <c r="C9406" s="75"/>
      <c r="D9406" s="75"/>
      <c r="E9406" s="75"/>
      <c r="F9406" s="75"/>
    </row>
    <row r="9407" spans="2:6">
      <c r="B9407" s="75"/>
      <c r="C9407" s="75"/>
      <c r="D9407" s="75"/>
      <c r="E9407" s="75"/>
      <c r="F9407" s="75"/>
    </row>
    <row r="9408" spans="2:6">
      <c r="B9408" s="75"/>
      <c r="C9408" s="75"/>
      <c r="D9408" s="75"/>
      <c r="E9408" s="75"/>
      <c r="F9408" s="75"/>
    </row>
    <row r="9409" spans="2:6">
      <c r="B9409" s="75"/>
      <c r="C9409" s="75"/>
      <c r="D9409" s="75"/>
      <c r="E9409" s="75"/>
      <c r="F9409" s="75"/>
    </row>
    <row r="9410" spans="2:6">
      <c r="B9410" s="75"/>
      <c r="C9410" s="75"/>
      <c r="D9410" s="75"/>
      <c r="E9410" s="75"/>
      <c r="F9410" s="75"/>
    </row>
    <row r="9411" spans="2:6">
      <c r="B9411" s="75"/>
      <c r="C9411" s="75"/>
      <c r="D9411" s="75"/>
      <c r="E9411" s="75"/>
      <c r="F9411" s="75"/>
    </row>
    <row r="9412" spans="2:6">
      <c r="B9412" s="75"/>
      <c r="C9412" s="75"/>
      <c r="D9412" s="75"/>
      <c r="E9412" s="75"/>
      <c r="F9412" s="75"/>
    </row>
    <row r="9413" spans="2:6">
      <c r="B9413" s="75"/>
      <c r="C9413" s="75"/>
      <c r="D9413" s="75"/>
      <c r="E9413" s="75"/>
      <c r="F9413" s="75"/>
    </row>
    <row r="9414" spans="2:6">
      <c r="B9414" s="75"/>
      <c r="C9414" s="75"/>
      <c r="D9414" s="75"/>
      <c r="E9414" s="75"/>
      <c r="F9414" s="75"/>
    </row>
    <row r="9415" spans="2:6">
      <c r="B9415" s="75"/>
      <c r="C9415" s="75"/>
      <c r="D9415" s="75"/>
      <c r="E9415" s="75"/>
      <c r="F9415" s="75"/>
    </row>
    <row r="9416" spans="2:6">
      <c r="B9416" s="75"/>
      <c r="C9416" s="75"/>
      <c r="D9416" s="75"/>
      <c r="E9416" s="75"/>
      <c r="F9416" s="75"/>
    </row>
    <row r="9417" spans="2:6">
      <c r="B9417" s="75"/>
      <c r="C9417" s="75"/>
      <c r="D9417" s="75"/>
      <c r="E9417" s="75"/>
      <c r="F9417" s="75"/>
    </row>
    <row r="9418" spans="2:6">
      <c r="B9418" s="75"/>
      <c r="C9418" s="75"/>
      <c r="D9418" s="75"/>
      <c r="E9418" s="75"/>
      <c r="F9418" s="75"/>
    </row>
    <row r="9419" spans="2:6">
      <c r="B9419" s="75"/>
      <c r="C9419" s="75"/>
      <c r="D9419" s="75"/>
      <c r="E9419" s="75"/>
      <c r="F9419" s="75"/>
    </row>
    <row r="9420" spans="2:6">
      <c r="B9420" s="75"/>
      <c r="C9420" s="75"/>
      <c r="D9420" s="75"/>
      <c r="E9420" s="75"/>
      <c r="F9420" s="75"/>
    </row>
    <row r="9421" spans="2:6">
      <c r="B9421" s="75"/>
      <c r="C9421" s="75"/>
      <c r="D9421" s="75"/>
      <c r="E9421" s="75"/>
      <c r="F9421" s="75"/>
    </row>
    <row r="9422" spans="2:6">
      <c r="B9422" s="75"/>
      <c r="C9422" s="75"/>
      <c r="D9422" s="75"/>
      <c r="E9422" s="75"/>
      <c r="F9422" s="75"/>
    </row>
    <row r="9423" spans="2:6">
      <c r="B9423" s="75"/>
      <c r="C9423" s="75"/>
      <c r="D9423" s="75"/>
      <c r="E9423" s="75"/>
      <c r="F9423" s="75"/>
    </row>
    <row r="9424" spans="2:6">
      <c r="B9424" s="75"/>
      <c r="C9424" s="75"/>
      <c r="D9424" s="75"/>
      <c r="E9424" s="75"/>
      <c r="F9424" s="75"/>
    </row>
    <row r="9425" spans="2:6">
      <c r="B9425" s="75"/>
      <c r="C9425" s="75"/>
      <c r="D9425" s="75"/>
      <c r="E9425" s="75"/>
      <c r="F9425" s="75"/>
    </row>
    <row r="9426" spans="2:6">
      <c r="B9426" s="75"/>
      <c r="C9426" s="75"/>
      <c r="D9426" s="75"/>
      <c r="E9426" s="75"/>
      <c r="F9426" s="75"/>
    </row>
    <row r="9427" spans="2:6">
      <c r="B9427" s="75"/>
      <c r="C9427" s="75"/>
      <c r="D9427" s="75"/>
      <c r="E9427" s="75"/>
      <c r="F9427" s="75"/>
    </row>
    <row r="9428" spans="2:6">
      <c r="B9428" s="75"/>
      <c r="C9428" s="75"/>
      <c r="D9428" s="75"/>
      <c r="E9428" s="75"/>
      <c r="F9428" s="75"/>
    </row>
    <row r="9429" spans="2:6">
      <c r="B9429" s="75"/>
      <c r="C9429" s="75"/>
      <c r="D9429" s="75"/>
      <c r="E9429" s="75"/>
      <c r="F9429" s="75"/>
    </row>
    <row r="9430" spans="2:6">
      <c r="B9430" s="75"/>
      <c r="C9430" s="75"/>
      <c r="D9430" s="75"/>
      <c r="E9430" s="75"/>
      <c r="F9430" s="75"/>
    </row>
    <row r="9431" spans="2:6">
      <c r="B9431" s="75"/>
      <c r="C9431" s="75"/>
      <c r="D9431" s="75"/>
      <c r="E9431" s="75"/>
      <c r="F9431" s="75"/>
    </row>
    <row r="9432" spans="2:6">
      <c r="B9432" s="75"/>
      <c r="C9432" s="75"/>
      <c r="D9432" s="75"/>
      <c r="E9432" s="75"/>
      <c r="F9432" s="75"/>
    </row>
    <row r="9433" spans="2:6">
      <c r="B9433" s="75"/>
      <c r="C9433" s="75"/>
      <c r="D9433" s="75"/>
      <c r="E9433" s="75"/>
      <c r="F9433" s="75"/>
    </row>
    <row r="9434" spans="2:6">
      <c r="B9434" s="75"/>
      <c r="C9434" s="75"/>
      <c r="D9434" s="75"/>
      <c r="E9434" s="75"/>
      <c r="F9434" s="75"/>
    </row>
    <row r="9435" spans="2:6">
      <c r="B9435" s="75"/>
      <c r="C9435" s="75"/>
      <c r="D9435" s="75"/>
      <c r="E9435" s="75"/>
      <c r="F9435" s="75"/>
    </row>
    <row r="9436" spans="2:6">
      <c r="B9436" s="75"/>
      <c r="C9436" s="75"/>
      <c r="D9436" s="75"/>
      <c r="E9436" s="75"/>
      <c r="F9436" s="75"/>
    </row>
    <row r="9437" spans="2:6">
      <c r="B9437" s="75"/>
      <c r="C9437" s="75"/>
      <c r="D9437" s="75"/>
      <c r="E9437" s="75"/>
      <c r="F9437" s="75"/>
    </row>
    <row r="9438" spans="2:6">
      <c r="B9438" s="75"/>
      <c r="C9438" s="75"/>
      <c r="D9438" s="75"/>
      <c r="E9438" s="75"/>
      <c r="F9438" s="75"/>
    </row>
    <row r="9439" spans="2:6">
      <c r="B9439" s="75"/>
      <c r="C9439" s="75"/>
      <c r="D9439" s="75"/>
      <c r="E9439" s="75"/>
      <c r="F9439" s="75"/>
    </row>
    <row r="9440" spans="2:6">
      <c r="B9440" s="75"/>
      <c r="C9440" s="75"/>
      <c r="D9440" s="75"/>
      <c r="E9440" s="75"/>
      <c r="F9440" s="75"/>
    </row>
    <row r="9441" spans="2:6">
      <c r="B9441" s="75"/>
      <c r="C9441" s="75"/>
      <c r="D9441" s="75"/>
      <c r="E9441" s="75"/>
      <c r="F9441" s="75"/>
    </row>
    <row r="9442" spans="2:6">
      <c r="B9442" s="75"/>
      <c r="C9442" s="75"/>
      <c r="D9442" s="75"/>
      <c r="E9442" s="75"/>
      <c r="F9442" s="75"/>
    </row>
    <row r="9443" spans="2:6">
      <c r="B9443" s="75"/>
      <c r="C9443" s="75"/>
      <c r="D9443" s="75"/>
      <c r="E9443" s="75"/>
      <c r="F9443" s="75"/>
    </row>
    <row r="9444" spans="2:6">
      <c r="B9444" s="75"/>
      <c r="C9444" s="75"/>
      <c r="D9444" s="75"/>
      <c r="E9444" s="75"/>
      <c r="F9444" s="75"/>
    </row>
    <row r="9445" spans="2:6">
      <c r="B9445" s="75"/>
      <c r="C9445" s="75"/>
      <c r="D9445" s="75"/>
      <c r="E9445" s="75"/>
      <c r="F9445" s="75"/>
    </row>
    <row r="9446" spans="2:6">
      <c r="B9446" s="75"/>
      <c r="C9446" s="75"/>
      <c r="D9446" s="75"/>
      <c r="E9446" s="75"/>
      <c r="F9446" s="75"/>
    </row>
    <row r="9447" spans="2:6">
      <c r="B9447" s="75"/>
      <c r="C9447" s="75"/>
      <c r="D9447" s="75"/>
      <c r="E9447" s="75"/>
      <c r="F9447" s="75"/>
    </row>
    <row r="9448" spans="2:6">
      <c r="B9448" s="75"/>
      <c r="C9448" s="75"/>
      <c r="D9448" s="75"/>
      <c r="E9448" s="75"/>
      <c r="F9448" s="75"/>
    </row>
    <row r="9449" spans="2:6">
      <c r="B9449" s="75"/>
      <c r="C9449" s="75"/>
      <c r="D9449" s="75"/>
      <c r="E9449" s="75"/>
      <c r="F9449" s="75"/>
    </row>
    <row r="9450" spans="2:6">
      <c r="B9450" s="75"/>
      <c r="C9450" s="75"/>
      <c r="D9450" s="75"/>
      <c r="E9450" s="75"/>
      <c r="F9450" s="75"/>
    </row>
    <row r="9451" spans="2:6">
      <c r="B9451" s="75"/>
      <c r="C9451" s="75"/>
      <c r="D9451" s="75"/>
      <c r="E9451" s="75"/>
      <c r="F9451" s="75"/>
    </row>
    <row r="9452" spans="2:6">
      <c r="B9452" s="75"/>
      <c r="C9452" s="75"/>
      <c r="D9452" s="75"/>
      <c r="E9452" s="75"/>
      <c r="F9452" s="75"/>
    </row>
    <row r="9453" spans="2:6">
      <c r="B9453" s="75"/>
      <c r="C9453" s="75"/>
      <c r="D9453" s="75"/>
      <c r="E9453" s="75"/>
      <c r="F9453" s="75"/>
    </row>
    <row r="9454" spans="2:6">
      <c r="B9454" s="75"/>
      <c r="C9454" s="75"/>
      <c r="D9454" s="75"/>
      <c r="E9454" s="75"/>
      <c r="F9454" s="75"/>
    </row>
    <row r="9455" spans="2:6">
      <c r="B9455" s="75"/>
      <c r="C9455" s="75"/>
      <c r="D9455" s="75"/>
      <c r="E9455" s="75"/>
      <c r="F9455" s="75"/>
    </row>
    <row r="9456" spans="2:6">
      <c r="B9456" s="75"/>
      <c r="C9456" s="75"/>
      <c r="D9456" s="75"/>
      <c r="E9456" s="75"/>
      <c r="F9456" s="75"/>
    </row>
    <row r="9457" spans="2:6">
      <c r="B9457" s="75"/>
      <c r="C9457" s="75"/>
      <c r="D9457" s="75"/>
      <c r="E9457" s="75"/>
      <c r="F9457" s="75"/>
    </row>
    <row r="9458" spans="2:6">
      <c r="B9458" s="75"/>
      <c r="C9458" s="75"/>
      <c r="D9458" s="75"/>
      <c r="E9458" s="75"/>
      <c r="F9458" s="75"/>
    </row>
    <row r="9459" spans="2:6">
      <c r="B9459" s="75"/>
      <c r="C9459" s="75"/>
      <c r="D9459" s="75"/>
      <c r="E9459" s="75"/>
      <c r="F9459" s="75"/>
    </row>
    <row r="9460" spans="2:6">
      <c r="B9460" s="75"/>
      <c r="C9460" s="75"/>
      <c r="D9460" s="75"/>
      <c r="E9460" s="75"/>
      <c r="F9460" s="75"/>
    </row>
    <row r="9461" spans="2:6">
      <c r="B9461" s="75"/>
      <c r="C9461" s="75"/>
      <c r="D9461" s="75"/>
      <c r="E9461" s="75"/>
      <c r="F9461" s="75"/>
    </row>
    <row r="9462" spans="2:6">
      <c r="B9462" s="75"/>
      <c r="C9462" s="75"/>
      <c r="D9462" s="75"/>
      <c r="E9462" s="75"/>
      <c r="F9462" s="75"/>
    </row>
    <row r="9463" spans="2:6">
      <c r="B9463" s="75"/>
      <c r="C9463" s="75"/>
      <c r="D9463" s="75"/>
      <c r="E9463" s="75"/>
      <c r="F9463" s="75"/>
    </row>
    <row r="9464" spans="2:6">
      <c r="B9464" s="75"/>
      <c r="C9464" s="75"/>
      <c r="D9464" s="75"/>
      <c r="E9464" s="75"/>
      <c r="F9464" s="75"/>
    </row>
    <row r="9465" spans="2:6">
      <c r="B9465" s="75"/>
      <c r="C9465" s="75"/>
      <c r="D9465" s="75"/>
      <c r="E9465" s="75"/>
      <c r="F9465" s="75"/>
    </row>
    <row r="9466" spans="2:6">
      <c r="B9466" s="75"/>
      <c r="C9466" s="75"/>
      <c r="D9466" s="75"/>
      <c r="E9466" s="75"/>
      <c r="F9466" s="75"/>
    </row>
    <row r="9467" spans="2:6">
      <c r="B9467" s="75"/>
      <c r="C9467" s="75"/>
      <c r="D9467" s="75"/>
      <c r="E9467" s="75"/>
      <c r="F9467" s="75"/>
    </row>
    <row r="9468" spans="2:6">
      <c r="B9468" s="75"/>
      <c r="C9468" s="75"/>
      <c r="D9468" s="75"/>
      <c r="E9468" s="75"/>
      <c r="F9468" s="75"/>
    </row>
    <row r="9469" spans="2:6">
      <c r="B9469" s="75"/>
      <c r="C9469" s="75"/>
      <c r="D9469" s="75"/>
      <c r="E9469" s="75"/>
      <c r="F9469" s="75"/>
    </row>
    <row r="9470" spans="2:6">
      <c r="B9470" s="75"/>
      <c r="C9470" s="75"/>
      <c r="D9470" s="75"/>
      <c r="E9470" s="75"/>
      <c r="F9470" s="75"/>
    </row>
    <row r="9471" spans="2:6">
      <c r="B9471" s="75"/>
      <c r="C9471" s="75"/>
      <c r="D9471" s="75"/>
      <c r="E9471" s="75"/>
      <c r="F9471" s="75"/>
    </row>
    <row r="9472" spans="2:6">
      <c r="B9472" s="75"/>
      <c r="C9472" s="75"/>
      <c r="D9472" s="75"/>
      <c r="E9472" s="75"/>
      <c r="F9472" s="75"/>
    </row>
    <row r="9473" spans="2:6">
      <c r="B9473" s="75"/>
      <c r="C9473" s="75"/>
      <c r="D9473" s="75"/>
      <c r="E9473" s="75"/>
      <c r="F9473" s="75"/>
    </row>
    <row r="9474" spans="2:6">
      <c r="B9474" s="75"/>
      <c r="C9474" s="75"/>
      <c r="D9474" s="75"/>
      <c r="E9474" s="75"/>
      <c r="F9474" s="75"/>
    </row>
    <row r="9475" spans="2:6">
      <c r="B9475" s="75"/>
      <c r="C9475" s="75"/>
      <c r="D9475" s="75"/>
      <c r="E9475" s="75"/>
      <c r="F9475" s="75"/>
    </row>
    <row r="9476" spans="2:6">
      <c r="B9476" s="75"/>
      <c r="C9476" s="75"/>
      <c r="D9476" s="75"/>
      <c r="E9476" s="75"/>
      <c r="F9476" s="75"/>
    </row>
    <row r="9477" spans="2:6">
      <c r="B9477" s="75"/>
      <c r="C9477" s="75"/>
      <c r="D9477" s="75"/>
      <c r="E9477" s="75"/>
      <c r="F9477" s="75"/>
    </row>
    <row r="9478" spans="2:6">
      <c r="B9478" s="75"/>
      <c r="C9478" s="75"/>
      <c r="D9478" s="75"/>
      <c r="E9478" s="75"/>
      <c r="F9478" s="75"/>
    </row>
    <row r="9479" spans="2:6">
      <c r="B9479" s="75"/>
      <c r="C9479" s="75"/>
      <c r="D9479" s="75"/>
      <c r="E9479" s="75"/>
      <c r="F9479" s="75"/>
    </row>
    <row r="9480" spans="2:6">
      <c r="B9480" s="75"/>
      <c r="C9480" s="75"/>
      <c r="D9480" s="75"/>
      <c r="E9480" s="75"/>
      <c r="F9480" s="75"/>
    </row>
    <row r="9481" spans="2:6">
      <c r="B9481" s="75"/>
      <c r="C9481" s="75"/>
      <c r="D9481" s="75"/>
      <c r="E9481" s="75"/>
      <c r="F9481" s="75"/>
    </row>
    <row r="9482" spans="2:6">
      <c r="B9482" s="75"/>
      <c r="C9482" s="75"/>
      <c r="D9482" s="75"/>
      <c r="E9482" s="75"/>
      <c r="F9482" s="75"/>
    </row>
    <row r="9483" spans="2:6">
      <c r="B9483" s="75"/>
      <c r="C9483" s="75"/>
      <c r="D9483" s="75"/>
      <c r="E9483" s="75"/>
      <c r="F9483" s="75"/>
    </row>
    <row r="9484" spans="2:6">
      <c r="B9484" s="75"/>
      <c r="C9484" s="75"/>
      <c r="D9484" s="75"/>
      <c r="E9484" s="75"/>
      <c r="F9484" s="75"/>
    </row>
    <row r="9485" spans="2:6">
      <c r="B9485" s="75"/>
      <c r="C9485" s="75"/>
      <c r="D9485" s="75"/>
      <c r="E9485" s="75"/>
      <c r="F9485" s="75"/>
    </row>
    <row r="9486" spans="2:6">
      <c r="B9486" s="75"/>
      <c r="C9486" s="75"/>
      <c r="D9486" s="75"/>
      <c r="E9486" s="75"/>
      <c r="F9486" s="75"/>
    </row>
    <row r="9487" spans="2:6">
      <c r="B9487" s="75"/>
      <c r="C9487" s="75"/>
      <c r="D9487" s="75"/>
      <c r="E9487" s="75"/>
      <c r="F9487" s="75"/>
    </row>
    <row r="9488" spans="2:6">
      <c r="B9488" s="75"/>
      <c r="C9488" s="75"/>
      <c r="D9488" s="75"/>
      <c r="E9488" s="75"/>
      <c r="F9488" s="75"/>
    </row>
    <row r="9489" spans="2:6">
      <c r="B9489" s="75"/>
      <c r="C9489" s="75"/>
      <c r="D9489" s="75"/>
      <c r="E9489" s="75"/>
      <c r="F9489" s="75"/>
    </row>
    <row r="9490" spans="2:6">
      <c r="B9490" s="75"/>
      <c r="C9490" s="75"/>
      <c r="D9490" s="75"/>
      <c r="E9490" s="75"/>
      <c r="F9490" s="75"/>
    </row>
    <row r="9491" spans="2:6">
      <c r="B9491" s="75"/>
      <c r="C9491" s="75"/>
      <c r="D9491" s="75"/>
      <c r="E9491" s="75"/>
      <c r="F9491" s="75"/>
    </row>
    <row r="9492" spans="2:6">
      <c r="B9492" s="75"/>
      <c r="C9492" s="75"/>
      <c r="D9492" s="75"/>
      <c r="E9492" s="75"/>
      <c r="F9492" s="75"/>
    </row>
    <row r="9493" spans="2:6">
      <c r="B9493" s="75"/>
      <c r="C9493" s="75"/>
      <c r="D9493" s="75"/>
      <c r="E9493" s="75"/>
      <c r="F9493" s="75"/>
    </row>
    <row r="9494" spans="2:6">
      <c r="B9494" s="75"/>
      <c r="C9494" s="75"/>
      <c r="D9494" s="75"/>
      <c r="E9494" s="75"/>
      <c r="F9494" s="75"/>
    </row>
    <row r="9495" spans="2:6">
      <c r="B9495" s="75"/>
      <c r="C9495" s="75"/>
      <c r="D9495" s="75"/>
      <c r="E9495" s="75"/>
      <c r="F9495" s="75"/>
    </row>
    <row r="9496" spans="2:6">
      <c r="B9496" s="75"/>
      <c r="C9496" s="75"/>
      <c r="D9496" s="75"/>
      <c r="E9496" s="75"/>
      <c r="F9496" s="75"/>
    </row>
    <row r="9497" spans="2:6">
      <c r="B9497" s="75"/>
      <c r="C9497" s="75"/>
      <c r="D9497" s="75"/>
      <c r="E9497" s="75"/>
      <c r="F9497" s="75"/>
    </row>
    <row r="9498" spans="2:6">
      <c r="B9498" s="75"/>
      <c r="C9498" s="75"/>
      <c r="D9498" s="75"/>
      <c r="E9498" s="75"/>
      <c r="F9498" s="75"/>
    </row>
    <row r="9499" spans="2:6">
      <c r="B9499" s="75"/>
      <c r="C9499" s="75"/>
      <c r="D9499" s="75"/>
      <c r="E9499" s="75"/>
      <c r="F9499" s="75"/>
    </row>
    <row r="9500" spans="2:6">
      <c r="B9500" s="75"/>
      <c r="C9500" s="75"/>
      <c r="D9500" s="75"/>
      <c r="E9500" s="75"/>
      <c r="F9500" s="75"/>
    </row>
    <row r="9501" spans="2:6">
      <c r="B9501" s="75"/>
      <c r="C9501" s="75"/>
      <c r="D9501" s="75"/>
      <c r="E9501" s="75"/>
      <c r="F9501" s="75"/>
    </row>
    <row r="9502" spans="2:6">
      <c r="B9502" s="75"/>
      <c r="C9502" s="75"/>
      <c r="D9502" s="75"/>
      <c r="E9502" s="75"/>
      <c r="F9502" s="75"/>
    </row>
    <row r="9503" spans="2:6">
      <c r="B9503" s="75"/>
      <c r="C9503" s="75"/>
      <c r="D9503" s="75"/>
      <c r="E9503" s="75"/>
      <c r="F9503" s="75"/>
    </row>
    <row r="9504" spans="2:6">
      <c r="B9504" s="75"/>
      <c r="C9504" s="75"/>
      <c r="D9504" s="75"/>
      <c r="E9504" s="75"/>
      <c r="F9504" s="75"/>
    </row>
    <row r="9505" spans="2:6">
      <c r="B9505" s="75"/>
      <c r="C9505" s="75"/>
      <c r="D9505" s="75"/>
      <c r="E9505" s="75"/>
      <c r="F9505" s="75"/>
    </row>
    <row r="9506" spans="2:6">
      <c r="B9506" s="75"/>
      <c r="C9506" s="75"/>
      <c r="D9506" s="75"/>
      <c r="E9506" s="75"/>
      <c r="F9506" s="75"/>
    </row>
    <row r="9507" spans="2:6">
      <c r="B9507" s="75"/>
      <c r="C9507" s="75"/>
      <c r="D9507" s="75"/>
      <c r="E9507" s="75"/>
      <c r="F9507" s="75"/>
    </row>
    <row r="9508" spans="2:6">
      <c r="B9508" s="75"/>
      <c r="C9508" s="75"/>
      <c r="D9508" s="75"/>
      <c r="E9508" s="75"/>
      <c r="F9508" s="75"/>
    </row>
    <row r="9509" spans="2:6">
      <c r="B9509" s="75"/>
      <c r="C9509" s="75"/>
      <c r="D9509" s="75"/>
      <c r="E9509" s="75"/>
      <c r="F9509" s="75"/>
    </row>
    <row r="9510" spans="2:6">
      <c r="B9510" s="75"/>
      <c r="C9510" s="75"/>
      <c r="D9510" s="75"/>
      <c r="E9510" s="75"/>
      <c r="F9510" s="75"/>
    </row>
    <row r="9511" spans="2:6">
      <c r="B9511" s="75"/>
      <c r="C9511" s="75"/>
      <c r="D9511" s="75"/>
      <c r="E9511" s="75"/>
      <c r="F9511" s="75"/>
    </row>
    <row r="9512" spans="2:6">
      <c r="B9512" s="75"/>
      <c r="C9512" s="75"/>
      <c r="D9512" s="75"/>
      <c r="E9512" s="75"/>
      <c r="F9512" s="75"/>
    </row>
    <row r="9513" spans="2:6">
      <c r="B9513" s="75"/>
      <c r="C9513" s="75"/>
      <c r="D9513" s="75"/>
      <c r="E9513" s="75"/>
      <c r="F9513" s="75"/>
    </row>
    <row r="9514" spans="2:6">
      <c r="B9514" s="75"/>
      <c r="C9514" s="75"/>
      <c r="D9514" s="75"/>
      <c r="E9514" s="75"/>
      <c r="F9514" s="75"/>
    </row>
    <row r="9515" spans="2:6">
      <c r="B9515" s="75"/>
      <c r="C9515" s="75"/>
      <c r="D9515" s="75"/>
      <c r="E9515" s="75"/>
      <c r="F9515" s="75"/>
    </row>
    <row r="9516" spans="2:6">
      <c r="B9516" s="75"/>
      <c r="C9516" s="75"/>
      <c r="D9516" s="75"/>
      <c r="E9516" s="75"/>
      <c r="F9516" s="75"/>
    </row>
    <row r="9517" spans="2:6">
      <c r="B9517" s="75"/>
      <c r="C9517" s="75"/>
      <c r="D9517" s="75"/>
      <c r="E9517" s="75"/>
      <c r="F9517" s="75"/>
    </row>
    <row r="9518" spans="2:6">
      <c r="B9518" s="75"/>
      <c r="C9518" s="75"/>
      <c r="D9518" s="75"/>
      <c r="E9518" s="75"/>
      <c r="F9518" s="75"/>
    </row>
    <row r="9519" spans="2:6">
      <c r="B9519" s="75"/>
      <c r="C9519" s="75"/>
      <c r="D9519" s="75"/>
      <c r="E9519" s="75"/>
      <c r="F9519" s="75"/>
    </row>
    <row r="9520" spans="2:6">
      <c r="B9520" s="75"/>
      <c r="C9520" s="75"/>
      <c r="D9520" s="75"/>
      <c r="E9520" s="75"/>
      <c r="F9520" s="75"/>
    </row>
    <row r="9521" spans="2:6">
      <c r="B9521" s="75"/>
      <c r="C9521" s="75"/>
      <c r="D9521" s="75"/>
      <c r="E9521" s="75"/>
      <c r="F9521" s="75"/>
    </row>
    <row r="9522" spans="2:6">
      <c r="B9522" s="75"/>
      <c r="C9522" s="75"/>
      <c r="D9522" s="75"/>
      <c r="E9522" s="75"/>
      <c r="F9522" s="75"/>
    </row>
    <row r="9523" spans="2:6">
      <c r="B9523" s="75"/>
      <c r="C9523" s="75"/>
      <c r="D9523" s="75"/>
      <c r="E9523" s="75"/>
      <c r="F9523" s="75"/>
    </row>
    <row r="9524" spans="2:6">
      <c r="B9524" s="75"/>
      <c r="C9524" s="75"/>
      <c r="D9524" s="75"/>
      <c r="E9524" s="75"/>
      <c r="F9524" s="75"/>
    </row>
    <row r="9525" spans="2:6">
      <c r="B9525" s="75"/>
      <c r="C9525" s="75"/>
      <c r="D9525" s="75"/>
      <c r="E9525" s="75"/>
      <c r="F9525" s="75"/>
    </row>
    <row r="9526" spans="2:6">
      <c r="B9526" s="75"/>
      <c r="C9526" s="75"/>
      <c r="D9526" s="75"/>
      <c r="E9526" s="75"/>
      <c r="F9526" s="75"/>
    </row>
    <row r="9527" spans="2:6">
      <c r="B9527" s="75"/>
      <c r="C9527" s="75"/>
      <c r="D9527" s="75"/>
      <c r="E9527" s="75"/>
      <c r="F9527" s="75"/>
    </row>
    <row r="9528" spans="2:6">
      <c r="B9528" s="75"/>
      <c r="C9528" s="75"/>
      <c r="D9528" s="75"/>
      <c r="E9528" s="75"/>
      <c r="F9528" s="75"/>
    </row>
    <row r="9529" spans="2:6">
      <c r="B9529" s="75"/>
      <c r="C9529" s="75"/>
      <c r="D9529" s="75"/>
      <c r="E9529" s="75"/>
      <c r="F9529" s="75"/>
    </row>
    <row r="9530" spans="2:6">
      <c r="B9530" s="75"/>
      <c r="C9530" s="75"/>
      <c r="D9530" s="75"/>
      <c r="E9530" s="75"/>
      <c r="F9530" s="75"/>
    </row>
    <row r="9531" spans="2:6">
      <c r="B9531" s="75"/>
      <c r="C9531" s="75"/>
      <c r="D9531" s="75"/>
      <c r="E9531" s="75"/>
      <c r="F9531" s="75"/>
    </row>
    <row r="9532" spans="2:6">
      <c r="B9532" s="75"/>
      <c r="C9532" s="75"/>
      <c r="D9532" s="75"/>
      <c r="E9532" s="75"/>
      <c r="F9532" s="75"/>
    </row>
    <row r="9533" spans="2:6">
      <c r="B9533" s="75"/>
      <c r="C9533" s="75"/>
      <c r="D9533" s="75"/>
      <c r="E9533" s="75"/>
      <c r="F9533" s="75"/>
    </row>
    <row r="9534" spans="2:6">
      <c r="B9534" s="75"/>
      <c r="C9534" s="75"/>
      <c r="D9534" s="75"/>
      <c r="E9534" s="75"/>
      <c r="F9534" s="75"/>
    </row>
    <row r="9535" spans="2:6">
      <c r="B9535" s="75"/>
      <c r="C9535" s="75"/>
      <c r="D9535" s="75"/>
      <c r="E9535" s="75"/>
      <c r="F9535" s="75"/>
    </row>
    <row r="9536" spans="2:6">
      <c r="B9536" s="75"/>
      <c r="C9536" s="75"/>
      <c r="D9536" s="75"/>
      <c r="E9536" s="75"/>
      <c r="F9536" s="75"/>
    </row>
    <row r="9537" spans="2:6">
      <c r="B9537" s="75"/>
      <c r="C9537" s="75"/>
      <c r="D9537" s="75"/>
      <c r="E9537" s="75"/>
      <c r="F9537" s="75"/>
    </row>
    <row r="9538" spans="2:6">
      <c r="B9538" s="75"/>
      <c r="C9538" s="75"/>
      <c r="D9538" s="75"/>
      <c r="E9538" s="75"/>
      <c r="F9538" s="75"/>
    </row>
    <row r="9539" spans="2:6">
      <c r="B9539" s="75"/>
      <c r="C9539" s="75"/>
      <c r="D9539" s="75"/>
      <c r="E9539" s="75"/>
      <c r="F9539" s="75"/>
    </row>
    <row r="9540" spans="2:6">
      <c r="B9540" s="75"/>
      <c r="C9540" s="75"/>
      <c r="D9540" s="75"/>
      <c r="E9540" s="75"/>
      <c r="F9540" s="75"/>
    </row>
    <row r="9541" spans="2:6">
      <c r="B9541" s="75"/>
      <c r="C9541" s="75"/>
      <c r="D9541" s="75"/>
      <c r="E9541" s="75"/>
      <c r="F9541" s="75"/>
    </row>
    <row r="9542" spans="2:6">
      <c r="B9542" s="75"/>
      <c r="C9542" s="75"/>
      <c r="D9542" s="75"/>
      <c r="E9542" s="75"/>
      <c r="F9542" s="75"/>
    </row>
    <row r="9543" spans="2:6">
      <c r="B9543" s="75"/>
      <c r="C9543" s="75"/>
      <c r="D9543" s="75"/>
      <c r="E9543" s="75"/>
      <c r="F9543" s="75"/>
    </row>
    <row r="9544" spans="2:6">
      <c r="B9544" s="75"/>
      <c r="C9544" s="75"/>
      <c r="D9544" s="75"/>
      <c r="E9544" s="75"/>
      <c r="F9544" s="75"/>
    </row>
    <row r="9545" spans="2:6">
      <c r="B9545" s="75"/>
      <c r="C9545" s="75"/>
      <c r="D9545" s="75"/>
      <c r="E9545" s="75"/>
      <c r="F9545" s="75"/>
    </row>
    <row r="9546" spans="2:6">
      <c r="B9546" s="75"/>
      <c r="C9546" s="75"/>
      <c r="D9546" s="75"/>
      <c r="E9546" s="75"/>
      <c r="F9546" s="75"/>
    </row>
    <row r="9547" spans="2:6">
      <c r="B9547" s="75"/>
      <c r="C9547" s="75"/>
      <c r="D9547" s="75"/>
      <c r="E9547" s="75"/>
      <c r="F9547" s="75"/>
    </row>
    <row r="9548" spans="2:6">
      <c r="B9548" s="75"/>
      <c r="C9548" s="75"/>
      <c r="D9548" s="75"/>
      <c r="E9548" s="75"/>
      <c r="F9548" s="75"/>
    </row>
    <row r="9549" spans="2:6">
      <c r="B9549" s="75"/>
      <c r="C9549" s="75"/>
      <c r="D9549" s="75"/>
      <c r="E9549" s="75"/>
      <c r="F9549" s="75"/>
    </row>
    <row r="9550" spans="2:6">
      <c r="B9550" s="75"/>
      <c r="C9550" s="75"/>
      <c r="D9550" s="75"/>
      <c r="E9550" s="75"/>
      <c r="F9550" s="75"/>
    </row>
    <row r="9551" spans="2:6">
      <c r="B9551" s="75"/>
      <c r="C9551" s="75"/>
      <c r="D9551" s="75"/>
      <c r="E9551" s="75"/>
      <c r="F9551" s="75"/>
    </row>
    <row r="9552" spans="2:6">
      <c r="B9552" s="75"/>
      <c r="C9552" s="75"/>
      <c r="D9552" s="75"/>
      <c r="E9552" s="75"/>
      <c r="F9552" s="75"/>
    </row>
    <row r="9553" spans="2:6">
      <c r="B9553" s="75"/>
      <c r="C9553" s="75"/>
      <c r="D9553" s="75"/>
      <c r="E9553" s="75"/>
      <c r="F9553" s="75"/>
    </row>
    <row r="9554" spans="2:6">
      <c r="B9554" s="75"/>
      <c r="C9554" s="75"/>
      <c r="D9554" s="75"/>
      <c r="E9554" s="75"/>
      <c r="F9554" s="75"/>
    </row>
    <row r="9555" spans="2:6">
      <c r="B9555" s="75"/>
      <c r="C9555" s="75"/>
      <c r="D9555" s="75"/>
      <c r="E9555" s="75"/>
      <c r="F9555" s="75"/>
    </row>
    <row r="9556" spans="2:6">
      <c r="B9556" s="75"/>
      <c r="C9556" s="75"/>
      <c r="D9556" s="75"/>
      <c r="E9556" s="75"/>
      <c r="F9556" s="75"/>
    </row>
    <row r="9557" spans="2:6">
      <c r="B9557" s="75"/>
      <c r="C9557" s="75"/>
      <c r="D9557" s="75"/>
      <c r="E9557" s="75"/>
      <c r="F9557" s="75"/>
    </row>
    <row r="9558" spans="2:6">
      <c r="B9558" s="75"/>
      <c r="C9558" s="75"/>
      <c r="D9558" s="75"/>
      <c r="E9558" s="75"/>
      <c r="F9558" s="75"/>
    </row>
    <row r="9559" spans="2:6">
      <c r="B9559" s="75"/>
      <c r="C9559" s="75"/>
      <c r="D9559" s="75"/>
      <c r="E9559" s="75"/>
      <c r="F9559" s="75"/>
    </row>
    <row r="9560" spans="2:6">
      <c r="B9560" s="75"/>
      <c r="C9560" s="75"/>
      <c r="D9560" s="75"/>
      <c r="E9560" s="75"/>
      <c r="F9560" s="75"/>
    </row>
    <row r="9561" spans="2:6">
      <c r="B9561" s="75"/>
      <c r="C9561" s="75"/>
      <c r="D9561" s="75"/>
      <c r="E9561" s="75"/>
      <c r="F9561" s="75"/>
    </row>
    <row r="9562" spans="2:6">
      <c r="B9562" s="75"/>
      <c r="C9562" s="75"/>
      <c r="D9562" s="75"/>
      <c r="E9562" s="75"/>
      <c r="F9562" s="75"/>
    </row>
    <row r="9563" spans="2:6">
      <c r="B9563" s="75"/>
      <c r="C9563" s="75"/>
      <c r="D9563" s="75"/>
      <c r="E9563" s="75"/>
      <c r="F9563" s="75"/>
    </row>
    <row r="9564" spans="2:6">
      <c r="B9564" s="75"/>
      <c r="C9564" s="75"/>
      <c r="D9564" s="75"/>
      <c r="E9564" s="75"/>
      <c r="F9564" s="75"/>
    </row>
    <row r="9565" spans="2:6">
      <c r="B9565" s="75"/>
      <c r="C9565" s="75"/>
      <c r="D9565" s="75"/>
      <c r="E9565" s="75"/>
      <c r="F9565" s="75"/>
    </row>
    <row r="9566" spans="2:6">
      <c r="B9566" s="75"/>
      <c r="C9566" s="75"/>
      <c r="D9566" s="75"/>
      <c r="E9566" s="75"/>
      <c r="F9566" s="75"/>
    </row>
    <row r="9567" spans="2:6">
      <c r="B9567" s="75"/>
      <c r="C9567" s="75"/>
      <c r="D9567" s="75"/>
      <c r="E9567" s="75"/>
      <c r="F9567" s="75"/>
    </row>
    <row r="9568" spans="2:6">
      <c r="B9568" s="75"/>
      <c r="C9568" s="75"/>
      <c r="D9568" s="75"/>
      <c r="E9568" s="75"/>
      <c r="F9568" s="75"/>
    </row>
    <row r="9569" spans="2:6">
      <c r="B9569" s="75"/>
      <c r="C9569" s="75"/>
      <c r="D9569" s="75"/>
      <c r="E9569" s="75"/>
      <c r="F9569" s="75"/>
    </row>
    <row r="9570" spans="2:6">
      <c r="B9570" s="75"/>
      <c r="C9570" s="75"/>
      <c r="D9570" s="75"/>
      <c r="E9570" s="75"/>
      <c r="F9570" s="75"/>
    </row>
    <row r="9571" spans="2:6">
      <c r="B9571" s="75"/>
      <c r="C9571" s="75"/>
      <c r="D9571" s="75"/>
      <c r="E9571" s="75"/>
      <c r="F9571" s="75"/>
    </row>
    <row r="9572" spans="2:6">
      <c r="B9572" s="75"/>
      <c r="C9572" s="75"/>
      <c r="D9572" s="75"/>
      <c r="E9572" s="75"/>
      <c r="F9572" s="75"/>
    </row>
    <row r="9573" spans="2:6">
      <c r="B9573" s="75"/>
      <c r="C9573" s="75"/>
      <c r="D9573" s="75"/>
      <c r="E9573" s="75"/>
      <c r="F9573" s="75"/>
    </row>
    <row r="9574" spans="2:6">
      <c r="B9574" s="75"/>
      <c r="C9574" s="75"/>
      <c r="D9574" s="75"/>
      <c r="E9574" s="75"/>
      <c r="F9574" s="75"/>
    </row>
    <row r="9575" spans="2:6">
      <c r="B9575" s="75"/>
      <c r="C9575" s="75"/>
      <c r="D9575" s="75"/>
      <c r="E9575" s="75"/>
      <c r="F9575" s="75"/>
    </row>
    <row r="9576" spans="2:6">
      <c r="B9576" s="75"/>
      <c r="C9576" s="75"/>
      <c r="D9576" s="75"/>
      <c r="E9576" s="75"/>
      <c r="F9576" s="75"/>
    </row>
    <row r="9577" spans="2:6">
      <c r="B9577" s="75"/>
      <c r="C9577" s="75"/>
      <c r="D9577" s="75"/>
      <c r="E9577" s="75"/>
      <c r="F9577" s="75"/>
    </row>
    <row r="9578" spans="2:6">
      <c r="B9578" s="75"/>
      <c r="C9578" s="75"/>
      <c r="D9578" s="75"/>
      <c r="E9578" s="75"/>
      <c r="F9578" s="75"/>
    </row>
    <row r="9579" spans="2:6">
      <c r="B9579" s="75"/>
      <c r="C9579" s="75"/>
      <c r="D9579" s="75"/>
      <c r="E9579" s="75"/>
      <c r="F9579" s="75"/>
    </row>
    <row r="9580" spans="2:6">
      <c r="B9580" s="75"/>
      <c r="C9580" s="75"/>
      <c r="D9580" s="75"/>
      <c r="E9580" s="75"/>
      <c r="F9580" s="75"/>
    </row>
    <row r="9581" spans="2:6">
      <c r="B9581" s="75"/>
      <c r="C9581" s="75"/>
      <c r="D9581" s="75"/>
      <c r="E9581" s="75"/>
      <c r="F9581" s="75"/>
    </row>
    <row r="9582" spans="2:6">
      <c r="B9582" s="75"/>
      <c r="C9582" s="75"/>
      <c r="D9582" s="75"/>
      <c r="E9582" s="75"/>
      <c r="F9582" s="75"/>
    </row>
    <row r="9583" spans="2:6">
      <c r="B9583" s="75"/>
      <c r="C9583" s="75"/>
      <c r="D9583" s="75"/>
      <c r="E9583" s="75"/>
      <c r="F9583" s="75"/>
    </row>
    <row r="9584" spans="2:6">
      <c r="B9584" s="75"/>
      <c r="C9584" s="75"/>
      <c r="D9584" s="75"/>
      <c r="E9584" s="75"/>
      <c r="F9584" s="75"/>
    </row>
    <row r="9585" spans="2:6">
      <c r="B9585" s="75"/>
      <c r="C9585" s="75"/>
      <c r="D9585" s="75"/>
      <c r="E9585" s="75"/>
      <c r="F9585" s="75"/>
    </row>
    <row r="9586" spans="2:6">
      <c r="B9586" s="75"/>
      <c r="C9586" s="75"/>
      <c r="D9586" s="75"/>
      <c r="E9586" s="75"/>
      <c r="F9586" s="75"/>
    </row>
    <row r="9587" spans="2:6">
      <c r="B9587" s="75"/>
      <c r="C9587" s="75"/>
      <c r="D9587" s="75"/>
      <c r="E9587" s="75"/>
      <c r="F9587" s="75"/>
    </row>
    <row r="9588" spans="2:6">
      <c r="B9588" s="75"/>
      <c r="C9588" s="75"/>
      <c r="D9588" s="75"/>
      <c r="E9588" s="75"/>
      <c r="F9588" s="75"/>
    </row>
    <row r="9589" spans="2:6">
      <c r="B9589" s="75"/>
      <c r="C9589" s="75"/>
      <c r="D9589" s="75"/>
      <c r="E9589" s="75"/>
      <c r="F9589" s="75"/>
    </row>
    <row r="9590" spans="2:6">
      <c r="B9590" s="75"/>
      <c r="C9590" s="75"/>
      <c r="D9590" s="75"/>
      <c r="E9590" s="75"/>
      <c r="F9590" s="75"/>
    </row>
    <row r="9591" spans="2:6">
      <c r="B9591" s="75"/>
      <c r="C9591" s="75"/>
      <c r="D9591" s="75"/>
      <c r="E9591" s="75"/>
      <c r="F9591" s="75"/>
    </row>
    <row r="9592" spans="2:6">
      <c r="B9592" s="75"/>
      <c r="C9592" s="75"/>
      <c r="D9592" s="75"/>
      <c r="E9592" s="75"/>
      <c r="F9592" s="75"/>
    </row>
    <row r="9593" spans="2:6">
      <c r="B9593" s="75"/>
      <c r="C9593" s="75"/>
      <c r="D9593" s="75"/>
      <c r="E9593" s="75"/>
      <c r="F9593" s="75"/>
    </row>
    <row r="9594" spans="2:6">
      <c r="B9594" s="75"/>
      <c r="C9594" s="75"/>
      <c r="D9594" s="75"/>
      <c r="E9594" s="75"/>
      <c r="F9594" s="75"/>
    </row>
    <row r="9595" spans="2:6">
      <c r="B9595" s="75"/>
      <c r="C9595" s="75"/>
      <c r="D9595" s="75"/>
      <c r="E9595" s="75"/>
      <c r="F9595" s="75"/>
    </row>
    <row r="9596" spans="2:6">
      <c r="B9596" s="75"/>
      <c r="C9596" s="75"/>
      <c r="D9596" s="75"/>
      <c r="E9596" s="75"/>
      <c r="F9596" s="75"/>
    </row>
    <row r="9597" spans="2:6">
      <c r="B9597" s="75"/>
      <c r="C9597" s="75"/>
      <c r="D9597" s="75"/>
      <c r="E9597" s="75"/>
      <c r="F9597" s="75"/>
    </row>
    <row r="9598" spans="2:6">
      <c r="B9598" s="75"/>
      <c r="C9598" s="75"/>
      <c r="D9598" s="75"/>
      <c r="E9598" s="75"/>
      <c r="F9598" s="75"/>
    </row>
    <row r="9599" spans="2:6">
      <c r="B9599" s="75"/>
      <c r="C9599" s="75"/>
      <c r="D9599" s="75"/>
      <c r="E9599" s="75"/>
      <c r="F9599" s="75"/>
    </row>
    <row r="9600" spans="2:6">
      <c r="B9600" s="75"/>
      <c r="C9600" s="75"/>
      <c r="D9600" s="75"/>
      <c r="E9600" s="75"/>
      <c r="F9600" s="75"/>
    </row>
    <row r="9601" spans="2:6">
      <c r="B9601" s="75"/>
      <c r="C9601" s="75"/>
      <c r="D9601" s="75"/>
      <c r="E9601" s="75"/>
      <c r="F9601" s="75"/>
    </row>
    <row r="9602" spans="2:6">
      <c r="B9602" s="75"/>
      <c r="C9602" s="75"/>
      <c r="D9602" s="75"/>
      <c r="E9602" s="75"/>
      <c r="F9602" s="75"/>
    </row>
    <row r="9603" spans="2:6">
      <c r="B9603" s="75"/>
      <c r="C9603" s="75"/>
      <c r="D9603" s="75"/>
      <c r="E9603" s="75"/>
      <c r="F9603" s="75"/>
    </row>
    <row r="9604" spans="2:6">
      <c r="B9604" s="75"/>
      <c r="C9604" s="75"/>
      <c r="D9604" s="75"/>
      <c r="E9604" s="75"/>
      <c r="F9604" s="75"/>
    </row>
    <row r="9605" spans="2:6">
      <c r="B9605" s="75"/>
      <c r="C9605" s="75"/>
      <c r="D9605" s="75"/>
      <c r="E9605" s="75"/>
      <c r="F9605" s="75"/>
    </row>
    <row r="9606" spans="2:6">
      <c r="B9606" s="75"/>
      <c r="C9606" s="75"/>
      <c r="D9606" s="75"/>
      <c r="E9606" s="75"/>
      <c r="F9606" s="75"/>
    </row>
    <row r="9607" spans="2:6">
      <c r="B9607" s="75"/>
      <c r="C9607" s="75"/>
      <c r="D9607" s="75"/>
      <c r="E9607" s="75"/>
      <c r="F9607" s="75"/>
    </row>
    <row r="9608" spans="2:6">
      <c r="B9608" s="75"/>
      <c r="C9608" s="75"/>
      <c r="D9608" s="75"/>
      <c r="E9608" s="75"/>
      <c r="F9608" s="75"/>
    </row>
    <row r="9609" spans="2:6">
      <c r="B9609" s="75"/>
      <c r="C9609" s="75"/>
      <c r="D9609" s="75"/>
      <c r="E9609" s="75"/>
      <c r="F9609" s="75"/>
    </row>
    <row r="9610" spans="2:6">
      <c r="B9610" s="75"/>
      <c r="C9610" s="75"/>
      <c r="D9610" s="75"/>
      <c r="E9610" s="75"/>
      <c r="F9610" s="75"/>
    </row>
    <row r="9611" spans="2:6">
      <c r="B9611" s="75"/>
      <c r="C9611" s="75"/>
      <c r="D9611" s="75"/>
      <c r="E9611" s="75"/>
      <c r="F9611" s="75"/>
    </row>
    <row r="9612" spans="2:6">
      <c r="B9612" s="75"/>
      <c r="C9612" s="75"/>
      <c r="D9612" s="75"/>
      <c r="E9612" s="75"/>
      <c r="F9612" s="75"/>
    </row>
    <row r="9613" spans="2:6">
      <c r="B9613" s="75"/>
      <c r="C9613" s="75"/>
      <c r="D9613" s="75"/>
      <c r="E9613" s="75"/>
      <c r="F9613" s="75"/>
    </row>
    <row r="9614" spans="2:6">
      <c r="B9614" s="75"/>
      <c r="C9614" s="75"/>
      <c r="D9614" s="75"/>
      <c r="E9614" s="75"/>
      <c r="F9614" s="75"/>
    </row>
    <row r="9615" spans="2:6">
      <c r="B9615" s="75"/>
      <c r="C9615" s="75"/>
      <c r="D9615" s="75"/>
      <c r="E9615" s="75"/>
      <c r="F9615" s="75"/>
    </row>
    <row r="9616" spans="2:6">
      <c r="B9616" s="75"/>
      <c r="C9616" s="75"/>
      <c r="D9616" s="75"/>
      <c r="E9616" s="75"/>
      <c r="F9616" s="75"/>
    </row>
    <row r="9617" spans="2:6">
      <c r="B9617" s="75"/>
      <c r="C9617" s="75"/>
      <c r="D9617" s="75"/>
      <c r="E9617" s="75"/>
      <c r="F9617" s="75"/>
    </row>
    <row r="9618" spans="2:6">
      <c r="B9618" s="75"/>
      <c r="C9618" s="75"/>
      <c r="D9618" s="75"/>
      <c r="E9618" s="75"/>
      <c r="F9618" s="75"/>
    </row>
    <row r="9619" spans="2:6">
      <c r="B9619" s="75"/>
      <c r="C9619" s="75"/>
      <c r="D9619" s="75"/>
      <c r="E9619" s="75"/>
      <c r="F9619" s="75"/>
    </row>
    <row r="9620" spans="2:6">
      <c r="B9620" s="75"/>
      <c r="C9620" s="75"/>
      <c r="D9620" s="75"/>
      <c r="E9620" s="75"/>
      <c r="F9620" s="75"/>
    </row>
    <row r="9621" spans="2:6">
      <c r="B9621" s="75"/>
      <c r="C9621" s="75"/>
      <c r="D9621" s="75"/>
      <c r="E9621" s="75"/>
      <c r="F9621" s="75"/>
    </row>
    <row r="9622" spans="2:6">
      <c r="B9622" s="75"/>
      <c r="C9622" s="75"/>
      <c r="D9622" s="75"/>
      <c r="E9622" s="75"/>
      <c r="F9622" s="75"/>
    </row>
    <row r="9623" spans="2:6">
      <c r="B9623" s="75"/>
      <c r="C9623" s="75"/>
      <c r="D9623" s="75"/>
      <c r="E9623" s="75"/>
      <c r="F9623" s="75"/>
    </row>
    <row r="9624" spans="2:6">
      <c r="B9624" s="75"/>
      <c r="C9624" s="75"/>
      <c r="D9624" s="75"/>
      <c r="E9624" s="75"/>
      <c r="F9624" s="75"/>
    </row>
    <row r="9625" spans="2:6">
      <c r="B9625" s="75"/>
      <c r="C9625" s="75"/>
      <c r="D9625" s="75"/>
      <c r="E9625" s="75"/>
      <c r="F9625" s="75"/>
    </row>
    <row r="9626" spans="2:6">
      <c r="B9626" s="75"/>
      <c r="C9626" s="75"/>
      <c r="D9626" s="75"/>
      <c r="E9626" s="75"/>
      <c r="F9626" s="75"/>
    </row>
    <row r="9627" spans="2:6">
      <c r="B9627" s="75"/>
      <c r="C9627" s="75"/>
      <c r="D9627" s="75"/>
      <c r="E9627" s="75"/>
      <c r="F9627" s="75"/>
    </row>
    <row r="9628" spans="2:6">
      <c r="B9628" s="75"/>
      <c r="C9628" s="75"/>
      <c r="D9628" s="75"/>
      <c r="E9628" s="75"/>
      <c r="F9628" s="75"/>
    </row>
    <row r="9629" spans="2:6">
      <c r="B9629" s="75"/>
      <c r="C9629" s="75"/>
      <c r="D9629" s="75"/>
      <c r="E9629" s="75"/>
      <c r="F9629" s="75"/>
    </row>
    <row r="9630" spans="2:6">
      <c r="B9630" s="75"/>
      <c r="C9630" s="75"/>
      <c r="D9630" s="75"/>
      <c r="E9630" s="75"/>
      <c r="F9630" s="75"/>
    </row>
    <row r="9631" spans="2:6">
      <c r="B9631" s="75"/>
      <c r="C9631" s="75"/>
      <c r="D9631" s="75"/>
      <c r="E9631" s="75"/>
      <c r="F9631" s="75"/>
    </row>
    <row r="9632" spans="2:6">
      <c r="B9632" s="75"/>
      <c r="C9632" s="75"/>
      <c r="D9632" s="75"/>
      <c r="E9632" s="75"/>
      <c r="F9632" s="75"/>
    </row>
    <row r="9633" spans="2:6">
      <c r="B9633" s="75"/>
      <c r="C9633" s="75"/>
      <c r="D9633" s="75"/>
      <c r="E9633" s="75"/>
      <c r="F9633" s="75"/>
    </row>
    <row r="9634" spans="2:6">
      <c r="B9634" s="75"/>
      <c r="C9634" s="75"/>
      <c r="D9634" s="75"/>
      <c r="E9634" s="75"/>
      <c r="F9634" s="75"/>
    </row>
    <row r="9635" spans="2:6">
      <c r="B9635" s="75"/>
      <c r="C9635" s="75"/>
      <c r="D9635" s="75"/>
      <c r="E9635" s="75"/>
      <c r="F9635" s="75"/>
    </row>
    <row r="9636" spans="2:6">
      <c r="B9636" s="75"/>
      <c r="C9636" s="75"/>
      <c r="D9636" s="75"/>
      <c r="E9636" s="75"/>
      <c r="F9636" s="75"/>
    </row>
    <row r="9637" spans="2:6">
      <c r="B9637" s="75"/>
      <c r="C9637" s="75"/>
      <c r="D9637" s="75"/>
      <c r="E9637" s="75"/>
      <c r="F9637" s="75"/>
    </row>
    <row r="9638" spans="2:6">
      <c r="B9638" s="75"/>
      <c r="C9638" s="75"/>
      <c r="D9638" s="75"/>
      <c r="E9638" s="75"/>
      <c r="F9638" s="75"/>
    </row>
    <row r="9639" spans="2:6">
      <c r="B9639" s="75"/>
      <c r="C9639" s="75"/>
      <c r="D9639" s="75"/>
      <c r="E9639" s="75"/>
      <c r="F9639" s="75"/>
    </row>
    <row r="9640" spans="2:6">
      <c r="B9640" s="75"/>
      <c r="C9640" s="75"/>
      <c r="D9640" s="75"/>
      <c r="E9640" s="75"/>
      <c r="F9640" s="75"/>
    </row>
    <row r="9641" spans="2:6">
      <c r="B9641" s="75"/>
      <c r="C9641" s="75"/>
      <c r="D9641" s="75"/>
      <c r="E9641" s="75"/>
      <c r="F9641" s="75"/>
    </row>
    <row r="9642" spans="2:6">
      <c r="B9642" s="75"/>
      <c r="C9642" s="75"/>
      <c r="D9642" s="75"/>
      <c r="E9642" s="75"/>
      <c r="F9642" s="75"/>
    </row>
    <row r="9643" spans="2:6">
      <c r="B9643" s="75"/>
      <c r="C9643" s="75"/>
      <c r="D9643" s="75"/>
      <c r="E9643" s="75"/>
      <c r="F9643" s="75"/>
    </row>
    <row r="9644" spans="2:6">
      <c r="B9644" s="75"/>
      <c r="C9644" s="75"/>
      <c r="D9644" s="75"/>
      <c r="E9644" s="75"/>
      <c r="F9644" s="75"/>
    </row>
    <row r="9645" spans="2:6">
      <c r="B9645" s="75"/>
      <c r="C9645" s="75"/>
      <c r="D9645" s="75"/>
      <c r="E9645" s="75"/>
      <c r="F9645" s="75"/>
    </row>
    <row r="9646" spans="2:6">
      <c r="B9646" s="75"/>
      <c r="C9646" s="75"/>
      <c r="D9646" s="75"/>
      <c r="E9646" s="75"/>
      <c r="F9646" s="75"/>
    </row>
    <row r="9647" spans="2:6">
      <c r="B9647" s="75"/>
      <c r="C9647" s="75"/>
      <c r="D9647" s="75"/>
      <c r="E9647" s="75"/>
      <c r="F9647" s="75"/>
    </row>
    <row r="9648" spans="2:6">
      <c r="B9648" s="75"/>
      <c r="C9648" s="75"/>
      <c r="D9648" s="75"/>
      <c r="E9648" s="75"/>
      <c r="F9648" s="75"/>
    </row>
    <row r="9649" spans="2:6">
      <c r="B9649" s="75"/>
      <c r="C9649" s="75"/>
      <c r="D9649" s="75"/>
      <c r="E9649" s="75"/>
      <c r="F9649" s="75"/>
    </row>
    <row r="9650" spans="2:6">
      <c r="B9650" s="75"/>
      <c r="C9650" s="75"/>
      <c r="D9650" s="75"/>
      <c r="E9650" s="75"/>
      <c r="F9650" s="75"/>
    </row>
    <row r="9651" spans="2:6">
      <c r="B9651" s="75"/>
      <c r="C9651" s="75"/>
      <c r="D9651" s="75"/>
      <c r="E9651" s="75"/>
      <c r="F9651" s="75"/>
    </row>
    <row r="9652" spans="2:6">
      <c r="B9652" s="75"/>
      <c r="C9652" s="75"/>
      <c r="D9652" s="75"/>
      <c r="E9652" s="75"/>
      <c r="F9652" s="75"/>
    </row>
    <row r="9653" spans="2:6">
      <c r="B9653" s="75"/>
      <c r="C9653" s="75"/>
      <c r="D9653" s="75"/>
      <c r="E9653" s="75"/>
      <c r="F9653" s="75"/>
    </row>
    <row r="9654" spans="2:6">
      <c r="B9654" s="75"/>
      <c r="C9654" s="75"/>
      <c r="D9654" s="75"/>
      <c r="E9654" s="75"/>
      <c r="F9654" s="75"/>
    </row>
    <row r="9655" spans="2:6">
      <c r="B9655" s="75"/>
      <c r="C9655" s="75"/>
      <c r="D9655" s="75"/>
      <c r="E9655" s="75"/>
      <c r="F9655" s="75"/>
    </row>
    <row r="9656" spans="2:6">
      <c r="B9656" s="75"/>
      <c r="C9656" s="75"/>
      <c r="D9656" s="75"/>
      <c r="E9656" s="75"/>
      <c r="F9656" s="75"/>
    </row>
    <row r="9657" spans="2:6">
      <c r="B9657" s="75"/>
      <c r="C9657" s="75"/>
      <c r="D9657" s="75"/>
      <c r="E9657" s="75"/>
      <c r="F9657" s="75"/>
    </row>
    <row r="9658" spans="2:6">
      <c r="B9658" s="75"/>
      <c r="C9658" s="75"/>
      <c r="D9658" s="75"/>
      <c r="E9658" s="75"/>
      <c r="F9658" s="75"/>
    </row>
    <row r="9659" spans="2:6">
      <c r="B9659" s="75"/>
      <c r="C9659" s="75"/>
      <c r="D9659" s="75"/>
      <c r="E9659" s="75"/>
      <c r="F9659" s="75"/>
    </row>
    <row r="9660" spans="2:6">
      <c r="B9660" s="75"/>
      <c r="C9660" s="75"/>
      <c r="D9660" s="75"/>
      <c r="E9660" s="75"/>
      <c r="F9660" s="75"/>
    </row>
    <row r="9661" spans="2:6">
      <c r="B9661" s="75"/>
      <c r="C9661" s="75"/>
      <c r="D9661" s="75"/>
      <c r="E9661" s="75"/>
      <c r="F9661" s="75"/>
    </row>
    <row r="9662" spans="2:6">
      <c r="B9662" s="75"/>
      <c r="C9662" s="75"/>
      <c r="D9662" s="75"/>
      <c r="E9662" s="75"/>
      <c r="F9662" s="75"/>
    </row>
    <row r="9663" spans="2:6">
      <c r="B9663" s="75"/>
      <c r="C9663" s="75"/>
      <c r="D9663" s="75"/>
      <c r="E9663" s="75"/>
      <c r="F9663" s="75"/>
    </row>
    <row r="9664" spans="2:6">
      <c r="B9664" s="75"/>
      <c r="C9664" s="75"/>
      <c r="D9664" s="75"/>
      <c r="E9664" s="75"/>
      <c r="F9664" s="75"/>
    </row>
    <row r="9665" spans="2:6">
      <c r="B9665" s="75"/>
      <c r="C9665" s="75"/>
      <c r="D9665" s="75"/>
      <c r="E9665" s="75"/>
      <c r="F9665" s="75"/>
    </row>
    <row r="9666" spans="2:6">
      <c r="B9666" s="75"/>
      <c r="C9666" s="75"/>
      <c r="D9666" s="75"/>
      <c r="E9666" s="75"/>
      <c r="F9666" s="75"/>
    </row>
    <row r="9667" spans="2:6">
      <c r="B9667" s="75"/>
      <c r="C9667" s="75"/>
      <c r="D9667" s="75"/>
      <c r="E9667" s="75"/>
      <c r="F9667" s="75"/>
    </row>
    <row r="9668" spans="2:6">
      <c r="B9668" s="75"/>
      <c r="C9668" s="75"/>
      <c r="D9668" s="75"/>
      <c r="E9668" s="75"/>
      <c r="F9668" s="75"/>
    </row>
    <row r="9669" spans="2:6">
      <c r="B9669" s="75"/>
      <c r="C9669" s="75"/>
      <c r="D9669" s="75"/>
      <c r="E9669" s="75"/>
      <c r="F9669" s="75"/>
    </row>
    <row r="9670" spans="2:6">
      <c r="B9670" s="75"/>
      <c r="C9670" s="75"/>
      <c r="D9670" s="75"/>
      <c r="E9670" s="75"/>
      <c r="F9670" s="75"/>
    </row>
    <row r="9671" spans="2:6">
      <c r="B9671" s="75"/>
      <c r="C9671" s="75"/>
      <c r="D9671" s="75"/>
      <c r="E9671" s="75"/>
      <c r="F9671" s="75"/>
    </row>
    <row r="9672" spans="2:6">
      <c r="B9672" s="75"/>
      <c r="C9672" s="75"/>
      <c r="D9672" s="75"/>
      <c r="E9672" s="75"/>
      <c r="F9672" s="75"/>
    </row>
    <row r="9673" spans="2:6">
      <c r="B9673" s="75"/>
      <c r="C9673" s="75"/>
      <c r="D9673" s="75"/>
      <c r="E9673" s="75"/>
      <c r="F9673" s="75"/>
    </row>
    <row r="9674" spans="2:6">
      <c r="B9674" s="75"/>
      <c r="C9674" s="75"/>
      <c r="D9674" s="75"/>
      <c r="E9674" s="75"/>
      <c r="F9674" s="75"/>
    </row>
    <row r="9675" spans="2:6">
      <c r="B9675" s="75"/>
      <c r="C9675" s="75"/>
      <c r="D9675" s="75"/>
      <c r="E9675" s="75"/>
      <c r="F9675" s="75"/>
    </row>
    <row r="9676" spans="2:6">
      <c r="B9676" s="75"/>
      <c r="C9676" s="75"/>
      <c r="D9676" s="75"/>
      <c r="E9676" s="75"/>
      <c r="F9676" s="75"/>
    </row>
    <row r="9677" spans="2:6">
      <c r="B9677" s="75"/>
      <c r="C9677" s="75"/>
      <c r="D9677" s="75"/>
      <c r="E9677" s="75"/>
      <c r="F9677" s="75"/>
    </row>
    <row r="9678" spans="2:6">
      <c r="B9678" s="75"/>
      <c r="C9678" s="75"/>
      <c r="D9678" s="75"/>
      <c r="E9678" s="75"/>
      <c r="F9678" s="75"/>
    </row>
    <row r="9679" spans="2:6">
      <c r="B9679" s="75"/>
      <c r="C9679" s="75"/>
      <c r="D9679" s="75"/>
      <c r="E9679" s="75"/>
      <c r="F9679" s="75"/>
    </row>
    <row r="9680" spans="2:6">
      <c r="B9680" s="75"/>
      <c r="C9680" s="75"/>
      <c r="D9680" s="75"/>
      <c r="E9680" s="75"/>
      <c r="F9680" s="75"/>
    </row>
    <row r="9681" spans="2:6">
      <c r="B9681" s="75"/>
      <c r="C9681" s="75"/>
      <c r="D9681" s="75"/>
      <c r="E9681" s="75"/>
      <c r="F9681" s="75"/>
    </row>
    <row r="9682" spans="2:6">
      <c r="B9682" s="75"/>
      <c r="C9682" s="75"/>
      <c r="D9682" s="75"/>
      <c r="E9682" s="75"/>
      <c r="F9682" s="75"/>
    </row>
    <row r="9683" spans="2:6">
      <c r="B9683" s="75"/>
      <c r="C9683" s="75"/>
      <c r="D9683" s="75"/>
      <c r="E9683" s="75"/>
      <c r="F9683" s="75"/>
    </row>
    <row r="9684" spans="2:6">
      <c r="B9684" s="75"/>
      <c r="C9684" s="75"/>
      <c r="D9684" s="75"/>
      <c r="E9684" s="75"/>
      <c r="F9684" s="75"/>
    </row>
    <row r="9685" spans="2:6">
      <c r="B9685" s="75"/>
      <c r="C9685" s="75"/>
      <c r="D9685" s="75"/>
      <c r="E9685" s="75"/>
      <c r="F9685" s="75"/>
    </row>
    <row r="9686" spans="2:6">
      <c r="B9686" s="75"/>
      <c r="C9686" s="75"/>
      <c r="D9686" s="75"/>
      <c r="E9686" s="75"/>
      <c r="F9686" s="75"/>
    </row>
    <row r="9687" spans="2:6">
      <c r="B9687" s="75"/>
      <c r="C9687" s="75"/>
      <c r="D9687" s="75"/>
      <c r="E9687" s="75"/>
      <c r="F9687" s="75"/>
    </row>
    <row r="9688" spans="2:6">
      <c r="B9688" s="75"/>
      <c r="C9688" s="75"/>
      <c r="D9688" s="75"/>
      <c r="E9688" s="75"/>
      <c r="F9688" s="75"/>
    </row>
    <row r="9689" spans="2:6">
      <c r="B9689" s="75"/>
      <c r="C9689" s="75"/>
      <c r="D9689" s="75"/>
      <c r="E9689" s="75"/>
      <c r="F9689" s="75"/>
    </row>
    <row r="9690" spans="2:6">
      <c r="B9690" s="75"/>
      <c r="C9690" s="75"/>
      <c r="D9690" s="75"/>
      <c r="E9690" s="75"/>
      <c r="F9690" s="75"/>
    </row>
    <row r="9691" spans="2:6">
      <c r="B9691" s="75"/>
      <c r="C9691" s="75"/>
      <c r="D9691" s="75"/>
      <c r="E9691" s="75"/>
      <c r="F9691" s="75"/>
    </row>
    <row r="9692" spans="2:6">
      <c r="B9692" s="75"/>
      <c r="C9692" s="75"/>
      <c r="D9692" s="75"/>
      <c r="E9692" s="75"/>
      <c r="F9692" s="75"/>
    </row>
    <row r="9693" spans="2:6">
      <c r="B9693" s="75"/>
      <c r="C9693" s="75"/>
      <c r="D9693" s="75"/>
      <c r="E9693" s="75"/>
      <c r="F9693" s="75"/>
    </row>
    <row r="9694" spans="2:6">
      <c r="B9694" s="75"/>
      <c r="C9694" s="75"/>
      <c r="D9694" s="75"/>
      <c r="E9694" s="75"/>
      <c r="F9694" s="75"/>
    </row>
    <row r="9695" spans="2:6">
      <c r="B9695" s="75"/>
      <c r="C9695" s="75"/>
      <c r="D9695" s="75"/>
      <c r="E9695" s="75"/>
      <c r="F9695" s="75"/>
    </row>
    <row r="9696" spans="2:6">
      <c r="B9696" s="75"/>
      <c r="C9696" s="75"/>
      <c r="D9696" s="75"/>
      <c r="E9696" s="75"/>
      <c r="F9696" s="75"/>
    </row>
    <row r="9697" spans="2:6">
      <c r="B9697" s="75"/>
      <c r="C9697" s="75"/>
      <c r="D9697" s="75"/>
      <c r="E9697" s="75"/>
      <c r="F9697" s="75"/>
    </row>
    <row r="9698" spans="2:6">
      <c r="B9698" s="75"/>
      <c r="C9698" s="75"/>
      <c r="D9698" s="75"/>
      <c r="E9698" s="75"/>
      <c r="F9698" s="75"/>
    </row>
    <row r="9699" spans="2:6">
      <c r="B9699" s="75"/>
      <c r="C9699" s="75"/>
      <c r="D9699" s="75"/>
      <c r="E9699" s="75"/>
      <c r="F9699" s="75"/>
    </row>
    <row r="9700" spans="2:6">
      <c r="B9700" s="75"/>
      <c r="C9700" s="75"/>
      <c r="D9700" s="75"/>
      <c r="E9700" s="75"/>
      <c r="F9700" s="75"/>
    </row>
    <row r="9701" spans="2:6">
      <c r="B9701" s="75"/>
      <c r="C9701" s="75"/>
      <c r="D9701" s="75"/>
      <c r="E9701" s="75"/>
      <c r="F9701" s="75"/>
    </row>
    <row r="9702" spans="2:6">
      <c r="B9702" s="75"/>
      <c r="C9702" s="75"/>
      <c r="D9702" s="75"/>
      <c r="E9702" s="75"/>
      <c r="F9702" s="75"/>
    </row>
    <row r="9703" spans="2:6">
      <c r="B9703" s="75"/>
      <c r="C9703" s="75"/>
      <c r="D9703" s="75"/>
      <c r="E9703" s="75"/>
      <c r="F9703" s="75"/>
    </row>
    <row r="9704" spans="2:6">
      <c r="B9704" s="75"/>
      <c r="C9704" s="75"/>
      <c r="D9704" s="75"/>
      <c r="E9704" s="75"/>
      <c r="F9704" s="75"/>
    </row>
    <row r="9705" spans="2:6">
      <c r="B9705" s="75"/>
      <c r="C9705" s="75"/>
      <c r="D9705" s="75"/>
      <c r="E9705" s="75"/>
      <c r="F9705" s="75"/>
    </row>
    <row r="9706" spans="2:6">
      <c r="B9706" s="75"/>
      <c r="C9706" s="75"/>
      <c r="D9706" s="75"/>
      <c r="E9706" s="75"/>
      <c r="F9706" s="75"/>
    </row>
    <row r="9707" spans="2:6">
      <c r="B9707" s="75"/>
      <c r="C9707" s="75"/>
      <c r="D9707" s="75"/>
      <c r="E9707" s="75"/>
      <c r="F9707" s="75"/>
    </row>
    <row r="9708" spans="2:6">
      <c r="B9708" s="75"/>
      <c r="C9708" s="75"/>
      <c r="D9708" s="75"/>
      <c r="E9708" s="75"/>
      <c r="F9708" s="75"/>
    </row>
    <row r="9709" spans="2:6">
      <c r="B9709" s="75"/>
      <c r="C9709" s="75"/>
      <c r="D9709" s="75"/>
      <c r="E9709" s="75"/>
      <c r="F9709" s="75"/>
    </row>
    <row r="9710" spans="2:6">
      <c r="B9710" s="75"/>
      <c r="C9710" s="75"/>
      <c r="D9710" s="75"/>
      <c r="E9710" s="75"/>
      <c r="F9710" s="75"/>
    </row>
    <row r="9711" spans="2:6">
      <c r="B9711" s="75"/>
      <c r="C9711" s="75"/>
      <c r="D9711" s="75"/>
      <c r="E9711" s="75"/>
      <c r="F9711" s="75"/>
    </row>
    <row r="9712" spans="2:6">
      <c r="B9712" s="75"/>
      <c r="C9712" s="75"/>
      <c r="D9712" s="75"/>
      <c r="E9712" s="75"/>
      <c r="F9712" s="75"/>
    </row>
    <row r="9713" spans="2:6">
      <c r="B9713" s="75"/>
      <c r="C9713" s="75"/>
      <c r="D9713" s="75"/>
      <c r="E9713" s="75"/>
      <c r="F9713" s="75"/>
    </row>
    <row r="9714" spans="2:6">
      <c r="B9714" s="75"/>
      <c r="C9714" s="75"/>
      <c r="D9714" s="75"/>
      <c r="E9714" s="75"/>
      <c r="F9714" s="75"/>
    </row>
    <row r="9715" spans="2:6">
      <c r="B9715" s="75"/>
      <c r="C9715" s="75"/>
      <c r="D9715" s="75"/>
      <c r="E9715" s="75"/>
      <c r="F9715" s="75"/>
    </row>
    <row r="9716" spans="2:6">
      <c r="B9716" s="75"/>
      <c r="C9716" s="75"/>
      <c r="D9716" s="75"/>
      <c r="E9716" s="75"/>
      <c r="F9716" s="75"/>
    </row>
    <row r="9717" spans="2:6">
      <c r="B9717" s="75"/>
      <c r="C9717" s="75"/>
      <c r="D9717" s="75"/>
      <c r="E9717" s="75"/>
      <c r="F9717" s="75"/>
    </row>
    <row r="9718" spans="2:6">
      <c r="B9718" s="75"/>
      <c r="C9718" s="75"/>
      <c r="D9718" s="75"/>
      <c r="E9718" s="75"/>
      <c r="F9718" s="75"/>
    </row>
    <row r="9719" spans="2:6">
      <c r="B9719" s="75"/>
      <c r="C9719" s="75"/>
      <c r="D9719" s="75"/>
      <c r="E9719" s="75"/>
      <c r="F9719" s="75"/>
    </row>
    <row r="9720" spans="2:6">
      <c r="B9720" s="75"/>
      <c r="C9720" s="75"/>
      <c r="D9720" s="75"/>
      <c r="E9720" s="75"/>
      <c r="F9720" s="75"/>
    </row>
    <row r="9721" spans="2:6">
      <c r="B9721" s="75"/>
      <c r="C9721" s="75"/>
      <c r="D9721" s="75"/>
      <c r="E9721" s="75"/>
      <c r="F9721" s="75"/>
    </row>
    <row r="9722" spans="2:6">
      <c r="B9722" s="75"/>
      <c r="C9722" s="75"/>
      <c r="D9722" s="75"/>
      <c r="E9722" s="75"/>
      <c r="F9722" s="75"/>
    </row>
    <row r="9723" spans="2:6">
      <c r="B9723" s="75"/>
      <c r="C9723" s="75"/>
      <c r="D9723" s="75"/>
      <c r="E9723" s="75"/>
      <c r="F9723" s="75"/>
    </row>
    <row r="9724" spans="2:6">
      <c r="B9724" s="75"/>
      <c r="C9724" s="75"/>
      <c r="D9724" s="75"/>
      <c r="E9724" s="75"/>
      <c r="F9724" s="75"/>
    </row>
    <row r="9725" spans="2:6">
      <c r="B9725" s="75"/>
      <c r="C9725" s="75"/>
      <c r="D9725" s="75"/>
      <c r="E9725" s="75"/>
      <c r="F9725" s="75"/>
    </row>
    <row r="9726" spans="2:6">
      <c r="B9726" s="75"/>
      <c r="C9726" s="75"/>
      <c r="D9726" s="75"/>
      <c r="E9726" s="75"/>
      <c r="F9726" s="75"/>
    </row>
    <row r="9727" spans="2:6">
      <c r="B9727" s="75"/>
      <c r="C9727" s="75"/>
      <c r="D9727" s="75"/>
      <c r="E9727" s="75"/>
      <c r="F9727" s="75"/>
    </row>
    <row r="9728" spans="2:6">
      <c r="B9728" s="75"/>
      <c r="C9728" s="75"/>
      <c r="D9728" s="75"/>
      <c r="E9728" s="75"/>
      <c r="F9728" s="75"/>
    </row>
    <row r="9729" spans="2:6">
      <c r="B9729" s="75"/>
      <c r="C9729" s="75"/>
      <c r="D9729" s="75"/>
      <c r="E9729" s="75"/>
      <c r="F9729" s="75"/>
    </row>
    <row r="9730" spans="2:6">
      <c r="B9730" s="75"/>
      <c r="C9730" s="75"/>
      <c r="D9730" s="75"/>
      <c r="E9730" s="75"/>
      <c r="F9730" s="75"/>
    </row>
    <row r="9731" spans="2:6">
      <c r="B9731" s="75"/>
      <c r="C9731" s="75"/>
      <c r="D9731" s="75"/>
      <c r="E9731" s="75"/>
      <c r="F9731" s="75"/>
    </row>
    <row r="9732" spans="2:6">
      <c r="B9732" s="75"/>
      <c r="C9732" s="75"/>
      <c r="D9732" s="75"/>
      <c r="E9732" s="75"/>
      <c r="F9732" s="75"/>
    </row>
    <row r="9733" spans="2:6">
      <c r="B9733" s="75"/>
      <c r="C9733" s="75"/>
      <c r="D9733" s="75"/>
      <c r="E9733" s="75"/>
      <c r="F9733" s="75"/>
    </row>
    <row r="9734" spans="2:6">
      <c r="B9734" s="75"/>
      <c r="C9734" s="75"/>
      <c r="D9734" s="75"/>
      <c r="E9734" s="75"/>
      <c r="F9734" s="75"/>
    </row>
    <row r="9735" spans="2:6">
      <c r="B9735" s="75"/>
      <c r="C9735" s="75"/>
      <c r="D9735" s="75"/>
      <c r="E9735" s="75"/>
      <c r="F9735" s="75"/>
    </row>
    <row r="9736" spans="2:6">
      <c r="B9736" s="75"/>
      <c r="C9736" s="75"/>
      <c r="D9736" s="75"/>
      <c r="E9736" s="75"/>
      <c r="F9736" s="75"/>
    </row>
    <row r="9737" spans="2:6">
      <c r="B9737" s="75"/>
      <c r="C9737" s="75"/>
      <c r="D9737" s="75"/>
      <c r="E9737" s="75"/>
      <c r="F9737" s="75"/>
    </row>
    <row r="9738" spans="2:6">
      <c r="B9738" s="75"/>
      <c r="C9738" s="75"/>
      <c r="D9738" s="75"/>
      <c r="E9738" s="75"/>
      <c r="F9738" s="75"/>
    </row>
    <row r="9739" spans="2:6">
      <c r="B9739" s="75"/>
      <c r="C9739" s="75"/>
      <c r="D9739" s="75"/>
      <c r="E9739" s="75"/>
      <c r="F9739" s="75"/>
    </row>
    <row r="9740" spans="2:6">
      <c r="B9740" s="75"/>
      <c r="C9740" s="75"/>
      <c r="D9740" s="75"/>
      <c r="E9740" s="75"/>
      <c r="F9740" s="75"/>
    </row>
    <row r="9741" spans="2:6">
      <c r="B9741" s="75"/>
      <c r="C9741" s="75"/>
      <c r="D9741" s="75"/>
      <c r="E9741" s="75"/>
      <c r="F9741" s="75"/>
    </row>
    <row r="9742" spans="2:6">
      <c r="B9742" s="75"/>
      <c r="C9742" s="75"/>
      <c r="D9742" s="75"/>
      <c r="E9742" s="75"/>
      <c r="F9742" s="75"/>
    </row>
    <row r="9743" spans="2:6">
      <c r="B9743" s="75"/>
      <c r="C9743" s="75"/>
      <c r="D9743" s="75"/>
      <c r="E9743" s="75"/>
      <c r="F9743" s="75"/>
    </row>
    <row r="9744" spans="2:6">
      <c r="B9744" s="75"/>
      <c r="C9744" s="75"/>
      <c r="D9744" s="75"/>
      <c r="E9744" s="75"/>
      <c r="F9744" s="75"/>
    </row>
    <row r="9745" spans="2:6">
      <c r="B9745" s="75"/>
      <c r="C9745" s="75"/>
      <c r="D9745" s="75"/>
      <c r="E9745" s="75"/>
      <c r="F9745" s="75"/>
    </row>
    <row r="9746" spans="2:6">
      <c r="B9746" s="75"/>
      <c r="C9746" s="75"/>
      <c r="D9746" s="75"/>
      <c r="E9746" s="75"/>
      <c r="F9746" s="75"/>
    </row>
    <row r="9747" spans="2:6">
      <c r="B9747" s="75"/>
      <c r="C9747" s="75"/>
      <c r="D9747" s="75"/>
      <c r="E9747" s="75"/>
      <c r="F9747" s="75"/>
    </row>
    <row r="9748" spans="2:6">
      <c r="B9748" s="75"/>
      <c r="C9748" s="75"/>
      <c r="D9748" s="75"/>
      <c r="E9748" s="75"/>
      <c r="F9748" s="75"/>
    </row>
    <row r="9749" spans="2:6">
      <c r="B9749" s="75"/>
      <c r="C9749" s="75"/>
      <c r="D9749" s="75"/>
      <c r="E9749" s="75"/>
      <c r="F9749" s="75"/>
    </row>
    <row r="9750" spans="2:6">
      <c r="B9750" s="75"/>
      <c r="C9750" s="75"/>
      <c r="D9750" s="75"/>
      <c r="E9750" s="75"/>
      <c r="F9750" s="75"/>
    </row>
    <row r="9751" spans="2:6">
      <c r="B9751" s="75"/>
      <c r="C9751" s="75"/>
      <c r="D9751" s="75"/>
      <c r="E9751" s="75"/>
      <c r="F9751" s="75"/>
    </row>
    <row r="9752" spans="2:6">
      <c r="B9752" s="75"/>
      <c r="C9752" s="75"/>
      <c r="D9752" s="75"/>
      <c r="E9752" s="75"/>
      <c r="F9752" s="75"/>
    </row>
    <row r="9753" spans="2:6">
      <c r="B9753" s="75"/>
      <c r="C9753" s="75"/>
      <c r="D9753" s="75"/>
      <c r="E9753" s="75"/>
      <c r="F9753" s="75"/>
    </row>
    <row r="9754" spans="2:6">
      <c r="B9754" s="75"/>
      <c r="C9754" s="75"/>
      <c r="D9754" s="75"/>
      <c r="E9754" s="75"/>
      <c r="F9754" s="75"/>
    </row>
    <row r="9755" spans="2:6">
      <c r="B9755" s="75"/>
      <c r="C9755" s="75"/>
      <c r="D9755" s="75"/>
      <c r="E9755" s="75"/>
      <c r="F9755" s="75"/>
    </row>
    <row r="9756" spans="2:6">
      <c r="B9756" s="75"/>
      <c r="C9756" s="75"/>
      <c r="D9756" s="75"/>
      <c r="E9756" s="75"/>
      <c r="F9756" s="75"/>
    </row>
    <row r="9757" spans="2:6">
      <c r="B9757" s="75"/>
      <c r="C9757" s="75"/>
      <c r="D9757" s="75"/>
      <c r="E9757" s="75"/>
      <c r="F9757" s="75"/>
    </row>
    <row r="9758" spans="2:6">
      <c r="B9758" s="75"/>
      <c r="C9758" s="75"/>
      <c r="D9758" s="75"/>
      <c r="E9758" s="75"/>
      <c r="F9758" s="75"/>
    </row>
    <row r="9759" spans="2:6">
      <c r="B9759" s="75"/>
      <c r="C9759" s="75"/>
      <c r="D9759" s="75"/>
      <c r="E9759" s="75"/>
      <c r="F9759" s="75"/>
    </row>
    <row r="9760" spans="2:6">
      <c r="B9760" s="75"/>
      <c r="C9760" s="75"/>
      <c r="D9760" s="75"/>
      <c r="E9760" s="75"/>
      <c r="F9760" s="75"/>
    </row>
    <row r="9761" spans="2:6">
      <c r="B9761" s="75"/>
      <c r="C9761" s="75"/>
      <c r="D9761" s="75"/>
      <c r="E9761" s="75"/>
      <c r="F9761" s="75"/>
    </row>
    <row r="9762" spans="2:6">
      <c r="B9762" s="75"/>
      <c r="C9762" s="75"/>
      <c r="D9762" s="75"/>
      <c r="E9762" s="75"/>
      <c r="F9762" s="75"/>
    </row>
    <row r="9763" spans="2:6">
      <c r="B9763" s="75"/>
      <c r="C9763" s="75"/>
      <c r="D9763" s="75"/>
      <c r="E9763" s="75"/>
      <c r="F9763" s="75"/>
    </row>
    <row r="9764" spans="2:6">
      <c r="B9764" s="75"/>
      <c r="C9764" s="75"/>
      <c r="D9764" s="75"/>
      <c r="E9764" s="75"/>
      <c r="F9764" s="75"/>
    </row>
    <row r="9765" spans="2:6">
      <c r="B9765" s="75"/>
      <c r="C9765" s="75"/>
      <c r="D9765" s="75"/>
      <c r="E9765" s="75"/>
      <c r="F9765" s="75"/>
    </row>
    <row r="9766" spans="2:6">
      <c r="B9766" s="75"/>
      <c r="C9766" s="75"/>
      <c r="D9766" s="75"/>
      <c r="E9766" s="75"/>
      <c r="F9766" s="75"/>
    </row>
    <row r="9767" spans="2:6">
      <c r="B9767" s="75"/>
      <c r="C9767" s="75"/>
      <c r="D9767" s="75"/>
      <c r="E9767" s="75"/>
      <c r="F9767" s="75"/>
    </row>
    <row r="9768" spans="2:6">
      <c r="B9768" s="75"/>
      <c r="C9768" s="75"/>
      <c r="D9768" s="75"/>
      <c r="E9768" s="75"/>
      <c r="F9768" s="75"/>
    </row>
    <row r="9769" spans="2:6">
      <c r="B9769" s="75"/>
      <c r="C9769" s="75"/>
      <c r="D9769" s="75"/>
      <c r="E9769" s="75"/>
      <c r="F9769" s="75"/>
    </row>
    <row r="9770" spans="2:6">
      <c r="B9770" s="75"/>
      <c r="C9770" s="75"/>
      <c r="D9770" s="75"/>
      <c r="E9770" s="75"/>
      <c r="F9770" s="75"/>
    </row>
    <row r="9771" spans="2:6">
      <c r="B9771" s="75"/>
      <c r="C9771" s="75"/>
      <c r="D9771" s="75"/>
      <c r="E9771" s="75"/>
      <c r="F9771" s="75"/>
    </row>
    <row r="9772" spans="2:6">
      <c r="B9772" s="75"/>
      <c r="C9772" s="75"/>
      <c r="D9772" s="75"/>
      <c r="E9772" s="75"/>
      <c r="F9772" s="75"/>
    </row>
    <row r="9773" spans="2:6">
      <c r="B9773" s="75"/>
      <c r="C9773" s="75"/>
      <c r="D9773" s="75"/>
      <c r="E9773" s="75"/>
      <c r="F9773" s="75"/>
    </row>
    <row r="9774" spans="2:6">
      <c r="B9774" s="75"/>
      <c r="C9774" s="75"/>
      <c r="D9774" s="75"/>
      <c r="E9774" s="75"/>
      <c r="F9774" s="75"/>
    </row>
    <row r="9775" spans="2:6">
      <c r="B9775" s="75"/>
      <c r="C9775" s="75"/>
      <c r="D9775" s="75"/>
      <c r="E9775" s="75"/>
      <c r="F9775" s="75"/>
    </row>
    <row r="9776" spans="2:6">
      <c r="B9776" s="75"/>
      <c r="C9776" s="75"/>
      <c r="D9776" s="75"/>
      <c r="E9776" s="75"/>
      <c r="F9776" s="75"/>
    </row>
    <row r="9777" spans="2:6">
      <c r="B9777" s="75"/>
      <c r="C9777" s="75"/>
      <c r="D9777" s="75"/>
      <c r="E9777" s="75"/>
      <c r="F9777" s="75"/>
    </row>
    <row r="9778" spans="2:6">
      <c r="B9778" s="75"/>
      <c r="C9778" s="75"/>
      <c r="D9778" s="75"/>
      <c r="E9778" s="75"/>
      <c r="F9778" s="75"/>
    </row>
    <row r="9779" spans="2:6">
      <c r="B9779" s="75"/>
      <c r="C9779" s="75"/>
      <c r="D9779" s="75"/>
      <c r="E9779" s="75"/>
      <c r="F9779" s="75"/>
    </row>
    <row r="9780" spans="2:6">
      <c r="B9780" s="75"/>
      <c r="C9780" s="75"/>
      <c r="D9780" s="75"/>
      <c r="E9780" s="75"/>
      <c r="F9780" s="75"/>
    </row>
    <row r="9781" spans="2:6">
      <c r="B9781" s="75"/>
      <c r="C9781" s="75"/>
      <c r="D9781" s="75"/>
      <c r="E9781" s="75"/>
      <c r="F9781" s="75"/>
    </row>
    <row r="9782" spans="2:6">
      <c r="B9782" s="75"/>
      <c r="C9782" s="75"/>
      <c r="D9782" s="75"/>
      <c r="E9782" s="75"/>
      <c r="F9782" s="75"/>
    </row>
    <row r="9783" spans="2:6">
      <c r="B9783" s="75"/>
      <c r="C9783" s="75"/>
      <c r="D9783" s="75"/>
      <c r="E9783" s="75"/>
      <c r="F9783" s="75"/>
    </row>
    <row r="9784" spans="2:6">
      <c r="B9784" s="75"/>
      <c r="C9784" s="75"/>
      <c r="D9784" s="75"/>
      <c r="E9784" s="75"/>
      <c r="F9784" s="75"/>
    </row>
    <row r="9785" spans="2:6">
      <c r="B9785" s="75"/>
      <c r="C9785" s="75"/>
      <c r="D9785" s="75"/>
      <c r="E9785" s="75"/>
      <c r="F9785" s="75"/>
    </row>
    <row r="9786" spans="2:6">
      <c r="B9786" s="75"/>
      <c r="C9786" s="75"/>
      <c r="D9786" s="75"/>
      <c r="E9786" s="75"/>
      <c r="F9786" s="75"/>
    </row>
    <row r="9787" spans="2:6">
      <c r="B9787" s="75"/>
      <c r="C9787" s="75"/>
      <c r="D9787" s="75"/>
      <c r="E9787" s="75"/>
      <c r="F9787" s="75"/>
    </row>
    <row r="9788" spans="2:6">
      <c r="B9788" s="75"/>
      <c r="C9788" s="75"/>
      <c r="D9788" s="75"/>
      <c r="E9788" s="75"/>
      <c r="F9788" s="75"/>
    </row>
    <row r="9789" spans="2:6">
      <c r="B9789" s="75"/>
      <c r="C9789" s="75"/>
      <c r="D9789" s="75"/>
      <c r="E9789" s="75"/>
      <c r="F9789" s="75"/>
    </row>
    <row r="9790" spans="2:6">
      <c r="B9790" s="75"/>
      <c r="C9790" s="75"/>
      <c r="D9790" s="75"/>
      <c r="E9790" s="75"/>
      <c r="F9790" s="75"/>
    </row>
    <row r="9791" spans="2:6">
      <c r="B9791" s="75"/>
      <c r="C9791" s="75"/>
      <c r="D9791" s="75"/>
      <c r="E9791" s="75"/>
      <c r="F9791" s="75"/>
    </row>
    <row r="9792" spans="2:6">
      <c r="B9792" s="75"/>
      <c r="C9792" s="75"/>
      <c r="D9792" s="75"/>
      <c r="E9792" s="75"/>
      <c r="F9792" s="75"/>
    </row>
    <row r="9793" spans="2:6">
      <c r="B9793" s="75"/>
      <c r="C9793" s="75"/>
      <c r="D9793" s="75"/>
      <c r="E9793" s="75"/>
      <c r="F9793" s="75"/>
    </row>
    <row r="9794" spans="2:6">
      <c r="B9794" s="75"/>
      <c r="C9794" s="75"/>
      <c r="D9794" s="75"/>
      <c r="E9794" s="75"/>
      <c r="F9794" s="75"/>
    </row>
    <row r="9795" spans="2:6">
      <c r="B9795" s="75"/>
      <c r="C9795" s="75"/>
      <c r="D9795" s="75"/>
      <c r="E9795" s="75"/>
      <c r="F9795" s="75"/>
    </row>
    <row r="9796" spans="2:6">
      <c r="B9796" s="75"/>
      <c r="C9796" s="75"/>
      <c r="D9796" s="75"/>
      <c r="E9796" s="75"/>
      <c r="F9796" s="75"/>
    </row>
    <row r="9797" spans="2:6">
      <c r="B9797" s="75"/>
      <c r="C9797" s="75"/>
      <c r="D9797" s="75"/>
      <c r="E9797" s="75"/>
      <c r="F9797" s="75"/>
    </row>
    <row r="9798" spans="2:6">
      <c r="B9798" s="75"/>
      <c r="C9798" s="75"/>
      <c r="D9798" s="75"/>
      <c r="E9798" s="75"/>
      <c r="F9798" s="75"/>
    </row>
    <row r="9799" spans="2:6">
      <c r="B9799" s="75"/>
      <c r="C9799" s="75"/>
      <c r="D9799" s="75"/>
      <c r="E9799" s="75"/>
      <c r="F9799" s="75"/>
    </row>
    <row r="9800" spans="2:6">
      <c r="B9800" s="75"/>
      <c r="C9800" s="75"/>
      <c r="D9800" s="75"/>
      <c r="E9800" s="75"/>
      <c r="F9800" s="75"/>
    </row>
    <row r="9801" spans="2:6">
      <c r="B9801" s="75"/>
      <c r="C9801" s="75"/>
      <c r="D9801" s="75"/>
      <c r="E9801" s="75"/>
      <c r="F9801" s="75"/>
    </row>
    <row r="9802" spans="2:6">
      <c r="B9802" s="75"/>
      <c r="C9802" s="75"/>
      <c r="D9802" s="75"/>
      <c r="E9802" s="75"/>
      <c r="F9802" s="75"/>
    </row>
    <row r="9803" spans="2:6">
      <c r="B9803" s="75"/>
      <c r="C9803" s="75"/>
      <c r="D9803" s="75"/>
      <c r="E9803" s="75"/>
      <c r="F9803" s="75"/>
    </row>
    <row r="9804" spans="2:6">
      <c r="B9804" s="75"/>
      <c r="C9804" s="75"/>
      <c r="D9804" s="75"/>
      <c r="E9804" s="75"/>
      <c r="F9804" s="75"/>
    </row>
    <row r="9805" spans="2:6">
      <c r="B9805" s="75"/>
      <c r="C9805" s="75"/>
      <c r="D9805" s="75"/>
      <c r="E9805" s="75"/>
      <c r="F9805" s="75"/>
    </row>
    <row r="9806" spans="2:6">
      <c r="B9806" s="75"/>
      <c r="C9806" s="75"/>
      <c r="D9806" s="75"/>
      <c r="E9806" s="75"/>
      <c r="F9806" s="75"/>
    </row>
    <row r="9807" spans="2:6">
      <c r="B9807" s="75"/>
      <c r="C9807" s="75"/>
      <c r="D9807" s="75"/>
      <c r="E9807" s="75"/>
      <c r="F9807" s="75"/>
    </row>
    <row r="9808" spans="2:6">
      <c r="B9808" s="75"/>
      <c r="C9808" s="75"/>
      <c r="D9808" s="75"/>
      <c r="E9808" s="75"/>
      <c r="F9808" s="75"/>
    </row>
    <row r="9809" spans="2:6">
      <c r="B9809" s="75"/>
      <c r="C9809" s="75"/>
      <c r="D9809" s="75"/>
      <c r="E9809" s="75"/>
      <c r="F9809" s="75"/>
    </row>
    <row r="9810" spans="2:6">
      <c r="B9810" s="75"/>
      <c r="C9810" s="75"/>
      <c r="D9810" s="75"/>
      <c r="E9810" s="75"/>
      <c r="F9810" s="75"/>
    </row>
    <row r="9811" spans="2:6">
      <c r="B9811" s="75"/>
      <c r="C9811" s="75"/>
      <c r="D9811" s="75"/>
      <c r="E9811" s="75"/>
      <c r="F9811" s="75"/>
    </row>
    <row r="9812" spans="2:6">
      <c r="B9812" s="75"/>
      <c r="C9812" s="75"/>
      <c r="D9812" s="75"/>
      <c r="E9812" s="75"/>
      <c r="F9812" s="75"/>
    </row>
    <row r="9813" spans="2:6">
      <c r="B9813" s="75"/>
      <c r="C9813" s="75"/>
      <c r="D9813" s="75"/>
      <c r="E9813" s="75"/>
      <c r="F9813" s="75"/>
    </row>
    <row r="9814" spans="2:6">
      <c r="B9814" s="75"/>
      <c r="C9814" s="75"/>
      <c r="D9814" s="75"/>
      <c r="E9814" s="75"/>
      <c r="F9814" s="75"/>
    </row>
    <row r="9815" spans="2:6">
      <c r="B9815" s="75"/>
      <c r="C9815" s="75"/>
      <c r="D9815" s="75"/>
      <c r="E9815" s="75"/>
      <c r="F9815" s="75"/>
    </row>
    <row r="9816" spans="2:6">
      <c r="B9816" s="75"/>
      <c r="C9816" s="75"/>
      <c r="D9816" s="75"/>
      <c r="E9816" s="75"/>
      <c r="F9816" s="75"/>
    </row>
    <row r="9817" spans="2:6">
      <c r="B9817" s="75"/>
      <c r="C9817" s="75"/>
      <c r="D9817" s="75"/>
      <c r="E9817" s="75"/>
      <c r="F9817" s="75"/>
    </row>
    <row r="9818" spans="2:6">
      <c r="B9818" s="75"/>
      <c r="C9818" s="75"/>
      <c r="D9818" s="75"/>
      <c r="E9818" s="75"/>
      <c r="F9818" s="75"/>
    </row>
    <row r="9819" spans="2:6">
      <c r="B9819" s="75"/>
      <c r="C9819" s="75"/>
      <c r="D9819" s="75"/>
      <c r="E9819" s="75"/>
      <c r="F9819" s="75"/>
    </row>
    <row r="9820" spans="2:6">
      <c r="B9820" s="75"/>
      <c r="C9820" s="75"/>
      <c r="D9820" s="75"/>
      <c r="E9820" s="75"/>
      <c r="F9820" s="75"/>
    </row>
    <row r="9821" spans="2:6">
      <c r="B9821" s="75"/>
      <c r="C9821" s="75"/>
      <c r="D9821" s="75"/>
      <c r="E9821" s="75"/>
      <c r="F9821" s="75"/>
    </row>
    <row r="9822" spans="2:6">
      <c r="B9822" s="75"/>
      <c r="C9822" s="75"/>
      <c r="D9822" s="75"/>
      <c r="E9822" s="75"/>
      <c r="F9822" s="75"/>
    </row>
    <row r="9823" spans="2:6">
      <c r="B9823" s="75"/>
      <c r="C9823" s="75"/>
      <c r="D9823" s="75"/>
      <c r="E9823" s="75"/>
      <c r="F9823" s="75"/>
    </row>
    <row r="9824" spans="2:6">
      <c r="B9824" s="75"/>
      <c r="C9824" s="75"/>
      <c r="D9824" s="75"/>
      <c r="E9824" s="75"/>
      <c r="F9824" s="75"/>
    </row>
    <row r="9825" spans="2:6">
      <c r="B9825" s="75"/>
      <c r="C9825" s="75"/>
      <c r="D9825" s="75"/>
      <c r="E9825" s="75"/>
      <c r="F9825" s="75"/>
    </row>
    <row r="9826" spans="2:6">
      <c r="B9826" s="75"/>
      <c r="C9826" s="75"/>
      <c r="D9826" s="75"/>
      <c r="E9826" s="75"/>
      <c r="F9826" s="75"/>
    </row>
    <row r="9827" spans="2:6">
      <c r="B9827" s="75"/>
      <c r="C9827" s="75"/>
      <c r="D9827" s="75"/>
      <c r="E9827" s="75"/>
      <c r="F9827" s="75"/>
    </row>
    <row r="9828" spans="2:6">
      <c r="B9828" s="75"/>
      <c r="C9828" s="75"/>
      <c r="D9828" s="75"/>
      <c r="E9828" s="75"/>
      <c r="F9828" s="75"/>
    </row>
    <row r="9829" spans="2:6">
      <c r="B9829" s="75"/>
      <c r="C9829" s="75"/>
      <c r="D9829" s="75"/>
      <c r="E9829" s="75"/>
      <c r="F9829" s="75"/>
    </row>
    <row r="9830" spans="2:6">
      <c r="B9830" s="75"/>
      <c r="C9830" s="75"/>
      <c r="D9830" s="75"/>
      <c r="E9830" s="75"/>
      <c r="F9830" s="75"/>
    </row>
    <row r="9831" spans="2:6">
      <c r="B9831" s="75"/>
      <c r="C9831" s="75"/>
      <c r="D9831" s="75"/>
      <c r="E9831" s="75"/>
      <c r="F9831" s="75"/>
    </row>
    <row r="9832" spans="2:6">
      <c r="B9832" s="75"/>
      <c r="C9832" s="75"/>
      <c r="D9832" s="75"/>
      <c r="E9832" s="75"/>
      <c r="F9832" s="75"/>
    </row>
    <row r="9833" spans="2:6">
      <c r="B9833" s="75"/>
      <c r="C9833" s="75"/>
      <c r="D9833" s="75"/>
      <c r="E9833" s="75"/>
      <c r="F9833" s="75"/>
    </row>
    <row r="9834" spans="2:6">
      <c r="B9834" s="75"/>
      <c r="C9834" s="75"/>
      <c r="D9834" s="75"/>
      <c r="E9834" s="75"/>
      <c r="F9834" s="75"/>
    </row>
    <row r="9835" spans="2:6">
      <c r="B9835" s="75"/>
      <c r="C9835" s="75"/>
      <c r="D9835" s="75"/>
      <c r="E9835" s="75"/>
      <c r="F9835" s="75"/>
    </row>
    <row r="9836" spans="2:6">
      <c r="B9836" s="75"/>
      <c r="C9836" s="75"/>
      <c r="D9836" s="75"/>
      <c r="E9836" s="75"/>
      <c r="F9836" s="75"/>
    </row>
    <row r="9837" spans="2:6">
      <c r="B9837" s="75"/>
      <c r="C9837" s="75"/>
      <c r="D9837" s="75"/>
      <c r="E9837" s="75"/>
      <c r="F9837" s="75"/>
    </row>
    <row r="9838" spans="2:6">
      <c r="B9838" s="75"/>
      <c r="C9838" s="75"/>
      <c r="D9838" s="75"/>
      <c r="E9838" s="75"/>
      <c r="F9838" s="75"/>
    </row>
    <row r="9839" spans="2:6">
      <c r="B9839" s="75"/>
      <c r="C9839" s="75"/>
      <c r="D9839" s="75"/>
      <c r="E9839" s="75"/>
      <c r="F9839" s="75"/>
    </row>
    <row r="9840" spans="2:6">
      <c r="B9840" s="75"/>
      <c r="C9840" s="75"/>
      <c r="D9840" s="75"/>
      <c r="E9840" s="75"/>
      <c r="F9840" s="75"/>
    </row>
    <row r="9841" spans="2:6">
      <c r="B9841" s="75"/>
      <c r="C9841" s="75"/>
      <c r="D9841" s="75"/>
      <c r="E9841" s="75"/>
      <c r="F9841" s="75"/>
    </row>
    <row r="9842" spans="2:6">
      <c r="B9842" s="75"/>
      <c r="C9842" s="75"/>
      <c r="D9842" s="75"/>
      <c r="E9842" s="75"/>
      <c r="F9842" s="75"/>
    </row>
    <row r="9843" spans="2:6">
      <c r="B9843" s="75"/>
      <c r="C9843" s="75"/>
      <c r="D9843" s="75"/>
      <c r="E9843" s="75"/>
      <c r="F9843" s="75"/>
    </row>
    <row r="9844" spans="2:6">
      <c r="B9844" s="75"/>
      <c r="C9844" s="75"/>
      <c r="D9844" s="75"/>
      <c r="E9844" s="75"/>
      <c r="F9844" s="75"/>
    </row>
    <row r="9845" spans="2:6">
      <c r="B9845" s="75"/>
      <c r="C9845" s="75"/>
      <c r="D9845" s="75"/>
      <c r="E9845" s="75"/>
      <c r="F9845" s="75"/>
    </row>
    <row r="9846" spans="2:6">
      <c r="B9846" s="75"/>
      <c r="C9846" s="75"/>
      <c r="D9846" s="75"/>
      <c r="E9846" s="75"/>
      <c r="F9846" s="75"/>
    </row>
    <row r="9847" spans="2:6">
      <c r="B9847" s="75"/>
      <c r="C9847" s="75"/>
      <c r="D9847" s="75"/>
      <c r="E9847" s="75"/>
      <c r="F9847" s="75"/>
    </row>
    <row r="9848" spans="2:6">
      <c r="B9848" s="75"/>
      <c r="C9848" s="75"/>
      <c r="D9848" s="75"/>
      <c r="E9848" s="75"/>
      <c r="F9848" s="75"/>
    </row>
    <row r="9849" spans="2:6">
      <c r="B9849" s="75"/>
      <c r="C9849" s="75"/>
      <c r="D9849" s="75"/>
      <c r="E9849" s="75"/>
      <c r="F9849" s="75"/>
    </row>
    <row r="9850" spans="2:6">
      <c r="B9850" s="75"/>
      <c r="C9850" s="75"/>
      <c r="D9850" s="75"/>
      <c r="E9850" s="75"/>
      <c r="F9850" s="75"/>
    </row>
    <row r="9851" spans="2:6">
      <c r="B9851" s="75"/>
      <c r="C9851" s="75"/>
      <c r="D9851" s="75"/>
      <c r="E9851" s="75"/>
      <c r="F9851" s="75"/>
    </row>
    <row r="9852" spans="2:6">
      <c r="B9852" s="75"/>
      <c r="C9852" s="75"/>
      <c r="D9852" s="75"/>
      <c r="E9852" s="75"/>
      <c r="F9852" s="75"/>
    </row>
    <row r="9853" spans="2:6">
      <c r="B9853" s="75"/>
      <c r="C9853" s="75"/>
      <c r="D9853" s="75"/>
      <c r="E9853" s="75"/>
      <c r="F9853" s="75"/>
    </row>
    <row r="9854" spans="2:6">
      <c r="B9854" s="75"/>
      <c r="C9854" s="75"/>
      <c r="D9854" s="75"/>
      <c r="E9854" s="75"/>
      <c r="F9854" s="75"/>
    </row>
    <row r="9855" spans="2:6">
      <c r="B9855" s="75"/>
      <c r="C9855" s="75"/>
      <c r="D9855" s="75"/>
      <c r="E9855" s="75"/>
      <c r="F9855" s="75"/>
    </row>
    <row r="9856" spans="2:6">
      <c r="B9856" s="75"/>
      <c r="C9856" s="75"/>
      <c r="D9856" s="75"/>
      <c r="E9856" s="75"/>
      <c r="F9856" s="75"/>
    </row>
    <row r="9857" spans="2:6">
      <c r="B9857" s="75"/>
      <c r="C9857" s="75"/>
      <c r="D9857" s="75"/>
      <c r="E9857" s="75"/>
      <c r="F9857" s="75"/>
    </row>
    <row r="9858" spans="2:6">
      <c r="B9858" s="75"/>
      <c r="C9858" s="75"/>
      <c r="D9858" s="75"/>
      <c r="E9858" s="75"/>
      <c r="F9858" s="75"/>
    </row>
    <row r="9859" spans="2:6">
      <c r="B9859" s="75"/>
      <c r="C9859" s="75"/>
      <c r="D9859" s="75"/>
      <c r="E9859" s="75"/>
      <c r="F9859" s="75"/>
    </row>
    <row r="9860" spans="2:6">
      <c r="B9860" s="75"/>
      <c r="C9860" s="75"/>
      <c r="D9860" s="75"/>
      <c r="E9860" s="75"/>
      <c r="F9860" s="75"/>
    </row>
    <row r="9861" spans="2:6">
      <c r="B9861" s="75"/>
      <c r="C9861" s="75"/>
      <c r="D9861" s="75"/>
      <c r="E9861" s="75"/>
      <c r="F9861" s="75"/>
    </row>
    <row r="9862" spans="2:6">
      <c r="B9862" s="75"/>
      <c r="C9862" s="75"/>
      <c r="D9862" s="75"/>
      <c r="E9862" s="75"/>
      <c r="F9862" s="75"/>
    </row>
    <row r="9863" spans="2:6">
      <c r="B9863" s="75"/>
      <c r="C9863" s="75"/>
      <c r="D9863" s="75"/>
      <c r="E9863" s="75"/>
      <c r="F9863" s="75"/>
    </row>
    <row r="9864" spans="2:6">
      <c r="B9864" s="75"/>
      <c r="C9864" s="75"/>
      <c r="D9864" s="75"/>
      <c r="E9864" s="75"/>
      <c r="F9864" s="75"/>
    </row>
    <row r="9865" spans="2:6">
      <c r="B9865" s="75"/>
      <c r="C9865" s="75"/>
      <c r="D9865" s="75"/>
      <c r="E9865" s="75"/>
      <c r="F9865" s="75"/>
    </row>
    <row r="9866" spans="2:6">
      <c r="B9866" s="75"/>
      <c r="C9866" s="75"/>
      <c r="D9866" s="75"/>
      <c r="E9866" s="75"/>
      <c r="F9866" s="75"/>
    </row>
    <row r="9867" spans="2:6">
      <c r="B9867" s="75"/>
      <c r="C9867" s="75"/>
      <c r="D9867" s="75"/>
      <c r="E9867" s="75"/>
      <c r="F9867" s="75"/>
    </row>
    <row r="9868" spans="2:6">
      <c r="B9868" s="75"/>
      <c r="C9868" s="75"/>
      <c r="D9868" s="75"/>
      <c r="E9868" s="75"/>
      <c r="F9868" s="75"/>
    </row>
    <row r="9869" spans="2:6">
      <c r="B9869" s="75"/>
      <c r="C9869" s="75"/>
      <c r="D9869" s="75"/>
      <c r="E9869" s="75"/>
      <c r="F9869" s="75"/>
    </row>
    <row r="9870" spans="2:6">
      <c r="B9870" s="75"/>
      <c r="C9870" s="75"/>
      <c r="D9870" s="75"/>
      <c r="E9870" s="75"/>
      <c r="F9870" s="75"/>
    </row>
    <row r="9871" spans="2:6">
      <c r="B9871" s="75"/>
      <c r="C9871" s="75"/>
      <c r="D9871" s="75"/>
      <c r="E9871" s="75"/>
      <c r="F9871" s="75"/>
    </row>
    <row r="9872" spans="2:6">
      <c r="B9872" s="75"/>
      <c r="C9872" s="75"/>
      <c r="D9872" s="75"/>
      <c r="E9872" s="75"/>
      <c r="F9872" s="75"/>
    </row>
    <row r="9873" spans="2:6">
      <c r="B9873" s="75"/>
      <c r="C9873" s="75"/>
      <c r="D9873" s="75"/>
      <c r="E9873" s="75"/>
      <c r="F9873" s="75"/>
    </row>
    <row r="9874" spans="2:6">
      <c r="B9874" s="75"/>
      <c r="C9874" s="75"/>
      <c r="D9874" s="75"/>
      <c r="E9874" s="75"/>
      <c r="F9874" s="75"/>
    </row>
    <row r="9875" spans="2:6">
      <c r="B9875" s="75"/>
      <c r="C9875" s="75"/>
      <c r="D9875" s="75"/>
      <c r="E9875" s="75"/>
      <c r="F9875" s="75"/>
    </row>
    <row r="9876" spans="2:6">
      <c r="B9876" s="75"/>
      <c r="C9876" s="75"/>
      <c r="D9876" s="75"/>
      <c r="E9876" s="75"/>
      <c r="F9876" s="75"/>
    </row>
    <row r="9877" spans="2:6">
      <c r="B9877" s="75"/>
      <c r="C9877" s="75"/>
      <c r="D9877" s="75"/>
      <c r="E9877" s="75"/>
      <c r="F9877" s="75"/>
    </row>
    <row r="9878" spans="2:6">
      <c r="B9878" s="75"/>
      <c r="C9878" s="75"/>
      <c r="D9878" s="75"/>
      <c r="E9878" s="75"/>
      <c r="F9878" s="75"/>
    </row>
    <row r="9879" spans="2:6">
      <c r="B9879" s="75"/>
      <c r="C9879" s="75"/>
      <c r="D9879" s="75"/>
      <c r="E9879" s="75"/>
      <c r="F9879" s="75"/>
    </row>
    <row r="9880" spans="2:6">
      <c r="B9880" s="75"/>
      <c r="C9880" s="75"/>
      <c r="D9880" s="75"/>
      <c r="E9880" s="75"/>
      <c r="F9880" s="75"/>
    </row>
    <row r="9881" spans="2:6">
      <c r="B9881" s="75"/>
      <c r="C9881" s="75"/>
      <c r="D9881" s="75"/>
      <c r="E9881" s="75"/>
      <c r="F9881" s="75"/>
    </row>
    <row r="9882" spans="2:6">
      <c r="B9882" s="75"/>
      <c r="C9882" s="75"/>
      <c r="D9882" s="75"/>
      <c r="E9882" s="75"/>
      <c r="F9882" s="75"/>
    </row>
    <row r="9883" spans="2:6">
      <c r="B9883" s="75"/>
      <c r="C9883" s="75"/>
      <c r="D9883" s="75"/>
      <c r="E9883" s="75"/>
      <c r="F9883" s="75"/>
    </row>
    <row r="9884" spans="2:6">
      <c r="B9884" s="75"/>
      <c r="C9884" s="75"/>
      <c r="D9884" s="75"/>
      <c r="E9884" s="75"/>
      <c r="F9884" s="75"/>
    </row>
    <row r="9885" spans="2:6">
      <c r="B9885" s="75"/>
      <c r="C9885" s="75"/>
      <c r="D9885" s="75"/>
      <c r="E9885" s="75"/>
      <c r="F9885" s="75"/>
    </row>
    <row r="9886" spans="2:6">
      <c r="B9886" s="75"/>
      <c r="C9886" s="75"/>
      <c r="D9886" s="75"/>
      <c r="E9886" s="75"/>
      <c r="F9886" s="75"/>
    </row>
    <row r="9887" spans="2:6">
      <c r="B9887" s="75"/>
      <c r="C9887" s="75"/>
      <c r="D9887" s="75"/>
      <c r="E9887" s="75"/>
      <c r="F9887" s="75"/>
    </row>
    <row r="9888" spans="2:6">
      <c r="B9888" s="75"/>
      <c r="C9888" s="75"/>
      <c r="D9888" s="75"/>
      <c r="E9888" s="75"/>
      <c r="F9888" s="75"/>
    </row>
    <row r="9889" spans="2:6">
      <c r="B9889" s="75"/>
      <c r="C9889" s="75"/>
      <c r="D9889" s="75"/>
      <c r="E9889" s="75"/>
      <c r="F9889" s="75"/>
    </row>
    <row r="9890" spans="2:6">
      <c r="B9890" s="75"/>
      <c r="C9890" s="75"/>
      <c r="D9890" s="75"/>
      <c r="E9890" s="75"/>
      <c r="F9890" s="75"/>
    </row>
    <row r="9891" spans="2:6">
      <c r="B9891" s="75"/>
      <c r="C9891" s="75"/>
      <c r="D9891" s="75"/>
      <c r="E9891" s="75"/>
      <c r="F9891" s="75"/>
    </row>
    <row r="9892" spans="2:6">
      <c r="B9892" s="75"/>
      <c r="C9892" s="75"/>
      <c r="D9892" s="75"/>
      <c r="E9892" s="75"/>
      <c r="F9892" s="75"/>
    </row>
    <row r="9893" spans="2:6">
      <c r="B9893" s="75"/>
      <c r="C9893" s="75"/>
      <c r="D9893" s="75"/>
      <c r="E9893" s="75"/>
      <c r="F9893" s="75"/>
    </row>
    <row r="9894" spans="2:6">
      <c r="B9894" s="75"/>
      <c r="C9894" s="75"/>
      <c r="D9894" s="75"/>
      <c r="E9894" s="75"/>
      <c r="F9894" s="75"/>
    </row>
    <row r="9895" spans="2:6">
      <c r="B9895" s="75"/>
      <c r="C9895" s="75"/>
      <c r="D9895" s="75"/>
      <c r="E9895" s="75"/>
      <c r="F9895" s="75"/>
    </row>
    <row r="9896" spans="2:6">
      <c r="B9896" s="75"/>
      <c r="C9896" s="75"/>
      <c r="D9896" s="75"/>
      <c r="E9896" s="75"/>
      <c r="F9896" s="75"/>
    </row>
    <row r="9897" spans="2:6">
      <c r="B9897" s="75"/>
      <c r="C9897" s="75"/>
      <c r="D9897" s="75"/>
      <c r="E9897" s="75"/>
      <c r="F9897" s="75"/>
    </row>
    <row r="9898" spans="2:6">
      <c r="B9898" s="75"/>
      <c r="C9898" s="75"/>
      <c r="D9898" s="75"/>
      <c r="E9898" s="75"/>
      <c r="F9898" s="75"/>
    </row>
    <row r="9899" spans="2:6">
      <c r="B9899" s="75"/>
      <c r="C9899" s="75"/>
      <c r="D9899" s="75"/>
      <c r="E9899" s="75"/>
      <c r="F9899" s="75"/>
    </row>
    <row r="9900" spans="2:6">
      <c r="B9900" s="75"/>
      <c r="C9900" s="75"/>
      <c r="D9900" s="75"/>
      <c r="E9900" s="75"/>
      <c r="F9900" s="75"/>
    </row>
    <row r="9901" spans="2:6">
      <c r="B9901" s="75"/>
      <c r="C9901" s="75"/>
      <c r="D9901" s="75"/>
      <c r="E9901" s="75"/>
      <c r="F9901" s="75"/>
    </row>
    <row r="9902" spans="2:6">
      <c r="B9902" s="75"/>
      <c r="C9902" s="75"/>
      <c r="D9902" s="75"/>
      <c r="E9902" s="75"/>
      <c r="F9902" s="75"/>
    </row>
    <row r="9903" spans="2:6">
      <c r="B9903" s="75"/>
      <c r="C9903" s="75"/>
      <c r="D9903" s="75"/>
      <c r="E9903" s="75"/>
      <c r="F9903" s="75"/>
    </row>
    <row r="9904" spans="2:6">
      <c r="B9904" s="75"/>
      <c r="C9904" s="75"/>
      <c r="D9904" s="75"/>
      <c r="E9904" s="75"/>
      <c r="F9904" s="75"/>
    </row>
    <row r="9905" spans="2:6">
      <c r="B9905" s="75"/>
      <c r="C9905" s="75"/>
      <c r="D9905" s="75"/>
      <c r="E9905" s="75"/>
      <c r="F9905" s="75"/>
    </row>
    <row r="9906" spans="2:6">
      <c r="B9906" s="75"/>
      <c r="C9906" s="75"/>
      <c r="D9906" s="75"/>
      <c r="E9906" s="75"/>
      <c r="F9906" s="75"/>
    </row>
    <row r="9907" spans="2:6">
      <c r="B9907" s="75"/>
      <c r="C9907" s="75"/>
      <c r="D9907" s="75"/>
      <c r="E9907" s="75"/>
      <c r="F9907" s="75"/>
    </row>
    <row r="9908" spans="2:6">
      <c r="B9908" s="75"/>
      <c r="C9908" s="75"/>
      <c r="D9908" s="75"/>
      <c r="E9908" s="75"/>
      <c r="F9908" s="75"/>
    </row>
    <row r="9909" spans="2:6">
      <c r="B9909" s="75"/>
      <c r="C9909" s="75"/>
      <c r="D9909" s="75"/>
      <c r="E9909" s="75"/>
      <c r="F9909" s="75"/>
    </row>
    <row r="9910" spans="2:6">
      <c r="B9910" s="75"/>
      <c r="C9910" s="75"/>
      <c r="D9910" s="75"/>
      <c r="E9910" s="75"/>
      <c r="F9910" s="75"/>
    </row>
    <row r="9911" spans="2:6">
      <c r="B9911" s="75"/>
      <c r="C9911" s="75"/>
      <c r="D9911" s="75"/>
      <c r="E9911" s="75"/>
      <c r="F9911" s="75"/>
    </row>
    <row r="9912" spans="2:6">
      <c r="B9912" s="75"/>
      <c r="C9912" s="75"/>
      <c r="D9912" s="75"/>
      <c r="E9912" s="75"/>
      <c r="F9912" s="75"/>
    </row>
    <row r="9913" spans="2:6">
      <c r="B9913" s="75"/>
      <c r="C9913" s="75"/>
      <c r="D9913" s="75"/>
      <c r="E9913" s="75"/>
      <c r="F9913" s="75"/>
    </row>
    <row r="9914" spans="2:6">
      <c r="B9914" s="75"/>
      <c r="C9914" s="75"/>
      <c r="D9914" s="75"/>
      <c r="E9914" s="75"/>
      <c r="F9914" s="75"/>
    </row>
    <row r="9915" spans="2:6">
      <c r="B9915" s="75"/>
      <c r="C9915" s="75"/>
      <c r="D9915" s="75"/>
      <c r="E9915" s="75"/>
      <c r="F9915" s="75"/>
    </row>
    <row r="9916" spans="2:6">
      <c r="B9916" s="75"/>
      <c r="C9916" s="75"/>
      <c r="D9916" s="75"/>
      <c r="E9916" s="75"/>
      <c r="F9916" s="75"/>
    </row>
    <row r="9917" spans="2:6">
      <c r="B9917" s="75"/>
      <c r="C9917" s="75"/>
      <c r="D9917" s="75"/>
      <c r="E9917" s="75"/>
      <c r="F9917" s="75"/>
    </row>
    <row r="9918" spans="2:6">
      <c r="B9918" s="75"/>
      <c r="C9918" s="75"/>
      <c r="D9918" s="75"/>
      <c r="E9918" s="75"/>
      <c r="F9918" s="75"/>
    </row>
    <row r="9919" spans="2:6">
      <c r="B9919" s="75"/>
      <c r="C9919" s="75"/>
      <c r="D9919" s="75"/>
      <c r="E9919" s="75"/>
      <c r="F9919" s="75"/>
    </row>
    <row r="9920" spans="2:6">
      <c r="B9920" s="75"/>
      <c r="C9920" s="75"/>
      <c r="D9920" s="75"/>
      <c r="E9920" s="75"/>
      <c r="F9920" s="75"/>
    </row>
    <row r="9921" spans="2:6">
      <c r="B9921" s="75"/>
      <c r="C9921" s="75"/>
      <c r="D9921" s="75"/>
      <c r="E9921" s="75"/>
      <c r="F9921" s="75"/>
    </row>
    <row r="9922" spans="2:6">
      <c r="B9922" s="75"/>
      <c r="C9922" s="75"/>
      <c r="D9922" s="75"/>
      <c r="E9922" s="75"/>
      <c r="F9922" s="75"/>
    </row>
    <row r="9923" spans="2:6">
      <c r="B9923" s="75"/>
      <c r="C9923" s="75"/>
      <c r="D9923" s="75"/>
      <c r="E9923" s="75"/>
      <c r="F9923" s="75"/>
    </row>
    <row r="9924" spans="2:6">
      <c r="B9924" s="75"/>
      <c r="C9924" s="75"/>
      <c r="D9924" s="75"/>
      <c r="E9924" s="75"/>
      <c r="F9924" s="75"/>
    </row>
    <row r="9925" spans="2:6">
      <c r="B9925" s="75"/>
      <c r="C9925" s="75"/>
      <c r="D9925" s="75"/>
      <c r="E9925" s="75"/>
      <c r="F9925" s="75"/>
    </row>
    <row r="9926" spans="2:6">
      <c r="B9926" s="75"/>
      <c r="C9926" s="75"/>
      <c r="D9926" s="75"/>
      <c r="E9926" s="75"/>
      <c r="F9926" s="75"/>
    </row>
    <row r="9927" spans="2:6">
      <c r="B9927" s="75"/>
      <c r="C9927" s="75"/>
      <c r="D9927" s="75"/>
      <c r="E9927" s="75"/>
      <c r="F9927" s="75"/>
    </row>
    <row r="9928" spans="2:6">
      <c r="B9928" s="75"/>
      <c r="C9928" s="75"/>
      <c r="D9928" s="75"/>
      <c r="E9928" s="75"/>
      <c r="F9928" s="75"/>
    </row>
    <row r="9929" spans="2:6">
      <c r="B9929" s="75"/>
      <c r="C9929" s="75"/>
      <c r="D9929" s="75"/>
      <c r="E9929" s="75"/>
      <c r="F9929" s="75"/>
    </row>
    <row r="9930" spans="2:6">
      <c r="B9930" s="75"/>
      <c r="C9930" s="75"/>
      <c r="D9930" s="75"/>
      <c r="E9930" s="75"/>
      <c r="F9930" s="75"/>
    </row>
    <row r="9931" spans="2:6">
      <c r="B9931" s="75"/>
      <c r="C9931" s="75"/>
      <c r="D9931" s="75"/>
      <c r="E9931" s="75"/>
      <c r="F9931" s="75"/>
    </row>
    <row r="9932" spans="2:6">
      <c r="B9932" s="75"/>
      <c r="C9932" s="75"/>
      <c r="D9932" s="75"/>
      <c r="E9932" s="75"/>
      <c r="F9932" s="75"/>
    </row>
    <row r="9933" spans="2:6">
      <c r="B9933" s="75"/>
      <c r="C9933" s="75"/>
      <c r="D9933" s="75"/>
      <c r="E9933" s="75"/>
      <c r="F9933" s="75"/>
    </row>
    <row r="9934" spans="2:6">
      <c r="B9934" s="75"/>
      <c r="C9934" s="75"/>
      <c r="D9934" s="75"/>
      <c r="E9934" s="75"/>
      <c r="F9934" s="75"/>
    </row>
    <row r="9935" spans="2:6">
      <c r="B9935" s="75"/>
      <c r="C9935" s="75"/>
      <c r="D9935" s="75"/>
      <c r="E9935" s="75"/>
      <c r="F9935" s="75"/>
    </row>
    <row r="9936" spans="2:6">
      <c r="B9936" s="75"/>
      <c r="C9936" s="75"/>
      <c r="D9936" s="75"/>
      <c r="E9936" s="75"/>
      <c r="F9936" s="75"/>
    </row>
    <row r="9937" spans="2:6">
      <c r="B9937" s="75"/>
      <c r="C9937" s="75"/>
      <c r="D9937" s="75"/>
      <c r="E9937" s="75"/>
      <c r="F9937" s="75"/>
    </row>
    <row r="9938" spans="2:6">
      <c r="B9938" s="75"/>
      <c r="C9938" s="75"/>
      <c r="D9938" s="75"/>
      <c r="E9938" s="75"/>
      <c r="F9938" s="75"/>
    </row>
    <row r="9939" spans="2:6">
      <c r="B9939" s="75"/>
      <c r="C9939" s="75"/>
      <c r="D9939" s="75"/>
      <c r="E9939" s="75"/>
      <c r="F9939" s="75"/>
    </row>
    <row r="9940" spans="2:6">
      <c r="B9940" s="75"/>
      <c r="C9940" s="75"/>
      <c r="D9940" s="75"/>
      <c r="E9940" s="75"/>
      <c r="F9940" s="75"/>
    </row>
    <row r="9941" spans="2:6">
      <c r="B9941" s="75"/>
      <c r="C9941" s="75"/>
      <c r="D9941" s="75"/>
      <c r="E9941" s="75"/>
      <c r="F9941" s="75"/>
    </row>
    <row r="9942" spans="2:6">
      <c r="B9942" s="75"/>
      <c r="C9942" s="75"/>
      <c r="D9942" s="75"/>
      <c r="E9942" s="75"/>
      <c r="F9942" s="75"/>
    </row>
    <row r="9943" spans="2:6">
      <c r="B9943" s="75"/>
      <c r="C9943" s="75"/>
      <c r="D9943" s="75"/>
      <c r="E9943" s="75"/>
      <c r="F9943" s="75"/>
    </row>
    <row r="9944" spans="2:6">
      <c r="B9944" s="75"/>
      <c r="C9944" s="75"/>
      <c r="D9944" s="75"/>
      <c r="E9944" s="75"/>
      <c r="F9944" s="75"/>
    </row>
    <row r="9945" spans="2:6">
      <c r="B9945" s="75"/>
      <c r="C9945" s="75"/>
      <c r="D9945" s="75"/>
      <c r="E9945" s="75"/>
      <c r="F9945" s="75"/>
    </row>
    <row r="9946" spans="2:6">
      <c r="B9946" s="75"/>
      <c r="C9946" s="75"/>
      <c r="D9946" s="75"/>
      <c r="E9946" s="75"/>
      <c r="F9946" s="75"/>
    </row>
    <row r="9947" spans="2:6">
      <c r="B9947" s="75"/>
      <c r="C9947" s="75"/>
      <c r="D9947" s="75"/>
      <c r="E9947" s="75"/>
      <c r="F9947" s="75"/>
    </row>
    <row r="9948" spans="2:6">
      <c r="B9948" s="75"/>
      <c r="C9948" s="75"/>
      <c r="D9948" s="75"/>
      <c r="E9948" s="75"/>
      <c r="F9948" s="75"/>
    </row>
    <row r="9949" spans="2:6">
      <c r="B9949" s="75"/>
      <c r="C9949" s="75"/>
      <c r="D9949" s="75"/>
      <c r="E9949" s="75"/>
      <c r="F9949" s="75"/>
    </row>
    <row r="9950" spans="2:6">
      <c r="B9950" s="75"/>
      <c r="C9950" s="75"/>
      <c r="D9950" s="75"/>
      <c r="E9950" s="75"/>
      <c r="F9950" s="75"/>
    </row>
    <row r="9951" spans="2:6">
      <c r="B9951" s="75"/>
      <c r="C9951" s="75"/>
      <c r="D9951" s="75"/>
      <c r="E9951" s="75"/>
      <c r="F9951" s="75"/>
    </row>
    <row r="9952" spans="2:6">
      <c r="B9952" s="75"/>
      <c r="C9952" s="75"/>
      <c r="D9952" s="75"/>
      <c r="E9952" s="75"/>
      <c r="F9952" s="75"/>
    </row>
    <row r="9953" spans="2:6">
      <c r="B9953" s="75"/>
      <c r="C9953" s="75"/>
      <c r="D9953" s="75"/>
      <c r="E9953" s="75"/>
      <c r="F9953" s="75"/>
    </row>
    <row r="9954" spans="2:6">
      <c r="B9954" s="75"/>
      <c r="C9954" s="75"/>
      <c r="D9954" s="75"/>
      <c r="E9954" s="75"/>
      <c r="F9954" s="75"/>
    </row>
    <row r="9955" spans="2:6">
      <c r="B9955" s="75"/>
      <c r="C9955" s="75"/>
      <c r="D9955" s="75"/>
      <c r="E9955" s="75"/>
      <c r="F9955" s="75"/>
    </row>
    <row r="9956" spans="2:6">
      <c r="B9956" s="75"/>
      <c r="C9956" s="75"/>
      <c r="D9956" s="75"/>
      <c r="E9956" s="75"/>
      <c r="F9956" s="75"/>
    </row>
    <row r="9957" spans="2:6">
      <c r="B9957" s="75"/>
      <c r="C9957" s="75"/>
      <c r="D9957" s="75"/>
      <c r="E9957" s="75"/>
      <c r="F9957" s="75"/>
    </row>
    <row r="9958" spans="2:6">
      <c r="B9958" s="75"/>
      <c r="C9958" s="75"/>
      <c r="D9958" s="75"/>
      <c r="E9958" s="75"/>
      <c r="F9958" s="75"/>
    </row>
    <row r="9959" spans="2:6">
      <c r="B9959" s="75"/>
      <c r="C9959" s="75"/>
      <c r="D9959" s="75"/>
      <c r="E9959" s="75"/>
      <c r="F9959" s="75"/>
    </row>
    <row r="9960" spans="2:6">
      <c r="B9960" s="75"/>
      <c r="C9960" s="75"/>
      <c r="D9960" s="75"/>
      <c r="E9960" s="75"/>
      <c r="F9960" s="75"/>
    </row>
    <row r="9961" spans="2:6">
      <c r="B9961" s="75"/>
      <c r="C9961" s="75"/>
      <c r="D9961" s="75"/>
      <c r="E9961" s="75"/>
      <c r="F9961" s="75"/>
    </row>
    <row r="9962" spans="2:6">
      <c r="B9962" s="75"/>
      <c r="C9962" s="75"/>
      <c r="D9962" s="75"/>
      <c r="E9962" s="75"/>
      <c r="F9962" s="75"/>
    </row>
    <row r="9963" spans="2:6">
      <c r="B9963" s="75"/>
      <c r="C9963" s="75"/>
      <c r="D9963" s="75"/>
      <c r="E9963" s="75"/>
      <c r="F9963" s="75"/>
    </row>
    <row r="9964" spans="2:6">
      <c r="B9964" s="75"/>
      <c r="C9964" s="75"/>
      <c r="D9964" s="75"/>
      <c r="E9964" s="75"/>
      <c r="F9964" s="75"/>
    </row>
    <row r="9965" spans="2:6">
      <c r="B9965" s="75"/>
      <c r="C9965" s="75"/>
      <c r="D9965" s="75"/>
      <c r="E9965" s="75"/>
      <c r="F9965" s="75"/>
    </row>
    <row r="9966" spans="2:6">
      <c r="B9966" s="75"/>
      <c r="C9966" s="75"/>
      <c r="D9966" s="75"/>
      <c r="E9966" s="75"/>
      <c r="F9966" s="75"/>
    </row>
    <row r="9967" spans="2:6">
      <c r="B9967" s="75"/>
      <c r="C9967" s="75"/>
      <c r="D9967" s="75"/>
      <c r="E9967" s="75"/>
      <c r="F9967" s="75"/>
    </row>
    <row r="9968" spans="2:6">
      <c r="B9968" s="75"/>
      <c r="C9968" s="75"/>
      <c r="D9968" s="75"/>
      <c r="E9968" s="75"/>
      <c r="F9968" s="75"/>
    </row>
    <row r="9969" spans="2:6">
      <c r="B9969" s="75"/>
      <c r="C9969" s="75"/>
      <c r="D9969" s="75"/>
      <c r="E9969" s="75"/>
      <c r="F9969" s="75"/>
    </row>
    <row r="9970" spans="2:6">
      <c r="B9970" s="75"/>
      <c r="C9970" s="75"/>
      <c r="D9970" s="75"/>
      <c r="E9970" s="75"/>
      <c r="F9970" s="75"/>
    </row>
    <row r="9971" spans="2:6">
      <c r="B9971" s="75"/>
      <c r="C9971" s="75"/>
      <c r="D9971" s="75"/>
      <c r="E9971" s="75"/>
      <c r="F9971" s="75"/>
    </row>
    <row r="9972" spans="2:6">
      <c r="B9972" s="75"/>
      <c r="C9972" s="75"/>
      <c r="D9972" s="75"/>
      <c r="E9972" s="75"/>
      <c r="F9972" s="75"/>
    </row>
    <row r="9973" spans="2:6">
      <c r="B9973" s="75"/>
      <c r="C9973" s="75"/>
      <c r="D9973" s="75"/>
      <c r="E9973" s="75"/>
      <c r="F9973" s="75"/>
    </row>
    <row r="9974" spans="2:6">
      <c r="B9974" s="75"/>
      <c r="C9974" s="75"/>
      <c r="D9974" s="75"/>
      <c r="E9974" s="75"/>
      <c r="F9974" s="75"/>
    </row>
    <row r="9975" spans="2:6">
      <c r="B9975" s="75"/>
      <c r="C9975" s="75"/>
      <c r="D9975" s="75"/>
      <c r="E9975" s="75"/>
      <c r="F9975" s="75"/>
    </row>
    <row r="9976" spans="2:6">
      <c r="B9976" s="75"/>
      <c r="C9976" s="75"/>
      <c r="D9976" s="75"/>
      <c r="E9976" s="75"/>
      <c r="F9976" s="75"/>
    </row>
    <row r="9977" spans="2:6">
      <c r="B9977" s="75"/>
      <c r="C9977" s="75"/>
      <c r="D9977" s="75"/>
      <c r="E9977" s="75"/>
      <c r="F9977" s="75"/>
    </row>
    <row r="9978" spans="2:6">
      <c r="B9978" s="75"/>
      <c r="C9978" s="75"/>
      <c r="D9978" s="75"/>
      <c r="E9978" s="75"/>
      <c r="F9978" s="75"/>
    </row>
    <row r="9979" spans="2:6">
      <c r="B9979" s="75"/>
      <c r="C9979" s="75"/>
      <c r="D9979" s="75"/>
      <c r="E9979" s="75"/>
      <c r="F9979" s="75"/>
    </row>
    <row r="9980" spans="2:6">
      <c r="B9980" s="75"/>
      <c r="C9980" s="75"/>
      <c r="D9980" s="75"/>
      <c r="E9980" s="75"/>
      <c r="F9980" s="75"/>
    </row>
    <row r="9981" spans="2:6">
      <c r="B9981" s="75"/>
      <c r="C9981" s="75"/>
      <c r="D9981" s="75"/>
      <c r="E9981" s="75"/>
      <c r="F9981" s="75"/>
    </row>
    <row r="9982" spans="2:6">
      <c r="B9982" s="75"/>
      <c r="C9982" s="75"/>
      <c r="D9982" s="75"/>
      <c r="E9982" s="75"/>
      <c r="F9982" s="75"/>
    </row>
    <row r="9983" spans="2:6">
      <c r="B9983" s="75"/>
      <c r="C9983" s="75"/>
      <c r="D9983" s="75"/>
      <c r="E9983" s="75"/>
      <c r="F9983" s="75"/>
    </row>
    <row r="9984" spans="2:6">
      <c r="B9984" s="75"/>
      <c r="C9984" s="75"/>
      <c r="D9984" s="75"/>
      <c r="E9984" s="75"/>
      <c r="F9984" s="75"/>
    </row>
    <row r="9985" spans="2:6">
      <c r="B9985" s="75"/>
      <c r="C9985" s="75"/>
      <c r="D9985" s="75"/>
      <c r="E9985" s="75"/>
      <c r="F9985" s="75"/>
    </row>
    <row r="9986" spans="2:6">
      <c r="B9986" s="75"/>
      <c r="C9986" s="75"/>
      <c r="D9986" s="75"/>
      <c r="E9986" s="75"/>
      <c r="F9986" s="75"/>
    </row>
    <row r="9987" spans="2:6">
      <c r="B9987" s="75"/>
      <c r="C9987" s="75"/>
      <c r="D9987" s="75"/>
      <c r="E9987" s="75"/>
      <c r="F9987" s="75"/>
    </row>
    <row r="9988" spans="2:6">
      <c r="B9988" s="75"/>
      <c r="C9988" s="75"/>
      <c r="D9988" s="75"/>
      <c r="E9988" s="75"/>
      <c r="F9988" s="75"/>
    </row>
    <row r="9989" spans="2:6">
      <c r="B9989" s="75"/>
      <c r="C9989" s="75"/>
      <c r="D9989" s="75"/>
      <c r="E9989" s="75"/>
      <c r="F9989" s="75"/>
    </row>
    <row r="9990" spans="2:6">
      <c r="B9990" s="75"/>
      <c r="C9990" s="75"/>
      <c r="D9990" s="75"/>
      <c r="E9990" s="75"/>
      <c r="F9990" s="75"/>
    </row>
    <row r="9991" spans="2:6">
      <c r="B9991" s="75"/>
      <c r="C9991" s="75"/>
      <c r="D9991" s="75"/>
      <c r="E9991" s="75"/>
      <c r="F9991" s="75"/>
    </row>
    <row r="9992" spans="2:6">
      <c r="B9992" s="75"/>
      <c r="C9992" s="75"/>
      <c r="D9992" s="75"/>
      <c r="E9992" s="75"/>
      <c r="F9992" s="75"/>
    </row>
    <row r="9993" spans="2:6">
      <c r="B9993" s="75"/>
      <c r="C9993" s="75"/>
      <c r="D9993" s="75"/>
      <c r="E9993" s="75"/>
      <c r="F9993" s="75"/>
    </row>
    <row r="9994" spans="2:6">
      <c r="B9994" s="75"/>
      <c r="C9994" s="75"/>
      <c r="D9994" s="75"/>
      <c r="E9994" s="75"/>
      <c r="F9994" s="75"/>
    </row>
    <row r="9995" spans="2:6">
      <c r="B9995" s="75"/>
      <c r="C9995" s="75"/>
      <c r="D9995" s="75"/>
      <c r="E9995" s="75"/>
      <c r="F9995" s="75"/>
    </row>
    <row r="9996" spans="2:6">
      <c r="B9996" s="75"/>
      <c r="C9996" s="75"/>
      <c r="D9996" s="75"/>
      <c r="E9996" s="75"/>
      <c r="F9996" s="75"/>
    </row>
    <row r="9997" spans="2:6">
      <c r="B9997" s="75"/>
      <c r="C9997" s="75"/>
      <c r="D9997" s="75"/>
      <c r="E9997" s="75"/>
      <c r="F9997" s="75"/>
    </row>
    <row r="9998" spans="2:6">
      <c r="B9998" s="75"/>
      <c r="C9998" s="75"/>
      <c r="D9998" s="75"/>
      <c r="E9998" s="75"/>
      <c r="F9998" s="75"/>
    </row>
    <row r="9999" spans="2:6">
      <c r="B9999" s="75"/>
      <c r="C9999" s="75"/>
      <c r="D9999" s="75"/>
      <c r="E9999" s="75"/>
      <c r="F9999" s="75"/>
    </row>
    <row r="10000" spans="2:6">
      <c r="B10000" s="75"/>
      <c r="C10000" s="75"/>
      <c r="D10000" s="75"/>
      <c r="E10000" s="75"/>
      <c r="F10000" s="75"/>
    </row>
    <row r="10001" spans="2:6">
      <c r="B10001" s="75"/>
      <c r="C10001" s="75"/>
      <c r="D10001" s="75"/>
      <c r="E10001" s="75"/>
      <c r="F10001" s="75"/>
    </row>
    <row r="10002" spans="2:6">
      <c r="B10002" s="75"/>
      <c r="C10002" s="75"/>
      <c r="D10002" s="75"/>
      <c r="E10002" s="75"/>
      <c r="F10002" s="75"/>
    </row>
    <row r="10003" spans="2:6">
      <c r="B10003" s="75"/>
      <c r="C10003" s="75"/>
      <c r="D10003" s="75"/>
      <c r="E10003" s="75"/>
      <c r="F10003" s="75"/>
    </row>
    <row r="10004" spans="2:6">
      <c r="B10004" s="75"/>
      <c r="C10004" s="75"/>
      <c r="D10004" s="75"/>
      <c r="E10004" s="75"/>
      <c r="F10004" s="75"/>
    </row>
    <row r="10005" spans="2:6">
      <c r="B10005" s="75"/>
      <c r="C10005" s="75"/>
      <c r="D10005" s="75"/>
      <c r="E10005" s="75"/>
      <c r="F10005" s="75"/>
    </row>
    <row r="10006" spans="2:6">
      <c r="B10006" s="75"/>
      <c r="C10006" s="75"/>
      <c r="D10006" s="75"/>
      <c r="E10006" s="75"/>
      <c r="F10006" s="75"/>
    </row>
    <row r="10007" spans="2:6">
      <c r="B10007" s="75"/>
      <c r="C10007" s="75"/>
      <c r="D10007" s="75"/>
      <c r="E10007" s="75"/>
      <c r="F10007" s="75"/>
    </row>
    <row r="10008" spans="2:6">
      <c r="B10008" s="75"/>
      <c r="C10008" s="75"/>
      <c r="D10008" s="75"/>
      <c r="E10008" s="75"/>
      <c r="F10008" s="75"/>
    </row>
    <row r="10009" spans="2:6">
      <c r="B10009" s="75"/>
      <c r="C10009" s="75"/>
      <c r="D10009" s="75"/>
      <c r="E10009" s="75"/>
      <c r="F10009" s="75"/>
    </row>
    <row r="10010" spans="2:6">
      <c r="B10010" s="75"/>
      <c r="C10010" s="75"/>
      <c r="D10010" s="75"/>
      <c r="E10010" s="75"/>
      <c r="F10010" s="75"/>
    </row>
    <row r="10011" spans="2:6">
      <c r="B10011" s="75"/>
      <c r="C10011" s="75"/>
      <c r="D10011" s="75"/>
      <c r="E10011" s="75"/>
      <c r="F10011" s="75"/>
    </row>
    <row r="10012" spans="2:6">
      <c r="B10012" s="75"/>
      <c r="C10012" s="75"/>
      <c r="D10012" s="75"/>
      <c r="E10012" s="75"/>
      <c r="F10012" s="75"/>
    </row>
    <row r="10013" spans="2:6">
      <c r="B10013" s="75"/>
      <c r="C10013" s="75"/>
      <c r="D10013" s="75"/>
      <c r="E10013" s="75"/>
      <c r="F10013" s="75"/>
    </row>
    <row r="10014" spans="2:6">
      <c r="B10014" s="75"/>
      <c r="C10014" s="75"/>
      <c r="D10014" s="75"/>
      <c r="E10014" s="75"/>
      <c r="F10014" s="75"/>
    </row>
    <row r="10015" spans="2:6">
      <c r="B10015" s="75"/>
      <c r="C10015" s="75"/>
      <c r="D10015" s="75"/>
      <c r="E10015" s="75"/>
      <c r="F10015" s="75"/>
    </row>
    <row r="10016" spans="2:6">
      <c r="B10016" s="75"/>
      <c r="C10016" s="75"/>
      <c r="D10016" s="75"/>
      <c r="E10016" s="75"/>
      <c r="F10016" s="75"/>
    </row>
    <row r="10017" spans="2:6">
      <c r="B10017" s="75"/>
      <c r="C10017" s="75"/>
      <c r="D10017" s="75"/>
      <c r="E10017" s="75"/>
      <c r="F10017" s="75"/>
    </row>
    <row r="10018" spans="2:6">
      <c r="B10018" s="75"/>
      <c r="C10018" s="75"/>
      <c r="D10018" s="75"/>
      <c r="E10018" s="75"/>
      <c r="F10018" s="75"/>
    </row>
    <row r="10019" spans="2:6">
      <c r="B10019" s="75"/>
      <c r="C10019" s="75"/>
      <c r="D10019" s="75"/>
      <c r="E10019" s="75"/>
      <c r="F10019" s="75"/>
    </row>
    <row r="10020" spans="2:6">
      <c r="B10020" s="75"/>
      <c r="C10020" s="75"/>
      <c r="D10020" s="75"/>
      <c r="E10020" s="75"/>
      <c r="F10020" s="75"/>
    </row>
    <row r="10021" spans="2:6">
      <c r="B10021" s="75"/>
      <c r="C10021" s="75"/>
      <c r="D10021" s="75"/>
      <c r="E10021" s="75"/>
      <c r="F10021" s="75"/>
    </row>
    <row r="10022" spans="2:6">
      <c r="B10022" s="75"/>
      <c r="C10022" s="75"/>
      <c r="D10022" s="75"/>
      <c r="E10022" s="75"/>
      <c r="F10022" s="75"/>
    </row>
    <row r="10023" spans="2:6">
      <c r="B10023" s="75"/>
      <c r="C10023" s="75"/>
      <c r="D10023" s="75"/>
      <c r="E10023" s="75"/>
      <c r="F10023" s="75"/>
    </row>
    <row r="10024" spans="2:6">
      <c r="B10024" s="75"/>
      <c r="C10024" s="75"/>
      <c r="D10024" s="75"/>
      <c r="E10024" s="75"/>
      <c r="F10024" s="75"/>
    </row>
    <row r="10025" spans="2:6">
      <c r="B10025" s="75"/>
      <c r="C10025" s="75"/>
      <c r="D10025" s="75"/>
      <c r="E10025" s="75"/>
      <c r="F10025" s="75"/>
    </row>
    <row r="10026" spans="2:6">
      <c r="B10026" s="75"/>
      <c r="C10026" s="75"/>
      <c r="D10026" s="75"/>
      <c r="E10026" s="75"/>
      <c r="F10026" s="75"/>
    </row>
    <row r="10027" spans="2:6">
      <c r="B10027" s="75"/>
      <c r="C10027" s="75"/>
      <c r="D10027" s="75"/>
      <c r="E10027" s="75"/>
      <c r="F10027" s="75"/>
    </row>
    <row r="10028" spans="2:6">
      <c r="B10028" s="75"/>
      <c r="C10028" s="75"/>
      <c r="D10028" s="75"/>
      <c r="E10028" s="75"/>
      <c r="F10028" s="75"/>
    </row>
    <row r="10029" spans="2:6">
      <c r="B10029" s="75"/>
      <c r="C10029" s="75"/>
      <c r="D10029" s="75"/>
      <c r="E10029" s="75"/>
      <c r="F10029" s="75"/>
    </row>
    <row r="10030" spans="2:6">
      <c r="B10030" s="75"/>
      <c r="C10030" s="75"/>
      <c r="D10030" s="75"/>
      <c r="E10030" s="75"/>
      <c r="F10030" s="75"/>
    </row>
    <row r="10031" spans="2:6">
      <c r="B10031" s="75"/>
      <c r="C10031" s="75"/>
      <c r="D10031" s="75"/>
      <c r="E10031" s="75"/>
      <c r="F10031" s="75"/>
    </row>
    <row r="10032" spans="2:6">
      <c r="B10032" s="75"/>
      <c r="C10032" s="75"/>
      <c r="D10032" s="75"/>
      <c r="E10032" s="75"/>
      <c r="F10032" s="75"/>
    </row>
    <row r="10033" spans="2:6">
      <c r="B10033" s="75"/>
      <c r="C10033" s="75"/>
      <c r="D10033" s="75"/>
      <c r="E10033" s="75"/>
      <c r="F10033" s="75"/>
    </row>
    <row r="10034" spans="2:6">
      <c r="B10034" s="75"/>
      <c r="C10034" s="75"/>
      <c r="D10034" s="75"/>
      <c r="E10034" s="75"/>
      <c r="F10034" s="75"/>
    </row>
    <row r="10035" spans="2:6">
      <c r="B10035" s="75"/>
      <c r="C10035" s="75"/>
      <c r="D10035" s="75"/>
      <c r="E10035" s="75"/>
      <c r="F10035" s="75"/>
    </row>
    <row r="10036" spans="2:6">
      <c r="B10036" s="75"/>
      <c r="C10036" s="75"/>
      <c r="D10036" s="75"/>
      <c r="E10036" s="75"/>
      <c r="F10036" s="75"/>
    </row>
    <row r="10037" spans="2:6">
      <c r="B10037" s="75"/>
      <c r="C10037" s="75"/>
      <c r="D10037" s="75"/>
      <c r="E10037" s="75"/>
      <c r="F10037" s="75"/>
    </row>
    <row r="10038" spans="2:6">
      <c r="B10038" s="75"/>
      <c r="C10038" s="75"/>
      <c r="D10038" s="75"/>
      <c r="E10038" s="75"/>
      <c r="F10038" s="75"/>
    </row>
    <row r="10039" spans="2:6">
      <c r="B10039" s="75"/>
      <c r="C10039" s="75"/>
      <c r="D10039" s="75"/>
      <c r="E10039" s="75"/>
      <c r="F10039" s="75"/>
    </row>
    <row r="10040" spans="2:6">
      <c r="B10040" s="75"/>
      <c r="C10040" s="75"/>
      <c r="D10040" s="75"/>
      <c r="E10040" s="75"/>
      <c r="F10040" s="75"/>
    </row>
    <row r="10041" spans="2:6">
      <c r="B10041" s="75"/>
      <c r="C10041" s="75"/>
      <c r="D10041" s="75"/>
      <c r="E10041" s="75"/>
      <c r="F10041" s="75"/>
    </row>
    <row r="10042" spans="2:6">
      <c r="B10042" s="75"/>
      <c r="C10042" s="75"/>
      <c r="D10042" s="75"/>
      <c r="E10042" s="75"/>
      <c r="F10042" s="75"/>
    </row>
    <row r="10043" spans="2:6">
      <c r="B10043" s="75"/>
      <c r="C10043" s="75"/>
      <c r="D10043" s="75"/>
      <c r="E10043" s="75"/>
      <c r="F10043" s="75"/>
    </row>
    <row r="10044" spans="2:6">
      <c r="B10044" s="75"/>
      <c r="C10044" s="75"/>
      <c r="D10044" s="75"/>
      <c r="E10044" s="75"/>
      <c r="F10044" s="75"/>
    </row>
    <row r="10045" spans="2:6">
      <c r="B10045" s="75"/>
      <c r="C10045" s="75"/>
      <c r="D10045" s="75"/>
      <c r="E10045" s="75"/>
      <c r="F10045" s="75"/>
    </row>
    <row r="10046" spans="2:6">
      <c r="B10046" s="75"/>
      <c r="C10046" s="75"/>
      <c r="D10046" s="75"/>
      <c r="E10046" s="75"/>
      <c r="F10046" s="75"/>
    </row>
    <row r="10047" spans="2:6">
      <c r="B10047" s="75"/>
      <c r="C10047" s="75"/>
      <c r="D10047" s="75"/>
      <c r="E10047" s="75"/>
      <c r="F10047" s="75"/>
    </row>
    <row r="10048" spans="2:6">
      <c r="B10048" s="75"/>
      <c r="C10048" s="75"/>
      <c r="D10048" s="75"/>
      <c r="E10048" s="75"/>
      <c r="F10048" s="75"/>
    </row>
    <row r="10049" spans="2:6">
      <c r="B10049" s="75"/>
      <c r="C10049" s="75"/>
      <c r="D10049" s="75"/>
      <c r="E10049" s="75"/>
      <c r="F10049" s="75"/>
    </row>
    <row r="10050" spans="2:6">
      <c r="B10050" s="75"/>
      <c r="C10050" s="75"/>
      <c r="D10050" s="75"/>
      <c r="E10050" s="75"/>
      <c r="F10050" s="75"/>
    </row>
    <row r="10051" spans="2:6">
      <c r="B10051" s="75"/>
      <c r="C10051" s="75"/>
      <c r="D10051" s="75"/>
      <c r="E10051" s="75"/>
      <c r="F10051" s="75"/>
    </row>
    <row r="10052" spans="2:6">
      <c r="B10052" s="75"/>
      <c r="C10052" s="75"/>
      <c r="D10052" s="75"/>
      <c r="E10052" s="75"/>
      <c r="F10052" s="75"/>
    </row>
    <row r="10053" spans="2:6">
      <c r="B10053" s="75"/>
      <c r="C10053" s="75"/>
      <c r="D10053" s="75"/>
      <c r="E10053" s="75"/>
      <c r="F10053" s="75"/>
    </row>
    <row r="10054" spans="2:6">
      <c r="B10054" s="75"/>
      <c r="C10054" s="75"/>
      <c r="D10054" s="75"/>
      <c r="E10054" s="75"/>
      <c r="F10054" s="75"/>
    </row>
    <row r="10055" spans="2:6">
      <c r="B10055" s="75"/>
      <c r="C10055" s="75"/>
      <c r="D10055" s="75"/>
      <c r="E10055" s="75"/>
      <c r="F10055" s="75"/>
    </row>
    <row r="10056" spans="2:6">
      <c r="B10056" s="75"/>
      <c r="C10056" s="75"/>
      <c r="D10056" s="75"/>
      <c r="E10056" s="75"/>
      <c r="F10056" s="75"/>
    </row>
    <row r="10057" spans="2:6">
      <c r="B10057" s="75"/>
      <c r="C10057" s="75"/>
      <c r="D10057" s="75"/>
      <c r="E10057" s="75"/>
      <c r="F10057" s="75"/>
    </row>
    <row r="10058" spans="2:6">
      <c r="B10058" s="75"/>
      <c r="C10058" s="75"/>
      <c r="D10058" s="75"/>
      <c r="E10058" s="75"/>
      <c r="F10058" s="75"/>
    </row>
    <row r="10059" spans="2:6">
      <c r="B10059" s="75"/>
      <c r="C10059" s="75"/>
      <c r="D10059" s="75"/>
      <c r="E10059" s="75"/>
      <c r="F10059" s="75"/>
    </row>
    <row r="10060" spans="2:6">
      <c r="B10060" s="75"/>
      <c r="C10060" s="75"/>
      <c r="D10060" s="75"/>
      <c r="E10060" s="75"/>
      <c r="F10060" s="75"/>
    </row>
    <row r="10061" spans="2:6">
      <c r="B10061" s="75"/>
      <c r="C10061" s="75"/>
      <c r="D10061" s="75"/>
      <c r="E10061" s="75"/>
      <c r="F10061" s="75"/>
    </row>
    <row r="10062" spans="2:6">
      <c r="B10062" s="75"/>
      <c r="C10062" s="75"/>
      <c r="D10062" s="75"/>
      <c r="E10062" s="75"/>
      <c r="F10062" s="75"/>
    </row>
    <row r="10063" spans="2:6">
      <c r="B10063" s="75"/>
      <c r="C10063" s="75"/>
      <c r="D10063" s="75"/>
      <c r="E10063" s="75"/>
      <c r="F10063" s="75"/>
    </row>
    <row r="10064" spans="2:6">
      <c r="B10064" s="75"/>
      <c r="C10064" s="75"/>
      <c r="D10064" s="75"/>
      <c r="E10064" s="75"/>
      <c r="F10064" s="75"/>
    </row>
    <row r="10065" spans="2:6">
      <c r="B10065" s="75"/>
      <c r="C10065" s="75"/>
      <c r="D10065" s="75"/>
      <c r="E10065" s="75"/>
      <c r="F10065" s="75"/>
    </row>
    <row r="10066" spans="2:6">
      <c r="B10066" s="75"/>
      <c r="C10066" s="75"/>
      <c r="D10066" s="75"/>
      <c r="E10066" s="75"/>
      <c r="F10066" s="75"/>
    </row>
    <row r="10067" spans="2:6">
      <c r="B10067" s="75"/>
      <c r="C10067" s="75"/>
      <c r="D10067" s="75"/>
      <c r="E10067" s="75"/>
      <c r="F10067" s="75"/>
    </row>
    <row r="10068" spans="2:6">
      <c r="B10068" s="75"/>
      <c r="C10068" s="75"/>
      <c r="D10068" s="75"/>
      <c r="E10068" s="75"/>
      <c r="F10068" s="75"/>
    </row>
    <row r="10069" spans="2:6">
      <c r="B10069" s="75"/>
      <c r="C10069" s="75"/>
      <c r="D10069" s="75"/>
      <c r="E10069" s="75"/>
      <c r="F10069" s="75"/>
    </row>
    <row r="10070" spans="2:6">
      <c r="B10070" s="75"/>
      <c r="C10070" s="75"/>
      <c r="D10070" s="75"/>
      <c r="E10070" s="75"/>
      <c r="F10070" s="75"/>
    </row>
    <row r="10071" spans="2:6">
      <c r="B10071" s="75"/>
      <c r="C10071" s="75"/>
      <c r="D10071" s="75"/>
      <c r="E10071" s="75"/>
      <c r="F10071" s="75"/>
    </row>
    <row r="10072" spans="2:6">
      <c r="B10072" s="75"/>
      <c r="C10072" s="75"/>
      <c r="D10072" s="75"/>
      <c r="E10072" s="75"/>
      <c r="F10072" s="75"/>
    </row>
    <row r="10073" spans="2:6">
      <c r="B10073" s="75"/>
      <c r="C10073" s="75"/>
      <c r="D10073" s="75"/>
      <c r="E10073" s="75"/>
      <c r="F10073" s="75"/>
    </row>
    <row r="10074" spans="2:6">
      <c r="B10074" s="75"/>
      <c r="C10074" s="75"/>
      <c r="D10074" s="75"/>
      <c r="E10074" s="75"/>
      <c r="F10074" s="75"/>
    </row>
    <row r="10075" spans="2:6">
      <c r="B10075" s="75"/>
      <c r="C10075" s="75"/>
      <c r="D10075" s="75"/>
      <c r="E10075" s="75"/>
      <c r="F10075" s="75"/>
    </row>
    <row r="10076" spans="2:6">
      <c r="B10076" s="75"/>
      <c r="C10076" s="75"/>
      <c r="D10076" s="75"/>
      <c r="E10076" s="75"/>
      <c r="F10076" s="75"/>
    </row>
    <row r="10077" spans="2:6">
      <c r="B10077" s="75"/>
      <c r="C10077" s="75"/>
      <c r="D10077" s="75"/>
      <c r="E10077" s="75"/>
      <c r="F10077" s="75"/>
    </row>
    <row r="10078" spans="2:6">
      <c r="B10078" s="75"/>
      <c r="C10078" s="75"/>
      <c r="D10078" s="75"/>
      <c r="E10078" s="75"/>
      <c r="F10078" s="75"/>
    </row>
    <row r="10079" spans="2:6">
      <c r="B10079" s="75"/>
      <c r="C10079" s="75"/>
      <c r="D10079" s="75"/>
      <c r="E10079" s="75"/>
      <c r="F10079" s="75"/>
    </row>
    <row r="10080" spans="2:6">
      <c r="B10080" s="75"/>
      <c r="C10080" s="75"/>
      <c r="D10080" s="75"/>
      <c r="E10080" s="75"/>
      <c r="F10080" s="75"/>
    </row>
    <row r="10081" spans="2:6">
      <c r="B10081" s="75"/>
      <c r="C10081" s="75"/>
      <c r="D10081" s="75"/>
      <c r="E10081" s="75"/>
      <c r="F10081" s="75"/>
    </row>
    <row r="10082" spans="2:6">
      <c r="B10082" s="75"/>
      <c r="C10082" s="75"/>
      <c r="D10082" s="75"/>
      <c r="E10082" s="75"/>
      <c r="F10082" s="75"/>
    </row>
    <row r="10083" spans="2:6">
      <c r="B10083" s="75"/>
      <c r="C10083" s="75"/>
      <c r="D10083" s="75"/>
      <c r="E10083" s="75"/>
      <c r="F10083" s="75"/>
    </row>
    <row r="10084" spans="2:6">
      <c r="B10084" s="75"/>
      <c r="C10084" s="75"/>
      <c r="D10084" s="75"/>
      <c r="E10084" s="75"/>
      <c r="F10084" s="75"/>
    </row>
    <row r="10085" spans="2:6">
      <c r="B10085" s="75"/>
      <c r="C10085" s="75"/>
      <c r="D10085" s="75"/>
      <c r="E10085" s="75"/>
      <c r="F10085" s="75"/>
    </row>
    <row r="10086" spans="2:6">
      <c r="B10086" s="75"/>
      <c r="C10086" s="75"/>
      <c r="D10086" s="75"/>
      <c r="E10086" s="75"/>
      <c r="F10086" s="75"/>
    </row>
    <row r="10087" spans="2:6">
      <c r="B10087" s="75"/>
      <c r="C10087" s="75"/>
      <c r="D10087" s="75"/>
      <c r="E10087" s="75"/>
      <c r="F10087" s="75"/>
    </row>
    <row r="10088" spans="2:6">
      <c r="B10088" s="75"/>
      <c r="C10088" s="75"/>
      <c r="D10088" s="75"/>
      <c r="E10088" s="75"/>
      <c r="F10088" s="75"/>
    </row>
    <row r="10089" spans="2:6">
      <c r="B10089" s="75"/>
      <c r="C10089" s="75"/>
      <c r="D10089" s="75"/>
      <c r="E10089" s="75"/>
      <c r="F10089" s="75"/>
    </row>
    <row r="10090" spans="2:6">
      <c r="B10090" s="75"/>
      <c r="C10090" s="75"/>
      <c r="D10090" s="75"/>
      <c r="E10090" s="75"/>
      <c r="F10090" s="75"/>
    </row>
    <row r="10091" spans="2:6">
      <c r="B10091" s="75"/>
      <c r="C10091" s="75"/>
      <c r="D10091" s="75"/>
      <c r="E10091" s="75"/>
      <c r="F10091" s="75"/>
    </row>
    <row r="10092" spans="2:6">
      <c r="B10092" s="75"/>
      <c r="C10092" s="75"/>
      <c r="D10092" s="75"/>
      <c r="E10092" s="75"/>
      <c r="F10092" s="75"/>
    </row>
    <row r="10093" spans="2:6">
      <c r="B10093" s="75"/>
      <c r="C10093" s="75"/>
      <c r="D10093" s="75"/>
      <c r="E10093" s="75"/>
      <c r="F10093" s="75"/>
    </row>
    <row r="10094" spans="2:6">
      <c r="B10094" s="75"/>
      <c r="C10094" s="75"/>
      <c r="D10094" s="75"/>
      <c r="E10094" s="75"/>
      <c r="F10094" s="75"/>
    </row>
    <row r="10095" spans="2:6">
      <c r="B10095" s="75"/>
      <c r="C10095" s="75"/>
      <c r="D10095" s="75"/>
      <c r="E10095" s="75"/>
      <c r="F10095" s="75"/>
    </row>
    <row r="10096" spans="2:6">
      <c r="B10096" s="75"/>
      <c r="C10096" s="75"/>
      <c r="D10096" s="75"/>
      <c r="E10096" s="75"/>
      <c r="F10096" s="75"/>
    </row>
    <row r="10097" spans="2:6">
      <c r="B10097" s="75"/>
      <c r="C10097" s="75"/>
      <c r="D10097" s="75"/>
      <c r="E10097" s="75"/>
      <c r="F10097" s="75"/>
    </row>
    <row r="10098" spans="2:6">
      <c r="B10098" s="75"/>
      <c r="C10098" s="75"/>
      <c r="D10098" s="75"/>
      <c r="E10098" s="75"/>
      <c r="F10098" s="75"/>
    </row>
    <row r="10099" spans="2:6">
      <c r="B10099" s="75"/>
      <c r="C10099" s="75"/>
      <c r="D10099" s="75"/>
      <c r="E10099" s="75"/>
      <c r="F10099" s="75"/>
    </row>
    <row r="10100" spans="2:6">
      <c r="B10100" s="75"/>
      <c r="C10100" s="75"/>
      <c r="D10100" s="75"/>
      <c r="E10100" s="75"/>
      <c r="F10100" s="75"/>
    </row>
    <row r="10101" spans="2:6">
      <c r="B10101" s="75"/>
      <c r="C10101" s="75"/>
      <c r="D10101" s="75"/>
      <c r="E10101" s="75"/>
      <c r="F10101" s="75"/>
    </row>
    <row r="10102" spans="2:6">
      <c r="B10102" s="75"/>
      <c r="C10102" s="75"/>
      <c r="D10102" s="75"/>
      <c r="E10102" s="75"/>
      <c r="F10102" s="75"/>
    </row>
    <row r="10103" spans="2:6">
      <c r="B10103" s="75"/>
      <c r="C10103" s="75"/>
      <c r="D10103" s="75"/>
      <c r="E10103" s="75"/>
      <c r="F10103" s="75"/>
    </row>
    <row r="10104" spans="2:6">
      <c r="B10104" s="75"/>
      <c r="C10104" s="75"/>
      <c r="D10104" s="75"/>
      <c r="E10104" s="75"/>
      <c r="F10104" s="75"/>
    </row>
    <row r="10105" spans="2:6">
      <c r="B10105" s="75"/>
      <c r="C10105" s="75"/>
      <c r="D10105" s="75"/>
      <c r="E10105" s="75"/>
      <c r="F10105" s="75"/>
    </row>
    <row r="10106" spans="2:6">
      <c r="B10106" s="75"/>
      <c r="C10106" s="75"/>
      <c r="D10106" s="75"/>
      <c r="E10106" s="75"/>
      <c r="F10106" s="75"/>
    </row>
    <row r="10107" spans="2:6">
      <c r="B10107" s="75"/>
      <c r="C10107" s="75"/>
      <c r="D10107" s="75"/>
      <c r="E10107" s="75"/>
      <c r="F10107" s="75"/>
    </row>
    <row r="10108" spans="2:6">
      <c r="B10108" s="75"/>
      <c r="C10108" s="75"/>
      <c r="D10108" s="75"/>
      <c r="E10108" s="75"/>
      <c r="F10108" s="75"/>
    </row>
    <row r="10109" spans="2:6">
      <c r="B10109" s="75"/>
      <c r="C10109" s="75"/>
      <c r="D10109" s="75"/>
      <c r="E10109" s="75"/>
      <c r="F10109" s="75"/>
    </row>
    <row r="10110" spans="2:6">
      <c r="B10110" s="75"/>
      <c r="C10110" s="75"/>
      <c r="D10110" s="75"/>
      <c r="E10110" s="75"/>
      <c r="F10110" s="75"/>
    </row>
    <row r="10111" spans="2:6">
      <c r="B10111" s="75"/>
      <c r="C10111" s="75"/>
      <c r="D10111" s="75"/>
      <c r="E10111" s="75"/>
      <c r="F10111" s="75"/>
    </row>
    <row r="10112" spans="2:6">
      <c r="B10112" s="75"/>
      <c r="C10112" s="75"/>
      <c r="D10112" s="75"/>
      <c r="E10112" s="75"/>
      <c r="F10112" s="75"/>
    </row>
    <row r="10113" spans="2:6">
      <c r="B10113" s="75"/>
      <c r="C10113" s="75"/>
      <c r="D10113" s="75"/>
      <c r="E10113" s="75"/>
      <c r="F10113" s="75"/>
    </row>
    <row r="10114" spans="2:6">
      <c r="B10114" s="75"/>
      <c r="C10114" s="75"/>
      <c r="D10114" s="75"/>
      <c r="E10114" s="75"/>
      <c r="F10114" s="75"/>
    </row>
    <row r="10115" spans="2:6">
      <c r="B10115" s="75"/>
      <c r="C10115" s="75"/>
      <c r="D10115" s="75"/>
      <c r="E10115" s="75"/>
      <c r="F10115" s="75"/>
    </row>
    <row r="10116" spans="2:6">
      <c r="B10116" s="75"/>
      <c r="C10116" s="75"/>
      <c r="D10116" s="75"/>
      <c r="E10116" s="75"/>
      <c r="F10116" s="75"/>
    </row>
    <row r="10117" spans="2:6">
      <c r="B10117" s="75"/>
      <c r="C10117" s="75"/>
      <c r="D10117" s="75"/>
      <c r="E10117" s="75"/>
      <c r="F10117" s="75"/>
    </row>
    <row r="10118" spans="2:6">
      <c r="B10118" s="75"/>
      <c r="C10118" s="75"/>
      <c r="D10118" s="75"/>
      <c r="E10118" s="75"/>
      <c r="F10118" s="75"/>
    </row>
    <row r="10119" spans="2:6">
      <c r="B10119" s="75"/>
      <c r="C10119" s="75"/>
      <c r="D10119" s="75"/>
      <c r="E10119" s="75"/>
      <c r="F10119" s="75"/>
    </row>
    <row r="10120" spans="2:6">
      <c r="B10120" s="75"/>
      <c r="C10120" s="75"/>
      <c r="D10120" s="75"/>
      <c r="E10120" s="75"/>
      <c r="F10120" s="75"/>
    </row>
    <row r="10121" spans="2:6">
      <c r="B10121" s="75"/>
      <c r="C10121" s="75"/>
      <c r="D10121" s="75"/>
      <c r="E10121" s="75"/>
      <c r="F10121" s="75"/>
    </row>
    <row r="10122" spans="2:6">
      <c r="B10122" s="75"/>
      <c r="C10122" s="75"/>
      <c r="D10122" s="75"/>
      <c r="E10122" s="75"/>
      <c r="F10122" s="75"/>
    </row>
    <row r="10123" spans="2:6">
      <c r="B10123" s="75"/>
      <c r="C10123" s="75"/>
      <c r="D10123" s="75"/>
      <c r="E10123" s="75"/>
      <c r="F10123" s="75"/>
    </row>
    <row r="10124" spans="2:6">
      <c r="B10124" s="75"/>
      <c r="C10124" s="75"/>
      <c r="D10124" s="75"/>
      <c r="E10124" s="75"/>
      <c r="F10124" s="75"/>
    </row>
    <row r="10125" spans="2:6">
      <c r="B10125" s="75"/>
      <c r="C10125" s="75"/>
      <c r="D10125" s="75"/>
      <c r="E10125" s="75"/>
      <c r="F10125" s="75"/>
    </row>
    <row r="10126" spans="2:6">
      <c r="B10126" s="75"/>
      <c r="C10126" s="75"/>
      <c r="D10126" s="75"/>
      <c r="E10126" s="75"/>
      <c r="F10126" s="75"/>
    </row>
    <row r="10127" spans="2:6">
      <c r="B10127" s="75"/>
      <c r="C10127" s="75"/>
      <c r="D10127" s="75"/>
      <c r="E10127" s="75"/>
      <c r="F10127" s="75"/>
    </row>
    <row r="10128" spans="2:6">
      <c r="B10128" s="75"/>
      <c r="C10128" s="75"/>
      <c r="D10128" s="75"/>
      <c r="E10128" s="75"/>
      <c r="F10128" s="75"/>
    </row>
    <row r="10129" spans="2:6">
      <c r="B10129" s="75"/>
      <c r="C10129" s="75"/>
      <c r="D10129" s="75"/>
      <c r="E10129" s="75"/>
      <c r="F10129" s="75"/>
    </row>
    <row r="10130" spans="2:6">
      <c r="B10130" s="75"/>
      <c r="C10130" s="75"/>
      <c r="D10130" s="75"/>
      <c r="E10130" s="75"/>
      <c r="F10130" s="75"/>
    </row>
    <row r="10131" spans="2:6">
      <c r="B10131" s="75"/>
      <c r="C10131" s="75"/>
      <c r="D10131" s="75"/>
      <c r="E10131" s="75"/>
      <c r="F10131" s="75"/>
    </row>
    <row r="10132" spans="2:6">
      <c r="B10132" s="75"/>
      <c r="C10132" s="75"/>
      <c r="D10132" s="75"/>
      <c r="E10132" s="75"/>
      <c r="F10132" s="75"/>
    </row>
    <row r="10133" spans="2:6">
      <c r="B10133" s="75"/>
      <c r="C10133" s="75"/>
      <c r="D10133" s="75"/>
      <c r="E10133" s="75"/>
      <c r="F10133" s="75"/>
    </row>
    <row r="10134" spans="2:6">
      <c r="B10134" s="75"/>
      <c r="C10134" s="75"/>
      <c r="D10134" s="75"/>
      <c r="E10134" s="75"/>
      <c r="F10134" s="75"/>
    </row>
    <row r="10135" spans="2:6">
      <c r="B10135" s="75"/>
      <c r="C10135" s="75"/>
      <c r="D10135" s="75"/>
      <c r="E10135" s="75"/>
      <c r="F10135" s="75"/>
    </row>
    <row r="10136" spans="2:6">
      <c r="B10136" s="75"/>
      <c r="C10136" s="75"/>
      <c r="D10136" s="75"/>
      <c r="E10136" s="75"/>
      <c r="F10136" s="75"/>
    </row>
    <row r="10137" spans="2:6">
      <c r="B10137" s="75"/>
      <c r="C10137" s="75"/>
      <c r="D10137" s="75"/>
      <c r="E10137" s="75"/>
      <c r="F10137" s="75"/>
    </row>
    <row r="10138" spans="2:6">
      <c r="B10138" s="75"/>
      <c r="C10138" s="75"/>
      <c r="D10138" s="75"/>
      <c r="E10138" s="75"/>
      <c r="F10138" s="75"/>
    </row>
    <row r="10139" spans="2:6">
      <c r="B10139" s="75"/>
      <c r="C10139" s="75"/>
      <c r="D10139" s="75"/>
      <c r="E10139" s="75"/>
      <c r="F10139" s="75"/>
    </row>
    <row r="10140" spans="2:6">
      <c r="B10140" s="75"/>
      <c r="C10140" s="75"/>
      <c r="D10140" s="75"/>
      <c r="E10140" s="75"/>
      <c r="F10140" s="75"/>
    </row>
    <row r="10141" spans="2:6">
      <c r="B10141" s="75"/>
      <c r="C10141" s="75"/>
      <c r="D10141" s="75"/>
      <c r="E10141" s="75"/>
      <c r="F10141" s="75"/>
    </row>
    <row r="10142" spans="2:6">
      <c r="B10142" s="75"/>
      <c r="C10142" s="75"/>
      <c r="D10142" s="75"/>
      <c r="E10142" s="75"/>
      <c r="F10142" s="75"/>
    </row>
    <row r="10143" spans="2:6">
      <c r="B10143" s="75"/>
      <c r="C10143" s="75"/>
      <c r="D10143" s="75"/>
      <c r="E10143" s="75"/>
      <c r="F10143" s="75"/>
    </row>
    <row r="10144" spans="2:6">
      <c r="B10144" s="75"/>
      <c r="C10144" s="75"/>
      <c r="D10144" s="75"/>
      <c r="E10144" s="75"/>
      <c r="F10144" s="75"/>
    </row>
    <row r="10145" spans="2:6">
      <c r="B10145" s="75"/>
      <c r="C10145" s="75"/>
      <c r="D10145" s="75"/>
      <c r="E10145" s="75"/>
      <c r="F10145" s="75"/>
    </row>
    <row r="10146" spans="2:6">
      <c r="B10146" s="75"/>
      <c r="C10146" s="75"/>
      <c r="D10146" s="75"/>
      <c r="E10146" s="75"/>
      <c r="F10146" s="75"/>
    </row>
    <row r="10147" spans="2:6">
      <c r="B10147" s="75"/>
      <c r="C10147" s="75"/>
      <c r="D10147" s="75"/>
      <c r="E10147" s="75"/>
      <c r="F10147" s="75"/>
    </row>
    <row r="10148" spans="2:6">
      <c r="B10148" s="75"/>
      <c r="C10148" s="75"/>
      <c r="D10148" s="75"/>
      <c r="E10148" s="75"/>
      <c r="F10148" s="75"/>
    </row>
    <row r="10149" spans="2:6">
      <c r="B10149" s="75"/>
      <c r="C10149" s="75"/>
      <c r="D10149" s="75"/>
      <c r="E10149" s="75"/>
      <c r="F10149" s="75"/>
    </row>
    <row r="10150" spans="2:6">
      <c r="B10150" s="75"/>
      <c r="C10150" s="75"/>
      <c r="D10150" s="75"/>
      <c r="E10150" s="75"/>
      <c r="F10150" s="75"/>
    </row>
    <row r="10151" spans="2:6">
      <c r="B10151" s="75"/>
      <c r="C10151" s="75"/>
      <c r="D10151" s="75"/>
      <c r="E10151" s="75"/>
      <c r="F10151" s="75"/>
    </row>
    <row r="10152" spans="2:6">
      <c r="B10152" s="75"/>
      <c r="C10152" s="75"/>
      <c r="D10152" s="75"/>
      <c r="E10152" s="75"/>
      <c r="F10152" s="75"/>
    </row>
    <row r="10153" spans="2:6">
      <c r="B10153" s="75"/>
      <c r="C10153" s="75"/>
      <c r="D10153" s="75"/>
      <c r="E10153" s="75"/>
      <c r="F10153" s="75"/>
    </row>
    <row r="10154" spans="2:6">
      <c r="B10154" s="75"/>
      <c r="C10154" s="75"/>
      <c r="D10154" s="75"/>
      <c r="E10154" s="75"/>
      <c r="F10154" s="75"/>
    </row>
    <row r="10155" spans="2:6">
      <c r="B10155" s="75"/>
      <c r="C10155" s="75"/>
      <c r="D10155" s="75"/>
      <c r="E10155" s="75"/>
      <c r="F10155" s="75"/>
    </row>
    <row r="10156" spans="2:6">
      <c r="B10156" s="75"/>
      <c r="C10156" s="75"/>
      <c r="D10156" s="75"/>
      <c r="E10156" s="75"/>
      <c r="F10156" s="75"/>
    </row>
    <row r="10157" spans="2:6">
      <c r="B10157" s="75"/>
      <c r="C10157" s="75"/>
      <c r="D10157" s="75"/>
      <c r="E10157" s="75"/>
      <c r="F10157" s="75"/>
    </row>
    <row r="10158" spans="2:6">
      <c r="B10158" s="75"/>
      <c r="C10158" s="75"/>
      <c r="D10158" s="75"/>
      <c r="E10158" s="75"/>
      <c r="F10158" s="75"/>
    </row>
    <row r="10159" spans="2:6">
      <c r="B10159" s="75"/>
      <c r="C10159" s="75"/>
      <c r="D10159" s="75"/>
      <c r="E10159" s="75"/>
      <c r="F10159" s="75"/>
    </row>
    <row r="10160" spans="2:6">
      <c r="B10160" s="75"/>
      <c r="C10160" s="75"/>
      <c r="D10160" s="75"/>
      <c r="E10160" s="75"/>
      <c r="F10160" s="75"/>
    </row>
    <row r="10161" spans="2:6">
      <c r="B10161" s="75"/>
      <c r="C10161" s="75"/>
      <c r="D10161" s="75"/>
      <c r="E10161" s="75"/>
      <c r="F10161" s="75"/>
    </row>
    <row r="10162" spans="2:6">
      <c r="B10162" s="75"/>
      <c r="C10162" s="75"/>
      <c r="D10162" s="75"/>
      <c r="E10162" s="75"/>
      <c r="F10162" s="75"/>
    </row>
    <row r="10163" spans="2:6">
      <c r="B10163" s="75"/>
      <c r="C10163" s="75"/>
      <c r="D10163" s="75"/>
      <c r="E10163" s="75"/>
      <c r="F10163" s="75"/>
    </row>
    <row r="10164" spans="2:6">
      <c r="B10164" s="75"/>
      <c r="C10164" s="75"/>
      <c r="D10164" s="75"/>
      <c r="E10164" s="75"/>
      <c r="F10164" s="75"/>
    </row>
    <row r="10165" spans="2:6">
      <c r="B10165" s="75"/>
      <c r="C10165" s="75"/>
      <c r="D10165" s="75"/>
      <c r="E10165" s="75"/>
      <c r="F10165" s="75"/>
    </row>
    <row r="10166" spans="2:6">
      <c r="B10166" s="75"/>
      <c r="C10166" s="75"/>
      <c r="D10166" s="75"/>
      <c r="E10166" s="75"/>
      <c r="F10166" s="75"/>
    </row>
    <row r="10167" spans="2:6">
      <c r="B10167" s="75"/>
      <c r="C10167" s="75"/>
      <c r="D10167" s="75"/>
      <c r="E10167" s="75"/>
      <c r="F10167" s="75"/>
    </row>
    <row r="10168" spans="2:6">
      <c r="B10168" s="75"/>
      <c r="C10168" s="75"/>
      <c r="D10168" s="75"/>
      <c r="E10168" s="75"/>
      <c r="F10168" s="75"/>
    </row>
    <row r="10169" spans="2:6">
      <c r="B10169" s="75"/>
      <c r="C10169" s="75"/>
      <c r="D10169" s="75"/>
      <c r="E10169" s="75"/>
      <c r="F10169" s="75"/>
    </row>
    <row r="10170" spans="2:6">
      <c r="B10170" s="75"/>
      <c r="C10170" s="75"/>
      <c r="D10170" s="75"/>
      <c r="E10170" s="75"/>
      <c r="F10170" s="75"/>
    </row>
    <row r="10171" spans="2:6">
      <c r="B10171" s="75"/>
      <c r="C10171" s="75"/>
      <c r="D10171" s="75"/>
      <c r="E10171" s="75"/>
      <c r="F10171" s="75"/>
    </row>
    <row r="10172" spans="2:6">
      <c r="B10172" s="75"/>
      <c r="C10172" s="75"/>
      <c r="D10172" s="75"/>
      <c r="E10172" s="75"/>
      <c r="F10172" s="75"/>
    </row>
    <row r="10173" spans="2:6">
      <c r="B10173" s="75"/>
      <c r="C10173" s="75"/>
      <c r="D10173" s="75"/>
      <c r="E10173" s="75"/>
      <c r="F10173" s="75"/>
    </row>
    <row r="10174" spans="2:6">
      <c r="B10174" s="75"/>
      <c r="C10174" s="75"/>
      <c r="D10174" s="75"/>
      <c r="E10174" s="75"/>
      <c r="F10174" s="75"/>
    </row>
    <row r="10175" spans="2:6">
      <c r="B10175" s="75"/>
      <c r="C10175" s="75"/>
      <c r="D10175" s="75"/>
      <c r="E10175" s="75"/>
      <c r="F10175" s="75"/>
    </row>
    <row r="10176" spans="2:6">
      <c r="B10176" s="75"/>
      <c r="C10176" s="75"/>
      <c r="D10176" s="75"/>
      <c r="E10176" s="75"/>
      <c r="F10176" s="75"/>
    </row>
    <row r="10177" spans="2:6">
      <c r="B10177" s="75"/>
      <c r="C10177" s="75"/>
      <c r="D10177" s="75"/>
      <c r="E10177" s="75"/>
      <c r="F10177" s="75"/>
    </row>
    <row r="10178" spans="2:6">
      <c r="B10178" s="75"/>
      <c r="C10178" s="75"/>
      <c r="D10178" s="75"/>
      <c r="E10178" s="75"/>
      <c r="F10178" s="75"/>
    </row>
    <row r="10179" spans="2:6">
      <c r="B10179" s="75"/>
      <c r="C10179" s="75"/>
      <c r="D10179" s="75"/>
      <c r="E10179" s="75"/>
      <c r="F10179" s="75"/>
    </row>
    <row r="10180" spans="2:6">
      <c r="B10180" s="75"/>
      <c r="C10180" s="75"/>
      <c r="D10180" s="75"/>
      <c r="E10180" s="75"/>
      <c r="F10180" s="75"/>
    </row>
    <row r="10181" spans="2:6">
      <c r="B10181" s="75"/>
      <c r="C10181" s="75"/>
      <c r="D10181" s="75"/>
      <c r="E10181" s="75"/>
      <c r="F10181" s="75"/>
    </row>
    <row r="10182" spans="2:6">
      <c r="B10182" s="75"/>
      <c r="C10182" s="75"/>
      <c r="D10182" s="75"/>
      <c r="E10182" s="75"/>
      <c r="F10182" s="75"/>
    </row>
    <row r="10183" spans="2:6">
      <c r="B10183" s="75"/>
      <c r="C10183" s="75"/>
      <c r="D10183" s="75"/>
      <c r="E10183" s="75"/>
      <c r="F10183" s="75"/>
    </row>
    <row r="10184" spans="2:6">
      <c r="B10184" s="75"/>
      <c r="C10184" s="75"/>
      <c r="D10184" s="75"/>
      <c r="E10184" s="75"/>
      <c r="F10184" s="75"/>
    </row>
    <row r="10185" spans="2:6">
      <c r="B10185" s="75"/>
      <c r="C10185" s="75"/>
      <c r="D10185" s="75"/>
      <c r="E10185" s="75"/>
      <c r="F10185" s="75"/>
    </row>
    <row r="10186" spans="2:6">
      <c r="B10186" s="75"/>
      <c r="C10186" s="75"/>
      <c r="D10186" s="75"/>
      <c r="E10186" s="75"/>
      <c r="F10186" s="75"/>
    </row>
    <row r="10187" spans="2:6">
      <c r="B10187" s="75"/>
      <c r="C10187" s="75"/>
      <c r="D10187" s="75"/>
      <c r="E10187" s="75"/>
      <c r="F10187" s="75"/>
    </row>
    <row r="10188" spans="2:6">
      <c r="B10188" s="75"/>
      <c r="C10188" s="75"/>
      <c r="D10188" s="75"/>
      <c r="E10188" s="75"/>
      <c r="F10188" s="75"/>
    </row>
    <row r="10189" spans="2:6">
      <c r="B10189" s="75"/>
      <c r="C10189" s="75"/>
      <c r="D10189" s="75"/>
      <c r="E10189" s="75"/>
      <c r="F10189" s="75"/>
    </row>
    <row r="10190" spans="2:6">
      <c r="B10190" s="75"/>
      <c r="C10190" s="75"/>
      <c r="D10190" s="75"/>
      <c r="E10190" s="75"/>
      <c r="F10190" s="75"/>
    </row>
    <row r="10191" spans="2:6">
      <c r="B10191" s="75"/>
      <c r="C10191" s="75"/>
      <c r="D10191" s="75"/>
      <c r="E10191" s="75"/>
      <c r="F10191" s="75"/>
    </row>
    <row r="10192" spans="2:6">
      <c r="B10192" s="75"/>
      <c r="C10192" s="75"/>
      <c r="D10192" s="75"/>
      <c r="E10192" s="75"/>
      <c r="F10192" s="75"/>
    </row>
    <row r="10193" spans="2:6">
      <c r="B10193" s="75"/>
      <c r="C10193" s="75"/>
      <c r="D10193" s="75"/>
      <c r="E10193" s="75"/>
      <c r="F10193" s="75"/>
    </row>
    <row r="10194" spans="2:6">
      <c r="B10194" s="75"/>
      <c r="C10194" s="75"/>
      <c r="D10194" s="75"/>
      <c r="E10194" s="75"/>
      <c r="F10194" s="75"/>
    </row>
    <row r="10195" spans="2:6">
      <c r="B10195" s="75"/>
      <c r="C10195" s="75"/>
      <c r="D10195" s="75"/>
      <c r="E10195" s="75"/>
      <c r="F10195" s="75"/>
    </row>
    <row r="10196" spans="2:6">
      <c r="B10196" s="75"/>
      <c r="C10196" s="75"/>
      <c r="D10196" s="75"/>
      <c r="E10196" s="75"/>
      <c r="F10196" s="75"/>
    </row>
    <row r="10197" spans="2:6">
      <c r="B10197" s="75"/>
      <c r="C10197" s="75"/>
      <c r="D10197" s="75"/>
      <c r="E10197" s="75"/>
      <c r="F10197" s="75"/>
    </row>
    <row r="10198" spans="2:6">
      <c r="B10198" s="75"/>
      <c r="C10198" s="75"/>
      <c r="D10198" s="75"/>
      <c r="E10198" s="75"/>
      <c r="F10198" s="75"/>
    </row>
    <row r="10199" spans="2:6">
      <c r="B10199" s="75"/>
      <c r="C10199" s="75"/>
      <c r="D10199" s="75"/>
      <c r="E10199" s="75"/>
      <c r="F10199" s="75"/>
    </row>
    <row r="10200" spans="2:6">
      <c r="B10200" s="75"/>
      <c r="C10200" s="75"/>
      <c r="D10200" s="75"/>
      <c r="E10200" s="75"/>
      <c r="F10200" s="75"/>
    </row>
    <row r="10201" spans="2:6">
      <c r="B10201" s="75"/>
      <c r="C10201" s="75"/>
      <c r="D10201" s="75"/>
      <c r="E10201" s="75"/>
      <c r="F10201" s="75"/>
    </row>
    <row r="10202" spans="2:6">
      <c r="B10202" s="75"/>
      <c r="C10202" s="75"/>
      <c r="D10202" s="75"/>
      <c r="E10202" s="75"/>
      <c r="F10202" s="75"/>
    </row>
    <row r="10203" spans="2:6">
      <c r="B10203" s="75"/>
      <c r="C10203" s="75"/>
      <c r="D10203" s="75"/>
      <c r="E10203" s="75"/>
      <c r="F10203" s="75"/>
    </row>
    <row r="10204" spans="2:6">
      <c r="B10204" s="75"/>
      <c r="C10204" s="75"/>
      <c r="D10204" s="75"/>
      <c r="E10204" s="75"/>
      <c r="F10204" s="75"/>
    </row>
    <row r="10205" spans="2:6">
      <c r="B10205" s="75"/>
      <c r="C10205" s="75"/>
      <c r="D10205" s="75"/>
      <c r="E10205" s="75"/>
      <c r="F10205" s="75"/>
    </row>
    <row r="10206" spans="2:6">
      <c r="B10206" s="75"/>
      <c r="C10206" s="75"/>
      <c r="D10206" s="75"/>
      <c r="E10206" s="75"/>
      <c r="F10206" s="75"/>
    </row>
    <row r="10207" spans="2:6">
      <c r="B10207" s="75"/>
      <c r="C10207" s="75"/>
      <c r="D10207" s="75"/>
      <c r="E10207" s="75"/>
      <c r="F10207" s="75"/>
    </row>
    <row r="10208" spans="2:6">
      <c r="B10208" s="75"/>
      <c r="C10208" s="75"/>
      <c r="D10208" s="75"/>
      <c r="E10208" s="75"/>
      <c r="F10208" s="75"/>
    </row>
    <row r="10209" spans="2:6">
      <c r="B10209" s="75"/>
      <c r="C10209" s="75"/>
      <c r="D10209" s="75"/>
      <c r="E10209" s="75"/>
      <c r="F10209" s="75"/>
    </row>
    <row r="10210" spans="2:6">
      <c r="B10210" s="75"/>
      <c r="C10210" s="75"/>
      <c r="D10210" s="75"/>
      <c r="E10210" s="75"/>
      <c r="F10210" s="75"/>
    </row>
    <row r="10211" spans="2:6">
      <c r="B10211" s="75"/>
      <c r="C10211" s="75"/>
      <c r="D10211" s="75"/>
      <c r="E10211" s="75"/>
      <c r="F10211" s="75"/>
    </row>
    <row r="10212" spans="2:6">
      <c r="B10212" s="75"/>
      <c r="C10212" s="75"/>
      <c r="D10212" s="75"/>
      <c r="E10212" s="75"/>
      <c r="F10212" s="75"/>
    </row>
    <row r="10213" spans="2:6">
      <c r="B10213" s="75"/>
      <c r="C10213" s="75"/>
      <c r="D10213" s="75"/>
      <c r="E10213" s="75"/>
      <c r="F10213" s="75"/>
    </row>
    <row r="10214" spans="2:6">
      <c r="B10214" s="75"/>
      <c r="C10214" s="75"/>
      <c r="D10214" s="75"/>
      <c r="E10214" s="75"/>
      <c r="F10214" s="75"/>
    </row>
    <row r="10215" spans="2:6">
      <c r="B10215" s="75"/>
      <c r="C10215" s="75"/>
      <c r="D10215" s="75"/>
      <c r="E10215" s="75"/>
      <c r="F10215" s="75"/>
    </row>
    <row r="10216" spans="2:6">
      <c r="B10216" s="75"/>
      <c r="C10216" s="75"/>
      <c r="D10216" s="75"/>
      <c r="E10216" s="75"/>
      <c r="F10216" s="75"/>
    </row>
    <row r="10217" spans="2:6">
      <c r="B10217" s="75"/>
      <c r="C10217" s="75"/>
      <c r="D10217" s="75"/>
      <c r="E10217" s="75"/>
      <c r="F10217" s="75"/>
    </row>
    <row r="10218" spans="2:6">
      <c r="B10218" s="75"/>
      <c r="C10218" s="75"/>
      <c r="D10218" s="75"/>
      <c r="E10218" s="75"/>
      <c r="F10218" s="75"/>
    </row>
    <row r="10219" spans="2:6">
      <c r="B10219" s="75"/>
      <c r="C10219" s="75"/>
      <c r="D10219" s="75"/>
      <c r="E10219" s="75"/>
      <c r="F10219" s="75"/>
    </row>
    <row r="10220" spans="2:6">
      <c r="B10220" s="75"/>
      <c r="C10220" s="75"/>
      <c r="D10220" s="75"/>
      <c r="E10220" s="75"/>
      <c r="F10220" s="75"/>
    </row>
    <row r="10221" spans="2:6">
      <c r="B10221" s="75"/>
      <c r="C10221" s="75"/>
      <c r="D10221" s="75"/>
      <c r="E10221" s="75"/>
      <c r="F10221" s="75"/>
    </row>
    <row r="10222" spans="2:6">
      <c r="B10222" s="75"/>
      <c r="C10222" s="75"/>
      <c r="D10222" s="75"/>
      <c r="E10222" s="75"/>
      <c r="F10222" s="75"/>
    </row>
    <row r="10223" spans="2:6">
      <c r="B10223" s="75"/>
      <c r="C10223" s="75"/>
      <c r="D10223" s="75"/>
      <c r="E10223" s="75"/>
      <c r="F10223" s="75"/>
    </row>
    <row r="10224" spans="2:6">
      <c r="B10224" s="75"/>
      <c r="C10224" s="75"/>
      <c r="D10224" s="75"/>
      <c r="E10224" s="75"/>
      <c r="F10224" s="75"/>
    </row>
    <row r="10225" spans="2:6">
      <c r="B10225" s="75"/>
      <c r="C10225" s="75"/>
      <c r="D10225" s="75"/>
      <c r="E10225" s="75"/>
      <c r="F10225" s="75"/>
    </row>
    <row r="10226" spans="2:6">
      <c r="B10226" s="75"/>
      <c r="C10226" s="75"/>
      <c r="D10226" s="75"/>
      <c r="E10226" s="75"/>
      <c r="F10226" s="75"/>
    </row>
    <row r="10227" spans="2:6">
      <c r="B10227" s="75"/>
      <c r="C10227" s="75"/>
      <c r="D10227" s="75"/>
      <c r="E10227" s="75"/>
      <c r="F10227" s="75"/>
    </row>
    <row r="10228" spans="2:6">
      <c r="B10228" s="75"/>
      <c r="C10228" s="75"/>
      <c r="D10228" s="75"/>
      <c r="E10228" s="75"/>
      <c r="F10228" s="75"/>
    </row>
    <row r="10229" spans="2:6">
      <c r="B10229" s="75"/>
      <c r="C10229" s="75"/>
      <c r="D10229" s="75"/>
      <c r="E10229" s="75"/>
      <c r="F10229" s="75"/>
    </row>
    <row r="10230" spans="2:6">
      <c r="B10230" s="75"/>
      <c r="C10230" s="75"/>
      <c r="D10230" s="75"/>
      <c r="E10230" s="75"/>
      <c r="F10230" s="75"/>
    </row>
    <row r="10231" spans="2:6">
      <c r="B10231" s="75"/>
      <c r="C10231" s="75"/>
      <c r="D10231" s="75"/>
      <c r="E10231" s="75"/>
      <c r="F10231" s="75"/>
    </row>
    <row r="10232" spans="2:6">
      <c r="B10232" s="75"/>
      <c r="C10232" s="75"/>
      <c r="D10232" s="75"/>
      <c r="E10232" s="75"/>
      <c r="F10232" s="75"/>
    </row>
    <row r="10233" spans="2:6">
      <c r="B10233" s="75"/>
      <c r="C10233" s="75"/>
      <c r="D10233" s="75"/>
      <c r="E10233" s="75"/>
      <c r="F10233" s="75"/>
    </row>
    <row r="10234" spans="2:6">
      <c r="B10234" s="75"/>
      <c r="C10234" s="75"/>
      <c r="D10234" s="75"/>
      <c r="E10234" s="75"/>
      <c r="F10234" s="75"/>
    </row>
    <row r="10235" spans="2:6">
      <c r="B10235" s="75"/>
      <c r="C10235" s="75"/>
      <c r="D10235" s="75"/>
      <c r="E10235" s="75"/>
      <c r="F10235" s="75"/>
    </row>
    <row r="10236" spans="2:6">
      <c r="B10236" s="75"/>
      <c r="C10236" s="75"/>
      <c r="D10236" s="75"/>
      <c r="E10236" s="75"/>
      <c r="F10236" s="75"/>
    </row>
    <row r="10237" spans="2:6">
      <c r="B10237" s="75"/>
      <c r="C10237" s="75"/>
      <c r="D10237" s="75"/>
      <c r="E10237" s="75"/>
      <c r="F10237" s="75"/>
    </row>
    <row r="10238" spans="2:6">
      <c r="B10238" s="75"/>
      <c r="C10238" s="75"/>
      <c r="D10238" s="75"/>
      <c r="E10238" s="75"/>
      <c r="F10238" s="75"/>
    </row>
    <row r="10239" spans="2:6">
      <c r="B10239" s="75"/>
      <c r="C10239" s="75"/>
      <c r="D10239" s="75"/>
      <c r="E10239" s="75"/>
      <c r="F10239" s="75"/>
    </row>
    <row r="10240" spans="2:6">
      <c r="B10240" s="75"/>
      <c r="C10240" s="75"/>
      <c r="D10240" s="75"/>
      <c r="E10240" s="75"/>
      <c r="F10240" s="75"/>
    </row>
    <row r="10241" spans="2:6">
      <c r="B10241" s="75"/>
      <c r="C10241" s="75"/>
      <c r="D10241" s="75"/>
      <c r="E10241" s="75"/>
      <c r="F10241" s="75"/>
    </row>
    <row r="10242" spans="2:6">
      <c r="B10242" s="75"/>
      <c r="C10242" s="75"/>
      <c r="D10242" s="75"/>
      <c r="E10242" s="75"/>
      <c r="F10242" s="75"/>
    </row>
    <row r="10243" spans="2:6">
      <c r="B10243" s="75"/>
      <c r="C10243" s="75"/>
      <c r="D10243" s="75"/>
      <c r="E10243" s="75"/>
      <c r="F10243" s="75"/>
    </row>
    <row r="10244" spans="2:6">
      <c r="B10244" s="75"/>
      <c r="C10244" s="75"/>
      <c r="D10244" s="75"/>
      <c r="E10244" s="75"/>
      <c r="F10244" s="75"/>
    </row>
    <row r="10245" spans="2:6">
      <c r="B10245" s="75"/>
      <c r="C10245" s="75"/>
      <c r="D10245" s="75"/>
      <c r="E10245" s="75"/>
      <c r="F10245" s="75"/>
    </row>
    <row r="10246" spans="2:6">
      <c r="B10246" s="75"/>
      <c r="C10246" s="75"/>
      <c r="D10246" s="75"/>
      <c r="E10246" s="75"/>
      <c r="F10246" s="75"/>
    </row>
    <row r="10247" spans="2:6">
      <c r="B10247" s="75"/>
      <c r="C10247" s="75"/>
      <c r="D10247" s="75"/>
      <c r="E10247" s="75"/>
      <c r="F10247" s="75"/>
    </row>
    <row r="10248" spans="2:6">
      <c r="B10248" s="75"/>
      <c r="C10248" s="75"/>
      <c r="D10248" s="75"/>
      <c r="E10248" s="75"/>
      <c r="F10248" s="75"/>
    </row>
    <row r="10249" spans="2:6">
      <c r="B10249" s="75"/>
      <c r="C10249" s="75"/>
      <c r="D10249" s="75"/>
      <c r="E10249" s="75"/>
      <c r="F10249" s="75"/>
    </row>
    <row r="10250" spans="2:6">
      <c r="B10250" s="75"/>
      <c r="C10250" s="75"/>
      <c r="D10250" s="75"/>
      <c r="E10250" s="75"/>
      <c r="F10250" s="75"/>
    </row>
    <row r="10251" spans="2:6">
      <c r="B10251" s="75"/>
      <c r="C10251" s="75"/>
      <c r="D10251" s="75"/>
      <c r="E10251" s="75"/>
      <c r="F10251" s="75"/>
    </row>
    <row r="10252" spans="2:6">
      <c r="B10252" s="75"/>
      <c r="C10252" s="75"/>
      <c r="D10252" s="75"/>
      <c r="E10252" s="75"/>
      <c r="F10252" s="75"/>
    </row>
    <row r="10253" spans="2:6">
      <c r="B10253" s="75"/>
      <c r="C10253" s="75"/>
      <c r="D10253" s="75"/>
      <c r="E10253" s="75"/>
      <c r="F10253" s="75"/>
    </row>
    <row r="10254" spans="2:6">
      <c r="B10254" s="75"/>
      <c r="C10254" s="75"/>
      <c r="D10254" s="75"/>
      <c r="E10254" s="75"/>
      <c r="F10254" s="75"/>
    </row>
    <row r="10255" spans="2:6">
      <c r="B10255" s="75"/>
      <c r="C10255" s="75"/>
      <c r="D10255" s="75"/>
      <c r="E10255" s="75"/>
      <c r="F10255" s="75"/>
    </row>
    <row r="10256" spans="2:6">
      <c r="B10256" s="75"/>
      <c r="C10256" s="75"/>
      <c r="D10256" s="75"/>
      <c r="E10256" s="75"/>
      <c r="F10256" s="75"/>
    </row>
    <row r="10257" spans="2:6">
      <c r="B10257" s="75"/>
      <c r="C10257" s="75"/>
      <c r="D10257" s="75"/>
      <c r="E10257" s="75"/>
      <c r="F10257" s="75"/>
    </row>
    <row r="10258" spans="2:6">
      <c r="B10258" s="75"/>
      <c r="C10258" s="75"/>
      <c r="D10258" s="75"/>
      <c r="E10258" s="75"/>
      <c r="F10258" s="75"/>
    </row>
    <row r="10259" spans="2:6">
      <c r="B10259" s="75"/>
      <c r="C10259" s="75"/>
      <c r="D10259" s="75"/>
      <c r="E10259" s="75"/>
      <c r="F10259" s="75"/>
    </row>
    <row r="10260" spans="2:6">
      <c r="B10260" s="75"/>
      <c r="C10260" s="75"/>
      <c r="D10260" s="75"/>
      <c r="E10260" s="75"/>
      <c r="F10260" s="75"/>
    </row>
    <row r="10261" spans="2:6">
      <c r="B10261" s="75"/>
      <c r="C10261" s="75"/>
      <c r="D10261" s="75"/>
      <c r="E10261" s="75"/>
      <c r="F10261" s="75"/>
    </row>
    <row r="10262" spans="2:6">
      <c r="B10262" s="75"/>
      <c r="C10262" s="75"/>
      <c r="D10262" s="75"/>
      <c r="E10262" s="75"/>
      <c r="F10262" s="75"/>
    </row>
    <row r="10263" spans="2:6">
      <c r="B10263" s="75"/>
      <c r="C10263" s="75"/>
      <c r="D10263" s="75"/>
      <c r="E10263" s="75"/>
      <c r="F10263" s="75"/>
    </row>
    <row r="10264" spans="2:6">
      <c r="B10264" s="75"/>
      <c r="C10264" s="75"/>
      <c r="D10264" s="75"/>
      <c r="E10264" s="75"/>
      <c r="F10264" s="75"/>
    </row>
    <row r="10265" spans="2:6">
      <c r="B10265" s="75"/>
      <c r="C10265" s="75"/>
      <c r="D10265" s="75"/>
      <c r="E10265" s="75"/>
      <c r="F10265" s="75"/>
    </row>
    <row r="10266" spans="2:6">
      <c r="B10266" s="75"/>
      <c r="C10266" s="75"/>
      <c r="D10266" s="75"/>
      <c r="E10266" s="75"/>
      <c r="F10266" s="75"/>
    </row>
    <row r="10267" spans="2:6">
      <c r="B10267" s="75"/>
      <c r="C10267" s="75"/>
      <c r="D10267" s="75"/>
      <c r="E10267" s="75"/>
      <c r="F10267" s="75"/>
    </row>
    <row r="10268" spans="2:6">
      <c r="B10268" s="75"/>
      <c r="C10268" s="75"/>
      <c r="D10268" s="75"/>
      <c r="E10268" s="75"/>
      <c r="F10268" s="75"/>
    </row>
    <row r="10269" spans="2:6">
      <c r="B10269" s="75"/>
      <c r="C10269" s="75"/>
      <c r="D10269" s="75"/>
      <c r="E10269" s="75"/>
      <c r="F10269" s="75"/>
    </row>
    <row r="10270" spans="2:6">
      <c r="B10270" s="75"/>
      <c r="C10270" s="75"/>
      <c r="D10270" s="75"/>
      <c r="E10270" s="75"/>
      <c r="F10270" s="75"/>
    </row>
    <row r="10271" spans="2:6">
      <c r="B10271" s="75"/>
      <c r="C10271" s="75"/>
      <c r="D10271" s="75"/>
      <c r="E10271" s="75"/>
      <c r="F10271" s="75"/>
    </row>
    <row r="10272" spans="2:6">
      <c r="B10272" s="75"/>
      <c r="C10272" s="75"/>
      <c r="D10272" s="75"/>
      <c r="E10272" s="75"/>
      <c r="F10272" s="75"/>
    </row>
    <row r="10273" spans="2:6">
      <c r="B10273" s="75"/>
      <c r="C10273" s="75"/>
      <c r="D10273" s="75"/>
      <c r="E10273" s="75"/>
      <c r="F10273" s="75"/>
    </row>
    <row r="10274" spans="2:6">
      <c r="B10274" s="75"/>
      <c r="C10274" s="75"/>
      <c r="D10274" s="75"/>
      <c r="E10274" s="75"/>
      <c r="F10274" s="75"/>
    </row>
    <row r="10275" spans="2:6">
      <c r="B10275" s="75"/>
      <c r="C10275" s="75"/>
      <c r="D10275" s="75"/>
      <c r="E10275" s="75"/>
      <c r="F10275" s="75"/>
    </row>
    <row r="10276" spans="2:6">
      <c r="B10276" s="75"/>
      <c r="C10276" s="75"/>
      <c r="D10276" s="75"/>
      <c r="E10276" s="75"/>
      <c r="F10276" s="75"/>
    </row>
    <row r="10277" spans="2:6">
      <c r="B10277" s="75"/>
      <c r="C10277" s="75"/>
      <c r="D10277" s="75"/>
      <c r="E10277" s="75"/>
      <c r="F10277" s="75"/>
    </row>
    <row r="10278" spans="2:6">
      <c r="B10278" s="75"/>
      <c r="C10278" s="75"/>
      <c r="D10278" s="75"/>
      <c r="E10278" s="75"/>
      <c r="F10278" s="75"/>
    </row>
    <row r="10279" spans="2:6">
      <c r="B10279" s="75"/>
      <c r="C10279" s="75"/>
      <c r="D10279" s="75"/>
      <c r="E10279" s="75"/>
      <c r="F10279" s="75"/>
    </row>
    <row r="10280" spans="2:6">
      <c r="B10280" s="75"/>
      <c r="C10280" s="75"/>
      <c r="D10280" s="75"/>
      <c r="E10280" s="75"/>
      <c r="F10280" s="75"/>
    </row>
    <row r="10281" spans="2:6">
      <c r="B10281" s="75"/>
      <c r="C10281" s="75"/>
      <c r="D10281" s="75"/>
      <c r="E10281" s="75"/>
      <c r="F10281" s="75"/>
    </row>
    <row r="10282" spans="2:6">
      <c r="B10282" s="75"/>
      <c r="C10282" s="75"/>
      <c r="D10282" s="75"/>
      <c r="E10282" s="75"/>
      <c r="F10282" s="75"/>
    </row>
    <row r="10283" spans="2:6">
      <c r="B10283" s="75"/>
      <c r="C10283" s="75"/>
      <c r="D10283" s="75"/>
      <c r="E10283" s="75"/>
      <c r="F10283" s="75"/>
    </row>
    <row r="10284" spans="2:6">
      <c r="B10284" s="75"/>
      <c r="C10284" s="75"/>
      <c r="D10284" s="75"/>
      <c r="E10284" s="75"/>
      <c r="F10284" s="75"/>
    </row>
    <row r="10285" spans="2:6">
      <c r="B10285" s="75"/>
      <c r="C10285" s="75"/>
      <c r="D10285" s="75"/>
      <c r="E10285" s="75"/>
      <c r="F10285" s="75"/>
    </row>
    <row r="10286" spans="2:6">
      <c r="B10286" s="75"/>
      <c r="C10286" s="75"/>
      <c r="D10286" s="75"/>
      <c r="E10286" s="75"/>
      <c r="F10286" s="75"/>
    </row>
    <row r="10287" spans="2:6">
      <c r="B10287" s="75"/>
      <c r="C10287" s="75"/>
      <c r="D10287" s="75"/>
      <c r="E10287" s="75"/>
      <c r="F10287" s="75"/>
    </row>
    <row r="10288" spans="2:6">
      <c r="B10288" s="75"/>
      <c r="C10288" s="75"/>
      <c r="D10288" s="75"/>
      <c r="E10288" s="75"/>
      <c r="F10288" s="75"/>
    </row>
    <row r="10289" spans="2:6">
      <c r="B10289" s="75"/>
      <c r="C10289" s="75"/>
      <c r="D10289" s="75"/>
      <c r="E10289" s="75"/>
      <c r="F10289" s="75"/>
    </row>
    <row r="10290" spans="2:6">
      <c r="B10290" s="75"/>
      <c r="C10290" s="75"/>
      <c r="D10290" s="75"/>
      <c r="E10290" s="75"/>
      <c r="F10290" s="75"/>
    </row>
    <row r="10291" spans="2:6">
      <c r="B10291" s="75"/>
      <c r="C10291" s="75"/>
      <c r="D10291" s="75"/>
      <c r="E10291" s="75"/>
      <c r="F10291" s="75"/>
    </row>
    <row r="10292" spans="2:6">
      <c r="B10292" s="75"/>
      <c r="C10292" s="75"/>
      <c r="D10292" s="75"/>
      <c r="E10292" s="75"/>
      <c r="F10292" s="75"/>
    </row>
    <row r="10293" spans="2:6">
      <c r="B10293" s="75"/>
      <c r="C10293" s="75"/>
      <c r="D10293" s="75"/>
      <c r="E10293" s="75"/>
      <c r="F10293" s="75"/>
    </row>
    <row r="10294" spans="2:6">
      <c r="B10294" s="75"/>
      <c r="C10294" s="75"/>
      <c r="D10294" s="75"/>
      <c r="E10294" s="75"/>
      <c r="F10294" s="75"/>
    </row>
    <row r="10295" spans="2:6">
      <c r="B10295" s="75"/>
      <c r="C10295" s="75"/>
      <c r="D10295" s="75"/>
      <c r="E10295" s="75"/>
      <c r="F10295" s="75"/>
    </row>
    <row r="10296" spans="2:6">
      <c r="B10296" s="75"/>
      <c r="C10296" s="75"/>
      <c r="D10296" s="75"/>
      <c r="E10296" s="75"/>
      <c r="F10296" s="75"/>
    </row>
    <row r="10297" spans="2:6">
      <c r="B10297" s="75"/>
      <c r="C10297" s="75"/>
      <c r="D10297" s="75"/>
      <c r="E10297" s="75"/>
      <c r="F10297" s="75"/>
    </row>
    <row r="10298" spans="2:6">
      <c r="B10298" s="75"/>
      <c r="C10298" s="75"/>
      <c r="D10298" s="75"/>
      <c r="E10298" s="75"/>
      <c r="F10298" s="75"/>
    </row>
    <row r="10299" spans="2:6">
      <c r="B10299" s="75"/>
      <c r="C10299" s="75"/>
      <c r="D10299" s="75"/>
      <c r="E10299" s="75"/>
      <c r="F10299" s="75"/>
    </row>
    <row r="10300" spans="2:6">
      <c r="B10300" s="75"/>
      <c r="C10300" s="75"/>
      <c r="D10300" s="75"/>
      <c r="E10300" s="75"/>
      <c r="F10300" s="75"/>
    </row>
    <row r="10301" spans="2:6">
      <c r="B10301" s="75"/>
      <c r="C10301" s="75"/>
      <c r="D10301" s="75"/>
      <c r="E10301" s="75"/>
      <c r="F10301" s="75"/>
    </row>
    <row r="10302" spans="2:6">
      <c r="B10302" s="75"/>
      <c r="C10302" s="75"/>
      <c r="D10302" s="75"/>
      <c r="E10302" s="75"/>
      <c r="F10302" s="75"/>
    </row>
    <row r="10303" spans="2:6">
      <c r="B10303" s="75"/>
      <c r="C10303" s="75"/>
      <c r="D10303" s="75"/>
      <c r="E10303" s="75"/>
      <c r="F10303" s="75"/>
    </row>
    <row r="10304" spans="2:6">
      <c r="B10304" s="75"/>
      <c r="C10304" s="75"/>
      <c r="D10304" s="75"/>
      <c r="E10304" s="75"/>
      <c r="F10304" s="75"/>
    </row>
    <row r="10305" spans="2:6">
      <c r="B10305" s="75"/>
      <c r="C10305" s="75"/>
      <c r="D10305" s="75"/>
      <c r="E10305" s="75"/>
      <c r="F10305" s="75"/>
    </row>
    <row r="10306" spans="2:6">
      <c r="B10306" s="75"/>
      <c r="C10306" s="75"/>
      <c r="D10306" s="75"/>
      <c r="E10306" s="75"/>
      <c r="F10306" s="75"/>
    </row>
    <row r="10307" spans="2:6">
      <c r="B10307" s="75"/>
      <c r="C10307" s="75"/>
      <c r="D10307" s="75"/>
      <c r="E10307" s="75"/>
      <c r="F10307" s="75"/>
    </row>
    <row r="10308" spans="2:6">
      <c r="B10308" s="75"/>
      <c r="C10308" s="75"/>
      <c r="D10308" s="75"/>
      <c r="E10308" s="75"/>
      <c r="F10308" s="75"/>
    </row>
    <row r="10309" spans="2:6">
      <c r="B10309" s="75"/>
      <c r="C10309" s="75"/>
      <c r="D10309" s="75"/>
      <c r="E10309" s="75"/>
      <c r="F10309" s="75"/>
    </row>
    <row r="10310" spans="2:6">
      <c r="B10310" s="75"/>
      <c r="C10310" s="75"/>
      <c r="D10310" s="75"/>
      <c r="E10310" s="75"/>
      <c r="F10310" s="75"/>
    </row>
    <row r="10311" spans="2:6">
      <c r="B10311" s="75"/>
      <c r="C10311" s="75"/>
      <c r="D10311" s="75"/>
      <c r="E10311" s="75"/>
      <c r="F10311" s="75"/>
    </row>
    <row r="10312" spans="2:6">
      <c r="B10312" s="75"/>
      <c r="C10312" s="75"/>
      <c r="D10312" s="75"/>
      <c r="E10312" s="75"/>
      <c r="F10312" s="75"/>
    </row>
    <row r="10313" spans="2:6">
      <c r="B10313" s="75"/>
      <c r="C10313" s="75"/>
      <c r="D10313" s="75"/>
      <c r="E10313" s="75"/>
      <c r="F10313" s="75"/>
    </row>
    <row r="10314" spans="2:6">
      <c r="B10314" s="75"/>
      <c r="C10314" s="75"/>
      <c r="D10314" s="75"/>
      <c r="E10314" s="75"/>
      <c r="F10314" s="75"/>
    </row>
    <row r="10315" spans="2:6">
      <c r="B10315" s="75"/>
      <c r="C10315" s="75"/>
      <c r="D10315" s="75"/>
      <c r="E10315" s="75"/>
      <c r="F10315" s="75"/>
    </row>
    <row r="10316" spans="2:6">
      <c r="B10316" s="75"/>
      <c r="C10316" s="75"/>
      <c r="D10316" s="75"/>
      <c r="E10316" s="75"/>
      <c r="F10316" s="75"/>
    </row>
    <row r="10317" spans="2:6">
      <c r="B10317" s="75"/>
      <c r="C10317" s="75"/>
      <c r="D10317" s="75"/>
      <c r="E10317" s="75"/>
      <c r="F10317" s="75"/>
    </row>
    <row r="10318" spans="2:6">
      <c r="B10318" s="75"/>
      <c r="C10318" s="75"/>
      <c r="D10318" s="75"/>
      <c r="E10318" s="75"/>
      <c r="F10318" s="75"/>
    </row>
    <row r="10319" spans="2:6">
      <c r="B10319" s="75"/>
      <c r="C10319" s="75"/>
      <c r="D10319" s="75"/>
      <c r="E10319" s="75"/>
      <c r="F10319" s="75"/>
    </row>
    <row r="10320" spans="2:6">
      <c r="B10320" s="75"/>
      <c r="C10320" s="75"/>
      <c r="D10320" s="75"/>
      <c r="E10320" s="75"/>
      <c r="F10320" s="75"/>
    </row>
    <row r="10321" spans="2:6">
      <c r="B10321" s="75"/>
      <c r="C10321" s="75"/>
      <c r="D10321" s="75"/>
      <c r="E10321" s="75"/>
      <c r="F10321" s="75"/>
    </row>
    <row r="10322" spans="2:6">
      <c r="B10322" s="75"/>
      <c r="C10322" s="75"/>
      <c r="D10322" s="75"/>
      <c r="E10322" s="75"/>
      <c r="F10322" s="75"/>
    </row>
    <row r="10323" spans="2:6">
      <c r="B10323" s="75"/>
      <c r="C10323" s="75"/>
      <c r="D10323" s="75"/>
      <c r="E10323" s="75"/>
      <c r="F10323" s="75"/>
    </row>
    <row r="10324" spans="2:6">
      <c r="B10324" s="75"/>
      <c r="C10324" s="75"/>
      <c r="D10324" s="75"/>
      <c r="E10324" s="75"/>
      <c r="F10324" s="75"/>
    </row>
    <row r="10325" spans="2:6">
      <c r="B10325" s="75"/>
      <c r="C10325" s="75"/>
      <c r="D10325" s="75"/>
      <c r="E10325" s="75"/>
      <c r="F10325" s="75"/>
    </row>
    <row r="10326" spans="2:6">
      <c r="B10326" s="75"/>
      <c r="C10326" s="75"/>
      <c r="D10326" s="75"/>
      <c r="E10326" s="75"/>
      <c r="F10326" s="75"/>
    </row>
    <row r="10327" spans="2:6">
      <c r="B10327" s="75"/>
      <c r="C10327" s="75"/>
      <c r="D10327" s="75"/>
      <c r="E10327" s="75"/>
      <c r="F10327" s="75"/>
    </row>
    <row r="10328" spans="2:6">
      <c r="B10328" s="75"/>
      <c r="C10328" s="75"/>
      <c r="D10328" s="75"/>
      <c r="E10328" s="75"/>
      <c r="F10328" s="75"/>
    </row>
    <row r="10329" spans="2:6">
      <c r="B10329" s="75"/>
      <c r="C10329" s="75"/>
      <c r="D10329" s="75"/>
      <c r="E10329" s="75"/>
      <c r="F10329" s="75"/>
    </row>
    <row r="10330" spans="2:6">
      <c r="B10330" s="75"/>
      <c r="C10330" s="75"/>
      <c r="D10330" s="75"/>
      <c r="E10330" s="75"/>
      <c r="F10330" s="75"/>
    </row>
    <row r="10331" spans="2:6">
      <c r="B10331" s="75"/>
      <c r="C10331" s="75"/>
      <c r="D10331" s="75"/>
      <c r="E10331" s="75"/>
      <c r="F10331" s="75"/>
    </row>
    <row r="10332" spans="2:6">
      <c r="B10332" s="75"/>
      <c r="C10332" s="75"/>
      <c r="D10332" s="75"/>
      <c r="E10332" s="75"/>
      <c r="F10332" s="75"/>
    </row>
    <row r="10333" spans="2:6">
      <c r="B10333" s="75"/>
      <c r="C10333" s="75"/>
      <c r="D10333" s="75"/>
      <c r="E10333" s="75"/>
      <c r="F10333" s="75"/>
    </row>
    <row r="10334" spans="2:6">
      <c r="B10334" s="75"/>
      <c r="C10334" s="75"/>
      <c r="D10334" s="75"/>
      <c r="E10334" s="75"/>
      <c r="F10334" s="75"/>
    </row>
    <row r="10335" spans="2:6">
      <c r="B10335" s="75"/>
      <c r="C10335" s="75"/>
      <c r="D10335" s="75"/>
      <c r="E10335" s="75"/>
      <c r="F10335" s="75"/>
    </row>
    <row r="10336" spans="2:6">
      <c r="B10336" s="75"/>
      <c r="C10336" s="75"/>
      <c r="D10336" s="75"/>
      <c r="E10336" s="75"/>
      <c r="F10336" s="75"/>
    </row>
    <row r="10337" spans="2:6">
      <c r="B10337" s="75"/>
      <c r="C10337" s="75"/>
      <c r="D10337" s="75"/>
      <c r="E10337" s="75"/>
      <c r="F10337" s="75"/>
    </row>
    <row r="10338" spans="2:6">
      <c r="B10338" s="75"/>
      <c r="C10338" s="75"/>
      <c r="D10338" s="75"/>
      <c r="E10338" s="75"/>
      <c r="F10338" s="75"/>
    </row>
    <row r="10339" spans="2:6">
      <c r="B10339" s="75"/>
      <c r="C10339" s="75"/>
      <c r="D10339" s="75"/>
      <c r="E10339" s="75"/>
      <c r="F10339" s="75"/>
    </row>
    <row r="10340" spans="2:6">
      <c r="B10340" s="75"/>
      <c r="C10340" s="75"/>
      <c r="D10340" s="75"/>
      <c r="E10340" s="75"/>
      <c r="F10340" s="75"/>
    </row>
    <row r="10341" spans="2:6">
      <c r="B10341" s="75"/>
      <c r="C10341" s="75"/>
      <c r="D10341" s="75"/>
      <c r="E10341" s="75"/>
      <c r="F10341" s="75"/>
    </row>
    <row r="10342" spans="2:6">
      <c r="B10342" s="75"/>
      <c r="C10342" s="75"/>
      <c r="D10342" s="75"/>
      <c r="E10342" s="75"/>
      <c r="F10342" s="75"/>
    </row>
    <row r="10343" spans="2:6">
      <c r="B10343" s="75"/>
      <c r="C10343" s="75"/>
      <c r="D10343" s="75"/>
      <c r="E10343" s="75"/>
      <c r="F10343" s="75"/>
    </row>
    <row r="10344" spans="2:6">
      <c r="B10344" s="75"/>
      <c r="C10344" s="75"/>
      <c r="D10344" s="75"/>
      <c r="E10344" s="75"/>
      <c r="F10344" s="75"/>
    </row>
    <row r="10345" spans="2:6">
      <c r="B10345" s="75"/>
      <c r="C10345" s="75"/>
      <c r="D10345" s="75"/>
      <c r="E10345" s="75"/>
      <c r="F10345" s="75"/>
    </row>
    <row r="10346" spans="2:6">
      <c r="B10346" s="75"/>
      <c r="C10346" s="75"/>
      <c r="D10346" s="75"/>
      <c r="E10346" s="75"/>
      <c r="F10346" s="75"/>
    </row>
    <row r="10347" spans="2:6">
      <c r="B10347" s="75"/>
      <c r="C10347" s="75"/>
      <c r="D10347" s="75"/>
      <c r="E10347" s="75"/>
      <c r="F10347" s="75"/>
    </row>
    <row r="10348" spans="2:6">
      <c r="B10348" s="75"/>
      <c r="C10348" s="75"/>
      <c r="D10348" s="75"/>
      <c r="E10348" s="75"/>
      <c r="F10348" s="75"/>
    </row>
    <row r="10349" spans="2:6">
      <c r="B10349" s="75"/>
      <c r="C10349" s="75"/>
      <c r="D10349" s="75"/>
      <c r="E10349" s="75"/>
      <c r="F10349" s="75"/>
    </row>
    <row r="10350" spans="2:6">
      <c r="B10350" s="75"/>
      <c r="C10350" s="75"/>
      <c r="D10350" s="75"/>
      <c r="E10350" s="75"/>
      <c r="F10350" s="75"/>
    </row>
    <row r="10351" spans="2:6">
      <c r="B10351" s="75"/>
      <c r="C10351" s="75"/>
      <c r="D10351" s="75"/>
      <c r="E10351" s="75"/>
      <c r="F10351" s="75"/>
    </row>
    <row r="10352" spans="2:6">
      <c r="B10352" s="75"/>
      <c r="C10352" s="75"/>
      <c r="D10352" s="75"/>
      <c r="E10352" s="75"/>
      <c r="F10352" s="75"/>
    </row>
    <row r="10353" spans="2:6">
      <c r="B10353" s="75"/>
      <c r="C10353" s="75"/>
      <c r="D10353" s="75"/>
      <c r="E10353" s="75"/>
      <c r="F10353" s="75"/>
    </row>
    <row r="10354" spans="2:6">
      <c r="B10354" s="75"/>
      <c r="C10354" s="75"/>
      <c r="D10354" s="75"/>
      <c r="E10354" s="75"/>
      <c r="F10354" s="75"/>
    </row>
    <row r="10355" spans="2:6">
      <c r="B10355" s="75"/>
      <c r="C10355" s="75"/>
      <c r="D10355" s="75"/>
      <c r="E10355" s="75"/>
      <c r="F10355" s="75"/>
    </row>
    <row r="10356" spans="2:6">
      <c r="B10356" s="75"/>
      <c r="C10356" s="75"/>
      <c r="D10356" s="75"/>
      <c r="E10356" s="75"/>
      <c r="F10356" s="75"/>
    </row>
    <row r="10357" spans="2:6">
      <c r="B10357" s="75"/>
      <c r="C10357" s="75"/>
      <c r="D10357" s="75"/>
      <c r="E10357" s="75"/>
      <c r="F10357" s="75"/>
    </row>
    <row r="10358" spans="2:6">
      <c r="B10358" s="75"/>
      <c r="C10358" s="75"/>
      <c r="D10358" s="75"/>
      <c r="E10358" s="75"/>
      <c r="F10358" s="75"/>
    </row>
    <row r="10359" spans="2:6">
      <c r="B10359" s="75"/>
      <c r="C10359" s="75"/>
      <c r="D10359" s="75"/>
      <c r="E10359" s="75"/>
      <c r="F10359" s="75"/>
    </row>
    <row r="10360" spans="2:6">
      <c r="B10360" s="75"/>
      <c r="C10360" s="75"/>
      <c r="D10360" s="75"/>
      <c r="E10360" s="75"/>
      <c r="F10360" s="75"/>
    </row>
    <row r="10361" spans="2:6">
      <c r="B10361" s="75"/>
      <c r="C10361" s="75"/>
      <c r="D10361" s="75"/>
      <c r="E10361" s="75"/>
      <c r="F10361" s="75"/>
    </row>
    <row r="10362" spans="2:6">
      <c r="B10362" s="75"/>
      <c r="C10362" s="75"/>
      <c r="D10362" s="75"/>
      <c r="E10362" s="75"/>
      <c r="F10362" s="75"/>
    </row>
    <row r="10363" spans="2:6">
      <c r="B10363" s="75"/>
      <c r="C10363" s="75"/>
      <c r="D10363" s="75"/>
      <c r="E10363" s="75"/>
      <c r="F10363" s="75"/>
    </row>
    <row r="10364" spans="2:6">
      <c r="B10364" s="75"/>
      <c r="C10364" s="75"/>
      <c r="D10364" s="75"/>
      <c r="E10364" s="75"/>
      <c r="F10364" s="75"/>
    </row>
    <row r="10365" spans="2:6">
      <c r="B10365" s="75"/>
      <c r="C10365" s="75"/>
      <c r="D10365" s="75"/>
      <c r="E10365" s="75"/>
      <c r="F10365" s="75"/>
    </row>
    <row r="10366" spans="2:6">
      <c r="B10366" s="75"/>
      <c r="C10366" s="75"/>
      <c r="D10366" s="75"/>
      <c r="E10366" s="75"/>
      <c r="F10366" s="75"/>
    </row>
    <row r="10367" spans="2:6">
      <c r="B10367" s="75"/>
      <c r="C10367" s="75"/>
      <c r="D10367" s="75"/>
      <c r="E10367" s="75"/>
      <c r="F10367" s="75"/>
    </row>
    <row r="10368" spans="2:6">
      <c r="B10368" s="75"/>
      <c r="C10368" s="75"/>
      <c r="D10368" s="75"/>
      <c r="E10368" s="75"/>
      <c r="F10368" s="75"/>
    </row>
    <row r="10369" spans="2:6">
      <c r="B10369" s="75"/>
      <c r="C10369" s="75"/>
      <c r="D10369" s="75"/>
      <c r="E10369" s="75"/>
      <c r="F10369" s="75"/>
    </row>
    <row r="10370" spans="2:6">
      <c r="B10370" s="75"/>
      <c r="C10370" s="75"/>
      <c r="D10370" s="75"/>
      <c r="E10370" s="75"/>
      <c r="F10370" s="75"/>
    </row>
    <row r="10371" spans="2:6">
      <c r="B10371" s="75"/>
      <c r="C10371" s="75"/>
      <c r="D10371" s="75"/>
      <c r="E10371" s="75"/>
      <c r="F10371" s="75"/>
    </row>
    <row r="10372" spans="2:6">
      <c r="B10372" s="75"/>
      <c r="C10372" s="75"/>
      <c r="D10372" s="75"/>
      <c r="E10372" s="75"/>
      <c r="F10372" s="75"/>
    </row>
    <row r="10373" spans="2:6">
      <c r="B10373" s="75"/>
      <c r="C10373" s="75"/>
      <c r="D10373" s="75"/>
      <c r="E10373" s="75"/>
      <c r="F10373" s="75"/>
    </row>
    <row r="10374" spans="2:6">
      <c r="B10374" s="75"/>
      <c r="C10374" s="75"/>
      <c r="D10374" s="75"/>
      <c r="E10374" s="75"/>
      <c r="F10374" s="75"/>
    </row>
    <row r="10375" spans="2:6">
      <c r="B10375" s="75"/>
      <c r="C10375" s="75"/>
      <c r="D10375" s="75"/>
      <c r="E10375" s="75"/>
      <c r="F10375" s="75"/>
    </row>
    <row r="10376" spans="2:6">
      <c r="B10376" s="75"/>
      <c r="C10376" s="75"/>
      <c r="D10376" s="75"/>
      <c r="E10376" s="75"/>
      <c r="F10376" s="75"/>
    </row>
    <row r="10377" spans="2:6">
      <c r="B10377" s="75"/>
      <c r="C10377" s="75"/>
      <c r="D10377" s="75"/>
      <c r="E10377" s="75"/>
      <c r="F10377" s="75"/>
    </row>
    <row r="10378" spans="2:6">
      <c r="B10378" s="75"/>
      <c r="C10378" s="75"/>
      <c r="D10378" s="75"/>
      <c r="E10378" s="75"/>
      <c r="F10378" s="75"/>
    </row>
    <row r="10379" spans="2:6">
      <c r="B10379" s="75"/>
      <c r="C10379" s="75"/>
      <c r="D10379" s="75"/>
      <c r="E10379" s="75"/>
      <c r="F10379" s="75"/>
    </row>
    <row r="10380" spans="2:6">
      <c r="B10380" s="75"/>
      <c r="C10380" s="75"/>
      <c r="D10380" s="75"/>
      <c r="E10380" s="75"/>
      <c r="F10380" s="75"/>
    </row>
    <row r="10381" spans="2:6">
      <c r="B10381" s="75"/>
      <c r="C10381" s="75"/>
      <c r="D10381" s="75"/>
      <c r="E10381" s="75"/>
      <c r="F10381" s="75"/>
    </row>
    <row r="10382" spans="2:6">
      <c r="B10382" s="75"/>
      <c r="C10382" s="75"/>
      <c r="D10382" s="75"/>
      <c r="E10382" s="75"/>
      <c r="F10382" s="75"/>
    </row>
    <row r="10383" spans="2:6">
      <c r="B10383" s="75"/>
      <c r="C10383" s="75"/>
      <c r="D10383" s="75"/>
      <c r="E10383" s="75"/>
      <c r="F10383" s="75"/>
    </row>
    <row r="10384" spans="2:6">
      <c r="B10384" s="75"/>
      <c r="C10384" s="75"/>
      <c r="D10384" s="75"/>
      <c r="E10384" s="75"/>
      <c r="F10384" s="75"/>
    </row>
    <row r="10385" spans="2:6">
      <c r="B10385" s="75"/>
      <c r="C10385" s="75"/>
      <c r="D10385" s="75"/>
      <c r="E10385" s="75"/>
      <c r="F10385" s="75"/>
    </row>
    <row r="10386" spans="2:6">
      <c r="B10386" s="75"/>
      <c r="C10386" s="75"/>
      <c r="D10386" s="75"/>
      <c r="E10386" s="75"/>
      <c r="F10386" s="75"/>
    </row>
    <row r="10387" spans="2:6">
      <c r="B10387" s="75"/>
      <c r="C10387" s="75"/>
      <c r="D10387" s="75"/>
      <c r="E10387" s="75"/>
      <c r="F10387" s="75"/>
    </row>
    <row r="10388" spans="2:6">
      <c r="B10388" s="75"/>
      <c r="C10388" s="75"/>
      <c r="D10388" s="75"/>
      <c r="E10388" s="75"/>
      <c r="F10388" s="75"/>
    </row>
    <row r="10389" spans="2:6">
      <c r="B10389" s="75"/>
      <c r="C10389" s="75"/>
      <c r="D10389" s="75"/>
      <c r="E10389" s="75"/>
      <c r="F10389" s="75"/>
    </row>
    <row r="10390" spans="2:6">
      <c r="B10390" s="75"/>
      <c r="C10390" s="75"/>
      <c r="D10390" s="75"/>
      <c r="E10390" s="75"/>
      <c r="F10390" s="75"/>
    </row>
    <row r="10391" spans="2:6">
      <c r="B10391" s="75"/>
      <c r="C10391" s="75"/>
      <c r="D10391" s="75"/>
      <c r="E10391" s="75"/>
      <c r="F10391" s="75"/>
    </row>
    <row r="10392" spans="2:6">
      <c r="B10392" s="75"/>
      <c r="C10392" s="75"/>
      <c r="D10392" s="75"/>
      <c r="E10392" s="75"/>
      <c r="F10392" s="75"/>
    </row>
    <row r="10393" spans="2:6">
      <c r="B10393" s="75"/>
      <c r="C10393" s="75"/>
      <c r="D10393" s="75"/>
      <c r="E10393" s="75"/>
      <c r="F10393" s="75"/>
    </row>
    <row r="10394" spans="2:6">
      <c r="B10394" s="75"/>
      <c r="C10394" s="75"/>
      <c r="D10394" s="75"/>
      <c r="E10394" s="75"/>
      <c r="F10394" s="75"/>
    </row>
    <row r="10395" spans="2:6">
      <c r="B10395" s="75"/>
      <c r="C10395" s="75"/>
      <c r="D10395" s="75"/>
      <c r="E10395" s="75"/>
      <c r="F10395" s="75"/>
    </row>
    <row r="10396" spans="2:6">
      <c r="B10396" s="75"/>
      <c r="C10396" s="75"/>
      <c r="D10396" s="75"/>
      <c r="E10396" s="75"/>
      <c r="F10396" s="75"/>
    </row>
    <row r="10397" spans="2:6">
      <c r="B10397" s="75"/>
      <c r="C10397" s="75"/>
      <c r="D10397" s="75"/>
      <c r="E10397" s="75"/>
      <c r="F10397" s="75"/>
    </row>
    <row r="10398" spans="2:6">
      <c r="B10398" s="75"/>
      <c r="C10398" s="75"/>
      <c r="D10398" s="75"/>
      <c r="E10398" s="75"/>
      <c r="F10398" s="75"/>
    </row>
    <row r="10399" spans="2:6">
      <c r="B10399" s="75"/>
      <c r="C10399" s="75"/>
      <c r="D10399" s="75"/>
      <c r="E10399" s="75"/>
      <c r="F10399" s="75"/>
    </row>
    <row r="10400" spans="2:6">
      <c r="B10400" s="75"/>
      <c r="C10400" s="75"/>
      <c r="D10400" s="75"/>
      <c r="E10400" s="75"/>
      <c r="F10400" s="75"/>
    </row>
    <row r="10401" spans="2:6">
      <c r="B10401" s="75"/>
      <c r="C10401" s="75"/>
      <c r="D10401" s="75"/>
      <c r="E10401" s="75"/>
      <c r="F10401" s="75"/>
    </row>
    <row r="10402" spans="2:6">
      <c r="B10402" s="75"/>
      <c r="C10402" s="75"/>
      <c r="D10402" s="75"/>
      <c r="E10402" s="75"/>
      <c r="F10402" s="75"/>
    </row>
    <row r="10403" spans="2:6">
      <c r="B10403" s="75"/>
      <c r="C10403" s="75"/>
      <c r="D10403" s="75"/>
      <c r="E10403" s="75"/>
      <c r="F10403" s="75"/>
    </row>
    <row r="10404" spans="2:6">
      <c r="B10404" s="75"/>
      <c r="C10404" s="75"/>
      <c r="D10404" s="75"/>
      <c r="E10404" s="75"/>
      <c r="F10404" s="75"/>
    </row>
    <row r="10405" spans="2:6">
      <c r="B10405" s="75"/>
      <c r="C10405" s="75"/>
      <c r="D10405" s="75"/>
      <c r="E10405" s="75"/>
      <c r="F10405" s="75"/>
    </row>
    <row r="10406" spans="2:6">
      <c r="B10406" s="75"/>
      <c r="C10406" s="75"/>
      <c r="D10406" s="75"/>
      <c r="E10406" s="75"/>
      <c r="F10406" s="75"/>
    </row>
    <row r="10407" spans="2:6">
      <c r="B10407" s="75"/>
      <c r="C10407" s="75"/>
      <c r="D10407" s="75"/>
      <c r="E10407" s="75"/>
      <c r="F10407" s="75"/>
    </row>
    <row r="10408" spans="2:6">
      <c r="B10408" s="75"/>
      <c r="C10408" s="75"/>
      <c r="D10408" s="75"/>
      <c r="E10408" s="75"/>
      <c r="F10408" s="75"/>
    </row>
    <row r="10409" spans="2:6">
      <c r="B10409" s="75"/>
      <c r="C10409" s="75"/>
      <c r="D10409" s="75"/>
      <c r="E10409" s="75"/>
      <c r="F10409" s="75"/>
    </row>
    <row r="10410" spans="2:6">
      <c r="B10410" s="75"/>
      <c r="C10410" s="75"/>
      <c r="D10410" s="75"/>
      <c r="E10410" s="75"/>
      <c r="F10410" s="75"/>
    </row>
    <row r="10411" spans="2:6">
      <c r="B10411" s="75"/>
      <c r="C10411" s="75"/>
      <c r="D10411" s="75"/>
      <c r="E10411" s="75"/>
      <c r="F10411" s="75"/>
    </row>
    <row r="10412" spans="2:6">
      <c r="B10412" s="75"/>
      <c r="C10412" s="75"/>
      <c r="D10412" s="75"/>
      <c r="E10412" s="75"/>
      <c r="F10412" s="75"/>
    </row>
    <row r="10413" spans="2:6">
      <c r="B10413" s="75"/>
      <c r="C10413" s="75"/>
      <c r="D10413" s="75"/>
      <c r="E10413" s="75"/>
      <c r="F10413" s="75"/>
    </row>
    <row r="10414" spans="2:6">
      <c r="B10414" s="75"/>
      <c r="C10414" s="75"/>
      <c r="D10414" s="75"/>
      <c r="E10414" s="75"/>
      <c r="F10414" s="75"/>
    </row>
    <row r="10415" spans="2:6">
      <c r="B10415" s="75"/>
      <c r="C10415" s="75"/>
      <c r="D10415" s="75"/>
      <c r="E10415" s="75"/>
      <c r="F10415" s="75"/>
    </row>
    <row r="10416" spans="2:6">
      <c r="B10416" s="75"/>
      <c r="C10416" s="75"/>
      <c r="D10416" s="75"/>
      <c r="E10416" s="75"/>
      <c r="F10416" s="75"/>
    </row>
    <row r="10417" spans="2:6">
      <c r="B10417" s="75"/>
      <c r="C10417" s="75"/>
      <c r="D10417" s="75"/>
      <c r="E10417" s="75"/>
      <c r="F10417" s="75"/>
    </row>
    <row r="10418" spans="2:6">
      <c r="B10418" s="75"/>
      <c r="C10418" s="75"/>
      <c r="D10418" s="75"/>
      <c r="E10418" s="75"/>
      <c r="F10418" s="75"/>
    </row>
    <row r="10419" spans="2:6">
      <c r="B10419" s="75"/>
      <c r="C10419" s="75"/>
      <c r="D10419" s="75"/>
      <c r="E10419" s="75"/>
      <c r="F10419" s="75"/>
    </row>
    <row r="10420" spans="2:6">
      <c r="B10420" s="75"/>
      <c r="C10420" s="75"/>
      <c r="D10420" s="75"/>
      <c r="E10420" s="75"/>
      <c r="F10420" s="75"/>
    </row>
    <row r="10421" spans="2:6">
      <c r="B10421" s="75"/>
      <c r="C10421" s="75"/>
      <c r="D10421" s="75"/>
      <c r="E10421" s="75"/>
      <c r="F10421" s="75"/>
    </row>
    <row r="10422" spans="2:6">
      <c r="B10422" s="75"/>
      <c r="C10422" s="75"/>
      <c r="D10422" s="75"/>
      <c r="E10422" s="75"/>
      <c r="F10422" s="75"/>
    </row>
    <row r="10423" spans="2:6">
      <c r="B10423" s="75"/>
      <c r="C10423" s="75"/>
      <c r="D10423" s="75"/>
      <c r="E10423" s="75"/>
      <c r="F10423" s="75"/>
    </row>
    <row r="10424" spans="2:6">
      <c r="B10424" s="75"/>
      <c r="C10424" s="75"/>
      <c r="D10424" s="75"/>
      <c r="E10424" s="75"/>
      <c r="F10424" s="75"/>
    </row>
    <row r="10425" spans="2:6">
      <c r="B10425" s="75"/>
      <c r="C10425" s="75"/>
      <c r="D10425" s="75"/>
      <c r="E10425" s="75"/>
      <c r="F10425" s="75"/>
    </row>
    <row r="10426" spans="2:6">
      <c r="B10426" s="75"/>
      <c r="C10426" s="75"/>
      <c r="D10426" s="75"/>
      <c r="E10426" s="75"/>
      <c r="F10426" s="75"/>
    </row>
    <row r="10427" spans="2:6">
      <c r="B10427" s="75"/>
      <c r="C10427" s="75"/>
      <c r="D10427" s="75"/>
      <c r="E10427" s="75"/>
      <c r="F10427" s="75"/>
    </row>
    <row r="10428" spans="2:6">
      <c r="B10428" s="75"/>
      <c r="C10428" s="75"/>
      <c r="D10428" s="75"/>
      <c r="E10428" s="75"/>
      <c r="F10428" s="75"/>
    </row>
    <row r="10429" spans="2:6">
      <c r="B10429" s="75"/>
      <c r="C10429" s="75"/>
      <c r="D10429" s="75"/>
      <c r="E10429" s="75"/>
      <c r="F10429" s="75"/>
    </row>
    <row r="10430" spans="2:6">
      <c r="B10430" s="75"/>
      <c r="C10430" s="75"/>
      <c r="D10430" s="75"/>
      <c r="E10430" s="75"/>
      <c r="F10430" s="75"/>
    </row>
    <row r="10431" spans="2:6">
      <c r="B10431" s="75"/>
      <c r="C10431" s="75"/>
      <c r="D10431" s="75"/>
      <c r="E10431" s="75"/>
      <c r="F10431" s="75"/>
    </row>
    <row r="10432" spans="2:6">
      <c r="B10432" s="75"/>
      <c r="C10432" s="75"/>
      <c r="D10432" s="75"/>
      <c r="E10432" s="75"/>
      <c r="F10432" s="75"/>
    </row>
    <row r="10433" spans="2:6">
      <c r="B10433" s="75"/>
      <c r="C10433" s="75"/>
      <c r="D10433" s="75"/>
      <c r="E10433" s="75"/>
      <c r="F10433" s="75"/>
    </row>
    <row r="10434" spans="2:6">
      <c r="B10434" s="75"/>
      <c r="C10434" s="75"/>
      <c r="D10434" s="75"/>
      <c r="E10434" s="75"/>
      <c r="F10434" s="75"/>
    </row>
    <row r="10435" spans="2:6">
      <c r="B10435" s="75"/>
      <c r="C10435" s="75"/>
      <c r="D10435" s="75"/>
      <c r="E10435" s="75"/>
      <c r="F10435" s="75"/>
    </row>
    <row r="10436" spans="2:6">
      <c r="B10436" s="75"/>
      <c r="C10436" s="75"/>
      <c r="D10436" s="75"/>
      <c r="E10436" s="75"/>
      <c r="F10436" s="75"/>
    </row>
    <row r="10437" spans="2:6">
      <c r="B10437" s="75"/>
      <c r="C10437" s="75"/>
      <c r="D10437" s="75"/>
      <c r="E10437" s="75"/>
      <c r="F10437" s="75"/>
    </row>
    <row r="10438" spans="2:6">
      <c r="B10438" s="75"/>
      <c r="C10438" s="75"/>
      <c r="D10438" s="75"/>
      <c r="E10438" s="75"/>
      <c r="F10438" s="75"/>
    </row>
    <row r="10439" spans="2:6">
      <c r="B10439" s="75"/>
      <c r="C10439" s="75"/>
      <c r="D10439" s="75"/>
      <c r="E10439" s="75"/>
      <c r="F10439" s="75"/>
    </row>
    <row r="10440" spans="2:6">
      <c r="B10440" s="75"/>
      <c r="C10440" s="75"/>
      <c r="D10440" s="75"/>
      <c r="E10440" s="75"/>
      <c r="F10440" s="75"/>
    </row>
    <row r="10441" spans="2:6">
      <c r="B10441" s="75"/>
      <c r="C10441" s="75"/>
      <c r="D10441" s="75"/>
      <c r="E10441" s="75"/>
      <c r="F10441" s="75"/>
    </row>
    <row r="10442" spans="2:6">
      <c r="B10442" s="75"/>
      <c r="C10442" s="75"/>
      <c r="D10442" s="75"/>
      <c r="E10442" s="75"/>
      <c r="F10442" s="75"/>
    </row>
    <row r="10443" spans="2:6">
      <c r="B10443" s="75"/>
      <c r="C10443" s="75"/>
      <c r="D10443" s="75"/>
      <c r="E10443" s="75"/>
      <c r="F10443" s="75"/>
    </row>
    <row r="10444" spans="2:6">
      <c r="B10444" s="75"/>
      <c r="C10444" s="75"/>
      <c r="D10444" s="75"/>
      <c r="E10444" s="75"/>
      <c r="F10444" s="75"/>
    </row>
    <row r="10445" spans="2:6">
      <c r="B10445" s="75"/>
      <c r="C10445" s="75"/>
      <c r="D10445" s="75"/>
      <c r="E10445" s="75"/>
      <c r="F10445" s="75"/>
    </row>
    <row r="10446" spans="2:6">
      <c r="B10446" s="75"/>
      <c r="C10446" s="75"/>
      <c r="D10446" s="75"/>
      <c r="E10446" s="75"/>
      <c r="F10446" s="75"/>
    </row>
    <row r="10447" spans="2:6">
      <c r="B10447" s="75"/>
      <c r="C10447" s="75"/>
      <c r="D10447" s="75"/>
      <c r="E10447" s="75"/>
      <c r="F10447" s="75"/>
    </row>
    <row r="10448" spans="2:6">
      <c r="B10448" s="75"/>
      <c r="C10448" s="75"/>
      <c r="D10448" s="75"/>
      <c r="E10448" s="75"/>
      <c r="F10448" s="75"/>
    </row>
    <row r="10449" spans="2:6">
      <c r="B10449" s="75"/>
      <c r="C10449" s="75"/>
      <c r="D10449" s="75"/>
      <c r="E10449" s="75"/>
      <c r="F10449" s="75"/>
    </row>
    <row r="10450" spans="2:6">
      <c r="B10450" s="75"/>
      <c r="C10450" s="75"/>
      <c r="D10450" s="75"/>
      <c r="E10450" s="75"/>
      <c r="F10450" s="75"/>
    </row>
    <row r="10451" spans="2:6">
      <c r="B10451" s="75"/>
      <c r="C10451" s="75"/>
      <c r="D10451" s="75"/>
      <c r="E10451" s="75"/>
      <c r="F10451" s="75"/>
    </row>
    <row r="10452" spans="2:6">
      <c r="B10452" s="75"/>
      <c r="C10452" s="75"/>
      <c r="D10452" s="75"/>
      <c r="E10452" s="75"/>
      <c r="F10452" s="75"/>
    </row>
    <row r="10453" spans="2:6">
      <c r="B10453" s="75"/>
      <c r="C10453" s="75"/>
      <c r="D10453" s="75"/>
      <c r="E10453" s="75"/>
      <c r="F10453" s="75"/>
    </row>
    <row r="10454" spans="2:6">
      <c r="B10454" s="75"/>
      <c r="C10454" s="75"/>
      <c r="D10454" s="75"/>
      <c r="E10454" s="75"/>
      <c r="F10454" s="75"/>
    </row>
    <row r="10455" spans="2:6">
      <c r="B10455" s="75"/>
      <c r="C10455" s="75"/>
      <c r="D10455" s="75"/>
      <c r="E10455" s="75"/>
      <c r="F10455" s="75"/>
    </row>
    <row r="10456" spans="2:6">
      <c r="B10456" s="75"/>
      <c r="C10456" s="75"/>
      <c r="D10456" s="75"/>
      <c r="E10456" s="75"/>
      <c r="F10456" s="75"/>
    </row>
    <row r="10457" spans="2:6">
      <c r="B10457" s="75"/>
      <c r="C10457" s="75"/>
      <c r="D10457" s="75"/>
      <c r="E10457" s="75"/>
      <c r="F10457" s="75"/>
    </row>
    <row r="10458" spans="2:6">
      <c r="B10458" s="75"/>
      <c r="C10458" s="75"/>
      <c r="D10458" s="75"/>
      <c r="E10458" s="75"/>
      <c r="F10458" s="75"/>
    </row>
    <row r="10459" spans="2:6">
      <c r="B10459" s="75"/>
      <c r="C10459" s="75"/>
      <c r="D10459" s="75"/>
      <c r="E10459" s="75"/>
      <c r="F10459" s="75"/>
    </row>
    <row r="10460" spans="2:6">
      <c r="B10460" s="75"/>
      <c r="C10460" s="75"/>
      <c r="D10460" s="75"/>
      <c r="E10460" s="75"/>
      <c r="F10460" s="75"/>
    </row>
    <row r="10461" spans="2:6">
      <c r="B10461" s="75"/>
      <c r="C10461" s="75"/>
      <c r="D10461" s="75"/>
      <c r="E10461" s="75"/>
      <c r="F10461" s="75"/>
    </row>
    <row r="10462" spans="2:6">
      <c r="B10462" s="75"/>
      <c r="C10462" s="75"/>
      <c r="D10462" s="75"/>
      <c r="E10462" s="75"/>
      <c r="F10462" s="75"/>
    </row>
    <row r="10463" spans="2:6">
      <c r="B10463" s="75"/>
      <c r="C10463" s="75"/>
      <c r="D10463" s="75"/>
      <c r="E10463" s="75"/>
      <c r="F10463" s="75"/>
    </row>
    <row r="10464" spans="2:6">
      <c r="B10464" s="75"/>
      <c r="C10464" s="75"/>
      <c r="D10464" s="75"/>
      <c r="E10464" s="75"/>
      <c r="F10464" s="75"/>
    </row>
    <row r="10465" spans="2:6">
      <c r="B10465" s="75"/>
      <c r="C10465" s="75"/>
      <c r="D10465" s="75"/>
      <c r="E10465" s="75"/>
      <c r="F10465" s="75"/>
    </row>
    <row r="10466" spans="2:6">
      <c r="B10466" s="75"/>
      <c r="C10466" s="75"/>
      <c r="D10466" s="75"/>
      <c r="E10466" s="75"/>
      <c r="F10466" s="75"/>
    </row>
    <row r="10467" spans="2:6">
      <c r="B10467" s="75"/>
      <c r="C10467" s="75"/>
      <c r="D10467" s="75"/>
      <c r="E10467" s="75"/>
      <c r="F10467" s="75"/>
    </row>
    <row r="10468" spans="2:6">
      <c r="B10468" s="75"/>
      <c r="C10468" s="75"/>
      <c r="D10468" s="75"/>
      <c r="E10468" s="75"/>
      <c r="F10468" s="75"/>
    </row>
    <row r="10469" spans="2:6">
      <c r="B10469" s="75"/>
      <c r="C10469" s="75"/>
      <c r="D10469" s="75"/>
      <c r="E10469" s="75"/>
      <c r="F10469" s="75"/>
    </row>
    <row r="10470" spans="2:6">
      <c r="B10470" s="75"/>
      <c r="C10470" s="75"/>
      <c r="D10470" s="75"/>
      <c r="E10470" s="75"/>
      <c r="F10470" s="75"/>
    </row>
    <row r="10471" spans="2:6">
      <c r="B10471" s="75"/>
      <c r="C10471" s="75"/>
      <c r="D10471" s="75"/>
      <c r="E10471" s="75"/>
      <c r="F10471" s="75"/>
    </row>
    <row r="10472" spans="2:6">
      <c r="B10472" s="75"/>
      <c r="C10472" s="75"/>
      <c r="D10472" s="75"/>
      <c r="E10472" s="75"/>
      <c r="F10472" s="75"/>
    </row>
    <row r="10473" spans="2:6">
      <c r="B10473" s="75"/>
      <c r="C10473" s="75"/>
      <c r="D10473" s="75"/>
      <c r="E10473" s="75"/>
      <c r="F10473" s="75"/>
    </row>
    <row r="10474" spans="2:6">
      <c r="B10474" s="75"/>
      <c r="C10474" s="75"/>
      <c r="D10474" s="75"/>
      <c r="E10474" s="75"/>
      <c r="F10474" s="75"/>
    </row>
    <row r="10475" spans="2:6">
      <c r="B10475" s="75"/>
      <c r="C10475" s="75"/>
      <c r="D10475" s="75"/>
      <c r="E10475" s="75"/>
      <c r="F10475" s="75"/>
    </row>
    <row r="10476" spans="2:6">
      <c r="B10476" s="75"/>
      <c r="C10476" s="75"/>
      <c r="D10476" s="75"/>
      <c r="E10476" s="75"/>
      <c r="F10476" s="75"/>
    </row>
    <row r="10477" spans="2:6">
      <c r="B10477" s="75"/>
      <c r="C10477" s="75"/>
      <c r="D10477" s="75"/>
      <c r="E10477" s="75"/>
      <c r="F10477" s="75"/>
    </row>
    <row r="10478" spans="2:6">
      <c r="B10478" s="75"/>
      <c r="C10478" s="75"/>
      <c r="D10478" s="75"/>
      <c r="E10478" s="75"/>
      <c r="F10478" s="75"/>
    </row>
    <row r="10479" spans="2:6">
      <c r="B10479" s="75"/>
      <c r="C10479" s="75"/>
      <c r="D10479" s="75"/>
      <c r="E10479" s="75"/>
      <c r="F10479" s="75"/>
    </row>
    <row r="10480" spans="2:6">
      <c r="B10480" s="75"/>
      <c r="C10480" s="75"/>
      <c r="D10480" s="75"/>
      <c r="E10480" s="75"/>
      <c r="F10480" s="75"/>
    </row>
    <row r="10481" spans="2:6">
      <c r="B10481" s="75"/>
      <c r="C10481" s="75"/>
      <c r="D10481" s="75"/>
      <c r="E10481" s="75"/>
      <c r="F10481" s="75"/>
    </row>
    <row r="10482" spans="2:6">
      <c r="B10482" s="75"/>
      <c r="C10482" s="75"/>
      <c r="D10482" s="75"/>
      <c r="E10482" s="75"/>
      <c r="F10482" s="75"/>
    </row>
    <row r="10483" spans="2:6">
      <c r="B10483" s="75"/>
      <c r="C10483" s="75"/>
      <c r="D10483" s="75"/>
      <c r="E10483" s="75"/>
      <c r="F10483" s="75"/>
    </row>
    <row r="10484" spans="2:6">
      <c r="B10484" s="75"/>
      <c r="C10484" s="75"/>
      <c r="D10484" s="75"/>
      <c r="E10484" s="75"/>
      <c r="F10484" s="75"/>
    </row>
    <row r="10485" spans="2:6">
      <c r="B10485" s="75"/>
      <c r="C10485" s="75"/>
      <c r="D10485" s="75"/>
      <c r="E10485" s="75"/>
      <c r="F10485" s="75"/>
    </row>
    <row r="10486" spans="2:6">
      <c r="B10486" s="75"/>
      <c r="C10486" s="75"/>
      <c r="D10486" s="75"/>
      <c r="E10486" s="75"/>
      <c r="F10486" s="75"/>
    </row>
    <row r="10487" spans="2:6">
      <c r="B10487" s="75"/>
      <c r="C10487" s="75"/>
      <c r="D10487" s="75"/>
      <c r="E10487" s="75"/>
      <c r="F10487" s="75"/>
    </row>
    <row r="10488" spans="2:6">
      <c r="B10488" s="75"/>
      <c r="C10488" s="75"/>
      <c r="D10488" s="75"/>
      <c r="E10488" s="75"/>
      <c r="F10488" s="75"/>
    </row>
    <row r="10489" spans="2:6">
      <c r="B10489" s="75"/>
      <c r="C10489" s="75"/>
      <c r="D10489" s="75"/>
      <c r="E10489" s="75"/>
      <c r="F10489" s="75"/>
    </row>
    <row r="10490" spans="2:6">
      <c r="B10490" s="75"/>
      <c r="C10490" s="75"/>
      <c r="D10490" s="75"/>
      <c r="E10490" s="75"/>
      <c r="F10490" s="75"/>
    </row>
    <row r="10491" spans="2:6">
      <c r="B10491" s="75"/>
      <c r="C10491" s="75"/>
      <c r="D10491" s="75"/>
      <c r="E10491" s="75"/>
      <c r="F10491" s="75"/>
    </row>
    <row r="10492" spans="2:6">
      <c r="B10492" s="75"/>
      <c r="C10492" s="75"/>
      <c r="D10492" s="75"/>
      <c r="E10492" s="75"/>
      <c r="F10492" s="75"/>
    </row>
    <row r="10493" spans="2:6">
      <c r="B10493" s="75"/>
      <c r="C10493" s="75"/>
      <c r="D10493" s="75"/>
      <c r="E10493" s="75"/>
      <c r="F10493" s="75"/>
    </row>
    <row r="10494" spans="2:6">
      <c r="B10494" s="75"/>
      <c r="C10494" s="75"/>
      <c r="D10494" s="75"/>
      <c r="E10494" s="75"/>
      <c r="F10494" s="75"/>
    </row>
    <row r="10495" spans="2:6">
      <c r="B10495" s="75"/>
      <c r="C10495" s="75"/>
      <c r="D10495" s="75"/>
      <c r="E10495" s="75"/>
      <c r="F10495" s="75"/>
    </row>
    <row r="10496" spans="2:6">
      <c r="B10496" s="75"/>
      <c r="C10496" s="75"/>
      <c r="D10496" s="75"/>
      <c r="E10496" s="75"/>
      <c r="F10496" s="75"/>
    </row>
    <row r="10497" spans="2:6">
      <c r="B10497" s="75"/>
      <c r="C10497" s="75"/>
      <c r="D10497" s="75"/>
      <c r="E10497" s="75"/>
      <c r="F10497" s="75"/>
    </row>
    <row r="10498" spans="2:6">
      <c r="B10498" s="75"/>
      <c r="C10498" s="75"/>
      <c r="D10498" s="75"/>
      <c r="E10498" s="75"/>
      <c r="F10498" s="75"/>
    </row>
    <row r="10499" spans="2:6">
      <c r="B10499" s="75"/>
      <c r="C10499" s="75"/>
      <c r="D10499" s="75"/>
      <c r="E10499" s="75"/>
      <c r="F10499" s="75"/>
    </row>
    <row r="10500" spans="2:6">
      <c r="B10500" s="75"/>
      <c r="C10500" s="75"/>
      <c r="D10500" s="75"/>
      <c r="E10500" s="75"/>
      <c r="F10500" s="75"/>
    </row>
    <row r="10501" spans="2:6">
      <c r="B10501" s="75"/>
      <c r="C10501" s="75"/>
      <c r="D10501" s="75"/>
      <c r="E10501" s="75"/>
      <c r="F10501" s="75"/>
    </row>
    <row r="10502" spans="2:6">
      <c r="B10502" s="75"/>
      <c r="C10502" s="75"/>
      <c r="D10502" s="75"/>
      <c r="E10502" s="75"/>
      <c r="F10502" s="75"/>
    </row>
    <row r="10503" spans="2:6">
      <c r="B10503" s="75"/>
      <c r="C10503" s="75"/>
      <c r="D10503" s="75"/>
      <c r="E10503" s="75"/>
      <c r="F10503" s="75"/>
    </row>
    <row r="10504" spans="2:6">
      <c r="B10504" s="75"/>
      <c r="C10504" s="75"/>
      <c r="D10504" s="75"/>
      <c r="E10504" s="75"/>
      <c r="F10504" s="75"/>
    </row>
    <row r="10505" spans="2:6">
      <c r="B10505" s="75"/>
      <c r="C10505" s="75"/>
      <c r="D10505" s="75"/>
      <c r="E10505" s="75"/>
      <c r="F10505" s="75"/>
    </row>
    <row r="10506" spans="2:6">
      <c r="B10506" s="75"/>
      <c r="C10506" s="75"/>
      <c r="D10506" s="75"/>
      <c r="E10506" s="75"/>
      <c r="F10506" s="75"/>
    </row>
    <row r="10507" spans="2:6">
      <c r="B10507" s="75"/>
      <c r="C10507" s="75"/>
      <c r="D10507" s="75"/>
      <c r="E10507" s="75"/>
      <c r="F10507" s="75"/>
    </row>
    <row r="10508" spans="2:6">
      <c r="B10508" s="75"/>
      <c r="C10508" s="75"/>
      <c r="D10508" s="75"/>
      <c r="E10508" s="75"/>
      <c r="F10508" s="75"/>
    </row>
    <row r="10509" spans="2:6">
      <c r="B10509" s="75"/>
      <c r="C10509" s="75"/>
      <c r="D10509" s="75"/>
      <c r="E10509" s="75"/>
      <c r="F10509" s="75"/>
    </row>
    <row r="10510" spans="2:6">
      <c r="B10510" s="75"/>
      <c r="C10510" s="75"/>
      <c r="D10510" s="75"/>
      <c r="E10510" s="75"/>
      <c r="F10510" s="75"/>
    </row>
    <row r="10511" spans="2:6">
      <c r="B10511" s="75"/>
      <c r="C10511" s="75"/>
      <c r="D10511" s="75"/>
      <c r="E10511" s="75"/>
      <c r="F10511" s="75"/>
    </row>
    <row r="10512" spans="2:6">
      <c r="B10512" s="75"/>
      <c r="C10512" s="75"/>
      <c r="D10512" s="75"/>
      <c r="E10512" s="75"/>
      <c r="F10512" s="75"/>
    </row>
    <row r="10513" spans="2:6">
      <c r="B10513" s="75"/>
      <c r="C10513" s="75"/>
      <c r="D10513" s="75"/>
      <c r="E10513" s="75"/>
      <c r="F10513" s="75"/>
    </row>
    <row r="10514" spans="2:6">
      <c r="B10514" s="75"/>
      <c r="C10514" s="75"/>
      <c r="D10514" s="75"/>
      <c r="E10514" s="75"/>
      <c r="F10514" s="75"/>
    </row>
    <row r="10515" spans="2:6">
      <c r="B10515" s="75"/>
      <c r="C10515" s="75"/>
      <c r="D10515" s="75"/>
      <c r="E10515" s="75"/>
      <c r="F10515" s="75"/>
    </row>
    <row r="10516" spans="2:6">
      <c r="B10516" s="75"/>
      <c r="C10516" s="75"/>
      <c r="D10516" s="75"/>
      <c r="E10516" s="75"/>
      <c r="F10516" s="75"/>
    </row>
    <row r="10517" spans="2:6">
      <c r="B10517" s="75"/>
      <c r="C10517" s="75"/>
      <c r="D10517" s="75"/>
      <c r="E10517" s="75"/>
      <c r="F10517" s="75"/>
    </row>
    <row r="10518" spans="2:6">
      <c r="B10518" s="75"/>
      <c r="C10518" s="75"/>
      <c r="D10518" s="75"/>
      <c r="E10518" s="75"/>
      <c r="F10518" s="75"/>
    </row>
    <row r="10519" spans="2:6">
      <c r="B10519" s="75"/>
      <c r="C10519" s="75"/>
      <c r="D10519" s="75"/>
      <c r="E10519" s="75"/>
      <c r="F10519" s="75"/>
    </row>
    <row r="10520" spans="2:6">
      <c r="B10520" s="75"/>
      <c r="C10520" s="75"/>
      <c r="D10520" s="75"/>
      <c r="E10520" s="75"/>
      <c r="F10520" s="75"/>
    </row>
    <row r="10521" spans="2:6">
      <c r="B10521" s="75"/>
      <c r="C10521" s="75"/>
      <c r="D10521" s="75"/>
      <c r="E10521" s="75"/>
      <c r="F10521" s="75"/>
    </row>
    <row r="10522" spans="2:6">
      <c r="B10522" s="75"/>
      <c r="C10522" s="75"/>
      <c r="D10522" s="75"/>
      <c r="E10522" s="75"/>
      <c r="F10522" s="75"/>
    </row>
    <row r="10523" spans="2:6">
      <c r="B10523" s="75"/>
      <c r="C10523" s="75"/>
      <c r="D10523" s="75"/>
      <c r="E10523" s="75"/>
      <c r="F10523" s="75"/>
    </row>
    <row r="10524" spans="2:6">
      <c r="B10524" s="75"/>
      <c r="C10524" s="75"/>
      <c r="D10524" s="75"/>
      <c r="E10524" s="75"/>
      <c r="F10524" s="75"/>
    </row>
    <row r="10525" spans="2:6">
      <c r="B10525" s="75"/>
      <c r="C10525" s="75"/>
      <c r="D10525" s="75"/>
      <c r="E10525" s="75"/>
      <c r="F10525" s="75"/>
    </row>
    <row r="10526" spans="2:6">
      <c r="B10526" s="75"/>
      <c r="C10526" s="75"/>
      <c r="D10526" s="75"/>
      <c r="E10526" s="75"/>
      <c r="F10526" s="75"/>
    </row>
    <row r="10527" spans="2:6">
      <c r="B10527" s="75"/>
      <c r="C10527" s="75"/>
      <c r="D10527" s="75"/>
      <c r="E10527" s="75"/>
      <c r="F10527" s="75"/>
    </row>
    <row r="10528" spans="2:6">
      <c r="B10528" s="75"/>
      <c r="C10528" s="75"/>
      <c r="D10528" s="75"/>
      <c r="E10528" s="75"/>
      <c r="F10528" s="75"/>
    </row>
    <row r="10529" spans="2:6">
      <c r="B10529" s="75"/>
      <c r="C10529" s="75"/>
      <c r="D10529" s="75"/>
      <c r="E10529" s="75"/>
      <c r="F10529" s="75"/>
    </row>
    <row r="10530" spans="2:6">
      <c r="B10530" s="75"/>
      <c r="C10530" s="75"/>
      <c r="D10530" s="75"/>
      <c r="E10530" s="75"/>
      <c r="F10530" s="75"/>
    </row>
    <row r="10531" spans="2:6">
      <c r="B10531" s="75"/>
      <c r="C10531" s="75"/>
      <c r="D10531" s="75"/>
      <c r="E10531" s="75"/>
      <c r="F10531" s="75"/>
    </row>
    <row r="10532" spans="2:6">
      <c r="B10532" s="75"/>
      <c r="C10532" s="75"/>
      <c r="D10532" s="75"/>
      <c r="E10532" s="75"/>
      <c r="F10532" s="75"/>
    </row>
    <row r="10533" spans="2:6">
      <c r="B10533" s="75"/>
      <c r="C10533" s="75"/>
      <c r="D10533" s="75"/>
      <c r="E10533" s="75"/>
      <c r="F10533" s="75"/>
    </row>
    <row r="10534" spans="2:6">
      <c r="B10534" s="75"/>
      <c r="C10534" s="75"/>
      <c r="D10534" s="75"/>
      <c r="E10534" s="75"/>
      <c r="F10534" s="75"/>
    </row>
    <row r="10535" spans="2:6">
      <c r="B10535" s="75"/>
      <c r="C10535" s="75"/>
      <c r="D10535" s="75"/>
      <c r="E10535" s="75"/>
      <c r="F10535" s="75"/>
    </row>
    <row r="10536" spans="2:6">
      <c r="B10536" s="75"/>
      <c r="C10536" s="75"/>
      <c r="D10536" s="75"/>
      <c r="E10536" s="75"/>
      <c r="F10536" s="75"/>
    </row>
    <row r="10537" spans="2:6">
      <c r="B10537" s="75"/>
      <c r="C10537" s="75"/>
      <c r="D10537" s="75"/>
      <c r="E10537" s="75"/>
      <c r="F10537" s="75"/>
    </row>
    <row r="10538" spans="2:6">
      <c r="B10538" s="75"/>
      <c r="C10538" s="75"/>
      <c r="D10538" s="75"/>
      <c r="E10538" s="75"/>
      <c r="F10538" s="75"/>
    </row>
    <row r="10539" spans="2:6">
      <c r="B10539" s="75"/>
      <c r="C10539" s="75"/>
      <c r="D10539" s="75"/>
      <c r="E10539" s="75"/>
      <c r="F10539" s="75"/>
    </row>
    <row r="10540" spans="2:6">
      <c r="B10540" s="75"/>
      <c r="C10540" s="75"/>
      <c r="D10540" s="75"/>
      <c r="E10540" s="75"/>
      <c r="F10540" s="75"/>
    </row>
    <row r="10541" spans="2:6">
      <c r="B10541" s="75"/>
      <c r="C10541" s="75"/>
      <c r="D10541" s="75"/>
      <c r="E10541" s="75"/>
      <c r="F10541" s="75"/>
    </row>
    <row r="10542" spans="2:6">
      <c r="B10542" s="75"/>
      <c r="C10542" s="75"/>
      <c r="D10542" s="75"/>
      <c r="E10542" s="75"/>
      <c r="F10542" s="75"/>
    </row>
    <row r="10543" spans="2:6">
      <c r="B10543" s="75"/>
      <c r="C10543" s="75"/>
      <c r="D10543" s="75"/>
      <c r="E10543" s="75"/>
      <c r="F10543" s="75"/>
    </row>
    <row r="10544" spans="2:6">
      <c r="B10544" s="75"/>
      <c r="C10544" s="75"/>
      <c r="D10544" s="75"/>
      <c r="E10544" s="75"/>
      <c r="F10544" s="75"/>
    </row>
    <row r="10545" spans="2:6">
      <c r="B10545" s="75"/>
      <c r="C10545" s="75"/>
      <c r="D10545" s="75"/>
      <c r="E10545" s="75"/>
      <c r="F10545" s="75"/>
    </row>
    <row r="10546" spans="2:6">
      <c r="B10546" s="75"/>
      <c r="C10546" s="75"/>
      <c r="D10546" s="75"/>
      <c r="E10546" s="75"/>
      <c r="F10546" s="75"/>
    </row>
    <row r="10547" spans="2:6">
      <c r="B10547" s="75"/>
      <c r="C10547" s="75"/>
      <c r="D10547" s="75"/>
      <c r="E10547" s="75"/>
      <c r="F10547" s="75"/>
    </row>
    <row r="10548" spans="2:6">
      <c r="B10548" s="75"/>
      <c r="C10548" s="75"/>
      <c r="D10548" s="75"/>
      <c r="E10548" s="75"/>
      <c r="F10548" s="75"/>
    </row>
    <row r="10549" spans="2:6">
      <c r="B10549" s="75"/>
      <c r="C10549" s="75"/>
      <c r="D10549" s="75"/>
      <c r="E10549" s="75"/>
      <c r="F10549" s="75"/>
    </row>
    <row r="10550" spans="2:6">
      <c r="B10550" s="75"/>
      <c r="C10550" s="75"/>
      <c r="D10550" s="75"/>
      <c r="E10550" s="75"/>
      <c r="F10550" s="75"/>
    </row>
    <row r="10551" spans="2:6">
      <c r="B10551" s="75"/>
      <c r="C10551" s="75"/>
      <c r="D10551" s="75"/>
      <c r="E10551" s="75"/>
      <c r="F10551" s="75"/>
    </row>
    <row r="10552" spans="2:6">
      <c r="B10552" s="75"/>
      <c r="C10552" s="75"/>
      <c r="D10552" s="75"/>
      <c r="E10552" s="75"/>
      <c r="F10552" s="75"/>
    </row>
    <row r="10553" spans="2:6">
      <c r="B10553" s="75"/>
      <c r="C10553" s="75"/>
      <c r="D10553" s="75"/>
      <c r="E10553" s="75"/>
      <c r="F10553" s="75"/>
    </row>
    <row r="10554" spans="2:6">
      <c r="B10554" s="75"/>
      <c r="C10554" s="75"/>
      <c r="D10554" s="75"/>
      <c r="E10554" s="75"/>
      <c r="F10554" s="75"/>
    </row>
    <row r="10555" spans="2:6">
      <c r="B10555" s="75"/>
      <c r="C10555" s="75"/>
      <c r="D10555" s="75"/>
      <c r="E10555" s="75"/>
      <c r="F10555" s="75"/>
    </row>
    <row r="10556" spans="2:6">
      <c r="B10556" s="75"/>
      <c r="C10556" s="75"/>
      <c r="D10556" s="75"/>
      <c r="E10556" s="75"/>
      <c r="F10556" s="75"/>
    </row>
    <row r="10557" spans="2:6">
      <c r="B10557" s="75"/>
      <c r="C10557" s="75"/>
      <c r="D10557" s="75"/>
      <c r="E10557" s="75"/>
      <c r="F10557" s="75"/>
    </row>
    <row r="10558" spans="2:6">
      <c r="B10558" s="75"/>
      <c r="C10558" s="75"/>
      <c r="D10558" s="75"/>
      <c r="E10558" s="75"/>
      <c r="F10558" s="75"/>
    </row>
    <row r="10559" spans="2:6">
      <c r="B10559" s="75"/>
      <c r="C10559" s="75"/>
      <c r="D10559" s="75"/>
      <c r="E10559" s="75"/>
      <c r="F10559" s="75"/>
    </row>
    <row r="10560" spans="2:6">
      <c r="B10560" s="75"/>
      <c r="C10560" s="75"/>
      <c r="D10560" s="75"/>
      <c r="E10560" s="75"/>
      <c r="F10560" s="75"/>
    </row>
    <row r="10561" spans="2:6">
      <c r="B10561" s="75"/>
      <c r="C10561" s="75"/>
      <c r="D10561" s="75"/>
      <c r="E10561" s="75"/>
      <c r="F10561" s="75"/>
    </row>
    <row r="10562" spans="2:6">
      <c r="B10562" s="75"/>
      <c r="C10562" s="75"/>
      <c r="D10562" s="75"/>
      <c r="E10562" s="75"/>
      <c r="F10562" s="75"/>
    </row>
    <row r="10563" spans="2:6">
      <c r="B10563" s="75"/>
      <c r="C10563" s="75"/>
      <c r="D10563" s="75"/>
      <c r="E10563" s="75"/>
      <c r="F10563" s="75"/>
    </row>
    <row r="10564" spans="2:6">
      <c r="B10564" s="75"/>
      <c r="C10564" s="75"/>
      <c r="D10564" s="75"/>
      <c r="E10564" s="75"/>
      <c r="F10564" s="75"/>
    </row>
    <row r="10565" spans="2:6">
      <c r="B10565" s="75"/>
      <c r="C10565" s="75"/>
      <c r="D10565" s="75"/>
      <c r="E10565" s="75"/>
      <c r="F10565" s="75"/>
    </row>
    <row r="10566" spans="2:6">
      <c r="B10566" s="75"/>
      <c r="C10566" s="75"/>
      <c r="D10566" s="75"/>
      <c r="E10566" s="75"/>
      <c r="F10566" s="75"/>
    </row>
    <row r="10567" spans="2:6">
      <c r="B10567" s="75"/>
      <c r="C10567" s="75"/>
      <c r="D10567" s="75"/>
      <c r="E10567" s="75"/>
      <c r="F10567" s="75"/>
    </row>
    <row r="10568" spans="2:6">
      <c r="B10568" s="75"/>
      <c r="C10568" s="75"/>
      <c r="D10568" s="75"/>
      <c r="E10568" s="75"/>
      <c r="F10568" s="75"/>
    </row>
    <row r="10569" spans="2:6">
      <c r="B10569" s="75"/>
      <c r="C10569" s="75"/>
      <c r="D10569" s="75"/>
      <c r="E10569" s="75"/>
      <c r="F10569" s="75"/>
    </row>
    <row r="10570" spans="2:6">
      <c r="B10570" s="75"/>
      <c r="C10570" s="75"/>
      <c r="D10570" s="75"/>
      <c r="E10570" s="75"/>
      <c r="F10570" s="75"/>
    </row>
    <row r="10571" spans="2:6">
      <c r="B10571" s="75"/>
      <c r="C10571" s="75"/>
      <c r="D10571" s="75"/>
      <c r="E10571" s="75"/>
      <c r="F10571" s="75"/>
    </row>
    <row r="10572" spans="2:6">
      <c r="B10572" s="75"/>
      <c r="C10572" s="75"/>
      <c r="D10572" s="75"/>
      <c r="E10572" s="75"/>
      <c r="F10572" s="75"/>
    </row>
    <row r="10573" spans="2:6">
      <c r="B10573" s="75"/>
      <c r="C10573" s="75"/>
      <c r="D10573" s="75"/>
      <c r="E10573" s="75"/>
      <c r="F10573" s="75"/>
    </row>
    <row r="10574" spans="2:6">
      <c r="B10574" s="75"/>
      <c r="C10574" s="75"/>
      <c r="D10574" s="75"/>
      <c r="E10574" s="75"/>
      <c r="F10574" s="75"/>
    </row>
    <row r="10575" spans="2:6">
      <c r="B10575" s="75"/>
      <c r="C10575" s="75"/>
      <c r="D10575" s="75"/>
      <c r="E10575" s="75"/>
      <c r="F10575" s="75"/>
    </row>
    <row r="10576" spans="2:6">
      <c r="B10576" s="75"/>
      <c r="C10576" s="75"/>
      <c r="D10576" s="75"/>
      <c r="E10576" s="75"/>
      <c r="F10576" s="75"/>
    </row>
    <row r="10577" spans="2:6">
      <c r="B10577" s="75"/>
      <c r="C10577" s="75"/>
      <c r="D10577" s="75"/>
      <c r="E10577" s="75"/>
      <c r="F10577" s="75"/>
    </row>
    <row r="10578" spans="2:6">
      <c r="B10578" s="75"/>
      <c r="C10578" s="75"/>
      <c r="D10578" s="75"/>
      <c r="E10578" s="75"/>
      <c r="F10578" s="75"/>
    </row>
    <row r="10579" spans="2:6">
      <c r="B10579" s="75"/>
      <c r="C10579" s="75"/>
      <c r="D10579" s="75"/>
      <c r="E10579" s="75"/>
      <c r="F10579" s="75"/>
    </row>
    <row r="10580" spans="2:6">
      <c r="B10580" s="75"/>
      <c r="C10580" s="75"/>
      <c r="D10580" s="75"/>
      <c r="E10580" s="75"/>
      <c r="F10580" s="75"/>
    </row>
    <row r="10581" spans="2:6">
      <c r="B10581" s="75"/>
      <c r="C10581" s="75"/>
      <c r="D10581" s="75"/>
      <c r="E10581" s="75"/>
      <c r="F10581" s="75"/>
    </row>
    <row r="10582" spans="2:6">
      <c r="B10582" s="75"/>
      <c r="C10582" s="75"/>
      <c r="D10582" s="75"/>
      <c r="E10582" s="75"/>
      <c r="F10582" s="75"/>
    </row>
    <row r="10583" spans="2:6">
      <c r="B10583" s="75"/>
      <c r="C10583" s="75"/>
      <c r="D10583" s="75"/>
      <c r="E10583" s="75"/>
      <c r="F10583" s="75"/>
    </row>
    <row r="10584" spans="2:6">
      <c r="B10584" s="75"/>
      <c r="C10584" s="75"/>
      <c r="D10584" s="75"/>
      <c r="E10584" s="75"/>
      <c r="F10584" s="75"/>
    </row>
    <row r="10585" spans="2:6">
      <c r="B10585" s="75"/>
      <c r="C10585" s="75"/>
      <c r="D10585" s="75"/>
      <c r="E10585" s="75"/>
      <c r="F10585" s="75"/>
    </row>
    <row r="10586" spans="2:6">
      <c r="B10586" s="75"/>
      <c r="C10586" s="75"/>
      <c r="D10586" s="75"/>
      <c r="E10586" s="75"/>
      <c r="F10586" s="75"/>
    </row>
    <row r="10587" spans="2:6">
      <c r="B10587" s="75"/>
      <c r="C10587" s="75"/>
      <c r="D10587" s="75"/>
      <c r="E10587" s="75"/>
      <c r="F10587" s="75"/>
    </row>
    <row r="10588" spans="2:6">
      <c r="B10588" s="75"/>
      <c r="C10588" s="75"/>
      <c r="D10588" s="75"/>
      <c r="E10588" s="75"/>
      <c r="F10588" s="75"/>
    </row>
    <row r="10589" spans="2:6">
      <c r="B10589" s="75"/>
      <c r="C10589" s="75"/>
      <c r="D10589" s="75"/>
      <c r="E10589" s="75"/>
      <c r="F10589" s="75"/>
    </row>
    <row r="10590" spans="2:6">
      <c r="B10590" s="75"/>
      <c r="C10590" s="75"/>
      <c r="D10590" s="75"/>
      <c r="E10590" s="75"/>
      <c r="F10590" s="75"/>
    </row>
    <row r="10591" spans="2:6">
      <c r="B10591" s="75"/>
      <c r="C10591" s="75"/>
      <c r="D10591" s="75"/>
      <c r="E10591" s="75"/>
      <c r="F10591" s="75"/>
    </row>
    <row r="10592" spans="2:6">
      <c r="B10592" s="75"/>
      <c r="C10592" s="75"/>
      <c r="D10592" s="75"/>
      <c r="E10592" s="75"/>
      <c r="F10592" s="75"/>
    </row>
    <row r="10593" spans="2:6">
      <c r="B10593" s="75"/>
      <c r="C10593" s="75"/>
      <c r="D10593" s="75"/>
      <c r="E10593" s="75"/>
      <c r="F10593" s="75"/>
    </row>
    <row r="10594" spans="2:6">
      <c r="B10594" s="75"/>
      <c r="C10594" s="75"/>
      <c r="D10594" s="75"/>
      <c r="E10594" s="75"/>
      <c r="F10594" s="75"/>
    </row>
    <row r="10595" spans="2:6">
      <c r="B10595" s="75"/>
      <c r="C10595" s="75"/>
      <c r="D10595" s="75"/>
      <c r="E10595" s="75"/>
      <c r="F10595" s="75"/>
    </row>
    <row r="10596" spans="2:6">
      <c r="B10596" s="75"/>
      <c r="C10596" s="75"/>
      <c r="D10596" s="75"/>
      <c r="E10596" s="75"/>
      <c r="F10596" s="75"/>
    </row>
    <row r="10597" spans="2:6">
      <c r="B10597" s="75"/>
      <c r="C10597" s="75"/>
      <c r="D10597" s="75"/>
      <c r="E10597" s="75"/>
      <c r="F10597" s="75"/>
    </row>
    <row r="10598" spans="2:6">
      <c r="B10598" s="75"/>
      <c r="C10598" s="75"/>
      <c r="D10598" s="75"/>
      <c r="E10598" s="75"/>
      <c r="F10598" s="75"/>
    </row>
    <row r="10599" spans="2:6">
      <c r="B10599" s="75"/>
      <c r="C10599" s="75"/>
      <c r="D10599" s="75"/>
      <c r="E10599" s="75"/>
      <c r="F10599" s="75"/>
    </row>
    <row r="10600" spans="2:6">
      <c r="B10600" s="75"/>
      <c r="C10600" s="75"/>
      <c r="D10600" s="75"/>
      <c r="E10600" s="75"/>
      <c r="F10600" s="75"/>
    </row>
    <row r="10601" spans="2:6">
      <c r="B10601" s="75"/>
      <c r="C10601" s="75"/>
      <c r="D10601" s="75"/>
      <c r="E10601" s="75"/>
      <c r="F10601" s="75"/>
    </row>
    <row r="10602" spans="2:6">
      <c r="B10602" s="75"/>
      <c r="C10602" s="75"/>
      <c r="D10602" s="75"/>
      <c r="E10602" s="75"/>
      <c r="F10602" s="75"/>
    </row>
    <row r="10603" spans="2:6">
      <c r="B10603" s="75"/>
      <c r="C10603" s="75"/>
      <c r="D10603" s="75"/>
      <c r="E10603" s="75"/>
      <c r="F10603" s="75"/>
    </row>
    <row r="10604" spans="2:6">
      <c r="B10604" s="75"/>
      <c r="C10604" s="75"/>
      <c r="D10604" s="75"/>
      <c r="E10604" s="75"/>
      <c r="F10604" s="75"/>
    </row>
    <row r="10605" spans="2:6">
      <c r="B10605" s="75"/>
      <c r="C10605" s="75"/>
      <c r="D10605" s="75"/>
      <c r="E10605" s="75"/>
      <c r="F10605" s="75"/>
    </row>
    <row r="10606" spans="2:6">
      <c r="B10606" s="75"/>
      <c r="C10606" s="75"/>
      <c r="D10606" s="75"/>
      <c r="E10606" s="75"/>
      <c r="F10606" s="75"/>
    </row>
    <row r="10607" spans="2:6">
      <c r="B10607" s="75"/>
      <c r="C10607" s="75"/>
      <c r="D10607" s="75"/>
      <c r="E10607" s="75"/>
      <c r="F10607" s="75"/>
    </row>
    <row r="10608" spans="2:6">
      <c r="B10608" s="75"/>
      <c r="C10608" s="75"/>
      <c r="D10608" s="75"/>
      <c r="E10608" s="75"/>
      <c r="F10608" s="75"/>
    </row>
    <row r="10609" spans="2:6">
      <c r="B10609" s="75"/>
      <c r="C10609" s="75"/>
      <c r="D10609" s="75"/>
      <c r="E10609" s="75"/>
      <c r="F10609" s="75"/>
    </row>
    <row r="10610" spans="2:6">
      <c r="B10610" s="75"/>
      <c r="C10610" s="75"/>
      <c r="D10610" s="75"/>
      <c r="E10610" s="75"/>
      <c r="F10610" s="75"/>
    </row>
    <row r="10611" spans="2:6">
      <c r="B10611" s="75"/>
      <c r="C10611" s="75"/>
      <c r="D10611" s="75"/>
      <c r="E10611" s="75"/>
      <c r="F10611" s="75"/>
    </row>
    <row r="10612" spans="2:6">
      <c r="B10612" s="75"/>
      <c r="C10612" s="75"/>
      <c r="D10612" s="75"/>
      <c r="E10612" s="75"/>
      <c r="F10612" s="75"/>
    </row>
    <row r="10613" spans="2:6">
      <c r="B10613" s="75"/>
      <c r="C10613" s="75"/>
      <c r="D10613" s="75"/>
      <c r="E10613" s="75"/>
      <c r="F10613" s="75"/>
    </row>
    <row r="10614" spans="2:6">
      <c r="B10614" s="75"/>
      <c r="C10614" s="75"/>
      <c r="D10614" s="75"/>
      <c r="E10614" s="75"/>
      <c r="F10614" s="75"/>
    </row>
    <row r="10615" spans="2:6">
      <c r="B10615" s="75"/>
      <c r="C10615" s="75"/>
      <c r="D10615" s="75"/>
      <c r="E10615" s="75"/>
      <c r="F10615" s="75"/>
    </row>
    <row r="10616" spans="2:6">
      <c r="B10616" s="75"/>
      <c r="C10616" s="75"/>
      <c r="D10616" s="75"/>
      <c r="E10616" s="75"/>
      <c r="F10616" s="75"/>
    </row>
    <row r="10617" spans="2:6">
      <c r="B10617" s="75"/>
      <c r="C10617" s="75"/>
      <c r="D10617" s="75"/>
      <c r="E10617" s="75"/>
      <c r="F10617" s="75"/>
    </row>
    <row r="10618" spans="2:6">
      <c r="B10618" s="75"/>
      <c r="C10618" s="75"/>
      <c r="D10618" s="75"/>
      <c r="E10618" s="75"/>
      <c r="F10618" s="75"/>
    </row>
    <row r="10619" spans="2:6">
      <c r="B10619" s="75"/>
      <c r="C10619" s="75"/>
      <c r="D10619" s="75"/>
      <c r="E10619" s="75"/>
      <c r="F10619" s="75"/>
    </row>
    <row r="10620" spans="2:6">
      <c r="B10620" s="75"/>
      <c r="C10620" s="75"/>
      <c r="D10620" s="75"/>
      <c r="E10620" s="75"/>
      <c r="F10620" s="75"/>
    </row>
    <row r="10621" spans="2:6">
      <c r="B10621" s="75"/>
      <c r="C10621" s="75"/>
      <c r="D10621" s="75"/>
      <c r="E10621" s="75"/>
      <c r="F10621" s="75"/>
    </row>
    <row r="10622" spans="2:6">
      <c r="B10622" s="75"/>
      <c r="C10622" s="75"/>
      <c r="D10622" s="75"/>
      <c r="E10622" s="75"/>
      <c r="F10622" s="75"/>
    </row>
    <row r="10623" spans="2:6">
      <c r="B10623" s="75"/>
      <c r="C10623" s="75"/>
      <c r="D10623" s="75"/>
      <c r="E10623" s="75"/>
      <c r="F10623" s="75"/>
    </row>
    <row r="10624" spans="2:6">
      <c r="B10624" s="75"/>
      <c r="C10624" s="75"/>
      <c r="D10624" s="75"/>
      <c r="E10624" s="75"/>
      <c r="F10624" s="75"/>
    </row>
    <row r="10625" spans="2:6">
      <c r="B10625" s="75"/>
      <c r="C10625" s="75"/>
      <c r="D10625" s="75"/>
      <c r="E10625" s="75"/>
      <c r="F10625" s="75"/>
    </row>
    <row r="10626" spans="2:6">
      <c r="B10626" s="75"/>
      <c r="C10626" s="75"/>
      <c r="D10626" s="75"/>
      <c r="E10626" s="75"/>
      <c r="F10626" s="75"/>
    </row>
    <row r="10627" spans="2:6">
      <c r="B10627" s="75"/>
      <c r="C10627" s="75"/>
      <c r="D10627" s="75"/>
      <c r="E10627" s="75"/>
      <c r="F10627" s="75"/>
    </row>
    <row r="10628" spans="2:6">
      <c r="B10628" s="75"/>
      <c r="C10628" s="75"/>
      <c r="D10628" s="75"/>
      <c r="E10628" s="75"/>
      <c r="F10628" s="75"/>
    </row>
    <row r="10629" spans="2:6">
      <c r="B10629" s="75"/>
      <c r="C10629" s="75"/>
      <c r="D10629" s="75"/>
      <c r="E10629" s="75"/>
      <c r="F10629" s="75"/>
    </row>
    <row r="10630" spans="2:6">
      <c r="B10630" s="75"/>
      <c r="C10630" s="75"/>
      <c r="D10630" s="75"/>
      <c r="E10630" s="75"/>
      <c r="F10630" s="75"/>
    </row>
    <row r="10631" spans="2:6">
      <c r="B10631" s="75"/>
      <c r="C10631" s="75"/>
      <c r="D10631" s="75"/>
      <c r="E10631" s="75"/>
      <c r="F10631" s="75"/>
    </row>
    <row r="10632" spans="2:6">
      <c r="B10632" s="75"/>
      <c r="C10632" s="75"/>
      <c r="D10632" s="75"/>
      <c r="E10632" s="75"/>
      <c r="F10632" s="75"/>
    </row>
    <row r="10633" spans="2:6">
      <c r="B10633" s="75"/>
      <c r="C10633" s="75"/>
      <c r="D10633" s="75"/>
      <c r="E10633" s="75"/>
      <c r="F10633" s="75"/>
    </row>
    <row r="10634" spans="2:6">
      <c r="B10634" s="75"/>
      <c r="C10634" s="75"/>
      <c r="D10634" s="75"/>
      <c r="E10634" s="75"/>
      <c r="F10634" s="75"/>
    </row>
    <row r="10635" spans="2:6">
      <c r="B10635" s="75"/>
      <c r="C10635" s="75"/>
      <c r="D10635" s="75"/>
      <c r="E10635" s="75"/>
      <c r="F10635" s="75"/>
    </row>
    <row r="10636" spans="2:6">
      <c r="B10636" s="75"/>
      <c r="C10636" s="75"/>
      <c r="D10636" s="75"/>
      <c r="E10636" s="75"/>
      <c r="F10636" s="75"/>
    </row>
    <row r="10637" spans="2:6">
      <c r="B10637" s="75"/>
      <c r="C10637" s="75"/>
      <c r="D10637" s="75"/>
      <c r="E10637" s="75"/>
      <c r="F10637" s="75"/>
    </row>
    <row r="10638" spans="2:6">
      <c r="B10638" s="75"/>
      <c r="C10638" s="75"/>
      <c r="D10638" s="75"/>
      <c r="E10638" s="75"/>
      <c r="F10638" s="75"/>
    </row>
    <row r="10639" spans="2:6">
      <c r="B10639" s="75"/>
      <c r="C10639" s="75"/>
      <c r="D10639" s="75"/>
      <c r="E10639" s="75"/>
      <c r="F10639" s="75"/>
    </row>
    <row r="10640" spans="2:6">
      <c r="B10640" s="75"/>
      <c r="C10640" s="75"/>
      <c r="D10640" s="75"/>
      <c r="E10640" s="75"/>
      <c r="F10640" s="75"/>
    </row>
    <row r="10641" spans="2:6">
      <c r="B10641" s="75"/>
      <c r="C10641" s="75"/>
      <c r="D10641" s="75"/>
      <c r="E10641" s="75"/>
      <c r="F10641" s="75"/>
    </row>
    <row r="10642" spans="2:6">
      <c r="B10642" s="75"/>
      <c r="C10642" s="75"/>
      <c r="D10642" s="75"/>
      <c r="E10642" s="75"/>
      <c r="F10642" s="75"/>
    </row>
    <row r="10643" spans="2:6">
      <c r="B10643" s="75"/>
      <c r="C10643" s="75"/>
      <c r="D10643" s="75"/>
      <c r="E10643" s="75"/>
      <c r="F10643" s="75"/>
    </row>
    <row r="10644" spans="2:6">
      <c r="B10644" s="75"/>
      <c r="C10644" s="75"/>
      <c r="D10644" s="75"/>
      <c r="E10644" s="75"/>
      <c r="F10644" s="75"/>
    </row>
    <row r="10645" spans="2:6">
      <c r="B10645" s="75"/>
      <c r="C10645" s="75"/>
      <c r="D10645" s="75"/>
      <c r="E10645" s="75"/>
      <c r="F10645" s="75"/>
    </row>
    <row r="10646" spans="2:6">
      <c r="B10646" s="75"/>
      <c r="C10646" s="75"/>
      <c r="D10646" s="75"/>
      <c r="E10646" s="75"/>
      <c r="F10646" s="75"/>
    </row>
    <row r="10647" spans="2:6">
      <c r="B10647" s="75"/>
      <c r="C10647" s="75"/>
      <c r="D10647" s="75"/>
      <c r="E10647" s="75"/>
      <c r="F10647" s="75"/>
    </row>
    <row r="10648" spans="2:6">
      <c r="B10648" s="75"/>
      <c r="C10648" s="75"/>
      <c r="D10648" s="75"/>
      <c r="E10648" s="75"/>
      <c r="F10648" s="75"/>
    </row>
    <row r="10649" spans="2:6">
      <c r="B10649" s="75"/>
      <c r="C10649" s="75"/>
      <c r="D10649" s="75"/>
      <c r="E10649" s="75"/>
      <c r="F10649" s="75"/>
    </row>
    <row r="10650" spans="2:6">
      <c r="B10650" s="75"/>
      <c r="C10650" s="75"/>
      <c r="D10650" s="75"/>
      <c r="E10650" s="75"/>
      <c r="F10650" s="75"/>
    </row>
    <row r="10651" spans="2:6">
      <c r="B10651" s="75"/>
      <c r="C10651" s="75"/>
      <c r="D10651" s="75"/>
      <c r="E10651" s="75"/>
      <c r="F10651" s="75"/>
    </row>
    <row r="10652" spans="2:6">
      <c r="B10652" s="75"/>
      <c r="C10652" s="75"/>
      <c r="D10652" s="75"/>
      <c r="E10652" s="75"/>
      <c r="F10652" s="75"/>
    </row>
    <row r="10653" spans="2:6">
      <c r="B10653" s="75"/>
      <c r="C10653" s="75"/>
      <c r="D10653" s="75"/>
      <c r="E10653" s="75"/>
      <c r="F10653" s="75"/>
    </row>
    <row r="10654" spans="2:6">
      <c r="B10654" s="75"/>
      <c r="C10654" s="75"/>
      <c r="D10654" s="75"/>
      <c r="E10654" s="75"/>
      <c r="F10654" s="75"/>
    </row>
    <row r="10655" spans="2:6">
      <c r="B10655" s="75"/>
      <c r="C10655" s="75"/>
      <c r="D10655" s="75"/>
      <c r="E10655" s="75"/>
      <c r="F10655" s="75"/>
    </row>
    <row r="10656" spans="2:6">
      <c r="B10656" s="75"/>
      <c r="C10656" s="75"/>
      <c r="D10656" s="75"/>
      <c r="E10656" s="75"/>
      <c r="F10656" s="75"/>
    </row>
    <row r="10657" spans="2:6">
      <c r="B10657" s="75"/>
      <c r="C10657" s="75"/>
      <c r="D10657" s="75"/>
      <c r="E10657" s="75"/>
      <c r="F10657" s="75"/>
    </row>
    <row r="10658" spans="2:6">
      <c r="B10658" s="75"/>
      <c r="C10658" s="75"/>
      <c r="D10658" s="75"/>
      <c r="E10658" s="75"/>
      <c r="F10658" s="75"/>
    </row>
    <row r="10659" spans="2:6">
      <c r="B10659" s="75"/>
      <c r="C10659" s="75"/>
      <c r="D10659" s="75"/>
      <c r="E10659" s="75"/>
      <c r="F10659" s="75"/>
    </row>
    <row r="10660" spans="2:6">
      <c r="B10660" s="75"/>
      <c r="C10660" s="75"/>
      <c r="D10660" s="75"/>
      <c r="E10660" s="75"/>
      <c r="F10660" s="75"/>
    </row>
    <row r="10661" spans="2:6">
      <c r="B10661" s="75"/>
      <c r="C10661" s="75"/>
      <c r="D10661" s="75"/>
      <c r="E10661" s="75"/>
      <c r="F10661" s="75"/>
    </row>
    <row r="10662" spans="2:6">
      <c r="B10662" s="75"/>
      <c r="C10662" s="75"/>
      <c r="D10662" s="75"/>
      <c r="E10662" s="75"/>
      <c r="F10662" s="75"/>
    </row>
    <row r="10663" spans="2:6">
      <c r="B10663" s="75"/>
      <c r="C10663" s="75"/>
      <c r="D10663" s="75"/>
      <c r="E10663" s="75"/>
      <c r="F10663" s="75"/>
    </row>
    <row r="10664" spans="2:6">
      <c r="B10664" s="75"/>
      <c r="C10664" s="75"/>
      <c r="D10664" s="75"/>
      <c r="E10664" s="75"/>
      <c r="F10664" s="75"/>
    </row>
    <row r="10665" spans="2:6">
      <c r="B10665" s="75"/>
      <c r="C10665" s="75"/>
      <c r="D10665" s="75"/>
      <c r="E10665" s="75"/>
      <c r="F10665" s="75"/>
    </row>
    <row r="10666" spans="2:6">
      <c r="B10666" s="75"/>
      <c r="C10666" s="75"/>
      <c r="D10666" s="75"/>
      <c r="E10666" s="75"/>
      <c r="F10666" s="75"/>
    </row>
    <row r="10667" spans="2:6">
      <c r="B10667" s="75"/>
      <c r="C10667" s="75"/>
      <c r="D10667" s="75"/>
      <c r="E10667" s="75"/>
      <c r="F10667" s="75"/>
    </row>
    <row r="10668" spans="2:6">
      <c r="B10668" s="75"/>
      <c r="C10668" s="75"/>
      <c r="D10668" s="75"/>
      <c r="E10668" s="75"/>
      <c r="F10668" s="75"/>
    </row>
    <row r="10669" spans="2:6">
      <c r="B10669" s="75"/>
      <c r="C10669" s="75"/>
      <c r="D10669" s="75"/>
      <c r="E10669" s="75"/>
      <c r="F10669" s="75"/>
    </row>
    <row r="10670" spans="2:6">
      <c r="B10670" s="75"/>
      <c r="C10670" s="75"/>
      <c r="D10670" s="75"/>
      <c r="E10670" s="75"/>
      <c r="F10670" s="75"/>
    </row>
    <row r="10671" spans="2:6">
      <c r="B10671" s="75"/>
      <c r="C10671" s="75"/>
      <c r="D10671" s="75"/>
      <c r="E10671" s="75"/>
      <c r="F10671" s="75"/>
    </row>
    <row r="10672" spans="2:6">
      <c r="B10672" s="75"/>
      <c r="C10672" s="75"/>
      <c r="D10672" s="75"/>
      <c r="E10672" s="75"/>
      <c r="F10672" s="75"/>
    </row>
    <row r="10673" spans="2:6">
      <c r="B10673" s="75"/>
      <c r="C10673" s="75"/>
      <c r="D10673" s="75"/>
      <c r="E10673" s="75"/>
      <c r="F10673" s="75"/>
    </row>
    <row r="10674" spans="2:6">
      <c r="B10674" s="75"/>
      <c r="C10674" s="75"/>
      <c r="D10674" s="75"/>
      <c r="E10674" s="75"/>
      <c r="F10674" s="75"/>
    </row>
    <row r="10675" spans="2:6">
      <c r="B10675" s="75"/>
      <c r="C10675" s="75"/>
      <c r="D10675" s="75"/>
      <c r="E10675" s="75"/>
      <c r="F10675" s="75"/>
    </row>
    <row r="10676" spans="2:6">
      <c r="B10676" s="75"/>
      <c r="C10676" s="75"/>
      <c r="D10676" s="75"/>
      <c r="E10676" s="75"/>
      <c r="F10676" s="75"/>
    </row>
    <row r="10677" spans="2:6">
      <c r="B10677" s="75"/>
      <c r="C10677" s="75"/>
      <c r="D10677" s="75"/>
      <c r="E10677" s="75"/>
      <c r="F10677" s="75"/>
    </row>
    <row r="10678" spans="2:6">
      <c r="B10678" s="75"/>
      <c r="C10678" s="75"/>
      <c r="D10678" s="75"/>
      <c r="E10678" s="75"/>
      <c r="F10678" s="75"/>
    </row>
    <row r="10679" spans="2:6">
      <c r="B10679" s="75"/>
      <c r="C10679" s="75"/>
      <c r="D10679" s="75"/>
      <c r="E10679" s="75"/>
      <c r="F10679" s="75"/>
    </row>
    <row r="10680" spans="2:6">
      <c r="B10680" s="75"/>
      <c r="C10680" s="75"/>
      <c r="D10680" s="75"/>
      <c r="E10680" s="75"/>
      <c r="F10680" s="75"/>
    </row>
    <row r="10681" spans="2:6">
      <c r="B10681" s="75"/>
      <c r="C10681" s="75"/>
      <c r="D10681" s="75"/>
      <c r="E10681" s="75"/>
      <c r="F10681" s="75"/>
    </row>
    <row r="10682" spans="2:6">
      <c r="B10682" s="75"/>
      <c r="C10682" s="75"/>
      <c r="D10682" s="75"/>
      <c r="E10682" s="75"/>
      <c r="F10682" s="75"/>
    </row>
    <row r="10683" spans="2:6">
      <c r="B10683" s="75"/>
      <c r="C10683" s="75"/>
      <c r="D10683" s="75"/>
      <c r="E10683" s="75"/>
      <c r="F10683" s="75"/>
    </row>
    <row r="10684" spans="2:6">
      <c r="B10684" s="75"/>
      <c r="C10684" s="75"/>
      <c r="D10684" s="75"/>
      <c r="E10684" s="75"/>
      <c r="F10684" s="75"/>
    </row>
    <row r="10685" spans="2:6">
      <c r="B10685" s="75"/>
      <c r="C10685" s="75"/>
      <c r="D10685" s="75"/>
      <c r="E10685" s="75"/>
      <c r="F10685" s="75"/>
    </row>
    <row r="10686" spans="2:6">
      <c r="B10686" s="75"/>
      <c r="C10686" s="75"/>
      <c r="D10686" s="75"/>
      <c r="E10686" s="75"/>
      <c r="F10686" s="75"/>
    </row>
    <row r="10687" spans="2:6">
      <c r="B10687" s="75"/>
      <c r="C10687" s="75"/>
      <c r="D10687" s="75"/>
      <c r="E10687" s="75"/>
      <c r="F10687" s="75"/>
    </row>
    <row r="10688" spans="2:6">
      <c r="B10688" s="75"/>
      <c r="C10688" s="75"/>
      <c r="D10688" s="75"/>
      <c r="E10688" s="75"/>
      <c r="F10688" s="75"/>
    </row>
    <row r="10689" spans="2:6">
      <c r="B10689" s="75"/>
      <c r="C10689" s="75"/>
      <c r="D10689" s="75"/>
      <c r="E10689" s="75"/>
      <c r="F10689" s="75"/>
    </row>
    <row r="10690" spans="2:6">
      <c r="B10690" s="75"/>
      <c r="C10690" s="75"/>
      <c r="D10690" s="75"/>
      <c r="E10690" s="75"/>
      <c r="F10690" s="75"/>
    </row>
    <row r="10691" spans="2:6">
      <c r="B10691" s="75"/>
      <c r="C10691" s="75"/>
      <c r="D10691" s="75"/>
      <c r="E10691" s="75"/>
      <c r="F10691" s="75"/>
    </row>
    <row r="10692" spans="2:6">
      <c r="B10692" s="75"/>
      <c r="C10692" s="75"/>
      <c r="D10692" s="75"/>
      <c r="E10692" s="75"/>
      <c r="F10692" s="75"/>
    </row>
    <row r="10693" spans="2:6">
      <c r="B10693" s="75"/>
      <c r="C10693" s="75"/>
      <c r="D10693" s="75"/>
      <c r="E10693" s="75"/>
      <c r="F10693" s="75"/>
    </row>
    <row r="10694" spans="2:6">
      <c r="B10694" s="75"/>
      <c r="C10694" s="75"/>
      <c r="D10694" s="75"/>
      <c r="E10694" s="75"/>
      <c r="F10694" s="75"/>
    </row>
    <row r="10695" spans="2:6">
      <c r="B10695" s="75"/>
      <c r="C10695" s="75"/>
      <c r="D10695" s="75"/>
      <c r="E10695" s="75"/>
      <c r="F10695" s="75"/>
    </row>
    <row r="10696" spans="2:6">
      <c r="B10696" s="75"/>
      <c r="C10696" s="75"/>
      <c r="D10696" s="75"/>
      <c r="E10696" s="75"/>
      <c r="F10696" s="75"/>
    </row>
    <row r="10697" spans="2:6">
      <c r="B10697" s="75"/>
      <c r="C10697" s="75"/>
      <c r="D10697" s="75"/>
      <c r="E10697" s="75"/>
      <c r="F10697" s="75"/>
    </row>
    <row r="10698" spans="2:6">
      <c r="B10698" s="75"/>
      <c r="C10698" s="75"/>
      <c r="D10698" s="75"/>
      <c r="E10698" s="75"/>
      <c r="F10698" s="75"/>
    </row>
    <row r="10699" spans="2:6">
      <c r="B10699" s="75"/>
      <c r="C10699" s="75"/>
      <c r="D10699" s="75"/>
      <c r="E10699" s="75"/>
      <c r="F10699" s="75"/>
    </row>
    <row r="10700" spans="2:6">
      <c r="B10700" s="75"/>
      <c r="C10700" s="75"/>
      <c r="D10700" s="75"/>
      <c r="E10700" s="75"/>
      <c r="F10700" s="75"/>
    </row>
    <row r="10701" spans="2:6">
      <c r="B10701" s="75"/>
      <c r="C10701" s="75"/>
      <c r="D10701" s="75"/>
      <c r="E10701" s="75"/>
      <c r="F10701" s="75"/>
    </row>
    <row r="10702" spans="2:6">
      <c r="B10702" s="75"/>
      <c r="C10702" s="75"/>
      <c r="D10702" s="75"/>
      <c r="E10702" s="75"/>
      <c r="F10702" s="75"/>
    </row>
    <row r="10703" spans="2:6">
      <c r="B10703" s="75"/>
      <c r="C10703" s="75"/>
      <c r="D10703" s="75"/>
      <c r="E10703" s="75"/>
      <c r="F10703" s="75"/>
    </row>
    <row r="10704" spans="2:6">
      <c r="B10704" s="75"/>
      <c r="C10704" s="75"/>
      <c r="D10704" s="75"/>
      <c r="E10704" s="75"/>
      <c r="F10704" s="75"/>
    </row>
    <row r="10705" spans="2:6">
      <c r="B10705" s="75"/>
      <c r="C10705" s="75"/>
      <c r="D10705" s="75"/>
      <c r="E10705" s="75"/>
      <c r="F10705" s="75"/>
    </row>
    <row r="10706" spans="2:6">
      <c r="B10706" s="75"/>
      <c r="C10706" s="75"/>
      <c r="D10706" s="75"/>
      <c r="E10706" s="75"/>
      <c r="F10706" s="75"/>
    </row>
    <row r="10707" spans="2:6">
      <c r="B10707" s="75"/>
      <c r="C10707" s="75"/>
      <c r="D10707" s="75"/>
      <c r="E10707" s="75"/>
      <c r="F10707" s="75"/>
    </row>
    <row r="10708" spans="2:6">
      <c r="B10708" s="75"/>
      <c r="C10708" s="75"/>
      <c r="D10708" s="75"/>
      <c r="E10708" s="75"/>
      <c r="F10708" s="75"/>
    </row>
    <row r="10709" spans="2:6">
      <c r="B10709" s="75"/>
      <c r="C10709" s="75"/>
      <c r="D10709" s="75"/>
      <c r="E10709" s="75"/>
      <c r="F10709" s="75"/>
    </row>
    <row r="10710" spans="2:6">
      <c r="B10710" s="75"/>
      <c r="C10710" s="75"/>
      <c r="D10710" s="75"/>
      <c r="E10710" s="75"/>
      <c r="F10710" s="75"/>
    </row>
    <row r="10711" spans="2:6">
      <c r="B10711" s="75"/>
      <c r="C10711" s="75"/>
      <c r="D10711" s="75"/>
      <c r="E10711" s="75"/>
      <c r="F10711" s="75"/>
    </row>
    <row r="10712" spans="2:6">
      <c r="B10712" s="75"/>
      <c r="C10712" s="75"/>
      <c r="D10712" s="75"/>
      <c r="E10712" s="75"/>
      <c r="F10712" s="75"/>
    </row>
    <row r="10713" spans="2:6">
      <c r="B10713" s="75"/>
      <c r="C10713" s="75"/>
      <c r="D10713" s="75"/>
      <c r="E10713" s="75"/>
      <c r="F10713" s="75"/>
    </row>
    <row r="10714" spans="2:6">
      <c r="B10714" s="75"/>
      <c r="C10714" s="75"/>
      <c r="D10714" s="75"/>
      <c r="E10714" s="75"/>
      <c r="F10714" s="75"/>
    </row>
    <row r="10715" spans="2:6">
      <c r="B10715" s="75"/>
      <c r="C10715" s="75"/>
      <c r="D10715" s="75"/>
      <c r="E10715" s="75"/>
      <c r="F10715" s="75"/>
    </row>
    <row r="10716" spans="2:6">
      <c r="B10716" s="75"/>
      <c r="C10716" s="75"/>
      <c r="D10716" s="75"/>
      <c r="E10716" s="75"/>
      <c r="F10716" s="75"/>
    </row>
    <row r="10717" spans="2:6">
      <c r="B10717" s="75"/>
      <c r="C10717" s="75"/>
      <c r="D10717" s="75"/>
      <c r="E10717" s="75"/>
      <c r="F10717" s="75"/>
    </row>
    <row r="10718" spans="2:6">
      <c r="B10718" s="75"/>
      <c r="C10718" s="75"/>
      <c r="D10718" s="75"/>
      <c r="E10718" s="75"/>
      <c r="F10718" s="75"/>
    </row>
    <row r="10719" spans="2:6">
      <c r="B10719" s="75"/>
      <c r="C10719" s="75"/>
      <c r="D10719" s="75"/>
      <c r="E10719" s="75"/>
      <c r="F10719" s="75"/>
    </row>
    <row r="10720" spans="2:6">
      <c r="B10720" s="75"/>
      <c r="C10720" s="75"/>
      <c r="D10720" s="75"/>
      <c r="E10720" s="75"/>
      <c r="F10720" s="75"/>
    </row>
    <row r="10721" spans="2:6">
      <c r="B10721" s="75"/>
      <c r="C10721" s="75"/>
      <c r="D10721" s="75"/>
      <c r="E10721" s="75"/>
      <c r="F10721" s="75"/>
    </row>
    <row r="10722" spans="2:6">
      <c r="B10722" s="75"/>
      <c r="C10722" s="75"/>
      <c r="D10722" s="75"/>
      <c r="E10722" s="75"/>
      <c r="F10722" s="75"/>
    </row>
    <row r="10723" spans="2:6">
      <c r="B10723" s="75"/>
      <c r="C10723" s="75"/>
      <c r="D10723" s="75"/>
      <c r="E10723" s="75"/>
      <c r="F10723" s="75"/>
    </row>
    <row r="10724" spans="2:6">
      <c r="B10724" s="75"/>
      <c r="C10724" s="75"/>
      <c r="D10724" s="75"/>
      <c r="E10724" s="75"/>
      <c r="F10724" s="75"/>
    </row>
    <row r="10725" spans="2:6">
      <c r="B10725" s="75"/>
      <c r="C10725" s="75"/>
      <c r="D10725" s="75"/>
      <c r="E10725" s="75"/>
      <c r="F10725" s="75"/>
    </row>
    <row r="10726" spans="2:6">
      <c r="B10726" s="75"/>
      <c r="C10726" s="75"/>
      <c r="D10726" s="75"/>
      <c r="E10726" s="75"/>
      <c r="F10726" s="75"/>
    </row>
    <row r="10727" spans="2:6">
      <c r="B10727" s="75"/>
      <c r="C10727" s="75"/>
      <c r="D10727" s="75"/>
      <c r="E10727" s="75"/>
      <c r="F10727" s="75"/>
    </row>
    <row r="10728" spans="2:6">
      <c r="B10728" s="75"/>
      <c r="C10728" s="75"/>
      <c r="D10728" s="75"/>
      <c r="E10728" s="75"/>
      <c r="F10728" s="75"/>
    </row>
    <row r="10729" spans="2:6">
      <c r="B10729" s="75"/>
      <c r="C10729" s="75"/>
      <c r="D10729" s="75"/>
      <c r="E10729" s="75"/>
      <c r="F10729" s="75"/>
    </row>
    <row r="10730" spans="2:6">
      <c r="B10730" s="75"/>
      <c r="C10730" s="75"/>
      <c r="D10730" s="75"/>
      <c r="E10730" s="75"/>
      <c r="F10730" s="75"/>
    </row>
    <row r="10731" spans="2:6">
      <c r="B10731" s="75"/>
      <c r="C10731" s="75"/>
      <c r="D10731" s="75"/>
      <c r="E10731" s="75"/>
      <c r="F10731" s="75"/>
    </row>
    <row r="10732" spans="2:6">
      <c r="B10732" s="75"/>
      <c r="C10732" s="75"/>
      <c r="D10732" s="75"/>
      <c r="E10732" s="75"/>
      <c r="F10732" s="75"/>
    </row>
    <row r="10733" spans="2:6">
      <c r="B10733" s="75"/>
      <c r="C10733" s="75"/>
      <c r="D10733" s="75"/>
      <c r="E10733" s="75"/>
      <c r="F10733" s="75"/>
    </row>
    <row r="10734" spans="2:6">
      <c r="B10734" s="75"/>
      <c r="C10734" s="75"/>
      <c r="D10734" s="75"/>
      <c r="E10734" s="75"/>
      <c r="F10734" s="75"/>
    </row>
    <row r="10735" spans="2:6">
      <c r="B10735" s="75"/>
      <c r="C10735" s="75"/>
      <c r="D10735" s="75"/>
      <c r="E10735" s="75"/>
      <c r="F10735" s="75"/>
    </row>
    <row r="10736" spans="2:6">
      <c r="B10736" s="75"/>
      <c r="C10736" s="75"/>
      <c r="D10736" s="75"/>
      <c r="E10736" s="75"/>
      <c r="F10736" s="75"/>
    </row>
    <row r="10737" spans="2:6">
      <c r="B10737" s="75"/>
      <c r="C10737" s="75"/>
      <c r="D10737" s="75"/>
      <c r="E10737" s="75"/>
      <c r="F10737" s="75"/>
    </row>
    <row r="10738" spans="2:6">
      <c r="B10738" s="75"/>
      <c r="C10738" s="75"/>
      <c r="D10738" s="75"/>
      <c r="E10738" s="75"/>
      <c r="F10738" s="75"/>
    </row>
    <row r="10739" spans="2:6">
      <c r="B10739" s="75"/>
      <c r="C10739" s="75"/>
      <c r="D10739" s="75"/>
      <c r="E10739" s="75"/>
      <c r="F10739" s="75"/>
    </row>
    <row r="10740" spans="2:6">
      <c r="B10740" s="75"/>
      <c r="C10740" s="75"/>
      <c r="D10740" s="75"/>
      <c r="E10740" s="75"/>
      <c r="F10740" s="75"/>
    </row>
    <row r="10741" spans="2:6">
      <c r="B10741" s="75"/>
      <c r="C10741" s="75"/>
      <c r="D10741" s="75"/>
      <c r="E10741" s="75"/>
      <c r="F10741" s="75"/>
    </row>
    <row r="10742" spans="2:6">
      <c r="B10742" s="75"/>
      <c r="C10742" s="75"/>
      <c r="D10742" s="75"/>
      <c r="E10742" s="75"/>
      <c r="F10742" s="75"/>
    </row>
    <row r="10743" spans="2:6">
      <c r="B10743" s="75"/>
      <c r="C10743" s="75"/>
      <c r="D10743" s="75"/>
      <c r="E10743" s="75"/>
      <c r="F10743" s="75"/>
    </row>
    <row r="10744" spans="2:6">
      <c r="B10744" s="75"/>
      <c r="C10744" s="75"/>
      <c r="D10744" s="75"/>
      <c r="E10744" s="75"/>
      <c r="F10744" s="75"/>
    </row>
    <row r="10745" spans="2:6">
      <c r="B10745" s="75"/>
      <c r="C10745" s="75"/>
      <c r="D10745" s="75"/>
      <c r="E10745" s="75"/>
      <c r="F10745" s="75"/>
    </row>
    <row r="10746" spans="2:6">
      <c r="B10746" s="75"/>
      <c r="C10746" s="75"/>
      <c r="D10746" s="75"/>
      <c r="E10746" s="75"/>
      <c r="F10746" s="75"/>
    </row>
    <row r="10747" spans="2:6">
      <c r="B10747" s="75"/>
      <c r="C10747" s="75"/>
      <c r="D10747" s="75"/>
      <c r="E10747" s="75"/>
      <c r="F10747" s="75"/>
    </row>
    <row r="10748" spans="2:6">
      <c r="B10748" s="75"/>
      <c r="C10748" s="75"/>
      <c r="D10748" s="75"/>
      <c r="E10748" s="75"/>
      <c r="F10748" s="75"/>
    </row>
    <row r="10749" spans="2:6">
      <c r="B10749" s="75"/>
      <c r="C10749" s="75"/>
      <c r="D10749" s="75"/>
      <c r="E10749" s="75"/>
      <c r="F10749" s="75"/>
    </row>
    <row r="10750" spans="2:6">
      <c r="B10750" s="75"/>
      <c r="C10750" s="75"/>
      <c r="D10750" s="75"/>
      <c r="E10750" s="75"/>
      <c r="F10750" s="75"/>
    </row>
    <row r="10751" spans="2:6">
      <c r="B10751" s="75"/>
      <c r="C10751" s="75"/>
      <c r="D10751" s="75"/>
      <c r="E10751" s="75"/>
      <c r="F10751" s="75"/>
    </row>
    <row r="10752" spans="2:6">
      <c r="B10752" s="75"/>
      <c r="C10752" s="75"/>
      <c r="D10752" s="75"/>
      <c r="E10752" s="75"/>
      <c r="F10752" s="75"/>
    </row>
    <row r="10753" spans="2:6">
      <c r="B10753" s="75"/>
      <c r="C10753" s="75"/>
      <c r="D10753" s="75"/>
      <c r="E10753" s="75"/>
      <c r="F10753" s="75"/>
    </row>
    <row r="10754" spans="2:6">
      <c r="B10754" s="75"/>
      <c r="C10754" s="75"/>
      <c r="D10754" s="75"/>
      <c r="E10754" s="75"/>
      <c r="F10754" s="75"/>
    </row>
    <row r="10755" spans="2:6">
      <c r="B10755" s="75"/>
      <c r="C10755" s="75"/>
      <c r="D10755" s="75"/>
      <c r="E10755" s="75"/>
      <c r="F10755" s="75"/>
    </row>
    <row r="10756" spans="2:6">
      <c r="B10756" s="75"/>
      <c r="C10756" s="75"/>
      <c r="D10756" s="75"/>
      <c r="E10756" s="75"/>
      <c r="F10756" s="75"/>
    </row>
    <row r="10757" spans="2:6">
      <c r="B10757" s="75"/>
      <c r="C10757" s="75"/>
      <c r="D10757" s="75"/>
      <c r="E10757" s="75"/>
      <c r="F10757" s="75"/>
    </row>
    <row r="10758" spans="2:6">
      <c r="B10758" s="75"/>
      <c r="C10758" s="75"/>
      <c r="D10758" s="75"/>
      <c r="E10758" s="75"/>
      <c r="F10758" s="75"/>
    </row>
    <row r="10759" spans="2:6">
      <c r="B10759" s="75"/>
      <c r="C10759" s="75"/>
      <c r="D10759" s="75"/>
      <c r="E10759" s="75"/>
      <c r="F10759" s="75"/>
    </row>
    <row r="10760" spans="2:6">
      <c r="B10760" s="75"/>
      <c r="C10760" s="75"/>
      <c r="D10760" s="75"/>
      <c r="E10760" s="75"/>
      <c r="F10760" s="75"/>
    </row>
    <row r="10761" spans="2:6">
      <c r="B10761" s="75"/>
      <c r="C10761" s="75"/>
      <c r="D10761" s="75"/>
      <c r="E10761" s="75"/>
      <c r="F10761" s="75"/>
    </row>
    <row r="10762" spans="2:6">
      <c r="B10762" s="75"/>
      <c r="C10762" s="75"/>
      <c r="D10762" s="75"/>
      <c r="E10762" s="75"/>
      <c r="F10762" s="75"/>
    </row>
    <row r="10763" spans="2:6">
      <c r="B10763" s="75"/>
      <c r="C10763" s="75"/>
      <c r="D10763" s="75"/>
      <c r="E10763" s="75"/>
      <c r="F10763" s="75"/>
    </row>
    <row r="10764" spans="2:6">
      <c r="B10764" s="75"/>
      <c r="C10764" s="75"/>
      <c r="D10764" s="75"/>
      <c r="E10764" s="75"/>
      <c r="F10764" s="75"/>
    </row>
    <row r="10765" spans="2:6">
      <c r="B10765" s="75"/>
      <c r="C10765" s="75"/>
      <c r="D10765" s="75"/>
      <c r="E10765" s="75"/>
      <c r="F10765" s="75"/>
    </row>
    <row r="10766" spans="2:6">
      <c r="B10766" s="75"/>
      <c r="C10766" s="75"/>
      <c r="D10766" s="75"/>
      <c r="E10766" s="75"/>
      <c r="F10766" s="75"/>
    </row>
    <row r="10767" spans="2:6">
      <c r="B10767" s="75"/>
      <c r="C10767" s="75"/>
      <c r="D10767" s="75"/>
      <c r="E10767" s="75"/>
      <c r="F10767" s="75"/>
    </row>
    <row r="10768" spans="2:6">
      <c r="B10768" s="75"/>
      <c r="C10768" s="75"/>
      <c r="D10768" s="75"/>
      <c r="E10768" s="75"/>
      <c r="F10768" s="75"/>
    </row>
    <row r="10769" spans="2:6">
      <c r="B10769" s="75"/>
      <c r="C10769" s="75"/>
      <c r="D10769" s="75"/>
      <c r="E10769" s="75"/>
      <c r="F10769" s="75"/>
    </row>
    <row r="10770" spans="2:6">
      <c r="B10770" s="75"/>
      <c r="C10770" s="75"/>
      <c r="D10770" s="75"/>
      <c r="E10770" s="75"/>
      <c r="F10770" s="75"/>
    </row>
    <row r="10771" spans="2:6">
      <c r="B10771" s="75"/>
      <c r="C10771" s="75"/>
      <c r="D10771" s="75"/>
      <c r="E10771" s="75"/>
      <c r="F10771" s="75"/>
    </row>
    <row r="10772" spans="2:6">
      <c r="B10772" s="75"/>
      <c r="C10772" s="75"/>
      <c r="D10772" s="75"/>
      <c r="E10772" s="75"/>
      <c r="F10772" s="75"/>
    </row>
    <row r="10773" spans="2:6">
      <c r="B10773" s="75"/>
      <c r="C10773" s="75"/>
      <c r="D10773" s="75"/>
      <c r="E10773" s="75"/>
      <c r="F10773" s="75"/>
    </row>
    <row r="10774" spans="2:6">
      <c r="B10774" s="75"/>
      <c r="C10774" s="75"/>
      <c r="D10774" s="75"/>
      <c r="E10774" s="75"/>
      <c r="F10774" s="75"/>
    </row>
    <row r="10775" spans="2:6">
      <c r="B10775" s="75"/>
      <c r="C10775" s="75"/>
      <c r="D10775" s="75"/>
      <c r="E10775" s="75"/>
      <c r="F10775" s="75"/>
    </row>
    <row r="10776" spans="2:6">
      <c r="B10776" s="75"/>
      <c r="C10776" s="75"/>
      <c r="D10776" s="75"/>
      <c r="E10776" s="75"/>
      <c r="F10776" s="75"/>
    </row>
    <row r="10777" spans="2:6">
      <c r="B10777" s="75"/>
      <c r="C10777" s="75"/>
      <c r="D10777" s="75"/>
      <c r="E10777" s="75"/>
      <c r="F10777" s="75"/>
    </row>
    <row r="10778" spans="2:6">
      <c r="B10778" s="75"/>
      <c r="C10778" s="75"/>
      <c r="D10778" s="75"/>
      <c r="E10778" s="75"/>
      <c r="F10778" s="75"/>
    </row>
    <row r="10779" spans="2:6">
      <c r="B10779" s="75"/>
      <c r="C10779" s="75"/>
      <c r="D10779" s="75"/>
      <c r="E10779" s="75"/>
      <c r="F10779" s="75"/>
    </row>
    <row r="10780" spans="2:6">
      <c r="B10780" s="75"/>
      <c r="C10780" s="75"/>
      <c r="D10780" s="75"/>
      <c r="E10780" s="75"/>
      <c r="F10780" s="75"/>
    </row>
    <row r="10781" spans="2:6">
      <c r="B10781" s="75"/>
      <c r="C10781" s="75"/>
      <c r="D10781" s="75"/>
      <c r="E10781" s="75"/>
      <c r="F10781" s="75"/>
    </row>
    <row r="10782" spans="2:6">
      <c r="B10782" s="75"/>
      <c r="C10782" s="75"/>
      <c r="D10782" s="75"/>
      <c r="E10782" s="75"/>
      <c r="F10782" s="75"/>
    </row>
    <row r="10783" spans="2:6">
      <c r="B10783" s="75"/>
      <c r="C10783" s="75"/>
      <c r="D10783" s="75"/>
      <c r="E10783" s="75"/>
      <c r="F10783" s="75"/>
    </row>
    <row r="10784" spans="2:6">
      <c r="B10784" s="75"/>
      <c r="C10784" s="75"/>
      <c r="D10784" s="75"/>
      <c r="E10784" s="75"/>
      <c r="F10784" s="75"/>
    </row>
    <row r="10785" spans="2:6">
      <c r="B10785" s="75"/>
      <c r="C10785" s="75"/>
      <c r="D10785" s="75"/>
      <c r="E10785" s="75"/>
      <c r="F10785" s="75"/>
    </row>
    <row r="10786" spans="2:6">
      <c r="B10786" s="75"/>
      <c r="C10786" s="75"/>
      <c r="D10786" s="75"/>
      <c r="E10786" s="75"/>
      <c r="F10786" s="75"/>
    </row>
    <row r="10787" spans="2:6">
      <c r="B10787" s="75"/>
      <c r="C10787" s="75"/>
      <c r="D10787" s="75"/>
      <c r="E10787" s="75"/>
      <c r="F10787" s="75"/>
    </row>
    <row r="10788" spans="2:6">
      <c r="B10788" s="75"/>
      <c r="C10788" s="75"/>
      <c r="D10788" s="75"/>
      <c r="E10788" s="75"/>
      <c r="F10788" s="75"/>
    </row>
    <row r="10789" spans="2:6">
      <c r="B10789" s="75"/>
      <c r="C10789" s="75"/>
      <c r="D10789" s="75"/>
      <c r="E10789" s="75"/>
      <c r="F10789" s="75"/>
    </row>
    <row r="10790" spans="2:6">
      <c r="B10790" s="75"/>
      <c r="C10790" s="75"/>
      <c r="D10790" s="75"/>
      <c r="E10790" s="75"/>
      <c r="F10790" s="75"/>
    </row>
    <row r="10791" spans="2:6">
      <c r="B10791" s="75"/>
      <c r="C10791" s="75"/>
      <c r="D10791" s="75"/>
      <c r="E10791" s="75"/>
      <c r="F10791" s="75"/>
    </row>
    <row r="10792" spans="2:6">
      <c r="B10792" s="75"/>
      <c r="C10792" s="75"/>
      <c r="D10792" s="75"/>
      <c r="E10792" s="75"/>
      <c r="F10792" s="75"/>
    </row>
    <row r="10793" spans="2:6">
      <c r="B10793" s="75"/>
      <c r="C10793" s="75"/>
      <c r="D10793" s="75"/>
      <c r="E10793" s="75"/>
      <c r="F10793" s="75"/>
    </row>
    <row r="10794" spans="2:6">
      <c r="B10794" s="75"/>
      <c r="C10794" s="75"/>
      <c r="D10794" s="75"/>
      <c r="E10794" s="75"/>
      <c r="F10794" s="75"/>
    </row>
    <row r="10795" spans="2:6">
      <c r="B10795" s="75"/>
      <c r="C10795" s="75"/>
      <c r="D10795" s="75"/>
      <c r="E10795" s="75"/>
      <c r="F10795" s="75"/>
    </row>
    <row r="10796" spans="2:6">
      <c r="B10796" s="75"/>
      <c r="C10796" s="75"/>
      <c r="D10796" s="75"/>
      <c r="E10796" s="75"/>
      <c r="F10796" s="75"/>
    </row>
    <row r="10797" spans="2:6">
      <c r="B10797" s="75"/>
      <c r="C10797" s="75"/>
      <c r="D10797" s="75"/>
      <c r="E10797" s="75"/>
      <c r="F10797" s="75"/>
    </row>
    <row r="10798" spans="2:6">
      <c r="B10798" s="75"/>
      <c r="C10798" s="75"/>
      <c r="D10798" s="75"/>
      <c r="E10798" s="75"/>
      <c r="F10798" s="75"/>
    </row>
    <row r="10799" spans="2:6">
      <c r="B10799" s="75"/>
      <c r="C10799" s="75"/>
      <c r="D10799" s="75"/>
      <c r="E10799" s="75"/>
      <c r="F10799" s="75"/>
    </row>
    <row r="10800" spans="2:6">
      <c r="B10800" s="75"/>
      <c r="C10800" s="75"/>
      <c r="D10800" s="75"/>
      <c r="E10800" s="75"/>
      <c r="F10800" s="75"/>
    </row>
    <row r="10801" spans="2:6">
      <c r="B10801" s="75"/>
      <c r="C10801" s="75"/>
      <c r="D10801" s="75"/>
      <c r="E10801" s="75"/>
      <c r="F10801" s="75"/>
    </row>
    <row r="10802" spans="2:6">
      <c r="B10802" s="75"/>
      <c r="C10802" s="75"/>
      <c r="D10802" s="75"/>
      <c r="E10802" s="75"/>
      <c r="F10802" s="75"/>
    </row>
    <row r="10803" spans="2:6">
      <c r="B10803" s="75"/>
      <c r="C10803" s="75"/>
      <c r="D10803" s="75"/>
      <c r="E10803" s="75"/>
      <c r="F10803" s="75"/>
    </row>
    <row r="10804" spans="2:6">
      <c r="B10804" s="75"/>
      <c r="C10804" s="75"/>
      <c r="D10804" s="75"/>
      <c r="E10804" s="75"/>
      <c r="F10804" s="75"/>
    </row>
    <row r="10805" spans="2:6">
      <c r="B10805" s="75"/>
      <c r="C10805" s="75"/>
      <c r="D10805" s="75"/>
      <c r="E10805" s="75"/>
      <c r="F10805" s="75"/>
    </row>
    <row r="10806" spans="2:6">
      <c r="B10806" s="75"/>
      <c r="C10806" s="75"/>
      <c r="D10806" s="75"/>
      <c r="E10806" s="75"/>
      <c r="F10806" s="75"/>
    </row>
    <row r="10807" spans="2:6">
      <c r="B10807" s="75"/>
      <c r="C10807" s="75"/>
      <c r="D10807" s="75"/>
      <c r="E10807" s="75"/>
      <c r="F10807" s="75"/>
    </row>
    <row r="10808" spans="2:6">
      <c r="B10808" s="75"/>
      <c r="C10808" s="75"/>
      <c r="D10808" s="75"/>
      <c r="E10808" s="75"/>
      <c r="F10808" s="75"/>
    </row>
    <row r="10809" spans="2:6">
      <c r="B10809" s="75"/>
      <c r="C10809" s="75"/>
      <c r="D10809" s="75"/>
      <c r="E10809" s="75"/>
      <c r="F10809" s="75"/>
    </row>
    <row r="10810" spans="2:6">
      <c r="B10810" s="75"/>
      <c r="C10810" s="75"/>
      <c r="D10810" s="75"/>
      <c r="E10810" s="75"/>
      <c r="F10810" s="75"/>
    </row>
    <row r="10811" spans="2:6">
      <c r="B10811" s="75"/>
      <c r="C10811" s="75"/>
      <c r="D10811" s="75"/>
      <c r="E10811" s="75"/>
      <c r="F10811" s="75"/>
    </row>
    <row r="10812" spans="2:6">
      <c r="B10812" s="75"/>
      <c r="C10812" s="75"/>
      <c r="D10812" s="75"/>
      <c r="E10812" s="75"/>
      <c r="F10812" s="75"/>
    </row>
    <row r="10813" spans="2:6">
      <c r="B10813" s="75"/>
      <c r="C10813" s="75"/>
      <c r="D10813" s="75"/>
      <c r="E10813" s="75"/>
      <c r="F10813" s="75"/>
    </row>
    <row r="10814" spans="2:6">
      <c r="B10814" s="75"/>
      <c r="C10814" s="75"/>
      <c r="D10814" s="75"/>
      <c r="E10814" s="75"/>
      <c r="F10814" s="75"/>
    </row>
    <row r="10815" spans="2:6">
      <c r="B10815" s="75"/>
      <c r="C10815" s="75"/>
      <c r="D10815" s="75"/>
      <c r="E10815" s="75"/>
      <c r="F10815" s="75"/>
    </row>
    <row r="10816" spans="2:6">
      <c r="B10816" s="75"/>
      <c r="C10816" s="75"/>
      <c r="D10816" s="75"/>
      <c r="E10816" s="75"/>
      <c r="F10816" s="75"/>
    </row>
    <row r="10817" spans="2:6">
      <c r="B10817" s="75"/>
      <c r="C10817" s="75"/>
      <c r="D10817" s="75"/>
      <c r="E10817" s="75"/>
      <c r="F10817" s="75"/>
    </row>
    <row r="10818" spans="2:6">
      <c r="B10818" s="75"/>
      <c r="C10818" s="75"/>
      <c r="D10818" s="75"/>
      <c r="E10818" s="75"/>
      <c r="F10818" s="75"/>
    </row>
    <row r="10819" spans="2:6">
      <c r="B10819" s="75"/>
      <c r="C10819" s="75"/>
      <c r="D10819" s="75"/>
      <c r="E10819" s="75"/>
      <c r="F10819" s="75"/>
    </row>
    <row r="10820" spans="2:6">
      <c r="B10820" s="75"/>
      <c r="C10820" s="75"/>
      <c r="D10820" s="75"/>
      <c r="E10820" s="75"/>
      <c r="F10820" s="75"/>
    </row>
    <row r="10821" spans="2:6">
      <c r="B10821" s="75"/>
      <c r="C10821" s="75"/>
      <c r="D10821" s="75"/>
      <c r="E10821" s="75"/>
      <c r="F10821" s="75"/>
    </row>
    <row r="10822" spans="2:6">
      <c r="B10822" s="75"/>
      <c r="C10822" s="75"/>
      <c r="D10822" s="75"/>
      <c r="E10822" s="75"/>
      <c r="F10822" s="75"/>
    </row>
    <row r="10823" spans="2:6">
      <c r="B10823" s="75"/>
      <c r="C10823" s="75"/>
      <c r="D10823" s="75"/>
      <c r="E10823" s="75"/>
      <c r="F10823" s="75"/>
    </row>
    <row r="10824" spans="2:6">
      <c r="B10824" s="75"/>
      <c r="C10824" s="75"/>
      <c r="D10824" s="75"/>
      <c r="E10824" s="75"/>
      <c r="F10824" s="75"/>
    </row>
    <row r="10825" spans="2:6">
      <c r="B10825" s="75"/>
      <c r="C10825" s="75"/>
      <c r="D10825" s="75"/>
      <c r="E10825" s="75"/>
      <c r="F10825" s="75"/>
    </row>
    <row r="10826" spans="2:6">
      <c r="B10826" s="75"/>
      <c r="C10826" s="75"/>
      <c r="D10826" s="75"/>
      <c r="E10826" s="75"/>
      <c r="F10826" s="75"/>
    </row>
    <row r="10827" spans="2:6">
      <c r="B10827" s="75"/>
      <c r="C10827" s="75"/>
      <c r="D10827" s="75"/>
      <c r="E10827" s="75"/>
      <c r="F10827" s="75"/>
    </row>
    <row r="10828" spans="2:6">
      <c r="B10828" s="75"/>
      <c r="C10828" s="75"/>
      <c r="D10828" s="75"/>
      <c r="E10828" s="75"/>
      <c r="F10828" s="75"/>
    </row>
    <row r="10829" spans="2:6">
      <c r="B10829" s="75"/>
      <c r="C10829" s="75"/>
      <c r="D10829" s="75"/>
      <c r="E10829" s="75"/>
      <c r="F10829" s="75"/>
    </row>
    <row r="10830" spans="2:6">
      <c r="B10830" s="75"/>
      <c r="C10830" s="75"/>
      <c r="D10830" s="75"/>
      <c r="E10830" s="75"/>
      <c r="F10830" s="75"/>
    </row>
    <row r="10831" spans="2:6">
      <c r="B10831" s="75"/>
      <c r="C10831" s="75"/>
      <c r="D10831" s="75"/>
      <c r="E10831" s="75"/>
      <c r="F10831" s="75"/>
    </row>
    <row r="10832" spans="2:6">
      <c r="B10832" s="75"/>
      <c r="C10832" s="75"/>
      <c r="D10832" s="75"/>
      <c r="E10832" s="75"/>
      <c r="F10832" s="75"/>
    </row>
    <row r="10833" spans="2:6">
      <c r="B10833" s="75"/>
      <c r="C10833" s="75"/>
      <c r="D10833" s="75"/>
      <c r="E10833" s="75"/>
      <c r="F10833" s="75"/>
    </row>
    <row r="10834" spans="2:6">
      <c r="B10834" s="75"/>
      <c r="C10834" s="75"/>
      <c r="D10834" s="75"/>
      <c r="E10834" s="75"/>
      <c r="F10834" s="75"/>
    </row>
    <row r="10835" spans="2:6">
      <c r="B10835" s="75"/>
      <c r="C10835" s="75"/>
      <c r="D10835" s="75"/>
      <c r="E10835" s="75"/>
      <c r="F10835" s="75"/>
    </row>
    <row r="10836" spans="2:6">
      <c r="B10836" s="75"/>
      <c r="C10836" s="75"/>
      <c r="D10836" s="75"/>
      <c r="E10836" s="75"/>
      <c r="F10836" s="75"/>
    </row>
    <row r="10837" spans="2:6">
      <c r="B10837" s="75"/>
      <c r="C10837" s="75"/>
      <c r="D10837" s="75"/>
      <c r="E10837" s="75"/>
      <c r="F10837" s="75"/>
    </row>
    <row r="10838" spans="2:6">
      <c r="B10838" s="75"/>
      <c r="C10838" s="75"/>
      <c r="D10838" s="75"/>
      <c r="E10838" s="75"/>
      <c r="F10838" s="75"/>
    </row>
    <row r="10839" spans="2:6">
      <c r="B10839" s="75"/>
      <c r="C10839" s="75"/>
      <c r="D10839" s="75"/>
      <c r="E10839" s="75"/>
      <c r="F10839" s="75"/>
    </row>
    <row r="10840" spans="2:6">
      <c r="B10840" s="75"/>
      <c r="C10840" s="75"/>
      <c r="D10840" s="75"/>
      <c r="E10840" s="75"/>
      <c r="F10840" s="75"/>
    </row>
    <row r="10841" spans="2:6">
      <c r="B10841" s="75"/>
      <c r="C10841" s="75"/>
      <c r="D10841" s="75"/>
      <c r="E10841" s="75"/>
      <c r="F10841" s="75"/>
    </row>
    <row r="10842" spans="2:6">
      <c r="B10842" s="75"/>
      <c r="C10842" s="75"/>
      <c r="D10842" s="75"/>
      <c r="E10842" s="75"/>
      <c r="F10842" s="75"/>
    </row>
    <row r="10843" spans="2:6">
      <c r="B10843" s="75"/>
      <c r="C10843" s="75"/>
      <c r="D10843" s="75"/>
      <c r="E10843" s="75"/>
      <c r="F10843" s="75"/>
    </row>
    <row r="10844" spans="2:6">
      <c r="B10844" s="75"/>
      <c r="C10844" s="75"/>
      <c r="D10844" s="75"/>
      <c r="E10844" s="75"/>
      <c r="F10844" s="75"/>
    </row>
    <row r="10845" spans="2:6">
      <c r="B10845" s="75"/>
      <c r="C10845" s="75"/>
      <c r="D10845" s="75"/>
      <c r="E10845" s="75"/>
      <c r="F10845" s="75"/>
    </row>
    <row r="10846" spans="2:6">
      <c r="B10846" s="75"/>
      <c r="C10846" s="75"/>
      <c r="D10846" s="75"/>
      <c r="E10846" s="75"/>
      <c r="F10846" s="75"/>
    </row>
    <row r="10847" spans="2:6">
      <c r="B10847" s="75"/>
      <c r="C10847" s="75"/>
      <c r="D10847" s="75"/>
      <c r="E10847" s="75"/>
      <c r="F10847" s="75"/>
    </row>
    <row r="10848" spans="2:6">
      <c r="B10848" s="75"/>
      <c r="C10848" s="75"/>
      <c r="D10848" s="75"/>
      <c r="E10848" s="75"/>
      <c r="F10848" s="75"/>
    </row>
    <row r="10849" spans="2:6">
      <c r="B10849" s="75"/>
      <c r="C10849" s="75"/>
      <c r="D10849" s="75"/>
      <c r="E10849" s="75"/>
      <c r="F10849" s="75"/>
    </row>
    <row r="10850" spans="2:6">
      <c r="B10850" s="75"/>
      <c r="C10850" s="75"/>
      <c r="D10850" s="75"/>
      <c r="E10850" s="75"/>
      <c r="F10850" s="75"/>
    </row>
    <row r="10851" spans="2:6">
      <c r="B10851" s="75"/>
      <c r="C10851" s="75"/>
      <c r="D10851" s="75"/>
      <c r="E10851" s="75"/>
      <c r="F10851" s="75"/>
    </row>
    <row r="10852" spans="2:6">
      <c r="B10852" s="75"/>
      <c r="C10852" s="75"/>
      <c r="D10852" s="75"/>
      <c r="E10852" s="75"/>
      <c r="F10852" s="75"/>
    </row>
    <row r="10853" spans="2:6">
      <c r="B10853" s="75"/>
      <c r="C10853" s="75"/>
      <c r="D10853" s="75"/>
      <c r="E10853" s="75"/>
      <c r="F10853" s="75"/>
    </row>
    <row r="10854" spans="2:6">
      <c r="B10854" s="75"/>
      <c r="C10854" s="75"/>
      <c r="D10854" s="75"/>
      <c r="E10854" s="75"/>
      <c r="F10854" s="75"/>
    </row>
    <row r="10855" spans="2:6">
      <c r="B10855" s="75"/>
      <c r="C10855" s="75"/>
      <c r="D10855" s="75"/>
      <c r="E10855" s="75"/>
      <c r="F10855" s="75"/>
    </row>
    <row r="10856" spans="2:6">
      <c r="B10856" s="75"/>
      <c r="C10856" s="75"/>
      <c r="D10856" s="75"/>
      <c r="E10856" s="75"/>
      <c r="F10856" s="75"/>
    </row>
    <row r="10857" spans="2:6">
      <c r="B10857" s="75"/>
      <c r="C10857" s="75"/>
      <c r="D10857" s="75"/>
      <c r="E10857" s="75"/>
      <c r="F10857" s="75"/>
    </row>
    <row r="10858" spans="2:6">
      <c r="B10858" s="75"/>
      <c r="C10858" s="75"/>
      <c r="D10858" s="75"/>
      <c r="E10858" s="75"/>
      <c r="F10858" s="75"/>
    </row>
    <row r="10859" spans="2:6">
      <c r="B10859" s="75"/>
      <c r="C10859" s="75"/>
      <c r="D10859" s="75"/>
      <c r="E10859" s="75"/>
      <c r="F10859" s="75"/>
    </row>
    <row r="10860" spans="2:6">
      <c r="B10860" s="75"/>
      <c r="C10860" s="75"/>
      <c r="D10860" s="75"/>
      <c r="E10860" s="75"/>
      <c r="F10860" s="75"/>
    </row>
    <row r="10861" spans="2:6">
      <c r="B10861" s="75"/>
      <c r="C10861" s="75"/>
      <c r="D10861" s="75"/>
      <c r="E10861" s="75"/>
      <c r="F10861" s="75"/>
    </row>
    <row r="10862" spans="2:6">
      <c r="B10862" s="75"/>
      <c r="C10862" s="75"/>
      <c r="D10862" s="75"/>
      <c r="E10862" s="75"/>
      <c r="F10862" s="75"/>
    </row>
    <row r="10863" spans="2:6">
      <c r="B10863" s="75"/>
      <c r="C10863" s="75"/>
      <c r="D10863" s="75"/>
      <c r="E10863" s="75"/>
      <c r="F10863" s="75"/>
    </row>
    <row r="10864" spans="2:6">
      <c r="B10864" s="75"/>
      <c r="C10864" s="75"/>
      <c r="D10864" s="75"/>
      <c r="E10864" s="75"/>
      <c r="F10864" s="75"/>
    </row>
    <row r="10865" spans="2:6">
      <c r="B10865" s="75"/>
      <c r="C10865" s="75"/>
      <c r="D10865" s="75"/>
      <c r="E10865" s="75"/>
      <c r="F10865" s="75"/>
    </row>
    <row r="10866" spans="2:6">
      <c r="B10866" s="75"/>
      <c r="C10866" s="75"/>
      <c r="D10866" s="75"/>
      <c r="E10866" s="75"/>
      <c r="F10866" s="75"/>
    </row>
    <row r="10867" spans="2:6">
      <c r="B10867" s="75"/>
      <c r="C10867" s="75"/>
      <c r="D10867" s="75"/>
      <c r="E10867" s="75"/>
      <c r="F10867" s="75"/>
    </row>
    <row r="10868" spans="2:6">
      <c r="B10868" s="75"/>
      <c r="C10868" s="75"/>
      <c r="D10868" s="75"/>
      <c r="E10868" s="75"/>
      <c r="F10868" s="75"/>
    </row>
    <row r="10869" spans="2:6">
      <c r="B10869" s="75"/>
      <c r="C10869" s="75"/>
      <c r="D10869" s="75"/>
      <c r="E10869" s="75"/>
      <c r="F10869" s="75"/>
    </row>
    <row r="10870" spans="2:6">
      <c r="B10870" s="75"/>
      <c r="C10870" s="75"/>
      <c r="D10870" s="75"/>
      <c r="E10870" s="75"/>
      <c r="F10870" s="75"/>
    </row>
    <row r="10871" spans="2:6">
      <c r="B10871" s="75"/>
      <c r="C10871" s="75"/>
      <c r="D10871" s="75"/>
      <c r="E10871" s="75"/>
      <c r="F10871" s="75"/>
    </row>
    <row r="10872" spans="2:6">
      <c r="B10872" s="75"/>
      <c r="C10872" s="75"/>
      <c r="D10872" s="75"/>
      <c r="E10872" s="75"/>
      <c r="F10872" s="75"/>
    </row>
    <row r="10873" spans="2:6">
      <c r="B10873" s="75"/>
      <c r="C10873" s="75"/>
      <c r="D10873" s="75"/>
      <c r="E10873" s="75"/>
      <c r="F10873" s="75"/>
    </row>
    <row r="10874" spans="2:6">
      <c r="B10874" s="75"/>
      <c r="C10874" s="75"/>
      <c r="D10874" s="75"/>
      <c r="E10874" s="75"/>
      <c r="F10874" s="75"/>
    </row>
    <row r="10875" spans="2:6">
      <c r="B10875" s="75"/>
      <c r="C10875" s="75"/>
      <c r="D10875" s="75"/>
      <c r="E10875" s="75"/>
      <c r="F10875" s="75"/>
    </row>
    <row r="10876" spans="2:6">
      <c r="B10876" s="75"/>
      <c r="C10876" s="75"/>
      <c r="D10876" s="75"/>
      <c r="E10876" s="75"/>
      <c r="F10876" s="75"/>
    </row>
    <row r="10877" spans="2:6">
      <c r="B10877" s="75"/>
      <c r="C10877" s="75"/>
      <c r="D10877" s="75"/>
      <c r="E10877" s="75"/>
      <c r="F10877" s="75"/>
    </row>
    <row r="10878" spans="2:6">
      <c r="B10878" s="75"/>
      <c r="C10878" s="75"/>
      <c r="D10878" s="75"/>
      <c r="E10878" s="75"/>
      <c r="F10878" s="75"/>
    </row>
    <row r="10879" spans="2:6">
      <c r="B10879" s="75"/>
      <c r="C10879" s="75"/>
      <c r="D10879" s="75"/>
      <c r="E10879" s="75"/>
      <c r="F10879" s="75"/>
    </row>
    <row r="10880" spans="2:6">
      <c r="B10880" s="75"/>
      <c r="C10880" s="75"/>
      <c r="D10880" s="75"/>
      <c r="E10880" s="75"/>
      <c r="F10880" s="75"/>
    </row>
    <row r="10881" spans="2:6">
      <c r="B10881" s="75"/>
      <c r="C10881" s="75"/>
      <c r="D10881" s="75"/>
      <c r="E10881" s="75"/>
      <c r="F10881" s="75"/>
    </row>
    <row r="10882" spans="2:6">
      <c r="B10882" s="75"/>
      <c r="C10882" s="75"/>
      <c r="D10882" s="75"/>
      <c r="E10882" s="75"/>
      <c r="F10882" s="75"/>
    </row>
    <row r="10883" spans="2:6">
      <c r="B10883" s="75"/>
      <c r="C10883" s="75"/>
      <c r="D10883" s="75"/>
      <c r="E10883" s="75"/>
      <c r="F10883" s="75"/>
    </row>
    <row r="10884" spans="2:6">
      <c r="B10884" s="75"/>
      <c r="C10884" s="75"/>
      <c r="D10884" s="75"/>
      <c r="E10884" s="75"/>
      <c r="F10884" s="75"/>
    </row>
    <row r="10885" spans="2:6">
      <c r="B10885" s="75"/>
      <c r="C10885" s="75"/>
      <c r="D10885" s="75"/>
      <c r="E10885" s="75"/>
      <c r="F10885" s="75"/>
    </row>
    <row r="10886" spans="2:6">
      <c r="B10886" s="75"/>
      <c r="C10886" s="75"/>
      <c r="D10886" s="75"/>
      <c r="E10886" s="75"/>
      <c r="F10886" s="75"/>
    </row>
    <row r="10887" spans="2:6">
      <c r="B10887" s="75"/>
      <c r="C10887" s="75"/>
      <c r="D10887" s="75"/>
      <c r="E10887" s="75"/>
      <c r="F10887" s="75"/>
    </row>
    <row r="10888" spans="2:6">
      <c r="B10888" s="75"/>
      <c r="C10888" s="75"/>
      <c r="D10888" s="75"/>
      <c r="E10888" s="75"/>
      <c r="F10888" s="75"/>
    </row>
    <row r="10889" spans="2:6">
      <c r="B10889" s="75"/>
      <c r="C10889" s="75"/>
      <c r="D10889" s="75"/>
      <c r="E10889" s="75"/>
      <c r="F10889" s="75"/>
    </row>
    <row r="10890" spans="2:6">
      <c r="B10890" s="75"/>
      <c r="C10890" s="75"/>
      <c r="D10890" s="75"/>
      <c r="E10890" s="75"/>
      <c r="F10890" s="75"/>
    </row>
    <row r="10891" spans="2:6">
      <c r="B10891" s="75"/>
      <c r="C10891" s="75"/>
      <c r="D10891" s="75"/>
      <c r="E10891" s="75"/>
      <c r="F10891" s="75"/>
    </row>
    <row r="10892" spans="2:6">
      <c r="B10892" s="75"/>
      <c r="C10892" s="75"/>
      <c r="D10892" s="75"/>
      <c r="E10892" s="75"/>
      <c r="F10892" s="75"/>
    </row>
    <row r="10893" spans="2:6">
      <c r="B10893" s="75"/>
      <c r="C10893" s="75"/>
      <c r="D10893" s="75"/>
      <c r="E10893" s="75"/>
      <c r="F10893" s="75"/>
    </row>
    <row r="10894" spans="2:6">
      <c r="B10894" s="75"/>
      <c r="C10894" s="75"/>
      <c r="D10894" s="75"/>
      <c r="E10894" s="75"/>
      <c r="F10894" s="75"/>
    </row>
    <row r="10895" spans="2:6">
      <c r="B10895" s="75"/>
      <c r="C10895" s="75"/>
      <c r="D10895" s="75"/>
      <c r="E10895" s="75"/>
      <c r="F10895" s="75"/>
    </row>
    <row r="10896" spans="2:6">
      <c r="B10896" s="75"/>
      <c r="C10896" s="75"/>
      <c r="D10896" s="75"/>
      <c r="E10896" s="75"/>
      <c r="F10896" s="75"/>
    </row>
    <row r="10897" spans="2:6">
      <c r="B10897" s="75"/>
      <c r="C10897" s="75"/>
      <c r="D10897" s="75"/>
      <c r="E10897" s="75"/>
      <c r="F10897" s="75"/>
    </row>
    <row r="10898" spans="2:6">
      <c r="B10898" s="75"/>
      <c r="C10898" s="75"/>
      <c r="D10898" s="75"/>
      <c r="E10898" s="75"/>
      <c r="F10898" s="75"/>
    </row>
    <row r="10899" spans="2:6">
      <c r="B10899" s="75"/>
      <c r="C10899" s="75"/>
      <c r="D10899" s="75"/>
      <c r="E10899" s="75"/>
      <c r="F10899" s="75"/>
    </row>
    <row r="10900" spans="2:6">
      <c r="B10900" s="75"/>
      <c r="C10900" s="75"/>
      <c r="D10900" s="75"/>
      <c r="E10900" s="75"/>
      <c r="F10900" s="75"/>
    </row>
    <row r="10901" spans="2:6">
      <c r="B10901" s="75"/>
      <c r="C10901" s="75"/>
      <c r="D10901" s="75"/>
      <c r="E10901" s="75"/>
      <c r="F10901" s="75"/>
    </row>
    <row r="10902" spans="2:6">
      <c r="B10902" s="75"/>
      <c r="C10902" s="75"/>
      <c r="D10902" s="75"/>
      <c r="E10902" s="75"/>
      <c r="F10902" s="75"/>
    </row>
    <row r="10903" spans="2:6">
      <c r="B10903" s="75"/>
      <c r="C10903" s="75"/>
      <c r="D10903" s="75"/>
      <c r="E10903" s="75"/>
      <c r="F10903" s="75"/>
    </row>
    <row r="10904" spans="2:6">
      <c r="B10904" s="75"/>
      <c r="C10904" s="75"/>
      <c r="D10904" s="75"/>
      <c r="E10904" s="75"/>
      <c r="F10904" s="75"/>
    </row>
    <row r="10905" spans="2:6">
      <c r="B10905" s="75"/>
      <c r="C10905" s="75"/>
      <c r="D10905" s="75"/>
      <c r="E10905" s="75"/>
      <c r="F10905" s="75"/>
    </row>
    <row r="10906" spans="2:6">
      <c r="B10906" s="75"/>
      <c r="C10906" s="75"/>
      <c r="D10906" s="75"/>
      <c r="E10906" s="75"/>
      <c r="F10906" s="75"/>
    </row>
    <row r="10907" spans="2:6">
      <c r="B10907" s="75"/>
      <c r="C10907" s="75"/>
      <c r="D10907" s="75"/>
      <c r="E10907" s="75"/>
      <c r="F10907" s="75"/>
    </row>
    <row r="10908" spans="2:6">
      <c r="B10908" s="75"/>
      <c r="C10908" s="75"/>
      <c r="D10908" s="75"/>
      <c r="E10908" s="75"/>
      <c r="F10908" s="75"/>
    </row>
    <row r="10909" spans="2:6">
      <c r="B10909" s="75"/>
      <c r="C10909" s="75"/>
      <c r="D10909" s="75"/>
      <c r="E10909" s="75"/>
      <c r="F10909" s="75"/>
    </row>
    <row r="10910" spans="2:6">
      <c r="B10910" s="75"/>
      <c r="C10910" s="75"/>
      <c r="D10910" s="75"/>
      <c r="E10910" s="75"/>
      <c r="F10910" s="75"/>
    </row>
    <row r="10911" spans="2:6">
      <c r="B10911" s="75"/>
      <c r="C10911" s="75"/>
      <c r="D10911" s="75"/>
      <c r="E10911" s="75"/>
      <c r="F10911" s="75"/>
    </row>
    <row r="10912" spans="2:6">
      <c r="B10912" s="75"/>
      <c r="C10912" s="75"/>
      <c r="D10912" s="75"/>
      <c r="E10912" s="75"/>
      <c r="F10912" s="75"/>
    </row>
    <row r="10913" spans="2:6">
      <c r="B10913" s="75"/>
      <c r="C10913" s="75"/>
      <c r="D10913" s="75"/>
      <c r="E10913" s="75"/>
      <c r="F10913" s="75"/>
    </row>
    <row r="10914" spans="2:6">
      <c r="B10914" s="75"/>
      <c r="C10914" s="75"/>
      <c r="D10914" s="75"/>
      <c r="E10914" s="75"/>
      <c r="F10914" s="75"/>
    </row>
    <row r="10915" spans="2:6">
      <c r="B10915" s="75"/>
      <c r="C10915" s="75"/>
      <c r="D10915" s="75"/>
      <c r="E10915" s="75"/>
      <c r="F10915" s="75"/>
    </row>
    <row r="10916" spans="2:6">
      <c r="B10916" s="75"/>
      <c r="C10916" s="75"/>
      <c r="D10916" s="75"/>
      <c r="E10916" s="75"/>
      <c r="F10916" s="75"/>
    </row>
    <row r="10917" spans="2:6">
      <c r="B10917" s="75"/>
      <c r="C10917" s="75"/>
      <c r="D10917" s="75"/>
      <c r="E10917" s="75"/>
      <c r="F10917" s="75"/>
    </row>
    <row r="10918" spans="2:6">
      <c r="B10918" s="75"/>
      <c r="C10918" s="75"/>
      <c r="D10918" s="75"/>
      <c r="E10918" s="75"/>
      <c r="F10918" s="75"/>
    </row>
    <row r="10919" spans="2:6">
      <c r="B10919" s="75"/>
      <c r="C10919" s="75"/>
      <c r="D10919" s="75"/>
      <c r="E10919" s="75"/>
      <c r="F10919" s="75"/>
    </row>
    <row r="10920" spans="2:6">
      <c r="B10920" s="75"/>
      <c r="C10920" s="75"/>
      <c r="D10920" s="75"/>
      <c r="E10920" s="75"/>
      <c r="F10920" s="75"/>
    </row>
    <row r="10921" spans="2:6">
      <c r="B10921" s="75"/>
      <c r="C10921" s="75"/>
      <c r="D10921" s="75"/>
      <c r="E10921" s="75"/>
      <c r="F10921" s="75"/>
    </row>
    <row r="10922" spans="2:6">
      <c r="B10922" s="75"/>
      <c r="C10922" s="75"/>
      <c r="D10922" s="75"/>
      <c r="E10922" s="75"/>
      <c r="F10922" s="75"/>
    </row>
    <row r="10923" spans="2:6">
      <c r="B10923" s="75"/>
      <c r="C10923" s="75"/>
      <c r="D10923" s="75"/>
      <c r="E10923" s="75"/>
      <c r="F10923" s="75"/>
    </row>
    <row r="10924" spans="2:6">
      <c r="B10924" s="75"/>
      <c r="C10924" s="75"/>
      <c r="D10924" s="75"/>
      <c r="E10924" s="75"/>
      <c r="F10924" s="75"/>
    </row>
    <row r="10925" spans="2:6">
      <c r="B10925" s="75"/>
      <c r="C10925" s="75"/>
      <c r="D10925" s="75"/>
      <c r="E10925" s="75"/>
      <c r="F10925" s="75"/>
    </row>
    <row r="10926" spans="2:6">
      <c r="B10926" s="75"/>
      <c r="C10926" s="75"/>
      <c r="D10926" s="75"/>
      <c r="E10926" s="75"/>
      <c r="F10926" s="75"/>
    </row>
    <row r="10927" spans="2:6">
      <c r="B10927" s="75"/>
      <c r="C10927" s="75"/>
      <c r="D10927" s="75"/>
      <c r="E10927" s="75"/>
      <c r="F10927" s="75"/>
    </row>
    <row r="10928" spans="2:6">
      <c r="B10928" s="75"/>
      <c r="C10928" s="75"/>
      <c r="D10928" s="75"/>
      <c r="E10928" s="75"/>
      <c r="F10928" s="75"/>
    </row>
    <row r="10929" spans="2:6">
      <c r="B10929" s="75"/>
      <c r="C10929" s="75"/>
      <c r="D10929" s="75"/>
      <c r="E10929" s="75"/>
      <c r="F10929" s="75"/>
    </row>
    <row r="10930" spans="2:6">
      <c r="B10930" s="75"/>
      <c r="C10930" s="75"/>
      <c r="D10930" s="75"/>
      <c r="E10930" s="75"/>
      <c r="F10930" s="75"/>
    </row>
    <row r="10931" spans="2:6">
      <c r="B10931" s="75"/>
      <c r="C10931" s="75"/>
      <c r="D10931" s="75"/>
      <c r="E10931" s="75"/>
      <c r="F10931" s="75"/>
    </row>
    <row r="10932" spans="2:6">
      <c r="B10932" s="75"/>
      <c r="C10932" s="75"/>
      <c r="D10932" s="75"/>
      <c r="E10932" s="75"/>
      <c r="F10932" s="75"/>
    </row>
    <row r="10933" spans="2:6">
      <c r="B10933" s="75"/>
      <c r="C10933" s="75"/>
      <c r="D10933" s="75"/>
      <c r="E10933" s="75"/>
      <c r="F10933" s="75"/>
    </row>
    <row r="10934" spans="2:6">
      <c r="B10934" s="75"/>
      <c r="C10934" s="75"/>
      <c r="D10934" s="75"/>
      <c r="E10934" s="75"/>
      <c r="F10934" s="75"/>
    </row>
    <row r="10935" spans="2:6">
      <c r="B10935" s="75"/>
      <c r="C10935" s="75"/>
      <c r="D10935" s="75"/>
      <c r="E10935" s="75"/>
      <c r="F10935" s="75"/>
    </row>
    <row r="10936" spans="2:6">
      <c r="B10936" s="75"/>
      <c r="C10936" s="75"/>
      <c r="D10936" s="75"/>
      <c r="E10936" s="75"/>
      <c r="F10936" s="75"/>
    </row>
    <row r="10937" spans="2:6">
      <c r="B10937" s="75"/>
      <c r="C10937" s="75"/>
      <c r="D10937" s="75"/>
      <c r="E10937" s="75"/>
      <c r="F10937" s="75"/>
    </row>
    <row r="10938" spans="2:6">
      <c r="B10938" s="75"/>
      <c r="C10938" s="75"/>
      <c r="D10938" s="75"/>
      <c r="E10938" s="75"/>
      <c r="F10938" s="75"/>
    </row>
    <row r="10939" spans="2:6">
      <c r="B10939" s="75"/>
      <c r="C10939" s="75"/>
      <c r="D10939" s="75"/>
      <c r="E10939" s="75"/>
      <c r="F10939" s="75"/>
    </row>
    <row r="10940" spans="2:6">
      <c r="B10940" s="75"/>
      <c r="C10940" s="75"/>
      <c r="D10940" s="75"/>
      <c r="E10940" s="75"/>
      <c r="F10940" s="75"/>
    </row>
    <row r="10941" spans="2:6">
      <c r="B10941" s="75"/>
      <c r="C10941" s="75"/>
      <c r="D10941" s="75"/>
      <c r="E10941" s="75"/>
      <c r="F10941" s="75"/>
    </row>
    <row r="10942" spans="2:6">
      <c r="B10942" s="75"/>
      <c r="C10942" s="75"/>
      <c r="D10942" s="75"/>
      <c r="E10942" s="75"/>
      <c r="F10942" s="75"/>
    </row>
    <row r="10943" spans="2:6">
      <c r="B10943" s="75"/>
      <c r="C10943" s="75"/>
      <c r="D10943" s="75"/>
      <c r="E10943" s="75"/>
      <c r="F10943" s="75"/>
    </row>
    <row r="10944" spans="2:6">
      <c r="B10944" s="75"/>
      <c r="C10944" s="75"/>
      <c r="D10944" s="75"/>
      <c r="E10944" s="75"/>
      <c r="F10944" s="75"/>
    </row>
    <row r="10945" spans="2:6">
      <c r="B10945" s="75"/>
      <c r="C10945" s="75"/>
      <c r="D10945" s="75"/>
      <c r="E10945" s="75"/>
      <c r="F10945" s="75"/>
    </row>
    <row r="10946" spans="2:6">
      <c r="B10946" s="75"/>
      <c r="C10946" s="75"/>
      <c r="D10946" s="75"/>
      <c r="E10946" s="75"/>
      <c r="F10946" s="75"/>
    </row>
    <row r="10947" spans="2:6">
      <c r="B10947" s="75"/>
      <c r="C10947" s="75"/>
      <c r="D10947" s="75"/>
      <c r="E10947" s="75"/>
      <c r="F10947" s="75"/>
    </row>
    <row r="10948" spans="2:6">
      <c r="B10948" s="75"/>
      <c r="C10948" s="75"/>
      <c r="D10948" s="75"/>
      <c r="E10948" s="75"/>
      <c r="F10948" s="75"/>
    </row>
    <row r="10949" spans="2:6">
      <c r="B10949" s="75"/>
      <c r="C10949" s="75"/>
      <c r="D10949" s="75"/>
      <c r="E10949" s="75"/>
      <c r="F10949" s="75"/>
    </row>
    <row r="10950" spans="2:6">
      <c r="B10950" s="75"/>
      <c r="C10950" s="75"/>
      <c r="D10950" s="75"/>
      <c r="E10950" s="75"/>
      <c r="F10950" s="75"/>
    </row>
    <row r="10951" spans="2:6">
      <c r="B10951" s="75"/>
      <c r="C10951" s="75"/>
      <c r="D10951" s="75"/>
      <c r="E10951" s="75"/>
      <c r="F10951" s="75"/>
    </row>
    <row r="10952" spans="2:6">
      <c r="B10952" s="75"/>
      <c r="C10952" s="75"/>
      <c r="D10952" s="75"/>
      <c r="E10952" s="75"/>
      <c r="F10952" s="75"/>
    </row>
    <row r="10953" spans="2:6">
      <c r="B10953" s="75"/>
      <c r="C10953" s="75"/>
      <c r="D10953" s="75"/>
      <c r="E10953" s="75"/>
      <c r="F10953" s="75"/>
    </row>
    <row r="10954" spans="2:6">
      <c r="B10954" s="75"/>
      <c r="C10954" s="75"/>
      <c r="D10954" s="75"/>
      <c r="E10954" s="75"/>
      <c r="F10954" s="75"/>
    </row>
    <row r="10955" spans="2:6">
      <c r="B10955" s="75"/>
      <c r="C10955" s="75"/>
      <c r="D10955" s="75"/>
      <c r="E10955" s="75"/>
      <c r="F10955" s="75"/>
    </row>
    <row r="10956" spans="2:6">
      <c r="B10956" s="75"/>
      <c r="C10956" s="75"/>
      <c r="D10956" s="75"/>
      <c r="E10956" s="75"/>
      <c r="F10956" s="75"/>
    </row>
    <row r="10957" spans="2:6">
      <c r="B10957" s="75"/>
      <c r="C10957" s="75"/>
      <c r="D10957" s="75"/>
      <c r="E10957" s="75"/>
      <c r="F10957" s="75"/>
    </row>
    <row r="10958" spans="2:6">
      <c r="B10958" s="75"/>
      <c r="C10958" s="75"/>
      <c r="D10958" s="75"/>
      <c r="E10958" s="75"/>
      <c r="F10958" s="75"/>
    </row>
    <row r="10959" spans="2:6">
      <c r="B10959" s="75"/>
      <c r="C10959" s="75"/>
      <c r="D10959" s="75"/>
      <c r="E10959" s="75"/>
      <c r="F10959" s="75"/>
    </row>
    <row r="10960" spans="2:6">
      <c r="B10960" s="75"/>
      <c r="C10960" s="75"/>
      <c r="D10960" s="75"/>
      <c r="E10960" s="75"/>
      <c r="F10960" s="75"/>
    </row>
    <row r="10961" spans="2:6">
      <c r="B10961" s="75"/>
      <c r="C10961" s="75"/>
      <c r="D10961" s="75"/>
      <c r="E10961" s="75"/>
      <c r="F10961" s="75"/>
    </row>
    <row r="10962" spans="2:6">
      <c r="B10962" s="75"/>
      <c r="C10962" s="75"/>
      <c r="D10962" s="75"/>
      <c r="E10962" s="75"/>
      <c r="F10962" s="75"/>
    </row>
    <row r="10963" spans="2:6">
      <c r="B10963" s="75"/>
      <c r="C10963" s="75"/>
      <c r="D10963" s="75"/>
      <c r="E10963" s="75"/>
      <c r="F10963" s="75"/>
    </row>
    <row r="10964" spans="2:6">
      <c r="B10964" s="75"/>
      <c r="C10964" s="75"/>
      <c r="D10964" s="75"/>
      <c r="E10964" s="75"/>
      <c r="F10964" s="75"/>
    </row>
    <row r="10965" spans="2:6">
      <c r="B10965" s="75"/>
      <c r="C10965" s="75"/>
      <c r="D10965" s="75"/>
      <c r="E10965" s="75"/>
      <c r="F10965" s="75"/>
    </row>
    <row r="10966" spans="2:6">
      <c r="B10966" s="75"/>
      <c r="C10966" s="75"/>
      <c r="D10966" s="75"/>
      <c r="E10966" s="75"/>
      <c r="F10966" s="75"/>
    </row>
    <row r="10967" spans="2:6">
      <c r="B10967" s="75"/>
      <c r="C10967" s="75"/>
      <c r="D10967" s="75"/>
      <c r="E10967" s="75"/>
      <c r="F10967" s="75"/>
    </row>
    <row r="10968" spans="2:6">
      <c r="B10968" s="75"/>
      <c r="C10968" s="75"/>
      <c r="D10968" s="75"/>
      <c r="E10968" s="75"/>
      <c r="F10968" s="75"/>
    </row>
    <row r="10969" spans="2:6">
      <c r="B10969" s="75"/>
      <c r="C10969" s="75"/>
      <c r="D10969" s="75"/>
      <c r="E10969" s="75"/>
      <c r="F10969" s="75"/>
    </row>
    <row r="10970" spans="2:6">
      <c r="B10970" s="75"/>
      <c r="C10970" s="75"/>
      <c r="D10970" s="75"/>
      <c r="E10970" s="75"/>
      <c r="F10970" s="75"/>
    </row>
    <row r="10971" spans="2:6">
      <c r="B10971" s="75"/>
      <c r="C10971" s="75"/>
      <c r="D10971" s="75"/>
      <c r="E10971" s="75"/>
      <c r="F10971" s="75"/>
    </row>
    <row r="10972" spans="2:6">
      <c r="B10972" s="75"/>
      <c r="C10972" s="75"/>
      <c r="D10972" s="75"/>
      <c r="E10972" s="75"/>
      <c r="F10972" s="75"/>
    </row>
    <row r="10973" spans="2:6">
      <c r="B10973" s="75"/>
      <c r="C10973" s="75"/>
      <c r="D10973" s="75"/>
      <c r="E10973" s="75"/>
      <c r="F10973" s="75"/>
    </row>
    <row r="10974" spans="2:6">
      <c r="B10974" s="75"/>
      <c r="C10974" s="75"/>
      <c r="D10974" s="75"/>
      <c r="E10974" s="75"/>
      <c r="F10974" s="75"/>
    </row>
    <row r="10975" spans="2:6">
      <c r="B10975" s="75"/>
      <c r="C10975" s="75"/>
      <c r="D10975" s="75"/>
      <c r="E10975" s="75"/>
      <c r="F10975" s="75"/>
    </row>
    <row r="10976" spans="2:6">
      <c r="B10976" s="75"/>
      <c r="C10976" s="75"/>
      <c r="D10976" s="75"/>
      <c r="E10976" s="75"/>
      <c r="F10976" s="75"/>
    </row>
    <row r="10977" spans="2:6">
      <c r="B10977" s="75"/>
      <c r="C10977" s="75"/>
      <c r="D10977" s="75"/>
      <c r="E10977" s="75"/>
      <c r="F10977" s="75"/>
    </row>
    <row r="10978" spans="2:6">
      <c r="B10978" s="75"/>
      <c r="C10978" s="75"/>
      <c r="D10978" s="75"/>
      <c r="E10978" s="75"/>
      <c r="F10978" s="75"/>
    </row>
    <row r="10979" spans="2:6">
      <c r="B10979" s="75"/>
      <c r="C10979" s="75"/>
      <c r="D10979" s="75"/>
      <c r="E10979" s="75"/>
      <c r="F10979" s="75"/>
    </row>
    <row r="10980" spans="2:6">
      <c r="B10980" s="75"/>
      <c r="C10980" s="75"/>
      <c r="D10980" s="75"/>
      <c r="E10980" s="75"/>
      <c r="F10980" s="75"/>
    </row>
    <row r="10981" spans="2:6">
      <c r="B10981" s="75"/>
      <c r="C10981" s="75"/>
      <c r="D10981" s="75"/>
      <c r="E10981" s="75"/>
      <c r="F10981" s="75"/>
    </row>
    <row r="10982" spans="2:6">
      <c r="B10982" s="75"/>
      <c r="C10982" s="75"/>
      <c r="D10982" s="75"/>
      <c r="E10982" s="75"/>
      <c r="F10982" s="75"/>
    </row>
    <row r="10983" spans="2:6">
      <c r="B10983" s="75"/>
      <c r="C10983" s="75"/>
      <c r="D10983" s="75"/>
      <c r="E10983" s="75"/>
      <c r="F10983" s="75"/>
    </row>
    <row r="10984" spans="2:6">
      <c r="B10984" s="75"/>
      <c r="C10984" s="75"/>
      <c r="D10984" s="75"/>
      <c r="E10984" s="75"/>
      <c r="F10984" s="75"/>
    </row>
    <row r="10985" spans="2:6">
      <c r="B10985" s="75"/>
      <c r="C10985" s="75"/>
      <c r="D10985" s="75"/>
      <c r="E10985" s="75"/>
      <c r="F10985" s="75"/>
    </row>
    <row r="10986" spans="2:6">
      <c r="B10986" s="75"/>
      <c r="C10986" s="75"/>
      <c r="D10986" s="75"/>
      <c r="E10986" s="75"/>
      <c r="F10986" s="75"/>
    </row>
    <row r="10987" spans="2:6">
      <c r="B10987" s="75"/>
      <c r="C10987" s="75"/>
      <c r="D10987" s="75"/>
      <c r="E10987" s="75"/>
      <c r="F10987" s="75"/>
    </row>
    <row r="10988" spans="2:6">
      <c r="B10988" s="75"/>
      <c r="C10988" s="75"/>
      <c r="D10988" s="75"/>
      <c r="E10988" s="75"/>
      <c r="F10988" s="75"/>
    </row>
    <row r="10989" spans="2:6">
      <c r="B10989" s="75"/>
      <c r="C10989" s="75"/>
      <c r="D10989" s="75"/>
      <c r="E10989" s="75"/>
      <c r="F10989" s="75"/>
    </row>
    <row r="10990" spans="2:6">
      <c r="B10990" s="75"/>
      <c r="C10990" s="75"/>
      <c r="D10990" s="75"/>
      <c r="E10990" s="75"/>
      <c r="F10990" s="75"/>
    </row>
    <row r="10991" spans="2:6">
      <c r="B10991" s="75"/>
      <c r="C10991" s="75"/>
      <c r="D10991" s="75"/>
      <c r="E10991" s="75"/>
      <c r="F10991" s="75"/>
    </row>
    <row r="10992" spans="2:6">
      <c r="B10992" s="75"/>
      <c r="C10992" s="75"/>
      <c r="D10992" s="75"/>
      <c r="E10992" s="75"/>
      <c r="F10992" s="75"/>
    </row>
    <row r="10993" spans="2:6">
      <c r="B10993" s="75"/>
      <c r="C10993" s="75"/>
      <c r="D10993" s="75"/>
      <c r="E10993" s="75"/>
      <c r="F10993" s="75"/>
    </row>
    <row r="10994" spans="2:6">
      <c r="B10994" s="75"/>
      <c r="C10994" s="75"/>
      <c r="D10994" s="75"/>
      <c r="E10994" s="75"/>
      <c r="F10994" s="75"/>
    </row>
    <row r="10995" spans="2:6">
      <c r="B10995" s="75"/>
      <c r="C10995" s="75"/>
      <c r="D10995" s="75"/>
      <c r="E10995" s="75"/>
      <c r="F10995" s="75"/>
    </row>
    <row r="10996" spans="2:6">
      <c r="B10996" s="75"/>
      <c r="C10996" s="75"/>
      <c r="D10996" s="75"/>
      <c r="E10996" s="75"/>
      <c r="F10996" s="75"/>
    </row>
    <row r="10997" spans="2:6">
      <c r="B10997" s="75"/>
      <c r="C10997" s="75"/>
      <c r="D10997" s="75"/>
      <c r="E10997" s="75"/>
      <c r="F10997" s="75"/>
    </row>
    <row r="10998" spans="2:6">
      <c r="B10998" s="75"/>
      <c r="C10998" s="75"/>
      <c r="D10998" s="75"/>
      <c r="E10998" s="75"/>
      <c r="F10998" s="75"/>
    </row>
    <row r="10999" spans="2:6">
      <c r="B10999" s="75"/>
      <c r="C10999" s="75"/>
      <c r="D10999" s="75"/>
      <c r="E10999" s="75"/>
      <c r="F10999" s="75"/>
    </row>
    <row r="11000" spans="2:6">
      <c r="B11000" s="75"/>
      <c r="C11000" s="75"/>
      <c r="D11000" s="75"/>
      <c r="E11000" s="75"/>
      <c r="F11000" s="75"/>
    </row>
    <row r="11001" spans="2:6">
      <c r="B11001" s="75"/>
      <c r="C11001" s="75"/>
      <c r="D11001" s="75"/>
      <c r="E11001" s="75"/>
      <c r="F11001" s="75"/>
    </row>
    <row r="11002" spans="2:6">
      <c r="B11002" s="75"/>
      <c r="C11002" s="75"/>
      <c r="D11002" s="75"/>
      <c r="E11002" s="75"/>
      <c r="F11002" s="75"/>
    </row>
    <row r="11003" spans="2:6">
      <c r="B11003" s="75"/>
      <c r="C11003" s="75"/>
      <c r="D11003" s="75"/>
      <c r="E11003" s="75"/>
      <c r="F11003" s="75"/>
    </row>
    <row r="11004" spans="2:6">
      <c r="B11004" s="75"/>
      <c r="C11004" s="75"/>
      <c r="D11004" s="75"/>
      <c r="E11004" s="75"/>
      <c r="F11004" s="75"/>
    </row>
    <row r="11005" spans="2:6">
      <c r="B11005" s="75"/>
      <c r="C11005" s="75"/>
      <c r="D11005" s="75"/>
      <c r="E11005" s="75"/>
      <c r="F11005" s="75"/>
    </row>
    <row r="11006" spans="2:6">
      <c r="B11006" s="75"/>
      <c r="C11006" s="75"/>
      <c r="D11006" s="75"/>
      <c r="E11006" s="75"/>
      <c r="F11006" s="75"/>
    </row>
    <row r="11007" spans="2:6">
      <c r="B11007" s="75"/>
      <c r="C11007" s="75"/>
      <c r="D11007" s="75"/>
      <c r="E11007" s="75"/>
      <c r="F11007" s="75"/>
    </row>
    <row r="11008" spans="2:6">
      <c r="B11008" s="75"/>
      <c r="C11008" s="75"/>
      <c r="D11008" s="75"/>
      <c r="E11008" s="75"/>
      <c r="F11008" s="75"/>
    </row>
    <row r="11009" spans="2:6">
      <c r="B11009" s="75"/>
      <c r="C11009" s="75"/>
      <c r="D11009" s="75"/>
      <c r="E11009" s="75"/>
      <c r="F11009" s="75"/>
    </row>
    <row r="11010" spans="2:6">
      <c r="B11010" s="75"/>
      <c r="C11010" s="75"/>
      <c r="D11010" s="75"/>
      <c r="E11010" s="75"/>
      <c r="F11010" s="75"/>
    </row>
    <row r="11011" spans="2:6">
      <c r="B11011" s="75"/>
      <c r="C11011" s="75"/>
      <c r="D11011" s="75"/>
      <c r="E11011" s="75"/>
      <c r="F11011" s="75"/>
    </row>
    <row r="11012" spans="2:6">
      <c r="B11012" s="75"/>
      <c r="C11012" s="75"/>
      <c r="D11012" s="75"/>
      <c r="E11012" s="75"/>
      <c r="F11012" s="75"/>
    </row>
    <row r="11013" spans="2:6">
      <c r="B11013" s="75"/>
      <c r="C11013" s="75"/>
      <c r="D11013" s="75"/>
      <c r="E11013" s="75"/>
      <c r="F11013" s="75"/>
    </row>
    <row r="11014" spans="2:6">
      <c r="B11014" s="75"/>
      <c r="C11014" s="75"/>
      <c r="D11014" s="75"/>
      <c r="E11014" s="75"/>
      <c r="F11014" s="75"/>
    </row>
    <row r="11015" spans="2:6">
      <c r="B11015" s="75"/>
      <c r="C11015" s="75"/>
      <c r="D11015" s="75"/>
      <c r="E11015" s="75"/>
      <c r="F11015" s="75"/>
    </row>
    <row r="11016" spans="2:6">
      <c r="B11016" s="75"/>
      <c r="C11016" s="75"/>
      <c r="D11016" s="75"/>
      <c r="E11016" s="75"/>
      <c r="F11016" s="75"/>
    </row>
    <row r="11017" spans="2:6">
      <c r="B11017" s="75"/>
      <c r="C11017" s="75"/>
      <c r="D11017" s="75"/>
      <c r="E11017" s="75"/>
      <c r="F11017" s="75"/>
    </row>
    <row r="11018" spans="2:6">
      <c r="B11018" s="75"/>
      <c r="C11018" s="75"/>
      <c r="D11018" s="75"/>
      <c r="E11018" s="75"/>
      <c r="F11018" s="75"/>
    </row>
    <row r="11019" spans="2:6">
      <c r="B11019" s="75"/>
      <c r="C11019" s="75"/>
      <c r="D11019" s="75"/>
      <c r="E11019" s="75"/>
      <c r="F11019" s="75"/>
    </row>
    <row r="11020" spans="2:6">
      <c r="B11020" s="75"/>
      <c r="C11020" s="75"/>
      <c r="D11020" s="75"/>
      <c r="E11020" s="75"/>
      <c r="F11020" s="75"/>
    </row>
    <row r="11021" spans="2:6">
      <c r="B11021" s="75"/>
      <c r="C11021" s="75"/>
      <c r="D11021" s="75"/>
      <c r="E11021" s="75"/>
      <c r="F11021" s="75"/>
    </row>
    <row r="11022" spans="2:6">
      <c r="B11022" s="75"/>
      <c r="C11022" s="75"/>
      <c r="D11022" s="75"/>
      <c r="E11022" s="75"/>
      <c r="F11022" s="75"/>
    </row>
    <row r="11023" spans="2:6">
      <c r="B11023" s="75"/>
      <c r="C11023" s="75"/>
      <c r="D11023" s="75"/>
      <c r="E11023" s="75"/>
      <c r="F11023" s="75"/>
    </row>
    <row r="11024" spans="2:6">
      <c r="B11024" s="75"/>
      <c r="C11024" s="75"/>
      <c r="D11024" s="75"/>
      <c r="E11024" s="75"/>
      <c r="F11024" s="75"/>
    </row>
    <row r="11025" spans="2:6">
      <c r="B11025" s="75"/>
      <c r="C11025" s="75"/>
      <c r="D11025" s="75"/>
      <c r="E11025" s="75"/>
      <c r="F11025" s="75"/>
    </row>
    <row r="11026" spans="2:6">
      <c r="B11026" s="75"/>
      <c r="C11026" s="75"/>
      <c r="D11026" s="75"/>
      <c r="E11026" s="75"/>
      <c r="F11026" s="75"/>
    </row>
    <row r="11027" spans="2:6">
      <c r="B11027" s="75"/>
      <c r="C11027" s="75"/>
      <c r="D11027" s="75"/>
      <c r="E11027" s="75"/>
      <c r="F11027" s="75"/>
    </row>
    <row r="11028" spans="2:6">
      <c r="B11028" s="75"/>
      <c r="C11028" s="75"/>
      <c r="D11028" s="75"/>
      <c r="E11028" s="75"/>
      <c r="F11028" s="75"/>
    </row>
    <row r="11029" spans="2:6">
      <c r="B11029" s="75"/>
      <c r="C11029" s="75"/>
      <c r="D11029" s="75"/>
      <c r="E11029" s="75"/>
      <c r="F11029" s="75"/>
    </row>
    <row r="11030" spans="2:6">
      <c r="B11030" s="75"/>
      <c r="C11030" s="75"/>
      <c r="D11030" s="75"/>
      <c r="E11030" s="75"/>
      <c r="F11030" s="75"/>
    </row>
    <row r="11031" spans="2:6">
      <c r="B11031" s="75"/>
      <c r="C11031" s="75"/>
      <c r="D11031" s="75"/>
      <c r="E11031" s="75"/>
      <c r="F11031" s="75"/>
    </row>
    <row r="11032" spans="2:6">
      <c r="B11032" s="75"/>
      <c r="C11032" s="75"/>
      <c r="D11032" s="75"/>
      <c r="E11032" s="75"/>
      <c r="F11032" s="75"/>
    </row>
    <row r="11033" spans="2:6">
      <c r="B11033" s="75"/>
      <c r="C11033" s="75"/>
      <c r="D11033" s="75"/>
      <c r="E11033" s="75"/>
      <c r="F11033" s="75"/>
    </row>
    <row r="11034" spans="2:6">
      <c r="B11034" s="75"/>
      <c r="C11034" s="75"/>
      <c r="D11034" s="75"/>
      <c r="E11034" s="75"/>
      <c r="F11034" s="75"/>
    </row>
    <row r="11035" spans="2:6">
      <c r="B11035" s="75"/>
      <c r="C11035" s="75"/>
      <c r="D11035" s="75"/>
      <c r="E11035" s="75"/>
      <c r="F11035" s="75"/>
    </row>
    <row r="11036" spans="2:6">
      <c r="B11036" s="75"/>
      <c r="C11036" s="75"/>
      <c r="D11036" s="75"/>
      <c r="E11036" s="75"/>
      <c r="F11036" s="75"/>
    </row>
    <row r="11037" spans="2:6">
      <c r="B11037" s="75"/>
      <c r="C11037" s="75"/>
      <c r="D11037" s="75"/>
      <c r="E11037" s="75"/>
      <c r="F11037" s="75"/>
    </row>
    <row r="11038" spans="2:6">
      <c r="B11038" s="75"/>
      <c r="C11038" s="75"/>
      <c r="D11038" s="75"/>
      <c r="E11038" s="75"/>
      <c r="F11038" s="75"/>
    </row>
    <row r="11039" spans="2:6">
      <c r="B11039" s="75"/>
      <c r="C11039" s="75"/>
      <c r="D11039" s="75"/>
      <c r="E11039" s="75"/>
      <c r="F11039" s="75"/>
    </row>
    <row r="11040" spans="2:6">
      <c r="B11040" s="75"/>
      <c r="C11040" s="75"/>
      <c r="D11040" s="75"/>
      <c r="E11040" s="75"/>
      <c r="F11040" s="75"/>
    </row>
    <row r="11041" spans="2:6">
      <c r="B11041" s="75"/>
      <c r="C11041" s="75"/>
      <c r="D11041" s="75"/>
      <c r="E11041" s="75"/>
      <c r="F11041" s="75"/>
    </row>
    <row r="11042" spans="2:6">
      <c r="B11042" s="75"/>
      <c r="C11042" s="75"/>
      <c r="D11042" s="75"/>
      <c r="E11042" s="75"/>
      <c r="F11042" s="75"/>
    </row>
    <row r="11043" spans="2:6">
      <c r="B11043" s="75"/>
      <c r="C11043" s="75"/>
      <c r="D11043" s="75"/>
      <c r="E11043" s="75"/>
      <c r="F11043" s="75"/>
    </row>
    <row r="11044" spans="2:6">
      <c r="B11044" s="75"/>
      <c r="C11044" s="75"/>
      <c r="D11044" s="75"/>
      <c r="E11044" s="75"/>
      <c r="F11044" s="75"/>
    </row>
    <row r="11045" spans="2:6">
      <c r="B11045" s="75"/>
      <c r="C11045" s="75"/>
      <c r="D11045" s="75"/>
      <c r="E11045" s="75"/>
      <c r="F11045" s="75"/>
    </row>
    <row r="11046" spans="2:6">
      <c r="B11046" s="75"/>
      <c r="C11046" s="75"/>
      <c r="D11046" s="75"/>
      <c r="E11046" s="75"/>
      <c r="F11046" s="75"/>
    </row>
    <row r="11047" spans="2:6">
      <c r="B11047" s="75"/>
      <c r="C11047" s="75"/>
      <c r="D11047" s="75"/>
      <c r="E11047" s="75"/>
      <c r="F11047" s="75"/>
    </row>
    <row r="11048" spans="2:6">
      <c r="B11048" s="75"/>
      <c r="C11048" s="75"/>
      <c r="D11048" s="75"/>
      <c r="E11048" s="75"/>
      <c r="F11048" s="75"/>
    </row>
    <row r="11049" spans="2:6">
      <c r="B11049" s="75"/>
      <c r="C11049" s="75"/>
      <c r="D11049" s="75"/>
      <c r="E11049" s="75"/>
      <c r="F11049" s="75"/>
    </row>
    <row r="11050" spans="2:6">
      <c r="B11050" s="75"/>
      <c r="C11050" s="75"/>
      <c r="D11050" s="75"/>
      <c r="E11050" s="75"/>
      <c r="F11050" s="75"/>
    </row>
    <row r="11051" spans="2:6">
      <c r="B11051" s="75"/>
      <c r="C11051" s="75"/>
      <c r="D11051" s="75"/>
      <c r="E11051" s="75"/>
      <c r="F11051" s="75"/>
    </row>
    <row r="11052" spans="2:6">
      <c r="B11052" s="75"/>
      <c r="C11052" s="75"/>
      <c r="D11052" s="75"/>
      <c r="E11052" s="75"/>
      <c r="F11052" s="75"/>
    </row>
    <row r="11053" spans="2:6">
      <c r="B11053" s="75"/>
      <c r="C11053" s="75"/>
      <c r="D11053" s="75"/>
      <c r="E11053" s="75"/>
      <c r="F11053" s="75"/>
    </row>
    <row r="11054" spans="2:6">
      <c r="B11054" s="75"/>
      <c r="C11054" s="75"/>
      <c r="D11054" s="75"/>
      <c r="E11054" s="75"/>
      <c r="F11054" s="75"/>
    </row>
    <row r="11055" spans="2:6">
      <c r="B11055" s="75"/>
      <c r="C11055" s="75"/>
      <c r="D11055" s="75"/>
      <c r="E11055" s="75"/>
      <c r="F11055" s="75"/>
    </row>
    <row r="11056" spans="2:6">
      <c r="B11056" s="75"/>
      <c r="C11056" s="75"/>
      <c r="D11056" s="75"/>
      <c r="E11056" s="75"/>
      <c r="F11056" s="75"/>
    </row>
    <row r="11057" spans="2:6">
      <c r="B11057" s="75"/>
      <c r="C11057" s="75"/>
      <c r="D11057" s="75"/>
      <c r="E11057" s="75"/>
      <c r="F11057" s="75"/>
    </row>
    <row r="11058" spans="2:6">
      <c r="B11058" s="75"/>
      <c r="C11058" s="75"/>
      <c r="D11058" s="75"/>
      <c r="E11058" s="75"/>
      <c r="F11058" s="75"/>
    </row>
    <row r="11059" spans="2:6">
      <c r="B11059" s="75"/>
      <c r="C11059" s="75"/>
      <c r="D11059" s="75"/>
      <c r="E11059" s="75"/>
      <c r="F11059" s="75"/>
    </row>
    <row r="11060" spans="2:6">
      <c r="B11060" s="75"/>
      <c r="C11060" s="75"/>
      <c r="D11060" s="75"/>
      <c r="E11060" s="75"/>
      <c r="F11060" s="75"/>
    </row>
    <row r="11061" spans="2:6">
      <c r="B11061" s="75"/>
      <c r="C11061" s="75"/>
      <c r="D11061" s="75"/>
      <c r="E11061" s="75"/>
      <c r="F11061" s="75"/>
    </row>
    <row r="11062" spans="2:6">
      <c r="B11062" s="75"/>
      <c r="C11062" s="75"/>
      <c r="D11062" s="75"/>
      <c r="E11062" s="75"/>
      <c r="F11062" s="75"/>
    </row>
    <row r="11063" spans="2:6">
      <c r="B11063" s="75"/>
      <c r="C11063" s="75"/>
      <c r="D11063" s="75"/>
      <c r="E11063" s="75"/>
      <c r="F11063" s="75"/>
    </row>
    <row r="11064" spans="2:6">
      <c r="B11064" s="75"/>
      <c r="C11064" s="75"/>
      <c r="D11064" s="75"/>
      <c r="E11064" s="75"/>
      <c r="F11064" s="75"/>
    </row>
    <row r="11065" spans="2:6">
      <c r="B11065" s="75"/>
      <c r="C11065" s="75"/>
      <c r="D11065" s="75"/>
      <c r="E11065" s="75"/>
      <c r="F11065" s="75"/>
    </row>
    <row r="11066" spans="2:6">
      <c r="B11066" s="75"/>
      <c r="C11066" s="75"/>
      <c r="D11066" s="75"/>
      <c r="E11066" s="75"/>
      <c r="F11066" s="75"/>
    </row>
    <row r="11067" spans="2:6">
      <c r="B11067" s="75"/>
      <c r="C11067" s="75"/>
      <c r="D11067" s="75"/>
      <c r="E11067" s="75"/>
      <c r="F11067" s="75"/>
    </row>
    <row r="11068" spans="2:6">
      <c r="B11068" s="75"/>
      <c r="C11068" s="75"/>
      <c r="D11068" s="75"/>
      <c r="E11068" s="75"/>
      <c r="F11068" s="75"/>
    </row>
    <row r="11069" spans="2:6">
      <c r="B11069" s="75"/>
      <c r="C11069" s="75"/>
      <c r="D11069" s="75"/>
      <c r="E11069" s="75"/>
      <c r="F11069" s="75"/>
    </row>
    <row r="11070" spans="2:6">
      <c r="B11070" s="75"/>
      <c r="C11070" s="75"/>
      <c r="D11070" s="75"/>
      <c r="E11070" s="75"/>
      <c r="F11070" s="75"/>
    </row>
    <row r="11071" spans="2:6">
      <c r="B11071" s="75"/>
      <c r="C11071" s="75"/>
      <c r="D11071" s="75"/>
      <c r="E11071" s="75"/>
      <c r="F11071" s="75"/>
    </row>
    <row r="11072" spans="2:6">
      <c r="B11072" s="75"/>
      <c r="C11072" s="75"/>
      <c r="D11072" s="75"/>
      <c r="E11072" s="75"/>
      <c r="F11072" s="75"/>
    </row>
    <row r="11073" spans="2:6">
      <c r="B11073" s="75"/>
      <c r="C11073" s="75"/>
      <c r="D11073" s="75"/>
      <c r="E11073" s="75"/>
      <c r="F11073" s="75"/>
    </row>
    <row r="11074" spans="2:6">
      <c r="B11074" s="75"/>
      <c r="C11074" s="75"/>
      <c r="D11074" s="75"/>
      <c r="E11074" s="75"/>
      <c r="F11074" s="75"/>
    </row>
    <row r="11075" spans="2:6">
      <c r="B11075" s="75"/>
      <c r="C11075" s="75"/>
      <c r="D11075" s="75"/>
      <c r="E11075" s="75"/>
      <c r="F11075" s="75"/>
    </row>
    <row r="11076" spans="2:6">
      <c r="B11076" s="75"/>
      <c r="C11076" s="75"/>
      <c r="D11076" s="75"/>
      <c r="E11076" s="75"/>
      <c r="F11076" s="75"/>
    </row>
    <row r="11077" spans="2:6">
      <c r="B11077" s="75"/>
      <c r="C11077" s="75"/>
      <c r="D11077" s="75"/>
      <c r="E11077" s="75"/>
      <c r="F11077" s="75"/>
    </row>
    <row r="11078" spans="2:6">
      <c r="B11078" s="75"/>
      <c r="C11078" s="75"/>
      <c r="D11078" s="75"/>
      <c r="E11078" s="75"/>
      <c r="F11078" s="75"/>
    </row>
    <row r="11079" spans="2:6">
      <c r="B11079" s="75"/>
      <c r="C11079" s="75"/>
      <c r="D11079" s="75"/>
      <c r="E11079" s="75"/>
      <c r="F11079" s="75"/>
    </row>
    <row r="11080" spans="2:6">
      <c r="B11080" s="75"/>
      <c r="C11080" s="75"/>
      <c r="D11080" s="75"/>
      <c r="E11080" s="75"/>
      <c r="F11080" s="75"/>
    </row>
    <row r="11081" spans="2:6">
      <c r="B11081" s="75"/>
      <c r="C11081" s="75"/>
      <c r="D11081" s="75"/>
      <c r="E11081" s="75"/>
      <c r="F11081" s="75"/>
    </row>
    <row r="11082" spans="2:6">
      <c r="B11082" s="75"/>
      <c r="C11082" s="75"/>
      <c r="D11082" s="75"/>
      <c r="E11082" s="75"/>
      <c r="F11082" s="75"/>
    </row>
    <row r="11083" spans="2:6">
      <c r="B11083" s="75"/>
      <c r="C11083" s="75"/>
      <c r="D11083" s="75"/>
      <c r="E11083" s="75"/>
      <c r="F11083" s="75"/>
    </row>
    <row r="11084" spans="2:6">
      <c r="B11084" s="75"/>
      <c r="C11084" s="75"/>
      <c r="D11084" s="75"/>
      <c r="E11084" s="75"/>
      <c r="F11084" s="75"/>
    </row>
    <row r="11085" spans="2:6">
      <c r="B11085" s="75"/>
      <c r="C11085" s="75"/>
      <c r="D11085" s="75"/>
      <c r="E11085" s="75"/>
      <c r="F11085" s="75"/>
    </row>
    <row r="11086" spans="2:6">
      <c r="B11086" s="75"/>
      <c r="C11086" s="75"/>
      <c r="D11086" s="75"/>
      <c r="E11086" s="75"/>
      <c r="F11086" s="75"/>
    </row>
    <row r="11087" spans="2:6">
      <c r="B11087" s="75"/>
      <c r="C11087" s="75"/>
      <c r="D11087" s="75"/>
      <c r="E11087" s="75"/>
      <c r="F11087" s="75"/>
    </row>
    <row r="11088" spans="2:6">
      <c r="B11088" s="75"/>
      <c r="C11088" s="75"/>
      <c r="D11088" s="75"/>
      <c r="E11088" s="75"/>
      <c r="F11088" s="75"/>
    </row>
    <row r="11089" spans="2:6">
      <c r="B11089" s="75"/>
      <c r="C11089" s="75"/>
      <c r="D11089" s="75"/>
      <c r="E11089" s="75"/>
      <c r="F11089" s="75"/>
    </row>
    <row r="11090" spans="2:6">
      <c r="B11090" s="75"/>
      <c r="C11090" s="75"/>
      <c r="D11090" s="75"/>
      <c r="E11090" s="75"/>
      <c r="F11090" s="75"/>
    </row>
    <row r="11091" spans="2:6">
      <c r="B11091" s="75"/>
      <c r="C11091" s="75"/>
      <c r="D11091" s="75"/>
      <c r="E11091" s="75"/>
      <c r="F11091" s="75"/>
    </row>
    <row r="11092" spans="2:6">
      <c r="B11092" s="75"/>
      <c r="C11092" s="75"/>
      <c r="D11092" s="75"/>
      <c r="E11092" s="75"/>
      <c r="F11092" s="75"/>
    </row>
    <row r="11093" spans="2:6">
      <c r="B11093" s="75"/>
      <c r="C11093" s="75"/>
      <c r="D11093" s="75"/>
      <c r="E11093" s="75"/>
      <c r="F11093" s="75"/>
    </row>
    <row r="11094" spans="2:6">
      <c r="B11094" s="75"/>
      <c r="C11094" s="75"/>
      <c r="D11094" s="75"/>
      <c r="E11094" s="75"/>
      <c r="F11094" s="75"/>
    </row>
    <row r="11095" spans="2:6">
      <c r="B11095" s="75"/>
      <c r="C11095" s="75"/>
      <c r="D11095" s="75"/>
      <c r="E11095" s="75"/>
      <c r="F11095" s="75"/>
    </row>
    <row r="11096" spans="2:6">
      <c r="B11096" s="75"/>
      <c r="C11096" s="75"/>
      <c r="D11096" s="75"/>
      <c r="E11096" s="75"/>
      <c r="F11096" s="75"/>
    </row>
    <row r="11097" spans="2:6">
      <c r="B11097" s="75"/>
      <c r="C11097" s="75"/>
      <c r="D11097" s="75"/>
      <c r="E11097" s="75"/>
      <c r="F11097" s="75"/>
    </row>
    <row r="11098" spans="2:6">
      <c r="B11098" s="75"/>
      <c r="C11098" s="75"/>
      <c r="D11098" s="75"/>
      <c r="E11098" s="75"/>
      <c r="F11098" s="75"/>
    </row>
    <row r="11099" spans="2:6">
      <c r="B11099" s="75"/>
      <c r="C11099" s="75"/>
      <c r="D11099" s="75"/>
      <c r="E11099" s="75"/>
      <c r="F11099" s="75"/>
    </row>
    <row r="11100" spans="2:6">
      <c r="B11100" s="75"/>
      <c r="C11100" s="75"/>
      <c r="D11100" s="75"/>
      <c r="E11100" s="75"/>
      <c r="F11100" s="75"/>
    </row>
    <row r="11101" spans="2:6">
      <c r="B11101" s="75"/>
      <c r="C11101" s="75"/>
      <c r="D11101" s="75"/>
      <c r="E11101" s="75"/>
      <c r="F11101" s="75"/>
    </row>
    <row r="11102" spans="2:6">
      <c r="B11102" s="75"/>
      <c r="C11102" s="75"/>
      <c r="D11102" s="75"/>
      <c r="E11102" s="75"/>
      <c r="F11102" s="75"/>
    </row>
    <row r="11103" spans="2:6">
      <c r="B11103" s="75"/>
      <c r="C11103" s="75"/>
      <c r="D11103" s="75"/>
      <c r="E11103" s="75"/>
      <c r="F11103" s="75"/>
    </row>
    <row r="11104" spans="2:6">
      <c r="B11104" s="75"/>
      <c r="C11104" s="75"/>
      <c r="D11104" s="75"/>
      <c r="E11104" s="75"/>
      <c r="F11104" s="75"/>
    </row>
    <row r="11105" spans="2:6">
      <c r="B11105" s="75"/>
      <c r="C11105" s="75"/>
      <c r="D11105" s="75"/>
      <c r="E11105" s="75"/>
      <c r="F11105" s="75"/>
    </row>
    <row r="11106" spans="2:6">
      <c r="B11106" s="75"/>
      <c r="C11106" s="75"/>
      <c r="D11106" s="75"/>
      <c r="E11106" s="75"/>
      <c r="F11106" s="75"/>
    </row>
    <row r="11107" spans="2:6">
      <c r="B11107" s="75"/>
      <c r="C11107" s="75"/>
      <c r="D11107" s="75"/>
      <c r="E11107" s="75"/>
      <c r="F11107" s="75"/>
    </row>
    <row r="11108" spans="2:6">
      <c r="B11108" s="75"/>
      <c r="C11108" s="75"/>
      <c r="D11108" s="75"/>
      <c r="E11108" s="75"/>
      <c r="F11108" s="75"/>
    </row>
    <row r="11109" spans="2:6">
      <c r="B11109" s="75"/>
      <c r="C11109" s="75"/>
      <c r="D11109" s="75"/>
      <c r="E11109" s="75"/>
      <c r="F11109" s="75"/>
    </row>
    <row r="11110" spans="2:6">
      <c r="B11110" s="75"/>
      <c r="C11110" s="75"/>
      <c r="D11110" s="75"/>
      <c r="E11110" s="75"/>
      <c r="F11110" s="75"/>
    </row>
    <row r="11111" spans="2:6">
      <c r="B11111" s="75"/>
      <c r="C11111" s="75"/>
      <c r="D11111" s="75"/>
      <c r="E11111" s="75"/>
      <c r="F11111" s="75"/>
    </row>
    <row r="11112" spans="2:6">
      <c r="B11112" s="75"/>
      <c r="C11112" s="75"/>
      <c r="D11112" s="75"/>
      <c r="E11112" s="75"/>
      <c r="F11112" s="75"/>
    </row>
    <row r="11113" spans="2:6">
      <c r="B11113" s="75"/>
      <c r="C11113" s="75"/>
      <c r="D11113" s="75"/>
      <c r="E11113" s="75"/>
      <c r="F11113" s="75"/>
    </row>
    <row r="11114" spans="2:6">
      <c r="B11114" s="75"/>
      <c r="C11114" s="75"/>
      <c r="D11114" s="75"/>
      <c r="E11114" s="75"/>
      <c r="F11114" s="75"/>
    </row>
    <row r="11115" spans="2:6">
      <c r="B11115" s="75"/>
      <c r="C11115" s="75"/>
      <c r="D11115" s="75"/>
      <c r="E11115" s="75"/>
      <c r="F11115" s="75"/>
    </row>
    <row r="11116" spans="2:6">
      <c r="B11116" s="75"/>
      <c r="C11116" s="75"/>
      <c r="D11116" s="75"/>
      <c r="E11116" s="75"/>
      <c r="F11116" s="75"/>
    </row>
    <row r="11117" spans="2:6">
      <c r="B11117" s="75"/>
      <c r="C11117" s="75"/>
      <c r="D11117" s="75"/>
      <c r="E11117" s="75"/>
      <c r="F11117" s="75"/>
    </row>
    <row r="11118" spans="2:6">
      <c r="B11118" s="75"/>
      <c r="C11118" s="75"/>
      <c r="D11118" s="75"/>
      <c r="E11118" s="75"/>
      <c r="F11118" s="75"/>
    </row>
    <row r="11119" spans="2:6">
      <c r="B11119" s="75"/>
      <c r="C11119" s="75"/>
      <c r="D11119" s="75"/>
      <c r="E11119" s="75"/>
      <c r="F11119" s="75"/>
    </row>
    <row r="11120" spans="2:6">
      <c r="B11120" s="75"/>
      <c r="C11120" s="75"/>
      <c r="D11120" s="75"/>
      <c r="E11120" s="75"/>
      <c r="F11120" s="75"/>
    </row>
    <row r="11121" spans="2:6">
      <c r="B11121" s="75"/>
      <c r="C11121" s="75"/>
      <c r="D11121" s="75"/>
      <c r="E11121" s="75"/>
      <c r="F11121" s="75"/>
    </row>
    <row r="11122" spans="2:6">
      <c r="B11122" s="75"/>
      <c r="C11122" s="75"/>
      <c r="D11122" s="75"/>
      <c r="E11122" s="75"/>
      <c r="F11122" s="75"/>
    </row>
    <row r="11123" spans="2:6">
      <c r="B11123" s="75"/>
      <c r="C11123" s="75"/>
      <c r="D11123" s="75"/>
      <c r="E11123" s="75"/>
      <c r="F11123" s="75"/>
    </row>
    <row r="11124" spans="2:6">
      <c r="B11124" s="75"/>
      <c r="C11124" s="75"/>
      <c r="D11124" s="75"/>
      <c r="E11124" s="75"/>
      <c r="F11124" s="75"/>
    </row>
    <row r="11125" spans="2:6">
      <c r="B11125" s="75"/>
      <c r="C11125" s="75"/>
      <c r="D11125" s="75"/>
      <c r="E11125" s="75"/>
      <c r="F11125" s="75"/>
    </row>
    <row r="11126" spans="2:6">
      <c r="B11126" s="75"/>
      <c r="C11126" s="75"/>
      <c r="D11126" s="75"/>
      <c r="E11126" s="75"/>
      <c r="F11126" s="75"/>
    </row>
    <row r="11127" spans="2:6">
      <c r="B11127" s="75"/>
      <c r="C11127" s="75"/>
      <c r="D11127" s="75"/>
      <c r="E11127" s="75"/>
      <c r="F11127" s="75"/>
    </row>
    <row r="11128" spans="2:6">
      <c r="B11128" s="75"/>
      <c r="C11128" s="75"/>
      <c r="D11128" s="75"/>
      <c r="E11128" s="75"/>
      <c r="F11128" s="75"/>
    </row>
    <row r="11129" spans="2:6">
      <c r="B11129" s="75"/>
      <c r="C11129" s="75"/>
      <c r="D11129" s="75"/>
      <c r="E11129" s="75"/>
      <c r="F11129" s="75"/>
    </row>
    <row r="11130" spans="2:6">
      <c r="B11130" s="75"/>
      <c r="C11130" s="75"/>
      <c r="D11130" s="75"/>
      <c r="E11130" s="75"/>
      <c r="F11130" s="75"/>
    </row>
    <row r="11131" spans="2:6">
      <c r="B11131" s="75"/>
      <c r="C11131" s="75"/>
      <c r="D11131" s="75"/>
      <c r="E11131" s="75"/>
      <c r="F11131" s="75"/>
    </row>
    <row r="11132" spans="2:6">
      <c r="B11132" s="75"/>
      <c r="C11132" s="75"/>
      <c r="D11132" s="75"/>
      <c r="E11132" s="75"/>
      <c r="F11132" s="75"/>
    </row>
    <row r="11133" spans="2:6">
      <c r="B11133" s="75"/>
      <c r="C11133" s="75"/>
      <c r="D11133" s="75"/>
      <c r="E11133" s="75"/>
      <c r="F11133" s="75"/>
    </row>
    <row r="11134" spans="2:6">
      <c r="B11134" s="75"/>
      <c r="C11134" s="75"/>
      <c r="D11134" s="75"/>
      <c r="E11134" s="75"/>
      <c r="F11134" s="75"/>
    </row>
    <row r="11135" spans="2:6">
      <c r="B11135" s="75"/>
      <c r="C11135" s="75"/>
      <c r="D11135" s="75"/>
      <c r="E11135" s="75"/>
      <c r="F11135" s="75"/>
    </row>
    <row r="11136" spans="2:6">
      <c r="B11136" s="75"/>
      <c r="C11136" s="75"/>
      <c r="D11136" s="75"/>
      <c r="E11136" s="75"/>
      <c r="F11136" s="75"/>
    </row>
    <row r="11137" spans="2:6">
      <c r="B11137" s="75"/>
      <c r="C11137" s="75"/>
      <c r="D11137" s="75"/>
      <c r="E11137" s="75"/>
      <c r="F11137" s="75"/>
    </row>
    <row r="11138" spans="2:6">
      <c r="B11138" s="75"/>
      <c r="C11138" s="75"/>
      <c r="D11138" s="75"/>
      <c r="E11138" s="75"/>
      <c r="F11138" s="75"/>
    </row>
    <row r="11139" spans="2:6">
      <c r="B11139" s="75"/>
      <c r="C11139" s="75"/>
      <c r="D11139" s="75"/>
      <c r="E11139" s="75"/>
      <c r="F11139" s="75"/>
    </row>
    <row r="11140" spans="2:6">
      <c r="B11140" s="75"/>
      <c r="C11140" s="75"/>
      <c r="D11140" s="75"/>
      <c r="E11140" s="75"/>
      <c r="F11140" s="75"/>
    </row>
    <row r="11141" spans="2:6">
      <c r="B11141" s="75"/>
      <c r="C11141" s="75"/>
      <c r="D11141" s="75"/>
      <c r="E11141" s="75"/>
      <c r="F11141" s="75"/>
    </row>
    <row r="11142" spans="2:6">
      <c r="B11142" s="75"/>
      <c r="C11142" s="75"/>
      <c r="D11142" s="75"/>
      <c r="E11142" s="75"/>
      <c r="F11142" s="75"/>
    </row>
    <row r="11143" spans="2:6">
      <c r="B11143" s="75"/>
      <c r="C11143" s="75"/>
      <c r="D11143" s="75"/>
      <c r="E11143" s="75"/>
      <c r="F11143" s="75"/>
    </row>
    <row r="11144" spans="2:6">
      <c r="B11144" s="75"/>
      <c r="C11144" s="75"/>
      <c r="D11144" s="75"/>
      <c r="E11144" s="75"/>
      <c r="F11144" s="75"/>
    </row>
    <row r="11145" spans="2:6">
      <c r="B11145" s="75"/>
      <c r="C11145" s="75"/>
      <c r="D11145" s="75"/>
      <c r="E11145" s="75"/>
      <c r="F11145" s="75"/>
    </row>
    <row r="11146" spans="2:6">
      <c r="B11146" s="75"/>
      <c r="C11146" s="75"/>
      <c r="D11146" s="75"/>
      <c r="E11146" s="75"/>
      <c r="F11146" s="75"/>
    </row>
    <row r="11147" spans="2:6">
      <c r="B11147" s="75"/>
      <c r="C11147" s="75"/>
      <c r="D11147" s="75"/>
      <c r="E11147" s="75"/>
      <c r="F11147" s="75"/>
    </row>
    <row r="11148" spans="2:6">
      <c r="B11148" s="75"/>
      <c r="C11148" s="75"/>
      <c r="D11148" s="75"/>
      <c r="E11148" s="75"/>
      <c r="F11148" s="75"/>
    </row>
    <row r="11149" spans="2:6">
      <c r="B11149" s="75"/>
      <c r="C11149" s="75"/>
      <c r="D11149" s="75"/>
      <c r="E11149" s="75"/>
      <c r="F11149" s="75"/>
    </row>
    <row r="11150" spans="2:6">
      <c r="B11150" s="75"/>
      <c r="C11150" s="75"/>
      <c r="D11150" s="75"/>
      <c r="E11150" s="75"/>
      <c r="F11150" s="75"/>
    </row>
    <row r="11151" spans="2:6">
      <c r="B11151" s="75"/>
      <c r="C11151" s="75"/>
      <c r="D11151" s="75"/>
      <c r="E11151" s="75"/>
      <c r="F11151" s="75"/>
    </row>
    <row r="11152" spans="2:6">
      <c r="B11152" s="75"/>
      <c r="C11152" s="75"/>
      <c r="D11152" s="75"/>
      <c r="E11152" s="75"/>
      <c r="F11152" s="75"/>
    </row>
    <row r="11153" spans="2:6">
      <c r="B11153" s="75"/>
      <c r="C11153" s="75"/>
      <c r="D11153" s="75"/>
      <c r="E11153" s="75"/>
      <c r="F11153" s="75"/>
    </row>
    <row r="11154" spans="2:6">
      <c r="B11154" s="75"/>
      <c r="C11154" s="75"/>
      <c r="D11154" s="75"/>
      <c r="E11154" s="75"/>
      <c r="F11154" s="75"/>
    </row>
    <row r="11155" spans="2:6">
      <c r="B11155" s="75"/>
      <c r="C11155" s="75"/>
      <c r="D11155" s="75"/>
      <c r="E11155" s="75"/>
      <c r="F11155" s="75"/>
    </row>
    <row r="11156" spans="2:6">
      <c r="B11156" s="75"/>
      <c r="C11156" s="75"/>
      <c r="D11156" s="75"/>
      <c r="E11156" s="75"/>
      <c r="F11156" s="75"/>
    </row>
    <row r="11157" spans="2:6">
      <c r="B11157" s="75"/>
      <c r="C11157" s="75"/>
      <c r="D11157" s="75"/>
      <c r="E11157" s="75"/>
      <c r="F11157" s="75"/>
    </row>
    <row r="11158" spans="2:6">
      <c r="B11158" s="75"/>
      <c r="C11158" s="75"/>
      <c r="D11158" s="75"/>
      <c r="E11158" s="75"/>
      <c r="F11158" s="75"/>
    </row>
    <row r="11159" spans="2:6">
      <c r="B11159" s="75"/>
      <c r="C11159" s="75"/>
      <c r="D11159" s="75"/>
      <c r="E11159" s="75"/>
      <c r="F11159" s="75"/>
    </row>
    <row r="11160" spans="2:6">
      <c r="B11160" s="75"/>
      <c r="C11160" s="75"/>
      <c r="D11160" s="75"/>
      <c r="E11160" s="75"/>
      <c r="F11160" s="75"/>
    </row>
    <row r="11161" spans="2:6">
      <c r="B11161" s="75"/>
      <c r="C11161" s="75"/>
      <c r="D11161" s="75"/>
      <c r="E11161" s="75"/>
      <c r="F11161" s="75"/>
    </row>
    <row r="11162" spans="2:6">
      <c r="B11162" s="75"/>
      <c r="C11162" s="75"/>
      <c r="D11162" s="75"/>
      <c r="E11162" s="75"/>
      <c r="F11162" s="75"/>
    </row>
    <row r="11163" spans="2:6">
      <c r="B11163" s="75"/>
      <c r="C11163" s="75"/>
      <c r="D11163" s="75"/>
      <c r="E11163" s="75"/>
      <c r="F11163" s="75"/>
    </row>
    <row r="11164" spans="2:6">
      <c r="B11164" s="75"/>
      <c r="C11164" s="75"/>
      <c r="D11164" s="75"/>
      <c r="E11164" s="75"/>
      <c r="F11164" s="75"/>
    </row>
    <row r="11165" spans="2:6">
      <c r="B11165" s="75"/>
      <c r="C11165" s="75"/>
      <c r="D11165" s="75"/>
      <c r="E11165" s="75"/>
      <c r="F11165" s="75"/>
    </row>
    <row r="11166" spans="2:6">
      <c r="B11166" s="75"/>
      <c r="C11166" s="75"/>
      <c r="D11166" s="75"/>
      <c r="E11166" s="75"/>
      <c r="F11166" s="75"/>
    </row>
    <row r="11167" spans="2:6">
      <c r="B11167" s="75"/>
      <c r="C11167" s="75"/>
      <c r="D11167" s="75"/>
      <c r="E11167" s="75"/>
      <c r="F11167" s="75"/>
    </row>
    <row r="11168" spans="2:6">
      <c r="B11168" s="75"/>
      <c r="C11168" s="75"/>
      <c r="D11168" s="75"/>
      <c r="E11168" s="75"/>
      <c r="F11168" s="75"/>
    </row>
    <row r="11169" spans="2:6">
      <c r="B11169" s="75"/>
      <c r="C11169" s="75"/>
      <c r="D11169" s="75"/>
      <c r="E11169" s="75"/>
      <c r="F11169" s="75"/>
    </row>
    <row r="11170" spans="2:6">
      <c r="B11170" s="75"/>
      <c r="C11170" s="75"/>
      <c r="D11170" s="75"/>
      <c r="E11170" s="75"/>
      <c r="F11170" s="75"/>
    </row>
    <row r="11171" spans="2:6">
      <c r="B11171" s="75"/>
      <c r="C11171" s="75"/>
      <c r="D11171" s="75"/>
      <c r="E11171" s="75"/>
      <c r="F11171" s="75"/>
    </row>
    <row r="11172" spans="2:6">
      <c r="B11172" s="75"/>
      <c r="C11172" s="75"/>
      <c r="D11172" s="75"/>
      <c r="E11172" s="75"/>
      <c r="F11172" s="75"/>
    </row>
    <row r="11173" spans="2:6">
      <c r="B11173" s="75"/>
      <c r="C11173" s="75"/>
      <c r="D11173" s="75"/>
      <c r="E11173" s="75"/>
      <c r="F11173" s="75"/>
    </row>
    <row r="11174" spans="2:6">
      <c r="B11174" s="75"/>
      <c r="C11174" s="75"/>
      <c r="D11174" s="75"/>
      <c r="E11174" s="75"/>
      <c r="F11174" s="75"/>
    </row>
    <row r="11175" spans="2:6">
      <c r="B11175" s="75"/>
      <c r="C11175" s="75"/>
      <c r="D11175" s="75"/>
      <c r="E11175" s="75"/>
      <c r="F11175" s="75"/>
    </row>
    <row r="11176" spans="2:6">
      <c r="B11176" s="75"/>
      <c r="C11176" s="75"/>
      <c r="D11176" s="75"/>
      <c r="E11176" s="75"/>
      <c r="F11176" s="75"/>
    </row>
    <row r="11177" spans="2:6">
      <c r="B11177" s="75"/>
      <c r="C11177" s="75"/>
      <c r="D11177" s="75"/>
      <c r="E11177" s="75"/>
      <c r="F11177" s="75"/>
    </row>
    <row r="11178" spans="2:6">
      <c r="B11178" s="75"/>
      <c r="C11178" s="75"/>
      <c r="D11178" s="75"/>
      <c r="E11178" s="75"/>
      <c r="F11178" s="75"/>
    </row>
    <row r="11179" spans="2:6">
      <c r="B11179" s="75"/>
      <c r="C11179" s="75"/>
      <c r="D11179" s="75"/>
      <c r="E11179" s="75"/>
      <c r="F11179" s="75"/>
    </row>
    <row r="11180" spans="2:6">
      <c r="B11180" s="75"/>
      <c r="C11180" s="75"/>
      <c r="D11180" s="75"/>
      <c r="E11180" s="75"/>
      <c r="F11180" s="75"/>
    </row>
    <row r="11181" spans="2:6">
      <c r="B11181" s="75"/>
      <c r="C11181" s="75"/>
      <c r="D11181" s="75"/>
      <c r="E11181" s="75"/>
      <c r="F11181" s="75"/>
    </row>
    <row r="11182" spans="2:6">
      <c r="B11182" s="75"/>
      <c r="C11182" s="75"/>
      <c r="D11182" s="75"/>
      <c r="E11182" s="75"/>
      <c r="F11182" s="75"/>
    </row>
    <row r="11183" spans="2:6">
      <c r="B11183" s="75"/>
      <c r="C11183" s="75"/>
      <c r="D11183" s="75"/>
      <c r="E11183" s="75"/>
      <c r="F11183" s="75"/>
    </row>
    <row r="11184" spans="2:6">
      <c r="B11184" s="75"/>
      <c r="C11184" s="75"/>
      <c r="D11184" s="75"/>
      <c r="E11184" s="75"/>
      <c r="F11184" s="75"/>
    </row>
    <row r="11185" spans="2:6">
      <c r="B11185" s="75"/>
      <c r="C11185" s="75"/>
      <c r="D11185" s="75"/>
      <c r="E11185" s="75"/>
      <c r="F11185" s="75"/>
    </row>
    <row r="11186" spans="2:6">
      <c r="B11186" s="75"/>
      <c r="C11186" s="75"/>
      <c r="D11186" s="75"/>
      <c r="E11186" s="75"/>
      <c r="F11186" s="75"/>
    </row>
    <row r="11187" spans="2:6">
      <c r="B11187" s="75"/>
      <c r="C11187" s="75"/>
      <c r="D11187" s="75"/>
      <c r="E11187" s="75"/>
      <c r="F11187" s="75"/>
    </row>
    <row r="11188" spans="2:6">
      <c r="B11188" s="75"/>
      <c r="C11188" s="75"/>
      <c r="D11188" s="75"/>
      <c r="E11188" s="75"/>
      <c r="F11188" s="75"/>
    </row>
    <row r="11189" spans="2:6">
      <c r="B11189" s="75"/>
      <c r="C11189" s="75"/>
      <c r="D11189" s="75"/>
      <c r="E11189" s="75"/>
      <c r="F11189" s="75"/>
    </row>
    <row r="11190" spans="2:6">
      <c r="B11190" s="75"/>
      <c r="C11190" s="75"/>
      <c r="D11190" s="75"/>
      <c r="E11190" s="75"/>
      <c r="F11190" s="75"/>
    </row>
    <row r="11191" spans="2:6">
      <c r="B11191" s="75"/>
      <c r="C11191" s="75"/>
      <c r="D11191" s="75"/>
      <c r="E11191" s="75"/>
      <c r="F11191" s="75"/>
    </row>
    <row r="11192" spans="2:6">
      <c r="B11192" s="75"/>
      <c r="C11192" s="75"/>
      <c r="D11192" s="75"/>
      <c r="E11192" s="75"/>
      <c r="F11192" s="75"/>
    </row>
    <row r="11193" spans="2:6">
      <c r="B11193" s="75"/>
      <c r="C11193" s="75"/>
      <c r="D11193" s="75"/>
      <c r="E11193" s="75"/>
      <c r="F11193" s="75"/>
    </row>
    <row r="11194" spans="2:6">
      <c r="B11194" s="75"/>
      <c r="C11194" s="75"/>
      <c r="D11194" s="75"/>
      <c r="E11194" s="75"/>
      <c r="F11194" s="75"/>
    </row>
    <row r="11195" spans="2:6">
      <c r="B11195" s="75"/>
      <c r="C11195" s="75"/>
      <c r="D11195" s="75"/>
      <c r="E11195" s="75"/>
      <c r="F11195" s="75"/>
    </row>
    <row r="11196" spans="2:6">
      <c r="B11196" s="75"/>
      <c r="C11196" s="75"/>
      <c r="D11196" s="75"/>
      <c r="E11196" s="75"/>
      <c r="F11196" s="75"/>
    </row>
    <row r="11197" spans="2:6">
      <c r="B11197" s="75"/>
      <c r="C11197" s="75"/>
      <c r="D11197" s="75"/>
      <c r="E11197" s="75"/>
      <c r="F11197" s="75"/>
    </row>
    <row r="11198" spans="2:6">
      <c r="B11198" s="75"/>
      <c r="C11198" s="75"/>
      <c r="D11198" s="75"/>
      <c r="E11198" s="75"/>
      <c r="F11198" s="75"/>
    </row>
    <row r="11199" spans="2:6">
      <c r="B11199" s="75"/>
      <c r="C11199" s="75"/>
      <c r="D11199" s="75"/>
      <c r="E11199" s="75"/>
      <c r="F11199" s="75"/>
    </row>
    <row r="11200" spans="2:6">
      <c r="B11200" s="75"/>
      <c r="C11200" s="75"/>
      <c r="D11200" s="75"/>
      <c r="E11200" s="75"/>
      <c r="F11200" s="75"/>
    </row>
    <row r="11201" spans="2:6">
      <c r="B11201" s="75"/>
      <c r="C11201" s="75"/>
      <c r="D11201" s="75"/>
      <c r="E11201" s="75"/>
      <c r="F11201" s="75"/>
    </row>
    <row r="11202" spans="2:6">
      <c r="B11202" s="75"/>
      <c r="C11202" s="75"/>
      <c r="D11202" s="75"/>
      <c r="E11202" s="75"/>
      <c r="F11202" s="75"/>
    </row>
    <row r="11203" spans="2:6">
      <c r="B11203" s="75"/>
      <c r="C11203" s="75"/>
      <c r="D11203" s="75"/>
      <c r="E11203" s="75"/>
      <c r="F11203" s="75"/>
    </row>
    <row r="11204" spans="2:6">
      <c r="B11204" s="75"/>
      <c r="C11204" s="75"/>
      <c r="D11204" s="75"/>
      <c r="E11204" s="75"/>
      <c r="F11204" s="75"/>
    </row>
    <row r="11205" spans="2:6">
      <c r="B11205" s="75"/>
      <c r="C11205" s="75"/>
      <c r="D11205" s="75"/>
      <c r="E11205" s="75"/>
      <c r="F11205" s="75"/>
    </row>
    <row r="11206" spans="2:6">
      <c r="B11206" s="75"/>
      <c r="C11206" s="75"/>
      <c r="D11206" s="75"/>
      <c r="E11206" s="75"/>
      <c r="F11206" s="75"/>
    </row>
    <row r="11207" spans="2:6">
      <c r="B11207" s="75"/>
      <c r="C11207" s="75"/>
      <c r="D11207" s="75"/>
      <c r="E11207" s="75"/>
      <c r="F11207" s="75"/>
    </row>
    <row r="11208" spans="2:6">
      <c r="B11208" s="75"/>
      <c r="C11208" s="75"/>
      <c r="D11208" s="75"/>
      <c r="E11208" s="75"/>
      <c r="F11208" s="75"/>
    </row>
    <row r="11209" spans="2:6">
      <c r="B11209" s="75"/>
      <c r="C11209" s="75"/>
      <c r="D11209" s="75"/>
      <c r="E11209" s="75"/>
      <c r="F11209" s="75"/>
    </row>
    <row r="11210" spans="2:6">
      <c r="B11210" s="75"/>
      <c r="C11210" s="75"/>
      <c r="D11210" s="75"/>
      <c r="E11210" s="75"/>
      <c r="F11210" s="75"/>
    </row>
    <row r="11211" spans="2:6">
      <c r="B11211" s="75"/>
      <c r="C11211" s="75"/>
      <c r="D11211" s="75"/>
      <c r="E11211" s="75"/>
      <c r="F11211" s="75"/>
    </row>
    <row r="11212" spans="2:6">
      <c r="B11212" s="75"/>
      <c r="C11212" s="75"/>
      <c r="D11212" s="75"/>
      <c r="E11212" s="75"/>
      <c r="F11212" s="75"/>
    </row>
    <row r="11213" spans="2:6">
      <c r="B11213" s="75"/>
      <c r="C11213" s="75"/>
      <c r="D11213" s="75"/>
      <c r="E11213" s="75"/>
      <c r="F11213" s="75"/>
    </row>
    <row r="11214" spans="2:6">
      <c r="B11214" s="75"/>
      <c r="C11214" s="75"/>
      <c r="D11214" s="75"/>
      <c r="E11214" s="75"/>
      <c r="F11214" s="75"/>
    </row>
    <row r="11215" spans="2:6">
      <c r="B11215" s="75"/>
      <c r="C11215" s="75"/>
      <c r="D11215" s="75"/>
      <c r="E11215" s="75"/>
      <c r="F11215" s="75"/>
    </row>
    <row r="11216" spans="2:6">
      <c r="B11216" s="75"/>
      <c r="C11216" s="75"/>
      <c r="D11216" s="75"/>
      <c r="E11216" s="75"/>
      <c r="F11216" s="75"/>
    </row>
    <row r="11217" spans="2:6">
      <c r="B11217" s="75"/>
      <c r="C11217" s="75"/>
      <c r="D11217" s="75"/>
      <c r="E11217" s="75"/>
      <c r="F11217" s="75"/>
    </row>
    <row r="11218" spans="2:6">
      <c r="B11218" s="75"/>
      <c r="C11218" s="75"/>
      <c r="D11218" s="75"/>
      <c r="E11218" s="75"/>
      <c r="F11218" s="75"/>
    </row>
    <row r="11219" spans="2:6">
      <c r="B11219" s="75"/>
      <c r="C11219" s="75"/>
      <c r="D11219" s="75"/>
      <c r="E11219" s="75"/>
      <c r="F11219" s="75"/>
    </row>
    <row r="11220" spans="2:6">
      <c r="B11220" s="75"/>
      <c r="C11220" s="75"/>
      <c r="D11220" s="75"/>
      <c r="E11220" s="75"/>
      <c r="F11220" s="75"/>
    </row>
    <row r="11221" spans="2:6">
      <c r="B11221" s="75"/>
      <c r="C11221" s="75"/>
      <c r="D11221" s="75"/>
      <c r="E11221" s="75"/>
      <c r="F11221" s="75"/>
    </row>
    <row r="11222" spans="2:6">
      <c r="B11222" s="75"/>
      <c r="C11222" s="75"/>
      <c r="D11222" s="75"/>
      <c r="E11222" s="75"/>
      <c r="F11222" s="75"/>
    </row>
    <row r="11223" spans="2:6">
      <c r="B11223" s="75"/>
      <c r="C11223" s="75"/>
      <c r="D11223" s="75"/>
      <c r="E11223" s="75"/>
      <c r="F11223" s="75"/>
    </row>
    <row r="11224" spans="2:6">
      <c r="B11224" s="75"/>
      <c r="C11224" s="75"/>
      <c r="D11224" s="75"/>
      <c r="E11224" s="75"/>
      <c r="F11224" s="75"/>
    </row>
    <row r="11225" spans="2:6">
      <c r="B11225" s="75"/>
      <c r="C11225" s="75"/>
      <c r="D11225" s="75"/>
      <c r="E11225" s="75"/>
      <c r="F11225" s="75"/>
    </row>
    <row r="11226" spans="2:6">
      <c r="B11226" s="75"/>
      <c r="C11226" s="75"/>
      <c r="D11226" s="75"/>
      <c r="E11226" s="75"/>
      <c r="F11226" s="75"/>
    </row>
    <row r="11227" spans="2:6">
      <c r="B11227" s="75"/>
      <c r="C11227" s="75"/>
      <c r="D11227" s="75"/>
      <c r="E11227" s="75"/>
      <c r="F11227" s="75"/>
    </row>
    <row r="11228" spans="2:6">
      <c r="B11228" s="75"/>
      <c r="C11228" s="75"/>
      <c r="D11228" s="75"/>
      <c r="E11228" s="75"/>
      <c r="F11228" s="75"/>
    </row>
    <row r="11229" spans="2:6">
      <c r="B11229" s="75"/>
      <c r="C11229" s="75"/>
      <c r="D11229" s="75"/>
      <c r="E11229" s="75"/>
      <c r="F11229" s="75"/>
    </row>
    <row r="11230" spans="2:6">
      <c r="B11230" s="75"/>
      <c r="C11230" s="75"/>
      <c r="D11230" s="75"/>
      <c r="E11230" s="75"/>
      <c r="F11230" s="75"/>
    </row>
    <row r="11231" spans="2:6">
      <c r="B11231" s="75"/>
      <c r="C11231" s="75"/>
      <c r="D11231" s="75"/>
      <c r="E11231" s="75"/>
      <c r="F11231" s="75"/>
    </row>
    <row r="11232" spans="2:6">
      <c r="B11232" s="75"/>
      <c r="C11232" s="75"/>
      <c r="D11232" s="75"/>
      <c r="E11232" s="75"/>
      <c r="F11232" s="75"/>
    </row>
    <row r="11233" spans="2:6">
      <c r="B11233" s="75"/>
      <c r="C11233" s="75"/>
      <c r="D11233" s="75"/>
      <c r="E11233" s="75"/>
      <c r="F11233" s="75"/>
    </row>
    <row r="11234" spans="2:6">
      <c r="B11234" s="75"/>
      <c r="C11234" s="75"/>
      <c r="D11234" s="75"/>
      <c r="E11234" s="75"/>
      <c r="F11234" s="75"/>
    </row>
    <row r="11235" spans="2:6">
      <c r="B11235" s="75"/>
      <c r="C11235" s="75"/>
      <c r="D11235" s="75"/>
      <c r="E11235" s="75"/>
      <c r="F11235" s="75"/>
    </row>
    <row r="11236" spans="2:6">
      <c r="B11236" s="75"/>
      <c r="C11236" s="75"/>
      <c r="D11236" s="75"/>
      <c r="E11236" s="75"/>
      <c r="F11236" s="75"/>
    </row>
    <row r="11237" spans="2:6">
      <c r="B11237" s="75"/>
      <c r="C11237" s="75"/>
      <c r="D11237" s="75"/>
      <c r="E11237" s="75"/>
      <c r="F11237" s="75"/>
    </row>
    <row r="11238" spans="2:6">
      <c r="B11238" s="75"/>
      <c r="C11238" s="75"/>
      <c r="D11238" s="75"/>
      <c r="E11238" s="75"/>
      <c r="F11238" s="75"/>
    </row>
    <row r="11239" spans="2:6">
      <c r="B11239" s="75"/>
      <c r="C11239" s="75"/>
      <c r="D11239" s="75"/>
      <c r="E11239" s="75"/>
      <c r="F11239" s="75"/>
    </row>
    <row r="11240" spans="2:6">
      <c r="B11240" s="75"/>
      <c r="C11240" s="75"/>
      <c r="D11240" s="75"/>
      <c r="E11240" s="75"/>
      <c r="F11240" s="75"/>
    </row>
    <row r="11241" spans="2:6">
      <c r="B11241" s="75"/>
      <c r="C11241" s="75"/>
      <c r="D11241" s="75"/>
      <c r="E11241" s="75"/>
      <c r="F11241" s="75"/>
    </row>
    <row r="11242" spans="2:6">
      <c r="B11242" s="75"/>
      <c r="C11242" s="75"/>
      <c r="D11242" s="75"/>
      <c r="E11242" s="75"/>
      <c r="F11242" s="75"/>
    </row>
    <row r="11243" spans="2:6">
      <c r="B11243" s="75"/>
      <c r="C11243" s="75"/>
      <c r="D11243" s="75"/>
      <c r="E11243" s="75"/>
      <c r="F11243" s="75"/>
    </row>
    <row r="11244" spans="2:6">
      <c r="B11244" s="75"/>
      <c r="C11244" s="75"/>
      <c r="D11244" s="75"/>
      <c r="E11244" s="75"/>
      <c r="F11244" s="75"/>
    </row>
    <row r="11245" spans="2:6">
      <c r="B11245" s="75"/>
      <c r="C11245" s="75"/>
      <c r="D11245" s="75"/>
      <c r="E11245" s="75"/>
      <c r="F11245" s="75"/>
    </row>
    <row r="11246" spans="2:6">
      <c r="B11246" s="75"/>
      <c r="C11246" s="75"/>
      <c r="D11246" s="75"/>
      <c r="E11246" s="75"/>
      <c r="F11246" s="75"/>
    </row>
    <row r="11247" spans="2:6">
      <c r="B11247" s="75"/>
      <c r="C11247" s="75"/>
      <c r="D11247" s="75"/>
      <c r="E11247" s="75"/>
      <c r="F11247" s="75"/>
    </row>
    <row r="11248" spans="2:6">
      <c r="B11248" s="75"/>
      <c r="C11248" s="75"/>
      <c r="D11248" s="75"/>
      <c r="E11248" s="75"/>
      <c r="F11248" s="75"/>
    </row>
    <row r="11249" spans="2:6">
      <c r="B11249" s="75"/>
      <c r="C11249" s="75"/>
      <c r="D11249" s="75"/>
      <c r="E11249" s="75"/>
      <c r="F11249" s="75"/>
    </row>
    <row r="11250" spans="2:6">
      <c r="B11250" s="75"/>
      <c r="C11250" s="75"/>
      <c r="D11250" s="75"/>
      <c r="E11250" s="75"/>
      <c r="F11250" s="75"/>
    </row>
    <row r="11251" spans="2:6">
      <c r="B11251" s="75"/>
      <c r="C11251" s="75"/>
      <c r="D11251" s="75"/>
      <c r="E11251" s="75"/>
      <c r="F11251" s="75"/>
    </row>
    <row r="11252" spans="2:6">
      <c r="B11252" s="75"/>
      <c r="C11252" s="75"/>
      <c r="D11252" s="75"/>
      <c r="E11252" s="75"/>
      <c r="F11252" s="75"/>
    </row>
    <row r="11253" spans="2:6">
      <c r="B11253" s="75"/>
      <c r="C11253" s="75"/>
      <c r="D11253" s="75"/>
      <c r="E11253" s="75"/>
      <c r="F11253" s="75"/>
    </row>
    <row r="11254" spans="2:6">
      <c r="B11254" s="75"/>
      <c r="C11254" s="75"/>
      <c r="D11254" s="75"/>
      <c r="E11254" s="75"/>
      <c r="F11254" s="75"/>
    </row>
    <row r="11255" spans="2:6">
      <c r="B11255" s="75"/>
      <c r="C11255" s="75"/>
      <c r="D11255" s="75"/>
      <c r="E11255" s="75"/>
      <c r="F11255" s="75"/>
    </row>
    <row r="11256" spans="2:6">
      <c r="B11256" s="75"/>
      <c r="C11256" s="75"/>
      <c r="D11256" s="75"/>
      <c r="E11256" s="75"/>
      <c r="F11256" s="75"/>
    </row>
    <row r="11257" spans="2:6">
      <c r="B11257" s="75"/>
      <c r="C11257" s="75"/>
      <c r="D11257" s="75"/>
      <c r="E11257" s="75"/>
      <c r="F11257" s="75"/>
    </row>
    <row r="11258" spans="2:6">
      <c r="B11258" s="75"/>
      <c r="C11258" s="75"/>
      <c r="D11258" s="75"/>
      <c r="E11258" s="75"/>
      <c r="F11258" s="75"/>
    </row>
    <row r="11259" spans="2:6">
      <c r="B11259" s="75"/>
      <c r="C11259" s="75"/>
      <c r="D11259" s="75"/>
      <c r="E11259" s="75"/>
      <c r="F11259" s="75"/>
    </row>
    <row r="11260" spans="2:6">
      <c r="B11260" s="75"/>
      <c r="C11260" s="75"/>
      <c r="D11260" s="75"/>
      <c r="E11260" s="75"/>
      <c r="F11260" s="75"/>
    </row>
    <row r="11261" spans="2:6">
      <c r="B11261" s="75"/>
      <c r="C11261" s="75"/>
      <c r="D11261" s="75"/>
      <c r="E11261" s="75"/>
      <c r="F11261" s="75"/>
    </row>
    <row r="11262" spans="2:6">
      <c r="B11262" s="75"/>
      <c r="C11262" s="75"/>
      <c r="D11262" s="75"/>
      <c r="E11262" s="75"/>
      <c r="F11262" s="75"/>
    </row>
    <row r="11263" spans="2:6">
      <c r="B11263" s="75"/>
      <c r="C11263" s="75"/>
      <c r="D11263" s="75"/>
      <c r="E11263" s="75"/>
      <c r="F11263" s="75"/>
    </row>
    <row r="11264" spans="2:6">
      <c r="B11264" s="75"/>
      <c r="C11264" s="75"/>
      <c r="D11264" s="75"/>
      <c r="E11264" s="75"/>
      <c r="F11264" s="75"/>
    </row>
    <row r="11265" spans="2:6">
      <c r="B11265" s="75"/>
      <c r="C11265" s="75"/>
      <c r="D11265" s="75"/>
      <c r="E11265" s="75"/>
      <c r="F11265" s="75"/>
    </row>
    <row r="11266" spans="2:6">
      <c r="B11266" s="75"/>
      <c r="C11266" s="75"/>
      <c r="D11266" s="75"/>
      <c r="E11266" s="75"/>
      <c r="F11266" s="75"/>
    </row>
    <row r="11267" spans="2:6">
      <c r="B11267" s="75"/>
      <c r="C11267" s="75"/>
      <c r="D11267" s="75"/>
      <c r="E11267" s="75"/>
      <c r="F11267" s="75"/>
    </row>
    <row r="11268" spans="2:6">
      <c r="B11268" s="75"/>
      <c r="C11268" s="75"/>
      <c r="D11268" s="75"/>
      <c r="E11268" s="75"/>
      <c r="F11268" s="75"/>
    </row>
    <row r="11269" spans="2:6">
      <c r="B11269" s="75"/>
      <c r="C11269" s="75"/>
      <c r="D11269" s="75"/>
      <c r="E11269" s="75"/>
      <c r="F11269" s="75"/>
    </row>
    <row r="11270" spans="2:6">
      <c r="B11270" s="75"/>
      <c r="C11270" s="75"/>
      <c r="D11270" s="75"/>
      <c r="E11270" s="75"/>
      <c r="F11270" s="75"/>
    </row>
    <row r="11271" spans="2:6">
      <c r="B11271" s="75"/>
      <c r="C11271" s="75"/>
      <c r="D11271" s="75"/>
      <c r="E11271" s="75"/>
      <c r="F11271" s="75"/>
    </row>
    <row r="11272" spans="2:6">
      <c r="B11272" s="75"/>
      <c r="C11272" s="75"/>
      <c r="D11272" s="75"/>
      <c r="E11272" s="75"/>
      <c r="F11272" s="75"/>
    </row>
    <row r="11273" spans="2:6">
      <c r="B11273" s="75"/>
      <c r="C11273" s="75"/>
      <c r="D11273" s="75"/>
      <c r="E11273" s="75"/>
      <c r="F11273" s="75"/>
    </row>
    <row r="11274" spans="2:6">
      <c r="B11274" s="75"/>
      <c r="C11274" s="75"/>
      <c r="D11274" s="75"/>
      <c r="E11274" s="75"/>
      <c r="F11274" s="75"/>
    </row>
    <row r="11275" spans="2:6">
      <c r="B11275" s="75"/>
      <c r="C11275" s="75"/>
      <c r="D11275" s="75"/>
      <c r="E11275" s="75"/>
      <c r="F11275" s="75"/>
    </row>
    <row r="11276" spans="2:6">
      <c r="B11276" s="75"/>
      <c r="C11276" s="75"/>
      <c r="D11276" s="75"/>
      <c r="E11276" s="75"/>
      <c r="F11276" s="75"/>
    </row>
    <row r="11277" spans="2:6">
      <c r="B11277" s="75"/>
      <c r="C11277" s="75"/>
      <c r="D11277" s="75"/>
      <c r="E11277" s="75"/>
      <c r="F11277" s="75"/>
    </row>
    <row r="11278" spans="2:6">
      <c r="B11278" s="75"/>
      <c r="C11278" s="75"/>
      <c r="D11278" s="75"/>
      <c r="E11278" s="75"/>
      <c r="F11278" s="75"/>
    </row>
    <row r="11279" spans="2:6">
      <c r="B11279" s="75"/>
      <c r="C11279" s="75"/>
      <c r="D11279" s="75"/>
      <c r="E11279" s="75"/>
      <c r="F11279" s="75"/>
    </row>
    <row r="11280" spans="2:6">
      <c r="B11280" s="75"/>
      <c r="C11280" s="75"/>
      <c r="D11280" s="75"/>
      <c r="E11280" s="75"/>
      <c r="F11280" s="75"/>
    </row>
    <row r="11281" spans="2:6">
      <c r="B11281" s="75"/>
      <c r="C11281" s="75"/>
      <c r="D11281" s="75"/>
      <c r="E11281" s="75"/>
      <c r="F11281" s="75"/>
    </row>
    <row r="11282" spans="2:6">
      <c r="B11282" s="75"/>
      <c r="C11282" s="75"/>
      <c r="D11282" s="75"/>
      <c r="E11282" s="75"/>
      <c r="F11282" s="75"/>
    </row>
    <row r="11283" spans="2:6">
      <c r="B11283" s="75"/>
      <c r="C11283" s="75"/>
      <c r="D11283" s="75"/>
      <c r="E11283" s="75"/>
      <c r="F11283" s="75"/>
    </row>
    <row r="11284" spans="2:6">
      <c r="B11284" s="75"/>
      <c r="C11284" s="75"/>
      <c r="D11284" s="75"/>
      <c r="E11284" s="75"/>
      <c r="F11284" s="75"/>
    </row>
    <row r="11285" spans="2:6">
      <c r="B11285" s="75"/>
      <c r="C11285" s="75"/>
      <c r="D11285" s="75"/>
      <c r="E11285" s="75"/>
      <c r="F11285" s="75"/>
    </row>
    <row r="11286" spans="2:6">
      <c r="B11286" s="75"/>
      <c r="C11286" s="75"/>
      <c r="D11286" s="75"/>
      <c r="E11286" s="75"/>
      <c r="F11286" s="75"/>
    </row>
    <row r="11287" spans="2:6">
      <c r="B11287" s="75"/>
      <c r="C11287" s="75"/>
      <c r="D11287" s="75"/>
      <c r="E11287" s="75"/>
      <c r="F11287" s="75"/>
    </row>
    <row r="11288" spans="2:6">
      <c r="B11288" s="75"/>
      <c r="C11288" s="75"/>
      <c r="D11288" s="75"/>
      <c r="E11288" s="75"/>
      <c r="F11288" s="75"/>
    </row>
    <row r="11289" spans="2:6">
      <c r="B11289" s="75"/>
      <c r="C11289" s="75"/>
      <c r="D11289" s="75"/>
      <c r="E11289" s="75"/>
      <c r="F11289" s="75"/>
    </row>
    <row r="11290" spans="2:6">
      <c r="B11290" s="75"/>
      <c r="C11290" s="75"/>
      <c r="D11290" s="75"/>
      <c r="E11290" s="75"/>
      <c r="F11290" s="75"/>
    </row>
    <row r="11291" spans="2:6">
      <c r="B11291" s="75"/>
      <c r="C11291" s="75"/>
      <c r="D11291" s="75"/>
      <c r="E11291" s="75"/>
      <c r="F11291" s="75"/>
    </row>
    <row r="11292" spans="2:6">
      <c r="B11292" s="75"/>
      <c r="C11292" s="75"/>
      <c r="D11292" s="75"/>
      <c r="E11292" s="75"/>
      <c r="F11292" s="75"/>
    </row>
    <row r="11293" spans="2:6">
      <c r="B11293" s="75"/>
      <c r="C11293" s="75"/>
      <c r="D11293" s="75"/>
      <c r="E11293" s="75"/>
      <c r="F11293" s="75"/>
    </row>
    <row r="11294" spans="2:6">
      <c r="B11294" s="75"/>
      <c r="C11294" s="75"/>
      <c r="D11294" s="75"/>
      <c r="E11294" s="75"/>
      <c r="F11294" s="75"/>
    </row>
    <row r="11295" spans="2:6">
      <c r="B11295" s="75"/>
      <c r="C11295" s="75"/>
      <c r="D11295" s="75"/>
      <c r="E11295" s="75"/>
      <c r="F11295" s="75"/>
    </row>
    <row r="11296" spans="2:6">
      <c r="B11296" s="75"/>
      <c r="C11296" s="75"/>
      <c r="D11296" s="75"/>
      <c r="E11296" s="75"/>
      <c r="F11296" s="75"/>
    </row>
    <row r="11297" spans="2:6">
      <c r="B11297" s="75"/>
      <c r="C11297" s="75"/>
      <c r="D11297" s="75"/>
      <c r="E11297" s="75"/>
      <c r="F11297" s="75"/>
    </row>
    <row r="11298" spans="2:6">
      <c r="B11298" s="75"/>
      <c r="C11298" s="75"/>
      <c r="D11298" s="75"/>
      <c r="E11298" s="75"/>
      <c r="F11298" s="75"/>
    </row>
    <row r="11299" spans="2:6">
      <c r="B11299" s="75"/>
      <c r="C11299" s="75"/>
      <c r="D11299" s="75"/>
      <c r="E11299" s="75"/>
      <c r="F11299" s="75"/>
    </row>
    <row r="11300" spans="2:6">
      <c r="B11300" s="75"/>
      <c r="C11300" s="75"/>
      <c r="D11300" s="75"/>
      <c r="E11300" s="75"/>
      <c r="F11300" s="75"/>
    </row>
    <row r="11301" spans="2:6">
      <c r="B11301" s="75"/>
      <c r="C11301" s="75"/>
      <c r="D11301" s="75"/>
      <c r="E11301" s="75"/>
      <c r="F11301" s="75"/>
    </row>
    <row r="11302" spans="2:6">
      <c r="B11302" s="75"/>
      <c r="C11302" s="75"/>
      <c r="D11302" s="75"/>
      <c r="E11302" s="75"/>
      <c r="F11302" s="75"/>
    </row>
    <row r="11303" spans="2:6">
      <c r="B11303" s="75"/>
      <c r="C11303" s="75"/>
      <c r="D11303" s="75"/>
      <c r="E11303" s="75"/>
      <c r="F11303" s="75"/>
    </row>
    <row r="11304" spans="2:6">
      <c r="B11304" s="75"/>
      <c r="C11304" s="75"/>
      <c r="D11304" s="75"/>
      <c r="E11304" s="75"/>
      <c r="F11304" s="75"/>
    </row>
    <row r="11305" spans="2:6">
      <c r="B11305" s="75"/>
      <c r="C11305" s="75"/>
      <c r="D11305" s="75"/>
      <c r="E11305" s="75"/>
      <c r="F11305" s="75"/>
    </row>
    <row r="11306" spans="2:6">
      <c r="B11306" s="75"/>
      <c r="C11306" s="75"/>
      <c r="D11306" s="75"/>
      <c r="E11306" s="75"/>
      <c r="F11306" s="75"/>
    </row>
    <row r="11307" spans="2:6">
      <c r="B11307" s="75"/>
      <c r="C11307" s="75"/>
      <c r="D11307" s="75"/>
      <c r="E11307" s="75"/>
      <c r="F11307" s="75"/>
    </row>
    <row r="11308" spans="2:6">
      <c r="B11308" s="75"/>
      <c r="C11308" s="75"/>
      <c r="D11308" s="75"/>
      <c r="E11308" s="75"/>
      <c r="F11308" s="75"/>
    </row>
    <row r="11309" spans="2:6">
      <c r="B11309" s="75"/>
      <c r="C11309" s="75"/>
      <c r="D11309" s="75"/>
      <c r="E11309" s="75"/>
      <c r="F11309" s="75"/>
    </row>
    <row r="11310" spans="2:6">
      <c r="B11310" s="75"/>
      <c r="C11310" s="75"/>
      <c r="D11310" s="75"/>
      <c r="E11310" s="75"/>
      <c r="F11310" s="75"/>
    </row>
    <row r="11311" spans="2:6">
      <c r="B11311" s="75"/>
      <c r="C11311" s="75"/>
      <c r="D11311" s="75"/>
      <c r="E11311" s="75"/>
      <c r="F11311" s="75"/>
    </row>
    <row r="11312" spans="2:6">
      <c r="B11312" s="75"/>
      <c r="C11312" s="75"/>
      <c r="D11312" s="75"/>
      <c r="E11312" s="75"/>
      <c r="F11312" s="75"/>
    </row>
    <row r="11313" spans="2:6">
      <c r="B11313" s="75"/>
      <c r="C11313" s="75"/>
      <c r="D11313" s="75"/>
      <c r="E11313" s="75"/>
      <c r="F11313" s="75"/>
    </row>
    <row r="11314" spans="2:6">
      <c r="B11314" s="75"/>
      <c r="C11314" s="75"/>
      <c r="D11314" s="75"/>
      <c r="E11314" s="75"/>
      <c r="F11314" s="75"/>
    </row>
    <row r="11315" spans="2:6">
      <c r="B11315" s="75"/>
      <c r="C11315" s="75"/>
      <c r="D11315" s="75"/>
      <c r="E11315" s="75"/>
      <c r="F11315" s="75"/>
    </row>
    <row r="11316" spans="2:6">
      <c r="B11316" s="75"/>
      <c r="C11316" s="75"/>
      <c r="D11316" s="75"/>
      <c r="E11316" s="75"/>
      <c r="F11316" s="75"/>
    </row>
    <row r="11317" spans="2:6">
      <c r="B11317" s="75"/>
      <c r="C11317" s="75"/>
      <c r="D11317" s="75"/>
      <c r="E11317" s="75"/>
      <c r="F11317" s="75"/>
    </row>
    <row r="11318" spans="2:6">
      <c r="B11318" s="75"/>
      <c r="C11318" s="75"/>
      <c r="D11318" s="75"/>
      <c r="E11318" s="75"/>
      <c r="F11318" s="75"/>
    </row>
    <row r="11319" spans="2:6">
      <c r="B11319" s="75"/>
      <c r="C11319" s="75"/>
      <c r="D11319" s="75"/>
      <c r="E11319" s="75"/>
      <c r="F11319" s="75"/>
    </row>
    <row r="11320" spans="2:6">
      <c r="B11320" s="75"/>
      <c r="C11320" s="75"/>
      <c r="D11320" s="75"/>
      <c r="E11320" s="75"/>
      <c r="F11320" s="75"/>
    </row>
    <row r="11321" spans="2:6">
      <c r="B11321" s="75"/>
      <c r="C11321" s="75"/>
      <c r="D11321" s="75"/>
      <c r="E11321" s="75"/>
      <c r="F11321" s="75"/>
    </row>
    <row r="11322" spans="2:6">
      <c r="B11322" s="75"/>
      <c r="C11322" s="75"/>
      <c r="D11322" s="75"/>
      <c r="E11322" s="75"/>
      <c r="F11322" s="75"/>
    </row>
    <row r="11323" spans="2:6">
      <c r="B11323" s="75"/>
      <c r="C11323" s="75"/>
      <c r="D11323" s="75"/>
      <c r="E11323" s="75"/>
      <c r="F11323" s="75"/>
    </row>
    <row r="11324" spans="2:6">
      <c r="B11324" s="75"/>
      <c r="C11324" s="75"/>
      <c r="D11324" s="75"/>
      <c r="E11324" s="75"/>
      <c r="F11324" s="75"/>
    </row>
    <row r="11325" spans="2:6">
      <c r="B11325" s="75"/>
      <c r="C11325" s="75"/>
      <c r="D11325" s="75"/>
      <c r="E11325" s="75"/>
      <c r="F11325" s="75"/>
    </row>
    <row r="11326" spans="2:6">
      <c r="B11326" s="75"/>
      <c r="C11326" s="75"/>
      <c r="D11326" s="75"/>
      <c r="E11326" s="75"/>
      <c r="F11326" s="75"/>
    </row>
    <row r="11327" spans="2:6">
      <c r="B11327" s="75"/>
      <c r="C11327" s="75"/>
      <c r="D11327" s="75"/>
      <c r="E11327" s="75"/>
      <c r="F11327" s="75"/>
    </row>
    <row r="11328" spans="2:6">
      <c r="B11328" s="75"/>
      <c r="C11328" s="75"/>
      <c r="D11328" s="75"/>
      <c r="E11328" s="75"/>
      <c r="F11328" s="75"/>
    </row>
    <row r="11329" spans="2:6">
      <c r="B11329" s="75"/>
      <c r="C11329" s="75"/>
      <c r="D11329" s="75"/>
      <c r="E11329" s="75"/>
      <c r="F11329" s="75"/>
    </row>
    <row r="11330" spans="2:6">
      <c r="B11330" s="75"/>
      <c r="C11330" s="75"/>
      <c r="D11330" s="75"/>
      <c r="E11330" s="75"/>
      <c r="F11330" s="75"/>
    </row>
    <row r="11331" spans="2:6">
      <c r="B11331" s="75"/>
      <c r="C11331" s="75"/>
      <c r="D11331" s="75"/>
      <c r="E11331" s="75"/>
      <c r="F11331" s="75"/>
    </row>
    <row r="11332" spans="2:6">
      <c r="B11332" s="75"/>
      <c r="C11332" s="75"/>
      <c r="D11332" s="75"/>
      <c r="E11332" s="75"/>
      <c r="F11332" s="75"/>
    </row>
    <row r="11333" spans="2:6">
      <c r="B11333" s="75"/>
      <c r="C11333" s="75"/>
      <c r="D11333" s="75"/>
      <c r="E11333" s="75"/>
      <c r="F11333" s="75"/>
    </row>
    <row r="11334" spans="2:6">
      <c r="B11334" s="75"/>
      <c r="C11334" s="75"/>
      <c r="D11334" s="75"/>
      <c r="E11334" s="75"/>
      <c r="F11334" s="75"/>
    </row>
    <row r="11335" spans="2:6">
      <c r="B11335" s="75"/>
      <c r="C11335" s="75"/>
      <c r="D11335" s="75"/>
      <c r="E11335" s="75"/>
      <c r="F11335" s="75"/>
    </row>
    <row r="11336" spans="2:6">
      <c r="B11336" s="75"/>
      <c r="C11336" s="75"/>
      <c r="D11336" s="75"/>
      <c r="E11336" s="75"/>
      <c r="F11336" s="75"/>
    </row>
    <row r="11337" spans="2:6">
      <c r="B11337" s="75"/>
      <c r="C11337" s="75"/>
      <c r="D11337" s="75"/>
      <c r="E11337" s="75"/>
      <c r="F11337" s="75"/>
    </row>
    <row r="11338" spans="2:6">
      <c r="B11338" s="75"/>
      <c r="C11338" s="75"/>
      <c r="D11338" s="75"/>
      <c r="E11338" s="75"/>
      <c r="F11338" s="75"/>
    </row>
    <row r="11339" spans="2:6">
      <c r="B11339" s="75"/>
      <c r="C11339" s="75"/>
      <c r="D11339" s="75"/>
      <c r="E11339" s="75"/>
      <c r="F11339" s="75"/>
    </row>
    <row r="11340" spans="2:6">
      <c r="B11340" s="75"/>
      <c r="C11340" s="75"/>
      <c r="D11340" s="75"/>
      <c r="E11340" s="75"/>
      <c r="F11340" s="75"/>
    </row>
    <row r="11341" spans="2:6">
      <c r="B11341" s="75"/>
      <c r="C11341" s="75"/>
      <c r="D11341" s="75"/>
      <c r="E11341" s="75"/>
      <c r="F11341" s="75"/>
    </row>
    <row r="11342" spans="2:6">
      <c r="B11342" s="75"/>
      <c r="C11342" s="75"/>
      <c r="D11342" s="75"/>
      <c r="E11342" s="75"/>
      <c r="F11342" s="75"/>
    </row>
    <row r="11343" spans="2:6">
      <c r="B11343" s="75"/>
      <c r="C11343" s="75"/>
      <c r="D11343" s="75"/>
      <c r="E11343" s="75"/>
      <c r="F11343" s="75"/>
    </row>
    <row r="11344" spans="2:6">
      <c r="B11344" s="75"/>
      <c r="C11344" s="75"/>
      <c r="D11344" s="75"/>
      <c r="E11344" s="75"/>
      <c r="F11344" s="75"/>
    </row>
    <row r="11345" spans="2:6">
      <c r="B11345" s="75"/>
      <c r="C11345" s="75"/>
      <c r="D11345" s="75"/>
      <c r="E11345" s="75"/>
      <c r="F11345" s="75"/>
    </row>
    <row r="11346" spans="2:6">
      <c r="B11346" s="75"/>
      <c r="C11346" s="75"/>
      <c r="D11346" s="75"/>
      <c r="E11346" s="75"/>
      <c r="F11346" s="75"/>
    </row>
    <row r="11347" spans="2:6">
      <c r="B11347" s="75"/>
      <c r="C11347" s="75"/>
      <c r="D11347" s="75"/>
      <c r="E11347" s="75"/>
      <c r="F11347" s="75"/>
    </row>
    <row r="11348" spans="2:6">
      <c r="B11348" s="75"/>
      <c r="C11348" s="75"/>
      <c r="D11348" s="75"/>
      <c r="E11348" s="75"/>
      <c r="F11348" s="75"/>
    </row>
    <row r="11349" spans="2:6">
      <c r="B11349" s="75"/>
      <c r="C11349" s="75"/>
      <c r="D11349" s="75"/>
      <c r="E11349" s="75"/>
      <c r="F11349" s="75"/>
    </row>
    <row r="11350" spans="2:6">
      <c r="B11350" s="75"/>
      <c r="C11350" s="75"/>
      <c r="D11350" s="75"/>
      <c r="E11350" s="75"/>
      <c r="F11350" s="75"/>
    </row>
    <row r="11351" spans="2:6">
      <c r="B11351" s="75"/>
      <c r="C11351" s="75"/>
      <c r="D11351" s="75"/>
      <c r="E11351" s="75"/>
      <c r="F11351" s="75"/>
    </row>
    <row r="11352" spans="2:6">
      <c r="B11352" s="75"/>
      <c r="C11352" s="75"/>
      <c r="D11352" s="75"/>
      <c r="E11352" s="75"/>
      <c r="F11352" s="75"/>
    </row>
    <row r="11353" spans="2:6">
      <c r="B11353" s="75"/>
      <c r="C11353" s="75"/>
      <c r="D11353" s="75"/>
      <c r="E11353" s="75"/>
      <c r="F11353" s="75"/>
    </row>
    <row r="11354" spans="2:6">
      <c r="B11354" s="75"/>
      <c r="C11354" s="75"/>
      <c r="D11354" s="75"/>
      <c r="E11354" s="75"/>
      <c r="F11354" s="75"/>
    </row>
    <row r="11355" spans="2:6">
      <c r="B11355" s="75"/>
      <c r="C11355" s="75"/>
      <c r="D11355" s="75"/>
      <c r="E11355" s="75"/>
      <c r="F11355" s="75"/>
    </row>
    <row r="11356" spans="2:6">
      <c r="B11356" s="75"/>
      <c r="C11356" s="75"/>
      <c r="D11356" s="75"/>
      <c r="E11356" s="75"/>
      <c r="F11356" s="75"/>
    </row>
    <row r="11357" spans="2:6">
      <c r="B11357" s="75"/>
      <c r="C11357" s="75"/>
      <c r="D11357" s="75"/>
      <c r="E11357" s="75"/>
      <c r="F11357" s="75"/>
    </row>
    <row r="11358" spans="2:6">
      <c r="B11358" s="75"/>
      <c r="C11358" s="75"/>
      <c r="D11358" s="75"/>
      <c r="E11358" s="75"/>
      <c r="F11358" s="75"/>
    </row>
    <row r="11359" spans="2:6">
      <c r="B11359" s="75"/>
      <c r="C11359" s="75"/>
      <c r="D11359" s="75"/>
      <c r="E11359" s="75"/>
      <c r="F11359" s="75"/>
    </row>
    <row r="11360" spans="2:6">
      <c r="B11360" s="75"/>
      <c r="C11360" s="75"/>
      <c r="D11360" s="75"/>
      <c r="E11360" s="75"/>
      <c r="F11360" s="75"/>
    </row>
    <row r="11361" spans="2:6">
      <c r="B11361" s="75"/>
      <c r="C11361" s="75"/>
      <c r="D11361" s="75"/>
      <c r="E11361" s="75"/>
      <c r="F11361" s="75"/>
    </row>
    <row r="11362" spans="2:6">
      <c r="B11362" s="75"/>
      <c r="C11362" s="75"/>
      <c r="D11362" s="75"/>
      <c r="E11362" s="75"/>
      <c r="F11362" s="75"/>
    </row>
    <row r="11363" spans="2:6">
      <c r="B11363" s="75"/>
      <c r="C11363" s="75"/>
      <c r="D11363" s="75"/>
      <c r="E11363" s="75"/>
      <c r="F11363" s="75"/>
    </row>
    <row r="11364" spans="2:6">
      <c r="B11364" s="75"/>
      <c r="C11364" s="75"/>
      <c r="D11364" s="75"/>
      <c r="E11364" s="75"/>
      <c r="F11364" s="75"/>
    </row>
    <row r="11365" spans="2:6">
      <c r="B11365" s="75"/>
      <c r="C11365" s="75"/>
      <c r="D11365" s="75"/>
      <c r="E11365" s="75"/>
      <c r="F11365" s="75"/>
    </row>
    <row r="11366" spans="2:6">
      <c r="B11366" s="75"/>
      <c r="C11366" s="75"/>
      <c r="D11366" s="75"/>
      <c r="E11366" s="75"/>
      <c r="F11366" s="75"/>
    </row>
    <row r="11367" spans="2:6">
      <c r="B11367" s="75"/>
      <c r="C11367" s="75"/>
      <c r="D11367" s="75"/>
      <c r="E11367" s="75"/>
      <c r="F11367" s="75"/>
    </row>
    <row r="11368" spans="2:6">
      <c r="B11368" s="75"/>
      <c r="C11368" s="75"/>
      <c r="D11368" s="75"/>
      <c r="E11368" s="75"/>
      <c r="F11368" s="75"/>
    </row>
    <row r="11369" spans="2:6">
      <c r="B11369" s="75"/>
      <c r="C11369" s="75"/>
      <c r="D11369" s="75"/>
      <c r="E11369" s="75"/>
      <c r="F11369" s="75"/>
    </row>
    <row r="11370" spans="2:6">
      <c r="B11370" s="75"/>
      <c r="C11370" s="75"/>
      <c r="D11370" s="75"/>
      <c r="E11370" s="75"/>
      <c r="F11370" s="75"/>
    </row>
    <row r="11371" spans="2:6">
      <c r="B11371" s="75"/>
      <c r="C11371" s="75"/>
      <c r="D11371" s="75"/>
      <c r="E11371" s="75"/>
      <c r="F11371" s="75"/>
    </row>
    <row r="11372" spans="2:6">
      <c r="B11372" s="75"/>
      <c r="C11372" s="75"/>
      <c r="D11372" s="75"/>
      <c r="E11372" s="75"/>
      <c r="F11372" s="75"/>
    </row>
    <row r="11373" spans="2:6">
      <c r="B11373" s="75"/>
      <c r="C11373" s="75"/>
      <c r="D11373" s="75"/>
      <c r="E11373" s="75"/>
      <c r="F11373" s="75"/>
    </row>
    <row r="11374" spans="2:6">
      <c r="B11374" s="75"/>
      <c r="C11374" s="75"/>
      <c r="D11374" s="75"/>
      <c r="E11374" s="75"/>
      <c r="F11374" s="75"/>
    </row>
    <row r="11375" spans="2:6">
      <c r="B11375" s="75"/>
      <c r="C11375" s="75"/>
      <c r="D11375" s="75"/>
      <c r="E11375" s="75"/>
      <c r="F11375" s="75"/>
    </row>
    <row r="11376" spans="2:6">
      <c r="B11376" s="75"/>
      <c r="C11376" s="75"/>
      <c r="D11376" s="75"/>
      <c r="E11376" s="75"/>
      <c r="F11376" s="75"/>
    </row>
    <row r="11377" spans="2:6">
      <c r="B11377" s="75"/>
      <c r="C11377" s="75"/>
      <c r="D11377" s="75"/>
      <c r="E11377" s="75"/>
      <c r="F11377" s="75"/>
    </row>
    <row r="11378" spans="2:6">
      <c r="B11378" s="75"/>
      <c r="C11378" s="75"/>
      <c r="D11378" s="75"/>
      <c r="E11378" s="75"/>
      <c r="F11378" s="75"/>
    </row>
    <row r="11379" spans="2:6">
      <c r="B11379" s="75"/>
      <c r="C11379" s="75"/>
      <c r="D11379" s="75"/>
      <c r="E11379" s="75"/>
      <c r="F11379" s="75"/>
    </row>
    <row r="11380" spans="2:6">
      <c r="B11380" s="75"/>
      <c r="C11380" s="75"/>
      <c r="D11380" s="75"/>
      <c r="E11380" s="75"/>
      <c r="F11380" s="75"/>
    </row>
    <row r="11381" spans="2:6">
      <c r="B11381" s="75"/>
      <c r="C11381" s="75"/>
      <c r="D11381" s="75"/>
      <c r="E11381" s="75"/>
      <c r="F11381" s="75"/>
    </row>
    <row r="11382" spans="2:6">
      <c r="B11382" s="75"/>
      <c r="C11382" s="75"/>
      <c r="D11382" s="75"/>
      <c r="E11382" s="75"/>
      <c r="F11382" s="75"/>
    </row>
    <row r="11383" spans="2:6">
      <c r="B11383" s="75"/>
      <c r="C11383" s="75"/>
      <c r="D11383" s="75"/>
      <c r="E11383" s="75"/>
      <c r="F11383" s="75"/>
    </row>
    <row r="11384" spans="2:6">
      <c r="B11384" s="75"/>
      <c r="C11384" s="75"/>
      <c r="D11384" s="75"/>
      <c r="E11384" s="75"/>
      <c r="F11384" s="75"/>
    </row>
    <row r="11385" spans="2:6">
      <c r="B11385" s="75"/>
      <c r="C11385" s="75"/>
      <c r="D11385" s="75"/>
      <c r="E11385" s="75"/>
      <c r="F11385" s="75"/>
    </row>
    <row r="11386" spans="2:6">
      <c r="B11386" s="75"/>
      <c r="C11386" s="75"/>
      <c r="D11386" s="75"/>
      <c r="E11386" s="75"/>
      <c r="F11386" s="75"/>
    </row>
    <row r="11387" spans="2:6">
      <c r="B11387" s="75"/>
      <c r="C11387" s="75"/>
      <c r="D11387" s="75"/>
      <c r="E11387" s="75"/>
      <c r="F11387" s="75"/>
    </row>
    <row r="11388" spans="2:6">
      <c r="B11388" s="75"/>
      <c r="C11388" s="75"/>
      <c r="D11388" s="75"/>
      <c r="E11388" s="75"/>
      <c r="F11388" s="75"/>
    </row>
    <row r="11389" spans="2:6">
      <c r="B11389" s="75"/>
      <c r="C11389" s="75"/>
      <c r="D11389" s="75"/>
      <c r="E11389" s="75"/>
      <c r="F11389" s="75"/>
    </row>
    <row r="11390" spans="2:6">
      <c r="B11390" s="75"/>
      <c r="C11390" s="75"/>
      <c r="D11390" s="75"/>
      <c r="E11390" s="75"/>
      <c r="F11390" s="75"/>
    </row>
    <row r="11391" spans="2:6">
      <c r="B11391" s="75"/>
      <c r="C11391" s="75"/>
      <c r="D11391" s="75"/>
      <c r="E11391" s="75"/>
      <c r="F11391" s="75"/>
    </row>
    <row r="11392" spans="2:6">
      <c r="B11392" s="75"/>
      <c r="C11392" s="75"/>
      <c r="D11392" s="75"/>
      <c r="E11392" s="75"/>
      <c r="F11392" s="75"/>
    </row>
    <row r="11393" spans="2:6">
      <c r="B11393" s="75"/>
      <c r="C11393" s="75"/>
      <c r="D11393" s="75"/>
      <c r="E11393" s="75"/>
      <c r="F11393" s="75"/>
    </row>
    <row r="11394" spans="2:6">
      <c r="B11394" s="75"/>
      <c r="C11394" s="75"/>
      <c r="D11394" s="75"/>
      <c r="E11394" s="75"/>
      <c r="F11394" s="75"/>
    </row>
    <row r="11395" spans="2:6">
      <c r="B11395" s="75"/>
      <c r="C11395" s="75"/>
      <c r="D11395" s="75"/>
      <c r="E11395" s="75"/>
      <c r="F11395" s="75"/>
    </row>
    <row r="11396" spans="2:6">
      <c r="B11396" s="75"/>
      <c r="C11396" s="75"/>
      <c r="D11396" s="75"/>
      <c r="E11396" s="75"/>
      <c r="F11396" s="75"/>
    </row>
    <row r="11397" spans="2:6">
      <c r="B11397" s="75"/>
      <c r="C11397" s="75"/>
      <c r="D11397" s="75"/>
      <c r="E11397" s="75"/>
      <c r="F11397" s="75"/>
    </row>
    <row r="11398" spans="2:6">
      <c r="B11398" s="75"/>
      <c r="C11398" s="75"/>
      <c r="D11398" s="75"/>
      <c r="E11398" s="75"/>
      <c r="F11398" s="75"/>
    </row>
    <row r="11399" spans="2:6">
      <c r="B11399" s="75"/>
      <c r="C11399" s="75"/>
      <c r="D11399" s="75"/>
      <c r="E11399" s="75"/>
      <c r="F11399" s="75"/>
    </row>
    <row r="11400" spans="2:6">
      <c r="B11400" s="75"/>
      <c r="C11400" s="75"/>
      <c r="D11400" s="75"/>
      <c r="E11400" s="75"/>
      <c r="F11400" s="75"/>
    </row>
    <row r="11401" spans="2:6">
      <c r="B11401" s="75"/>
      <c r="C11401" s="75"/>
      <c r="D11401" s="75"/>
      <c r="E11401" s="75"/>
      <c r="F11401" s="75"/>
    </row>
    <row r="11402" spans="2:6">
      <c r="B11402" s="75"/>
      <c r="C11402" s="75"/>
      <c r="D11402" s="75"/>
      <c r="E11402" s="75"/>
      <c r="F11402" s="75"/>
    </row>
    <row r="11403" spans="2:6">
      <c r="B11403" s="75"/>
      <c r="C11403" s="75"/>
      <c r="D11403" s="75"/>
      <c r="E11403" s="75"/>
      <c r="F11403" s="75"/>
    </row>
    <row r="11404" spans="2:6">
      <c r="B11404" s="75"/>
      <c r="C11404" s="75"/>
      <c r="D11404" s="75"/>
      <c r="E11404" s="75"/>
      <c r="F11404" s="75"/>
    </row>
    <row r="11405" spans="2:6">
      <c r="B11405" s="75"/>
      <c r="C11405" s="75"/>
      <c r="D11405" s="75"/>
      <c r="E11405" s="75"/>
      <c r="F11405" s="75"/>
    </row>
    <row r="11406" spans="2:6">
      <c r="B11406" s="75"/>
      <c r="C11406" s="75"/>
      <c r="D11406" s="75"/>
      <c r="E11406" s="75"/>
      <c r="F11406" s="75"/>
    </row>
    <row r="11407" spans="2:6">
      <c r="B11407" s="75"/>
      <c r="C11407" s="75"/>
      <c r="D11407" s="75"/>
      <c r="E11407" s="75"/>
      <c r="F11407" s="75"/>
    </row>
    <row r="11408" spans="2:6">
      <c r="B11408" s="75"/>
      <c r="C11408" s="75"/>
      <c r="D11408" s="75"/>
      <c r="E11408" s="75"/>
      <c r="F11408" s="75"/>
    </row>
    <row r="11409" spans="2:6">
      <c r="B11409" s="75"/>
      <c r="C11409" s="75"/>
      <c r="D11409" s="75"/>
      <c r="E11409" s="75"/>
      <c r="F11409" s="75"/>
    </row>
    <row r="11410" spans="2:6">
      <c r="B11410" s="75"/>
      <c r="C11410" s="75"/>
      <c r="D11410" s="75"/>
      <c r="E11410" s="75"/>
      <c r="F11410" s="75"/>
    </row>
    <row r="11411" spans="2:6">
      <c r="B11411" s="75"/>
      <c r="C11411" s="75"/>
      <c r="D11411" s="75"/>
      <c r="E11411" s="75"/>
      <c r="F11411" s="75"/>
    </row>
    <row r="11412" spans="2:6">
      <c r="B11412" s="75"/>
      <c r="C11412" s="75"/>
      <c r="D11412" s="75"/>
      <c r="E11412" s="75"/>
      <c r="F11412" s="75"/>
    </row>
    <row r="11413" spans="2:6">
      <c r="B11413" s="75"/>
      <c r="C11413" s="75"/>
      <c r="D11413" s="75"/>
      <c r="E11413" s="75"/>
      <c r="F11413" s="75"/>
    </row>
    <row r="11414" spans="2:6">
      <c r="B11414" s="75"/>
      <c r="C11414" s="75"/>
      <c r="D11414" s="75"/>
      <c r="E11414" s="75"/>
      <c r="F11414" s="75"/>
    </row>
    <row r="11415" spans="2:6">
      <c r="B11415" s="75"/>
      <c r="C11415" s="75"/>
      <c r="D11415" s="75"/>
      <c r="E11415" s="75"/>
      <c r="F11415" s="75"/>
    </row>
    <row r="11416" spans="2:6">
      <c r="B11416" s="75"/>
      <c r="C11416" s="75"/>
      <c r="D11416" s="75"/>
      <c r="E11416" s="75"/>
      <c r="F11416" s="75"/>
    </row>
    <row r="11417" spans="2:6">
      <c r="B11417" s="75"/>
      <c r="C11417" s="75"/>
      <c r="D11417" s="75"/>
      <c r="E11417" s="75"/>
      <c r="F11417" s="75"/>
    </row>
    <row r="11418" spans="2:6">
      <c r="B11418" s="75"/>
      <c r="C11418" s="75"/>
      <c r="D11418" s="75"/>
      <c r="E11418" s="75"/>
      <c r="F11418" s="75"/>
    </row>
    <row r="11419" spans="2:6">
      <c r="B11419" s="75"/>
      <c r="C11419" s="75"/>
      <c r="D11419" s="75"/>
      <c r="E11419" s="75"/>
      <c r="F11419" s="75"/>
    </row>
    <row r="11420" spans="2:6">
      <c r="B11420" s="75"/>
      <c r="C11420" s="75"/>
      <c r="D11420" s="75"/>
      <c r="E11420" s="75"/>
      <c r="F11420" s="75"/>
    </row>
    <row r="11421" spans="2:6">
      <c r="B11421" s="75"/>
      <c r="C11421" s="75"/>
      <c r="D11421" s="75"/>
      <c r="E11421" s="75"/>
      <c r="F11421" s="75"/>
    </row>
    <row r="11422" spans="2:6">
      <c r="B11422" s="75"/>
      <c r="C11422" s="75"/>
      <c r="D11422" s="75"/>
      <c r="E11422" s="75"/>
      <c r="F11422" s="75"/>
    </row>
    <row r="11423" spans="2:6">
      <c r="B11423" s="75"/>
      <c r="C11423" s="75"/>
      <c r="D11423" s="75"/>
      <c r="E11423" s="75"/>
      <c r="F11423" s="75"/>
    </row>
    <row r="11424" spans="2:6">
      <c r="B11424" s="75"/>
      <c r="C11424" s="75"/>
      <c r="D11424" s="75"/>
      <c r="E11424" s="75"/>
      <c r="F11424" s="75"/>
    </row>
    <row r="11425" spans="2:6">
      <c r="B11425" s="75"/>
      <c r="C11425" s="75"/>
      <c r="D11425" s="75"/>
      <c r="E11425" s="75"/>
      <c r="F11425" s="75"/>
    </row>
    <row r="11426" spans="2:6">
      <c r="B11426" s="75"/>
      <c r="C11426" s="75"/>
      <c r="D11426" s="75"/>
      <c r="E11426" s="75"/>
      <c r="F11426" s="75"/>
    </row>
    <row r="11427" spans="2:6">
      <c r="B11427" s="75"/>
      <c r="C11427" s="75"/>
      <c r="D11427" s="75"/>
      <c r="E11427" s="75"/>
      <c r="F11427" s="75"/>
    </row>
    <row r="11428" spans="2:6">
      <c r="B11428" s="75"/>
      <c r="C11428" s="75"/>
      <c r="D11428" s="75"/>
      <c r="E11428" s="75"/>
      <c r="F11428" s="75"/>
    </row>
    <row r="11429" spans="2:6">
      <c r="B11429" s="75"/>
      <c r="C11429" s="75"/>
      <c r="D11429" s="75"/>
      <c r="E11429" s="75"/>
      <c r="F11429" s="75"/>
    </row>
    <row r="11430" spans="2:6">
      <c r="B11430" s="75"/>
      <c r="C11430" s="75"/>
      <c r="D11430" s="75"/>
      <c r="E11430" s="75"/>
      <c r="F11430" s="75"/>
    </row>
    <row r="11431" spans="2:6">
      <c r="B11431" s="75"/>
      <c r="C11431" s="75"/>
      <c r="D11431" s="75"/>
      <c r="E11431" s="75"/>
      <c r="F11431" s="75"/>
    </row>
    <row r="11432" spans="2:6">
      <c r="B11432" s="75"/>
      <c r="C11432" s="75"/>
      <c r="D11432" s="75"/>
      <c r="E11432" s="75"/>
      <c r="F11432" s="75"/>
    </row>
    <row r="11433" spans="2:6">
      <c r="B11433" s="75"/>
      <c r="C11433" s="75"/>
      <c r="D11433" s="75"/>
      <c r="E11433" s="75"/>
      <c r="F11433" s="75"/>
    </row>
    <row r="11434" spans="2:6">
      <c r="B11434" s="75"/>
      <c r="C11434" s="75"/>
      <c r="D11434" s="75"/>
      <c r="E11434" s="75"/>
      <c r="F11434" s="75"/>
    </row>
    <row r="11435" spans="2:6">
      <c r="B11435" s="75"/>
      <c r="C11435" s="75"/>
      <c r="D11435" s="75"/>
      <c r="E11435" s="75"/>
      <c r="F11435" s="75"/>
    </row>
    <row r="11436" spans="2:6">
      <c r="B11436" s="75"/>
      <c r="C11436" s="75"/>
      <c r="D11436" s="75"/>
      <c r="E11436" s="75"/>
      <c r="F11436" s="75"/>
    </row>
    <row r="11437" spans="2:6">
      <c r="B11437" s="75"/>
      <c r="C11437" s="75"/>
      <c r="D11437" s="75"/>
      <c r="E11437" s="75"/>
      <c r="F11437" s="75"/>
    </row>
    <row r="11438" spans="2:6">
      <c r="B11438" s="75"/>
      <c r="C11438" s="75"/>
      <c r="D11438" s="75"/>
      <c r="E11438" s="75"/>
      <c r="F11438" s="75"/>
    </row>
    <row r="11439" spans="2:6">
      <c r="B11439" s="75"/>
      <c r="C11439" s="75"/>
      <c r="D11439" s="75"/>
      <c r="E11439" s="75"/>
      <c r="F11439" s="75"/>
    </row>
    <row r="11440" spans="2:6">
      <c r="B11440" s="75"/>
      <c r="C11440" s="75"/>
      <c r="D11440" s="75"/>
      <c r="E11440" s="75"/>
      <c r="F11440" s="75"/>
    </row>
    <row r="11441" spans="2:6">
      <c r="B11441" s="75"/>
      <c r="C11441" s="75"/>
      <c r="D11441" s="75"/>
      <c r="E11441" s="75"/>
      <c r="F11441" s="75"/>
    </row>
    <row r="11442" spans="2:6">
      <c r="B11442" s="75"/>
      <c r="C11442" s="75"/>
      <c r="D11442" s="75"/>
      <c r="E11442" s="75"/>
      <c r="F11442" s="75"/>
    </row>
    <row r="11443" spans="2:6">
      <c r="B11443" s="75"/>
      <c r="C11443" s="75"/>
      <c r="D11443" s="75"/>
      <c r="E11443" s="75"/>
      <c r="F11443" s="75"/>
    </row>
    <row r="11444" spans="2:6">
      <c r="B11444" s="75"/>
      <c r="C11444" s="75"/>
      <c r="D11444" s="75"/>
      <c r="E11444" s="75"/>
      <c r="F11444" s="75"/>
    </row>
    <row r="11445" spans="2:6">
      <c r="B11445" s="75"/>
      <c r="C11445" s="75"/>
      <c r="D11445" s="75"/>
      <c r="E11445" s="75"/>
      <c r="F11445" s="75"/>
    </row>
    <row r="11446" spans="2:6">
      <c r="B11446" s="75"/>
      <c r="C11446" s="75"/>
      <c r="D11446" s="75"/>
      <c r="E11446" s="75"/>
      <c r="F11446" s="75"/>
    </row>
    <row r="11447" spans="2:6">
      <c r="B11447" s="75"/>
      <c r="C11447" s="75"/>
      <c r="D11447" s="75"/>
      <c r="E11447" s="75"/>
      <c r="F11447" s="75"/>
    </row>
    <row r="11448" spans="2:6">
      <c r="B11448" s="75"/>
      <c r="C11448" s="75"/>
      <c r="D11448" s="75"/>
      <c r="E11448" s="75"/>
      <c r="F11448" s="75"/>
    </row>
    <row r="11449" spans="2:6">
      <c r="B11449" s="75"/>
      <c r="C11449" s="75"/>
      <c r="D11449" s="75"/>
      <c r="E11449" s="75"/>
      <c r="F11449" s="75"/>
    </row>
    <row r="11450" spans="2:6">
      <c r="B11450" s="75"/>
      <c r="C11450" s="75"/>
      <c r="D11450" s="75"/>
      <c r="E11450" s="75"/>
      <c r="F11450" s="75"/>
    </row>
    <row r="11451" spans="2:6">
      <c r="B11451" s="75"/>
      <c r="C11451" s="75"/>
      <c r="D11451" s="75"/>
      <c r="E11451" s="75"/>
      <c r="F11451" s="75"/>
    </row>
    <row r="11452" spans="2:6">
      <c r="B11452" s="75"/>
      <c r="C11452" s="75"/>
      <c r="D11452" s="75"/>
      <c r="E11452" s="75"/>
      <c r="F11452" s="75"/>
    </row>
    <row r="11453" spans="2:6">
      <c r="B11453" s="75"/>
      <c r="C11453" s="75"/>
      <c r="D11453" s="75"/>
      <c r="E11453" s="75"/>
      <c r="F11453" s="75"/>
    </row>
    <row r="11454" spans="2:6">
      <c r="B11454" s="75"/>
      <c r="C11454" s="75"/>
      <c r="D11454" s="75"/>
      <c r="E11454" s="75"/>
      <c r="F11454" s="75"/>
    </row>
    <row r="11455" spans="2:6">
      <c r="B11455" s="75"/>
      <c r="C11455" s="75"/>
      <c r="D11455" s="75"/>
      <c r="E11455" s="75"/>
      <c r="F11455" s="75"/>
    </row>
    <row r="11456" spans="2:6">
      <c r="B11456" s="75"/>
      <c r="C11456" s="75"/>
      <c r="D11456" s="75"/>
      <c r="E11456" s="75"/>
      <c r="F11456" s="75"/>
    </row>
    <row r="11457" spans="2:6">
      <c r="B11457" s="75"/>
      <c r="C11457" s="75"/>
      <c r="D11457" s="75"/>
      <c r="E11457" s="75"/>
      <c r="F11457" s="75"/>
    </row>
    <row r="11458" spans="2:6">
      <c r="B11458" s="75"/>
      <c r="C11458" s="75"/>
      <c r="D11458" s="75"/>
      <c r="E11458" s="75"/>
      <c r="F11458" s="75"/>
    </row>
    <row r="11459" spans="2:6">
      <c r="B11459" s="75"/>
      <c r="C11459" s="75"/>
      <c r="D11459" s="75"/>
      <c r="E11459" s="75"/>
      <c r="F11459" s="75"/>
    </row>
    <row r="11460" spans="2:6">
      <c r="B11460" s="75"/>
      <c r="C11460" s="75"/>
      <c r="D11460" s="75"/>
      <c r="E11460" s="75"/>
      <c r="F11460" s="75"/>
    </row>
    <row r="11461" spans="2:6">
      <c r="B11461" s="75"/>
      <c r="C11461" s="75"/>
      <c r="D11461" s="75"/>
      <c r="E11461" s="75"/>
      <c r="F11461" s="75"/>
    </row>
    <row r="11462" spans="2:6">
      <c r="B11462" s="75"/>
      <c r="C11462" s="75"/>
      <c r="D11462" s="75"/>
      <c r="E11462" s="75"/>
      <c r="F11462" s="75"/>
    </row>
    <row r="11463" spans="2:6">
      <c r="B11463" s="75"/>
      <c r="C11463" s="75"/>
      <c r="D11463" s="75"/>
      <c r="E11463" s="75"/>
      <c r="F11463" s="75"/>
    </row>
    <row r="11464" spans="2:6">
      <c r="B11464" s="75"/>
      <c r="C11464" s="75"/>
      <c r="D11464" s="75"/>
      <c r="E11464" s="75"/>
      <c r="F11464" s="75"/>
    </row>
    <row r="11465" spans="2:6">
      <c r="B11465" s="75"/>
      <c r="C11465" s="75"/>
      <c r="D11465" s="75"/>
      <c r="E11465" s="75"/>
      <c r="F11465" s="75"/>
    </row>
    <row r="11466" spans="2:6">
      <c r="B11466" s="75"/>
      <c r="C11466" s="75"/>
      <c r="D11466" s="75"/>
      <c r="E11466" s="75"/>
      <c r="F11466" s="75"/>
    </row>
    <row r="11467" spans="2:6">
      <c r="B11467" s="75"/>
      <c r="C11467" s="75"/>
      <c r="D11467" s="75"/>
      <c r="E11467" s="75"/>
      <c r="F11467" s="75"/>
    </row>
    <row r="11468" spans="2:6">
      <c r="B11468" s="75"/>
      <c r="C11468" s="75"/>
      <c r="D11468" s="75"/>
      <c r="E11468" s="75"/>
      <c r="F11468" s="75"/>
    </row>
    <row r="11469" spans="2:6">
      <c r="B11469" s="75"/>
      <c r="C11469" s="75"/>
      <c r="D11469" s="75"/>
      <c r="E11469" s="75"/>
      <c r="F11469" s="75"/>
    </row>
    <row r="11470" spans="2:6">
      <c r="B11470" s="75"/>
      <c r="C11470" s="75"/>
      <c r="D11470" s="75"/>
      <c r="E11470" s="75"/>
      <c r="F11470" s="75"/>
    </row>
    <row r="11471" spans="2:6">
      <c r="B11471" s="75"/>
      <c r="C11471" s="75"/>
      <c r="D11471" s="75"/>
      <c r="E11471" s="75"/>
      <c r="F11471" s="75"/>
    </row>
    <row r="11472" spans="2:6">
      <c r="B11472" s="75"/>
      <c r="C11472" s="75"/>
      <c r="D11472" s="75"/>
      <c r="E11472" s="75"/>
      <c r="F11472" s="75"/>
    </row>
    <row r="11473" spans="2:6">
      <c r="B11473" s="75"/>
      <c r="C11473" s="75"/>
      <c r="D11473" s="75"/>
      <c r="E11473" s="75"/>
      <c r="F11473" s="75"/>
    </row>
    <row r="11474" spans="2:6">
      <c r="B11474" s="75"/>
      <c r="C11474" s="75"/>
      <c r="D11474" s="75"/>
      <c r="E11474" s="75"/>
      <c r="F11474" s="75"/>
    </row>
    <row r="11475" spans="2:6">
      <c r="B11475" s="75"/>
      <c r="C11475" s="75"/>
      <c r="D11475" s="75"/>
      <c r="E11475" s="75"/>
      <c r="F11475" s="75"/>
    </row>
    <row r="11476" spans="2:6">
      <c r="B11476" s="75"/>
      <c r="C11476" s="75"/>
      <c r="D11476" s="75"/>
      <c r="E11476" s="75"/>
      <c r="F11476" s="75"/>
    </row>
    <row r="11477" spans="2:6">
      <c r="B11477" s="75"/>
      <c r="C11477" s="75"/>
      <c r="D11477" s="75"/>
      <c r="E11477" s="75"/>
      <c r="F11477" s="75"/>
    </row>
    <row r="11478" spans="2:6">
      <c r="B11478" s="75"/>
      <c r="C11478" s="75"/>
      <c r="D11478" s="75"/>
      <c r="E11478" s="75"/>
      <c r="F11478" s="75"/>
    </row>
    <row r="11479" spans="2:6">
      <c r="B11479" s="75"/>
      <c r="C11479" s="75"/>
      <c r="D11479" s="75"/>
      <c r="E11479" s="75"/>
      <c r="F11479" s="75"/>
    </row>
    <row r="11480" spans="2:6">
      <c r="B11480" s="75"/>
      <c r="C11480" s="75"/>
      <c r="D11480" s="75"/>
      <c r="E11480" s="75"/>
      <c r="F11480" s="75"/>
    </row>
    <row r="11481" spans="2:6">
      <c r="B11481" s="75"/>
      <c r="C11481" s="75"/>
      <c r="D11481" s="75"/>
      <c r="E11481" s="75"/>
      <c r="F11481" s="75"/>
    </row>
    <row r="11482" spans="2:6">
      <c r="B11482" s="75"/>
      <c r="C11482" s="75"/>
      <c r="D11482" s="75"/>
      <c r="E11482" s="75"/>
      <c r="F11482" s="75"/>
    </row>
    <row r="11483" spans="2:6">
      <c r="B11483" s="75"/>
      <c r="C11483" s="75"/>
      <c r="D11483" s="75"/>
      <c r="E11483" s="75"/>
      <c r="F11483" s="75"/>
    </row>
    <row r="11484" spans="2:6">
      <c r="B11484" s="75"/>
      <c r="C11484" s="75"/>
      <c r="D11484" s="75"/>
      <c r="E11484" s="75"/>
      <c r="F11484" s="75"/>
    </row>
    <row r="11485" spans="2:6">
      <c r="B11485" s="75"/>
      <c r="C11485" s="75"/>
      <c r="D11485" s="75"/>
      <c r="E11485" s="75"/>
      <c r="F11485" s="75"/>
    </row>
    <row r="11486" spans="2:6">
      <c r="B11486" s="75"/>
      <c r="C11486" s="75"/>
      <c r="D11486" s="75"/>
      <c r="E11486" s="75"/>
      <c r="F11486" s="75"/>
    </row>
    <row r="11487" spans="2:6">
      <c r="B11487" s="75"/>
      <c r="C11487" s="75"/>
      <c r="D11487" s="75"/>
      <c r="E11487" s="75"/>
      <c r="F11487" s="75"/>
    </row>
    <row r="11488" spans="2:6">
      <c r="B11488" s="75"/>
      <c r="C11488" s="75"/>
      <c r="D11488" s="75"/>
      <c r="E11488" s="75"/>
      <c r="F11488" s="75"/>
    </row>
    <row r="11489" spans="2:6">
      <c r="B11489" s="75"/>
      <c r="C11489" s="75"/>
      <c r="D11489" s="75"/>
      <c r="E11489" s="75"/>
      <c r="F11489" s="75"/>
    </row>
    <row r="11490" spans="2:6">
      <c r="B11490" s="75"/>
      <c r="C11490" s="75"/>
      <c r="D11490" s="75"/>
      <c r="E11490" s="75"/>
      <c r="F11490" s="75"/>
    </row>
    <row r="11491" spans="2:6">
      <c r="B11491" s="75"/>
      <c r="C11491" s="75"/>
      <c r="D11491" s="75"/>
      <c r="E11491" s="75"/>
      <c r="F11491" s="75"/>
    </row>
    <row r="11492" spans="2:6">
      <c r="B11492" s="75"/>
      <c r="C11492" s="75"/>
      <c r="D11492" s="75"/>
      <c r="E11492" s="75"/>
      <c r="F11492" s="75"/>
    </row>
    <row r="11493" spans="2:6">
      <c r="B11493" s="75"/>
      <c r="C11493" s="75"/>
      <c r="D11493" s="75"/>
      <c r="E11493" s="75"/>
      <c r="F11493" s="75"/>
    </row>
    <row r="11494" spans="2:6">
      <c r="B11494" s="75"/>
      <c r="C11494" s="75"/>
      <c r="D11494" s="75"/>
      <c r="E11494" s="75"/>
      <c r="F11494" s="75"/>
    </row>
    <row r="11495" spans="2:6">
      <c r="B11495" s="75"/>
      <c r="C11495" s="75"/>
      <c r="D11495" s="75"/>
      <c r="E11495" s="75"/>
      <c r="F11495" s="75"/>
    </row>
    <row r="11496" spans="2:6">
      <c r="B11496" s="75"/>
      <c r="C11496" s="75"/>
      <c r="D11496" s="75"/>
      <c r="E11496" s="75"/>
      <c r="F11496" s="75"/>
    </row>
    <row r="11497" spans="2:6">
      <c r="B11497" s="75"/>
      <c r="C11497" s="75"/>
      <c r="D11497" s="75"/>
      <c r="E11497" s="75"/>
      <c r="F11497" s="75"/>
    </row>
    <row r="11498" spans="2:6">
      <c r="B11498" s="75"/>
      <c r="C11498" s="75"/>
      <c r="D11498" s="75"/>
      <c r="E11498" s="75"/>
      <c r="F11498" s="75"/>
    </row>
    <row r="11499" spans="2:6">
      <c r="B11499" s="75"/>
      <c r="C11499" s="75"/>
      <c r="D11499" s="75"/>
      <c r="E11499" s="75"/>
      <c r="F11499" s="75"/>
    </row>
    <row r="11500" spans="2:6">
      <c r="B11500" s="75"/>
      <c r="C11500" s="75"/>
      <c r="D11500" s="75"/>
      <c r="E11500" s="75"/>
      <c r="F11500" s="75"/>
    </row>
    <row r="11501" spans="2:6">
      <c r="B11501" s="75"/>
      <c r="C11501" s="75"/>
      <c r="D11501" s="75"/>
      <c r="E11501" s="75"/>
      <c r="F11501" s="75"/>
    </row>
    <row r="11502" spans="2:6">
      <c r="B11502" s="75"/>
      <c r="C11502" s="75"/>
      <c r="D11502" s="75"/>
      <c r="E11502" s="75"/>
      <c r="F11502" s="75"/>
    </row>
    <row r="11503" spans="2:6">
      <c r="B11503" s="75"/>
      <c r="C11503" s="75"/>
      <c r="D11503" s="75"/>
      <c r="E11503" s="75"/>
      <c r="F11503" s="75"/>
    </row>
    <row r="11504" spans="2:6">
      <c r="B11504" s="75"/>
      <c r="C11504" s="75"/>
      <c r="D11504" s="75"/>
      <c r="E11504" s="75"/>
      <c r="F11504" s="75"/>
    </row>
    <row r="11505" spans="2:6">
      <c r="B11505" s="75"/>
      <c r="C11505" s="75"/>
      <c r="D11505" s="75"/>
      <c r="E11505" s="75"/>
      <c r="F11505" s="75"/>
    </row>
    <row r="11506" spans="2:6">
      <c r="B11506" s="75"/>
      <c r="C11506" s="75"/>
      <c r="D11506" s="75"/>
      <c r="E11506" s="75"/>
      <c r="F11506" s="75"/>
    </row>
    <row r="11507" spans="2:6">
      <c r="B11507" s="75"/>
      <c r="C11507" s="75"/>
      <c r="D11507" s="75"/>
      <c r="E11507" s="75"/>
      <c r="F11507" s="75"/>
    </row>
    <row r="11508" spans="2:6">
      <c r="B11508" s="75"/>
      <c r="C11508" s="75"/>
      <c r="D11508" s="75"/>
      <c r="E11508" s="75"/>
      <c r="F11508" s="75"/>
    </row>
    <row r="11509" spans="2:6">
      <c r="B11509" s="75"/>
      <c r="C11509" s="75"/>
      <c r="D11509" s="75"/>
      <c r="E11509" s="75"/>
      <c r="F11509" s="75"/>
    </row>
    <row r="11510" spans="2:6">
      <c r="B11510" s="75"/>
      <c r="C11510" s="75"/>
      <c r="D11510" s="75"/>
      <c r="E11510" s="75"/>
      <c r="F11510" s="75"/>
    </row>
    <row r="11511" spans="2:6">
      <c r="B11511" s="75"/>
      <c r="C11511" s="75"/>
      <c r="D11511" s="75"/>
      <c r="E11511" s="75"/>
      <c r="F11511" s="75"/>
    </row>
    <row r="11512" spans="2:6">
      <c r="B11512" s="75"/>
      <c r="C11512" s="75"/>
      <c r="D11512" s="75"/>
      <c r="E11512" s="75"/>
      <c r="F11512" s="75"/>
    </row>
    <row r="11513" spans="2:6">
      <c r="B11513" s="75"/>
      <c r="C11513" s="75"/>
      <c r="D11513" s="75"/>
      <c r="E11513" s="75"/>
      <c r="F11513" s="75"/>
    </row>
    <row r="11514" spans="2:6">
      <c r="B11514" s="75"/>
      <c r="C11514" s="75"/>
      <c r="D11514" s="75"/>
      <c r="E11514" s="75"/>
      <c r="F11514" s="75"/>
    </row>
    <row r="11515" spans="2:6">
      <c r="B11515" s="75"/>
      <c r="C11515" s="75"/>
      <c r="D11515" s="75"/>
      <c r="E11515" s="75"/>
      <c r="F11515" s="75"/>
    </row>
    <row r="11516" spans="2:6">
      <c r="B11516" s="75"/>
      <c r="C11516" s="75"/>
      <c r="D11516" s="75"/>
      <c r="E11516" s="75"/>
      <c r="F11516" s="75"/>
    </row>
    <row r="11517" spans="2:6">
      <c r="B11517" s="75"/>
      <c r="C11517" s="75"/>
      <c r="D11517" s="75"/>
      <c r="E11517" s="75"/>
      <c r="F11517" s="75"/>
    </row>
    <row r="11518" spans="2:6">
      <c r="B11518" s="75"/>
      <c r="C11518" s="75"/>
      <c r="D11518" s="75"/>
      <c r="E11518" s="75"/>
      <c r="F11518" s="75"/>
    </row>
    <row r="11519" spans="2:6">
      <c r="B11519" s="75"/>
      <c r="C11519" s="75"/>
      <c r="D11519" s="75"/>
      <c r="E11519" s="75"/>
      <c r="F11519" s="75"/>
    </row>
    <row r="11520" spans="2:6">
      <c r="B11520" s="75"/>
      <c r="C11520" s="75"/>
      <c r="D11520" s="75"/>
      <c r="E11520" s="75"/>
      <c r="F11520" s="75"/>
    </row>
    <row r="11521" spans="2:6">
      <c r="B11521" s="75"/>
      <c r="C11521" s="75"/>
      <c r="D11521" s="75"/>
      <c r="E11521" s="75"/>
      <c r="F11521" s="75"/>
    </row>
    <row r="11522" spans="2:6">
      <c r="B11522" s="75"/>
      <c r="C11522" s="75"/>
      <c r="D11522" s="75"/>
      <c r="E11522" s="75"/>
      <c r="F11522" s="75"/>
    </row>
    <row r="11523" spans="2:6">
      <c r="B11523" s="75"/>
      <c r="C11523" s="75"/>
      <c r="D11523" s="75"/>
      <c r="E11523" s="75"/>
      <c r="F11523" s="75"/>
    </row>
    <row r="11524" spans="2:6">
      <c r="B11524" s="75"/>
      <c r="C11524" s="75"/>
      <c r="D11524" s="75"/>
      <c r="E11524" s="75"/>
      <c r="F11524" s="75"/>
    </row>
    <row r="11525" spans="2:6">
      <c r="B11525" s="75"/>
      <c r="C11525" s="75"/>
      <c r="D11525" s="75"/>
      <c r="E11525" s="75"/>
      <c r="F11525" s="75"/>
    </row>
    <row r="11526" spans="2:6">
      <c r="B11526" s="75"/>
      <c r="C11526" s="75"/>
      <c r="D11526" s="75"/>
      <c r="E11526" s="75"/>
      <c r="F11526" s="75"/>
    </row>
    <row r="11527" spans="2:6">
      <c r="B11527" s="75"/>
      <c r="C11527" s="75"/>
      <c r="D11527" s="75"/>
      <c r="E11527" s="75"/>
      <c r="F11527" s="75"/>
    </row>
    <row r="11528" spans="2:6">
      <c r="B11528" s="75"/>
      <c r="C11528" s="75"/>
      <c r="D11528" s="75"/>
      <c r="E11528" s="75"/>
      <c r="F11528" s="75"/>
    </row>
    <row r="11529" spans="2:6">
      <c r="B11529" s="75"/>
      <c r="C11529" s="75"/>
      <c r="D11529" s="75"/>
      <c r="E11529" s="75"/>
      <c r="F11529" s="75"/>
    </row>
    <row r="11530" spans="2:6">
      <c r="B11530" s="75"/>
      <c r="C11530" s="75"/>
      <c r="D11530" s="75"/>
      <c r="E11530" s="75"/>
      <c r="F11530" s="75"/>
    </row>
    <row r="11531" spans="2:6">
      <c r="B11531" s="75"/>
      <c r="C11531" s="75"/>
      <c r="D11531" s="75"/>
      <c r="E11531" s="75"/>
      <c r="F11531" s="75"/>
    </row>
    <row r="11532" spans="2:6">
      <c r="B11532" s="75"/>
      <c r="C11532" s="75"/>
      <c r="D11532" s="75"/>
      <c r="E11532" s="75"/>
      <c r="F11532" s="75"/>
    </row>
    <row r="11533" spans="2:6">
      <c r="B11533" s="75"/>
      <c r="C11533" s="75"/>
      <c r="D11533" s="75"/>
      <c r="E11533" s="75"/>
      <c r="F11533" s="75"/>
    </row>
    <row r="11534" spans="2:6">
      <c r="B11534" s="75"/>
      <c r="C11534" s="75"/>
      <c r="D11534" s="75"/>
      <c r="E11534" s="75"/>
      <c r="F11534" s="75"/>
    </row>
    <row r="11535" spans="2:6">
      <c r="B11535" s="75"/>
      <c r="C11535" s="75"/>
      <c r="D11535" s="75"/>
      <c r="E11535" s="75"/>
      <c r="F11535" s="75"/>
    </row>
    <row r="11536" spans="2:6">
      <c r="B11536" s="75"/>
      <c r="C11536" s="75"/>
      <c r="D11536" s="75"/>
      <c r="E11536" s="75"/>
      <c r="F11536" s="75"/>
    </row>
    <row r="11537" spans="2:6">
      <c r="B11537" s="75"/>
      <c r="C11537" s="75"/>
      <c r="D11537" s="75"/>
      <c r="E11537" s="75"/>
      <c r="F11537" s="75"/>
    </row>
    <row r="11538" spans="2:6">
      <c r="B11538" s="75"/>
      <c r="C11538" s="75"/>
      <c r="D11538" s="75"/>
      <c r="E11538" s="75"/>
      <c r="F11538" s="75"/>
    </row>
    <row r="11539" spans="2:6">
      <c r="B11539" s="75"/>
      <c r="C11539" s="75"/>
      <c r="D11539" s="75"/>
      <c r="E11539" s="75"/>
      <c r="F11539" s="75"/>
    </row>
    <row r="11540" spans="2:6">
      <c r="B11540" s="75"/>
      <c r="C11540" s="75"/>
      <c r="D11540" s="75"/>
      <c r="E11540" s="75"/>
      <c r="F11540" s="75"/>
    </row>
    <row r="11541" spans="2:6">
      <c r="B11541" s="75"/>
      <c r="C11541" s="75"/>
      <c r="D11541" s="75"/>
      <c r="E11541" s="75"/>
      <c r="F11541" s="75"/>
    </row>
    <row r="11542" spans="2:6">
      <c r="B11542" s="75"/>
      <c r="C11542" s="75"/>
      <c r="D11542" s="75"/>
      <c r="E11542" s="75"/>
      <c r="F11542" s="75"/>
    </row>
    <row r="11543" spans="2:6">
      <c r="B11543" s="75"/>
      <c r="C11543" s="75"/>
      <c r="D11543" s="75"/>
      <c r="E11543" s="75"/>
      <c r="F11543" s="75"/>
    </row>
    <row r="11544" spans="2:6">
      <c r="B11544" s="75"/>
      <c r="C11544" s="75"/>
      <c r="D11544" s="75"/>
      <c r="E11544" s="75"/>
      <c r="F11544" s="75"/>
    </row>
    <row r="11545" spans="2:6">
      <c r="B11545" s="75"/>
      <c r="C11545" s="75"/>
      <c r="D11545" s="75"/>
      <c r="E11545" s="75"/>
      <c r="F11545" s="75"/>
    </row>
    <row r="11546" spans="2:6">
      <c r="B11546" s="75"/>
      <c r="C11546" s="75"/>
      <c r="D11546" s="75"/>
      <c r="E11546" s="75"/>
      <c r="F11546" s="75"/>
    </row>
    <row r="11547" spans="2:6">
      <c r="B11547" s="75"/>
      <c r="C11547" s="75"/>
      <c r="D11547" s="75"/>
      <c r="E11547" s="75"/>
      <c r="F11547" s="75"/>
    </row>
    <row r="11548" spans="2:6">
      <c r="B11548" s="75"/>
      <c r="C11548" s="75"/>
      <c r="D11548" s="75"/>
      <c r="E11548" s="75"/>
      <c r="F11548" s="75"/>
    </row>
    <row r="11549" spans="2:6">
      <c r="B11549" s="75"/>
      <c r="C11549" s="75"/>
      <c r="D11549" s="75"/>
      <c r="E11549" s="75"/>
      <c r="F11549" s="75"/>
    </row>
    <row r="11550" spans="2:6">
      <c r="B11550" s="75"/>
      <c r="C11550" s="75"/>
      <c r="D11550" s="75"/>
      <c r="E11550" s="75"/>
      <c r="F11550" s="75"/>
    </row>
    <row r="11551" spans="2:6">
      <c r="B11551" s="75"/>
      <c r="C11551" s="75"/>
      <c r="D11551" s="75"/>
      <c r="E11551" s="75"/>
      <c r="F11551" s="75"/>
    </row>
    <row r="11552" spans="2:6">
      <c r="B11552" s="75"/>
      <c r="C11552" s="75"/>
      <c r="D11552" s="75"/>
      <c r="E11552" s="75"/>
      <c r="F11552" s="75"/>
    </row>
    <row r="11553" spans="2:6">
      <c r="B11553" s="75"/>
      <c r="C11553" s="75"/>
      <c r="D11553" s="75"/>
      <c r="E11553" s="75"/>
      <c r="F11553" s="75"/>
    </row>
    <row r="11554" spans="2:6">
      <c r="B11554" s="75"/>
      <c r="C11554" s="75"/>
      <c r="D11554" s="75"/>
      <c r="E11554" s="75"/>
      <c r="F11554" s="75"/>
    </row>
    <row r="11555" spans="2:6">
      <c r="B11555" s="75"/>
      <c r="C11555" s="75"/>
      <c r="D11555" s="75"/>
      <c r="E11555" s="75"/>
      <c r="F11555" s="75"/>
    </row>
    <row r="11556" spans="2:6">
      <c r="B11556" s="75"/>
      <c r="C11556" s="75"/>
      <c r="D11556" s="75"/>
      <c r="E11556" s="75"/>
      <c r="F11556" s="75"/>
    </row>
    <row r="11557" spans="2:6">
      <c r="B11557" s="75"/>
      <c r="C11557" s="75"/>
      <c r="D11557" s="75"/>
      <c r="E11557" s="75"/>
      <c r="F11557" s="75"/>
    </row>
    <row r="11558" spans="2:6">
      <c r="B11558" s="75"/>
      <c r="C11558" s="75"/>
      <c r="D11558" s="75"/>
      <c r="E11558" s="75"/>
      <c r="F11558" s="75"/>
    </row>
    <row r="11559" spans="2:6">
      <c r="B11559" s="75"/>
      <c r="C11559" s="75"/>
      <c r="D11559" s="75"/>
      <c r="E11559" s="75"/>
      <c r="F11559" s="75"/>
    </row>
    <row r="11560" spans="2:6">
      <c r="B11560" s="75"/>
      <c r="C11560" s="75"/>
      <c r="D11560" s="75"/>
      <c r="E11560" s="75"/>
      <c r="F11560" s="75"/>
    </row>
    <row r="11561" spans="2:6">
      <c r="B11561" s="75"/>
      <c r="C11561" s="75"/>
      <c r="D11561" s="75"/>
      <c r="E11561" s="75"/>
      <c r="F11561" s="75"/>
    </row>
    <row r="11562" spans="2:6">
      <c r="B11562" s="75"/>
      <c r="C11562" s="75"/>
      <c r="D11562" s="75"/>
      <c r="E11562" s="75"/>
      <c r="F11562" s="75"/>
    </row>
    <row r="11563" spans="2:6">
      <c r="B11563" s="75"/>
      <c r="C11563" s="75"/>
      <c r="D11563" s="75"/>
      <c r="E11563" s="75"/>
      <c r="F11563" s="75"/>
    </row>
    <row r="11564" spans="2:6">
      <c r="B11564" s="75"/>
      <c r="C11564" s="75"/>
      <c r="D11564" s="75"/>
      <c r="E11564" s="75"/>
      <c r="F11564" s="75"/>
    </row>
    <row r="11565" spans="2:6">
      <c r="B11565" s="75"/>
      <c r="C11565" s="75"/>
      <c r="D11565" s="75"/>
      <c r="E11565" s="75"/>
      <c r="F11565" s="75"/>
    </row>
    <row r="11566" spans="2:6">
      <c r="B11566" s="75"/>
      <c r="C11566" s="75"/>
      <c r="D11566" s="75"/>
      <c r="E11566" s="75"/>
      <c r="F11566" s="75"/>
    </row>
    <row r="11567" spans="2:6">
      <c r="B11567" s="75"/>
      <c r="C11567" s="75"/>
      <c r="D11567" s="75"/>
      <c r="E11567" s="75"/>
      <c r="F11567" s="75"/>
    </row>
    <row r="11568" spans="2:6">
      <c r="B11568" s="75"/>
      <c r="C11568" s="75"/>
      <c r="D11568" s="75"/>
      <c r="E11568" s="75"/>
      <c r="F11568" s="75"/>
    </row>
    <row r="11569" spans="2:6">
      <c r="B11569" s="75"/>
      <c r="C11569" s="75"/>
      <c r="D11569" s="75"/>
      <c r="E11569" s="75"/>
      <c r="F11569" s="75"/>
    </row>
    <row r="11570" spans="2:6">
      <c r="B11570" s="75"/>
      <c r="C11570" s="75"/>
      <c r="D11570" s="75"/>
      <c r="E11570" s="75"/>
      <c r="F11570" s="75"/>
    </row>
    <row r="11571" spans="2:6">
      <c r="B11571" s="75"/>
      <c r="C11571" s="75"/>
      <c r="D11571" s="75"/>
      <c r="E11571" s="75"/>
      <c r="F11571" s="75"/>
    </row>
    <row r="11572" spans="2:6">
      <c r="B11572" s="75"/>
      <c r="C11572" s="75"/>
      <c r="D11572" s="75"/>
      <c r="E11572" s="75"/>
      <c r="F11572" s="75"/>
    </row>
    <row r="11573" spans="2:6">
      <c r="B11573" s="75"/>
      <c r="C11573" s="75"/>
      <c r="D11573" s="75"/>
      <c r="E11573" s="75"/>
      <c r="F11573" s="75"/>
    </row>
    <row r="11574" spans="2:6">
      <c r="B11574" s="75"/>
      <c r="C11574" s="75"/>
      <c r="D11574" s="75"/>
      <c r="E11574" s="75"/>
      <c r="F11574" s="75"/>
    </row>
    <row r="11575" spans="2:6">
      <c r="B11575" s="75"/>
      <c r="C11575" s="75"/>
      <c r="D11575" s="75"/>
      <c r="E11575" s="75"/>
      <c r="F11575" s="75"/>
    </row>
    <row r="11576" spans="2:6">
      <c r="B11576" s="75"/>
      <c r="C11576" s="75"/>
      <c r="D11576" s="75"/>
      <c r="E11576" s="75"/>
      <c r="F11576" s="75"/>
    </row>
    <row r="11577" spans="2:6">
      <c r="B11577" s="75"/>
      <c r="C11577" s="75"/>
      <c r="D11577" s="75"/>
      <c r="E11577" s="75"/>
      <c r="F11577" s="75"/>
    </row>
    <row r="11578" spans="2:6">
      <c r="B11578" s="75"/>
      <c r="C11578" s="75"/>
      <c r="D11578" s="75"/>
      <c r="E11578" s="75"/>
      <c r="F11578" s="75"/>
    </row>
    <row r="11579" spans="2:6">
      <c r="B11579" s="75"/>
      <c r="C11579" s="75"/>
      <c r="D11579" s="75"/>
      <c r="E11579" s="75"/>
      <c r="F11579" s="75"/>
    </row>
    <row r="11580" spans="2:6">
      <c r="B11580" s="75"/>
      <c r="C11580" s="75"/>
      <c r="D11580" s="75"/>
      <c r="E11580" s="75"/>
      <c r="F11580" s="75"/>
    </row>
    <row r="11581" spans="2:6">
      <c r="B11581" s="75"/>
      <c r="C11581" s="75"/>
      <c r="D11581" s="75"/>
      <c r="E11581" s="75"/>
      <c r="F11581" s="75"/>
    </row>
    <row r="11582" spans="2:6">
      <c r="B11582" s="75"/>
      <c r="C11582" s="75"/>
      <c r="D11582" s="75"/>
      <c r="E11582" s="75"/>
      <c r="F11582" s="75"/>
    </row>
    <row r="11583" spans="2:6">
      <c r="B11583" s="75"/>
      <c r="C11583" s="75"/>
      <c r="D11583" s="75"/>
      <c r="E11583" s="75"/>
      <c r="F11583" s="75"/>
    </row>
    <row r="11584" spans="2:6">
      <c r="B11584" s="75"/>
      <c r="C11584" s="75"/>
      <c r="D11584" s="75"/>
      <c r="E11584" s="75"/>
      <c r="F11584" s="75"/>
    </row>
    <row r="11585" spans="2:6">
      <c r="B11585" s="75"/>
      <c r="C11585" s="75"/>
      <c r="D11585" s="75"/>
      <c r="E11585" s="75"/>
      <c r="F11585" s="75"/>
    </row>
    <row r="11586" spans="2:6">
      <c r="B11586" s="75"/>
      <c r="C11586" s="75"/>
      <c r="D11586" s="75"/>
      <c r="E11586" s="75"/>
      <c r="F11586" s="75"/>
    </row>
    <row r="11587" spans="2:6">
      <c r="B11587" s="75"/>
      <c r="C11587" s="75"/>
      <c r="D11587" s="75"/>
      <c r="E11587" s="75"/>
      <c r="F11587" s="75"/>
    </row>
    <row r="11588" spans="2:6">
      <c r="B11588" s="75"/>
      <c r="C11588" s="75"/>
      <c r="D11588" s="75"/>
      <c r="E11588" s="75"/>
      <c r="F11588" s="75"/>
    </row>
    <row r="11589" spans="2:6">
      <c r="B11589" s="75"/>
      <c r="C11589" s="75"/>
      <c r="D11589" s="75"/>
      <c r="E11589" s="75"/>
      <c r="F11589" s="75"/>
    </row>
    <row r="11590" spans="2:6">
      <c r="B11590" s="75"/>
      <c r="C11590" s="75"/>
      <c r="D11590" s="75"/>
      <c r="E11590" s="75"/>
      <c r="F11590" s="75"/>
    </row>
    <row r="11591" spans="2:6">
      <c r="B11591" s="75"/>
      <c r="C11591" s="75"/>
      <c r="D11591" s="75"/>
      <c r="E11591" s="75"/>
      <c r="F11591" s="75"/>
    </row>
    <row r="11592" spans="2:6">
      <c r="B11592" s="75"/>
      <c r="C11592" s="75"/>
      <c r="D11592" s="75"/>
      <c r="E11592" s="75"/>
      <c r="F11592" s="75"/>
    </row>
    <row r="11593" spans="2:6">
      <c r="B11593" s="75"/>
      <c r="C11593" s="75"/>
      <c r="D11593" s="75"/>
      <c r="E11593" s="75"/>
      <c r="F11593" s="75"/>
    </row>
    <row r="11594" spans="2:6">
      <c r="B11594" s="75"/>
      <c r="C11594" s="75"/>
      <c r="D11594" s="75"/>
      <c r="E11594" s="75"/>
      <c r="F11594" s="75"/>
    </row>
    <row r="11595" spans="2:6">
      <c r="B11595" s="75"/>
      <c r="C11595" s="75"/>
      <c r="D11595" s="75"/>
      <c r="E11595" s="75"/>
      <c r="F11595" s="75"/>
    </row>
    <row r="11596" spans="2:6">
      <c r="B11596" s="75"/>
      <c r="C11596" s="75"/>
      <c r="D11596" s="75"/>
      <c r="E11596" s="75"/>
      <c r="F11596" s="75"/>
    </row>
    <row r="11597" spans="2:6">
      <c r="B11597" s="75"/>
      <c r="C11597" s="75"/>
      <c r="D11597" s="75"/>
      <c r="E11597" s="75"/>
      <c r="F11597" s="75"/>
    </row>
    <row r="11598" spans="2:6">
      <c r="B11598" s="75"/>
      <c r="C11598" s="75"/>
      <c r="D11598" s="75"/>
      <c r="E11598" s="75"/>
      <c r="F11598" s="75"/>
    </row>
    <row r="11599" spans="2:6">
      <c r="B11599" s="75"/>
      <c r="C11599" s="75"/>
      <c r="D11599" s="75"/>
      <c r="E11599" s="75"/>
      <c r="F11599" s="75"/>
    </row>
    <row r="11600" spans="2:6">
      <c r="B11600" s="75"/>
      <c r="C11600" s="75"/>
      <c r="D11600" s="75"/>
      <c r="E11600" s="75"/>
      <c r="F11600" s="75"/>
    </row>
    <row r="11601" spans="2:6">
      <c r="B11601" s="75"/>
      <c r="C11601" s="75"/>
      <c r="D11601" s="75"/>
      <c r="E11601" s="75"/>
      <c r="F11601" s="75"/>
    </row>
    <row r="11602" spans="2:6">
      <c r="B11602" s="75"/>
      <c r="C11602" s="75"/>
      <c r="D11602" s="75"/>
      <c r="E11602" s="75"/>
      <c r="F11602" s="75"/>
    </row>
    <row r="11603" spans="2:6">
      <c r="B11603" s="75"/>
      <c r="C11603" s="75"/>
      <c r="D11603" s="75"/>
      <c r="E11603" s="75"/>
      <c r="F11603" s="75"/>
    </row>
    <row r="11604" spans="2:6">
      <c r="B11604" s="75"/>
      <c r="C11604" s="75"/>
      <c r="D11604" s="75"/>
      <c r="E11604" s="75"/>
      <c r="F11604" s="75"/>
    </row>
    <row r="11605" spans="2:6">
      <c r="B11605" s="75"/>
      <c r="C11605" s="75"/>
      <c r="D11605" s="75"/>
      <c r="E11605" s="75"/>
      <c r="F11605" s="75"/>
    </row>
    <row r="11606" spans="2:6">
      <c r="B11606" s="75"/>
      <c r="C11606" s="75"/>
      <c r="D11606" s="75"/>
      <c r="E11606" s="75"/>
      <c r="F11606" s="75"/>
    </row>
    <row r="11607" spans="2:6">
      <c r="B11607" s="75"/>
      <c r="C11607" s="75"/>
      <c r="D11607" s="75"/>
      <c r="E11607" s="75"/>
      <c r="F11607" s="75"/>
    </row>
    <row r="11608" spans="2:6">
      <c r="B11608" s="75"/>
      <c r="C11608" s="75"/>
      <c r="D11608" s="75"/>
      <c r="E11608" s="75"/>
      <c r="F11608" s="75"/>
    </row>
    <row r="11609" spans="2:6">
      <c r="B11609" s="75"/>
      <c r="C11609" s="75"/>
      <c r="D11609" s="75"/>
      <c r="E11609" s="75"/>
      <c r="F11609" s="75"/>
    </row>
    <row r="11610" spans="2:6">
      <c r="B11610" s="75"/>
      <c r="C11610" s="75"/>
      <c r="D11610" s="75"/>
      <c r="E11610" s="75"/>
      <c r="F11610" s="75"/>
    </row>
    <row r="11611" spans="2:6">
      <c r="B11611" s="75"/>
      <c r="C11611" s="75"/>
      <c r="D11611" s="75"/>
      <c r="E11611" s="75"/>
      <c r="F11611" s="75"/>
    </row>
    <row r="11612" spans="2:6">
      <c r="B11612" s="75"/>
      <c r="C11612" s="75"/>
      <c r="D11612" s="75"/>
      <c r="E11612" s="75"/>
      <c r="F11612" s="75"/>
    </row>
    <row r="11613" spans="2:6">
      <c r="B11613" s="75"/>
      <c r="C11613" s="75"/>
      <c r="D11613" s="75"/>
      <c r="E11613" s="75"/>
      <c r="F11613" s="75"/>
    </row>
    <row r="11614" spans="2:6">
      <c r="B11614" s="75"/>
      <c r="C11614" s="75"/>
      <c r="D11614" s="75"/>
      <c r="E11614" s="75"/>
      <c r="F11614" s="75"/>
    </row>
    <row r="11615" spans="2:6">
      <c r="B11615" s="75"/>
      <c r="C11615" s="75"/>
      <c r="D11615" s="75"/>
      <c r="E11615" s="75"/>
      <c r="F11615" s="75"/>
    </row>
    <row r="11616" spans="2:6">
      <c r="B11616" s="75"/>
      <c r="C11616" s="75"/>
      <c r="D11616" s="75"/>
      <c r="E11616" s="75"/>
      <c r="F11616" s="75"/>
    </row>
    <row r="11617" spans="2:6">
      <c r="B11617" s="75"/>
      <c r="C11617" s="75"/>
      <c r="D11617" s="75"/>
      <c r="E11617" s="75"/>
      <c r="F11617" s="75"/>
    </row>
    <row r="11618" spans="2:6">
      <c r="B11618" s="75"/>
      <c r="C11618" s="75"/>
      <c r="D11618" s="75"/>
      <c r="E11618" s="75"/>
      <c r="F11618" s="75"/>
    </row>
    <row r="11619" spans="2:6">
      <c r="B11619" s="75"/>
      <c r="C11619" s="75"/>
      <c r="D11619" s="75"/>
      <c r="E11619" s="75"/>
      <c r="F11619" s="75"/>
    </row>
    <row r="11620" spans="2:6">
      <c r="B11620" s="75"/>
      <c r="C11620" s="75"/>
      <c r="D11620" s="75"/>
      <c r="E11620" s="75"/>
      <c r="F11620" s="75"/>
    </row>
    <row r="11621" spans="2:6">
      <c r="B11621" s="75"/>
      <c r="C11621" s="75"/>
      <c r="D11621" s="75"/>
      <c r="E11621" s="75"/>
      <c r="F11621" s="75"/>
    </row>
    <row r="11622" spans="2:6">
      <c r="B11622" s="75"/>
      <c r="C11622" s="75"/>
      <c r="D11622" s="75"/>
      <c r="E11622" s="75"/>
      <c r="F11622" s="75"/>
    </row>
    <row r="11623" spans="2:6">
      <c r="B11623" s="75"/>
      <c r="C11623" s="75"/>
      <c r="D11623" s="75"/>
      <c r="E11623" s="75"/>
      <c r="F11623" s="75"/>
    </row>
    <row r="11624" spans="2:6">
      <c r="B11624" s="75"/>
      <c r="C11624" s="75"/>
      <c r="D11624" s="75"/>
      <c r="E11624" s="75"/>
      <c r="F11624" s="75"/>
    </row>
    <row r="11625" spans="2:6">
      <c r="B11625" s="75"/>
      <c r="C11625" s="75"/>
      <c r="D11625" s="75"/>
      <c r="E11625" s="75"/>
      <c r="F11625" s="75"/>
    </row>
    <row r="11626" spans="2:6">
      <c r="B11626" s="75"/>
      <c r="C11626" s="75"/>
      <c r="D11626" s="75"/>
      <c r="E11626" s="75"/>
      <c r="F11626" s="75"/>
    </row>
    <row r="11627" spans="2:6">
      <c r="B11627" s="75"/>
      <c r="C11627" s="75"/>
      <c r="D11627" s="75"/>
      <c r="E11627" s="75"/>
      <c r="F11627" s="75"/>
    </row>
    <row r="11628" spans="2:6">
      <c r="B11628" s="75"/>
      <c r="C11628" s="75"/>
      <c r="D11628" s="75"/>
      <c r="E11628" s="75"/>
      <c r="F11628" s="75"/>
    </row>
    <row r="11629" spans="2:6">
      <c r="B11629" s="75"/>
      <c r="C11629" s="75"/>
      <c r="D11629" s="75"/>
      <c r="E11629" s="75"/>
      <c r="F11629" s="75"/>
    </row>
    <row r="11630" spans="2:6">
      <c r="B11630" s="75"/>
      <c r="C11630" s="75"/>
      <c r="D11630" s="75"/>
      <c r="E11630" s="75"/>
      <c r="F11630" s="75"/>
    </row>
    <row r="11631" spans="2:6">
      <c r="B11631" s="75"/>
      <c r="C11631" s="75"/>
      <c r="D11631" s="75"/>
      <c r="E11631" s="75"/>
      <c r="F11631" s="75"/>
    </row>
    <row r="11632" spans="2:6">
      <c r="B11632" s="75"/>
      <c r="C11632" s="75"/>
      <c r="D11632" s="75"/>
      <c r="E11632" s="75"/>
      <c r="F11632" s="75"/>
    </row>
    <row r="11633" spans="2:6">
      <c r="B11633" s="75"/>
      <c r="C11633" s="75"/>
      <c r="D11633" s="75"/>
      <c r="E11633" s="75"/>
      <c r="F11633" s="75"/>
    </row>
    <row r="11634" spans="2:6">
      <c r="B11634" s="75"/>
      <c r="C11634" s="75"/>
      <c r="D11634" s="75"/>
      <c r="E11634" s="75"/>
      <c r="F11634" s="75"/>
    </row>
    <row r="11635" spans="2:6">
      <c r="B11635" s="75"/>
      <c r="C11635" s="75"/>
      <c r="D11635" s="75"/>
      <c r="E11635" s="75"/>
      <c r="F11635" s="75"/>
    </row>
    <row r="11636" spans="2:6">
      <c r="B11636" s="75"/>
      <c r="C11636" s="75"/>
      <c r="D11636" s="75"/>
      <c r="E11636" s="75"/>
      <c r="F11636" s="75"/>
    </row>
    <row r="11637" spans="2:6">
      <c r="B11637" s="75"/>
      <c r="C11637" s="75"/>
      <c r="D11637" s="75"/>
      <c r="E11637" s="75"/>
      <c r="F11637" s="75"/>
    </row>
    <row r="11638" spans="2:6">
      <c r="B11638" s="75"/>
      <c r="C11638" s="75"/>
      <c r="D11638" s="75"/>
      <c r="E11638" s="75"/>
      <c r="F11638" s="75"/>
    </row>
    <row r="11639" spans="2:6">
      <c r="B11639" s="75"/>
      <c r="C11639" s="75"/>
      <c r="D11639" s="75"/>
      <c r="E11639" s="75"/>
      <c r="F11639" s="75"/>
    </row>
    <row r="11640" spans="2:6">
      <c r="B11640" s="75"/>
      <c r="C11640" s="75"/>
      <c r="D11640" s="75"/>
      <c r="E11640" s="75"/>
      <c r="F11640" s="75"/>
    </row>
    <row r="11641" spans="2:6">
      <c r="B11641" s="75"/>
      <c r="C11641" s="75"/>
      <c r="D11641" s="75"/>
      <c r="E11641" s="75"/>
      <c r="F11641" s="75"/>
    </row>
    <row r="11642" spans="2:6">
      <c r="B11642" s="75"/>
      <c r="C11642" s="75"/>
      <c r="D11642" s="75"/>
      <c r="E11642" s="75"/>
      <c r="F11642" s="75"/>
    </row>
    <row r="11643" spans="2:6">
      <c r="B11643" s="75"/>
      <c r="C11643" s="75"/>
      <c r="D11643" s="75"/>
      <c r="E11643" s="75"/>
      <c r="F11643" s="75"/>
    </row>
    <row r="11644" spans="2:6">
      <c r="B11644" s="75"/>
      <c r="C11644" s="75"/>
      <c r="D11644" s="75"/>
      <c r="E11644" s="75"/>
      <c r="F11644" s="75"/>
    </row>
    <row r="11645" spans="2:6">
      <c r="B11645" s="75"/>
      <c r="C11645" s="75"/>
      <c r="D11645" s="75"/>
      <c r="E11645" s="75"/>
      <c r="F11645" s="75"/>
    </row>
    <row r="11646" spans="2:6">
      <c r="B11646" s="75"/>
      <c r="C11646" s="75"/>
      <c r="D11646" s="75"/>
      <c r="E11646" s="75"/>
      <c r="F11646" s="75"/>
    </row>
    <row r="11647" spans="2:6">
      <c r="B11647" s="75"/>
      <c r="C11647" s="75"/>
      <c r="D11647" s="75"/>
      <c r="E11647" s="75"/>
      <c r="F11647" s="75"/>
    </row>
    <row r="11648" spans="2:6">
      <c r="B11648" s="75"/>
      <c r="C11648" s="75"/>
      <c r="D11648" s="75"/>
      <c r="E11648" s="75"/>
      <c r="F11648" s="75"/>
    </row>
    <row r="11649" spans="2:6">
      <c r="B11649" s="75"/>
      <c r="C11649" s="75"/>
      <c r="D11649" s="75"/>
      <c r="E11649" s="75"/>
      <c r="F11649" s="75"/>
    </row>
    <row r="11650" spans="2:6">
      <c r="B11650" s="75"/>
      <c r="C11650" s="75"/>
      <c r="D11650" s="75"/>
      <c r="E11650" s="75"/>
      <c r="F11650" s="75"/>
    </row>
    <row r="11651" spans="2:6">
      <c r="B11651" s="75"/>
      <c r="C11651" s="75"/>
      <c r="D11651" s="75"/>
      <c r="E11651" s="75"/>
      <c r="F11651" s="75"/>
    </row>
    <row r="11652" spans="2:6">
      <c r="B11652" s="75"/>
      <c r="C11652" s="75"/>
      <c r="D11652" s="75"/>
      <c r="E11652" s="75"/>
      <c r="F11652" s="75"/>
    </row>
    <row r="11653" spans="2:6">
      <c r="B11653" s="75"/>
      <c r="C11653" s="75"/>
      <c r="D11653" s="75"/>
      <c r="E11653" s="75"/>
      <c r="F11653" s="75"/>
    </row>
    <row r="11654" spans="2:6">
      <c r="B11654" s="75"/>
      <c r="C11654" s="75"/>
      <c r="D11654" s="75"/>
      <c r="E11654" s="75"/>
      <c r="F11654" s="75"/>
    </row>
    <row r="11655" spans="2:6">
      <c r="B11655" s="75"/>
      <c r="C11655" s="75"/>
      <c r="D11655" s="75"/>
      <c r="E11655" s="75"/>
      <c r="F11655" s="75"/>
    </row>
    <row r="11656" spans="2:6">
      <c r="B11656" s="75"/>
      <c r="C11656" s="75"/>
      <c r="D11656" s="75"/>
      <c r="E11656" s="75"/>
      <c r="F11656" s="75"/>
    </row>
    <row r="11657" spans="2:6">
      <c r="B11657" s="75"/>
      <c r="C11657" s="75"/>
      <c r="D11657" s="75"/>
      <c r="E11657" s="75"/>
      <c r="F11657" s="75"/>
    </row>
    <row r="11658" spans="2:6">
      <c r="B11658" s="75"/>
      <c r="C11658" s="75"/>
      <c r="D11658" s="75"/>
      <c r="E11658" s="75"/>
      <c r="F11658" s="75"/>
    </row>
    <row r="11659" spans="2:6">
      <c r="B11659" s="75"/>
      <c r="C11659" s="75"/>
      <c r="D11659" s="75"/>
      <c r="E11659" s="75"/>
      <c r="F11659" s="75"/>
    </row>
    <row r="11660" spans="2:6">
      <c r="B11660" s="75"/>
      <c r="C11660" s="75"/>
      <c r="D11660" s="75"/>
      <c r="E11660" s="75"/>
      <c r="F11660" s="75"/>
    </row>
    <row r="11661" spans="2:6">
      <c r="B11661" s="75"/>
      <c r="C11661" s="75"/>
      <c r="D11661" s="75"/>
      <c r="E11661" s="75"/>
      <c r="F11661" s="75"/>
    </row>
    <row r="11662" spans="2:6">
      <c r="B11662" s="75"/>
      <c r="C11662" s="75"/>
      <c r="D11662" s="75"/>
      <c r="E11662" s="75"/>
      <c r="F11662" s="75"/>
    </row>
    <row r="11663" spans="2:6">
      <c r="B11663" s="75"/>
      <c r="C11663" s="75"/>
      <c r="D11663" s="75"/>
      <c r="E11663" s="75"/>
      <c r="F11663" s="75"/>
    </row>
    <row r="11664" spans="2:6">
      <c r="B11664" s="75"/>
      <c r="C11664" s="75"/>
      <c r="D11664" s="75"/>
      <c r="E11664" s="75"/>
      <c r="F11664" s="75"/>
    </row>
    <row r="11665" spans="2:6">
      <c r="B11665" s="75"/>
      <c r="C11665" s="75"/>
      <c r="D11665" s="75"/>
      <c r="E11665" s="75"/>
      <c r="F11665" s="75"/>
    </row>
    <row r="11666" spans="2:6">
      <c r="B11666" s="75"/>
      <c r="C11666" s="75"/>
      <c r="D11666" s="75"/>
      <c r="E11666" s="75"/>
      <c r="F11666" s="75"/>
    </row>
    <row r="11667" spans="2:6">
      <c r="B11667" s="75"/>
      <c r="C11667" s="75"/>
      <c r="D11667" s="75"/>
      <c r="E11667" s="75"/>
      <c r="F11667" s="75"/>
    </row>
    <row r="11668" spans="2:6">
      <c r="B11668" s="75"/>
      <c r="C11668" s="75"/>
      <c r="D11668" s="75"/>
      <c r="E11668" s="75"/>
      <c r="F11668" s="75"/>
    </row>
    <row r="11669" spans="2:6">
      <c r="B11669" s="75"/>
      <c r="C11669" s="75"/>
      <c r="D11669" s="75"/>
      <c r="E11669" s="75"/>
      <c r="F11669" s="75"/>
    </row>
    <row r="11670" spans="2:6">
      <c r="B11670" s="75"/>
      <c r="C11670" s="75"/>
      <c r="D11670" s="75"/>
      <c r="E11670" s="75"/>
      <c r="F11670" s="75"/>
    </row>
    <row r="11671" spans="2:6">
      <c r="B11671" s="75"/>
      <c r="C11671" s="75"/>
      <c r="D11671" s="75"/>
      <c r="E11671" s="75"/>
      <c r="F11671" s="75"/>
    </row>
    <row r="11672" spans="2:6">
      <c r="B11672" s="75"/>
      <c r="C11672" s="75"/>
      <c r="D11672" s="75"/>
      <c r="E11672" s="75"/>
      <c r="F11672" s="75"/>
    </row>
    <row r="11673" spans="2:6">
      <c r="B11673" s="75"/>
      <c r="C11673" s="75"/>
      <c r="D11673" s="75"/>
      <c r="E11673" s="75"/>
      <c r="F11673" s="75"/>
    </row>
    <row r="11674" spans="2:6">
      <c r="B11674" s="75"/>
      <c r="C11674" s="75"/>
      <c r="D11674" s="75"/>
      <c r="E11674" s="75"/>
      <c r="F11674" s="75"/>
    </row>
    <row r="11675" spans="2:6">
      <c r="B11675" s="75"/>
      <c r="C11675" s="75"/>
      <c r="D11675" s="75"/>
      <c r="E11675" s="75"/>
      <c r="F11675" s="75"/>
    </row>
    <row r="11676" spans="2:6">
      <c r="B11676" s="75"/>
      <c r="C11676" s="75"/>
      <c r="D11676" s="75"/>
      <c r="E11676" s="75"/>
      <c r="F11676" s="75"/>
    </row>
    <row r="11677" spans="2:6">
      <c r="B11677" s="75"/>
      <c r="C11677" s="75"/>
      <c r="D11677" s="75"/>
      <c r="E11677" s="75"/>
      <c r="F11677" s="75"/>
    </row>
    <row r="11678" spans="2:6">
      <c r="B11678" s="75"/>
      <c r="C11678" s="75"/>
      <c r="D11678" s="75"/>
      <c r="E11678" s="75"/>
      <c r="F11678" s="75"/>
    </row>
    <row r="11679" spans="2:6">
      <c r="B11679" s="75"/>
      <c r="C11679" s="75"/>
      <c r="D11679" s="75"/>
      <c r="E11679" s="75"/>
      <c r="F11679" s="75"/>
    </row>
    <row r="11680" spans="2:6">
      <c r="B11680" s="75"/>
      <c r="C11680" s="75"/>
      <c r="D11680" s="75"/>
      <c r="E11680" s="75"/>
      <c r="F11680" s="75"/>
    </row>
    <row r="11681" spans="2:6">
      <c r="B11681" s="75"/>
      <c r="C11681" s="75"/>
      <c r="D11681" s="75"/>
      <c r="E11681" s="75"/>
      <c r="F11681" s="75"/>
    </row>
    <row r="11682" spans="2:6">
      <c r="B11682" s="75"/>
      <c r="C11682" s="75"/>
      <c r="D11682" s="75"/>
      <c r="E11682" s="75"/>
      <c r="F11682" s="75"/>
    </row>
    <row r="11683" spans="2:6">
      <c r="B11683" s="75"/>
      <c r="C11683" s="75"/>
      <c r="D11683" s="75"/>
      <c r="E11683" s="75"/>
      <c r="F11683" s="75"/>
    </row>
    <row r="11684" spans="2:6">
      <c r="B11684" s="75"/>
      <c r="C11684" s="75"/>
      <c r="D11684" s="75"/>
      <c r="E11684" s="75"/>
      <c r="F11684" s="75"/>
    </row>
    <row r="11685" spans="2:6">
      <c r="B11685" s="75"/>
      <c r="C11685" s="75"/>
      <c r="D11685" s="75"/>
      <c r="E11685" s="75"/>
      <c r="F11685" s="75"/>
    </row>
    <row r="11686" spans="2:6">
      <c r="B11686" s="75"/>
      <c r="C11686" s="75"/>
      <c r="D11686" s="75"/>
      <c r="E11686" s="75"/>
      <c r="F11686" s="75"/>
    </row>
    <row r="11687" spans="2:6">
      <c r="B11687" s="75"/>
      <c r="C11687" s="75"/>
      <c r="D11687" s="75"/>
      <c r="E11687" s="75"/>
      <c r="F11687" s="75"/>
    </row>
    <row r="11688" spans="2:6">
      <c r="B11688" s="75"/>
      <c r="C11688" s="75"/>
      <c r="D11688" s="75"/>
      <c r="E11688" s="75"/>
      <c r="F11688" s="75"/>
    </row>
    <row r="11689" spans="2:6">
      <c r="B11689" s="75"/>
      <c r="C11689" s="75"/>
      <c r="D11689" s="75"/>
      <c r="E11689" s="75"/>
      <c r="F11689" s="75"/>
    </row>
    <row r="11690" spans="2:6">
      <c r="B11690" s="75"/>
      <c r="C11690" s="75"/>
      <c r="D11690" s="75"/>
      <c r="E11690" s="75"/>
      <c r="F11690" s="75"/>
    </row>
    <row r="11691" spans="2:6">
      <c r="B11691" s="75"/>
      <c r="C11691" s="75"/>
      <c r="D11691" s="75"/>
      <c r="E11691" s="75"/>
      <c r="F11691" s="75"/>
    </row>
    <row r="11692" spans="2:6">
      <c r="B11692" s="75"/>
      <c r="C11692" s="75"/>
      <c r="D11692" s="75"/>
      <c r="E11692" s="75"/>
      <c r="F11692" s="75"/>
    </row>
    <row r="11693" spans="2:6">
      <c r="B11693" s="75"/>
      <c r="C11693" s="75"/>
      <c r="D11693" s="75"/>
      <c r="E11693" s="75"/>
      <c r="F11693" s="75"/>
    </row>
    <row r="11694" spans="2:6">
      <c r="B11694" s="75"/>
      <c r="C11694" s="75"/>
      <c r="D11694" s="75"/>
      <c r="E11694" s="75"/>
      <c r="F11694" s="75"/>
    </row>
    <row r="11695" spans="2:6">
      <c r="B11695" s="75"/>
      <c r="C11695" s="75"/>
      <c r="D11695" s="75"/>
      <c r="E11695" s="75"/>
      <c r="F11695" s="75"/>
    </row>
    <row r="11696" spans="2:6">
      <c r="B11696" s="75"/>
      <c r="C11696" s="75"/>
      <c r="D11696" s="75"/>
      <c r="E11696" s="75"/>
      <c r="F11696" s="75"/>
    </row>
    <row r="11697" spans="2:6">
      <c r="B11697" s="75"/>
      <c r="C11697" s="75"/>
      <c r="D11697" s="75"/>
      <c r="E11697" s="75"/>
      <c r="F11697" s="75"/>
    </row>
    <row r="11698" spans="2:6">
      <c r="B11698" s="75"/>
      <c r="C11698" s="75"/>
      <c r="D11698" s="75"/>
      <c r="E11698" s="75"/>
      <c r="F11698" s="75"/>
    </row>
    <row r="11699" spans="2:6">
      <c r="B11699" s="75"/>
      <c r="C11699" s="75"/>
      <c r="D11699" s="75"/>
      <c r="E11699" s="75"/>
      <c r="F11699" s="75"/>
    </row>
    <row r="11700" spans="2:6">
      <c r="B11700" s="75"/>
      <c r="C11700" s="75"/>
      <c r="D11700" s="75"/>
      <c r="E11700" s="75"/>
      <c r="F11700" s="75"/>
    </row>
    <row r="11701" spans="2:6">
      <c r="B11701" s="75"/>
      <c r="C11701" s="75"/>
      <c r="D11701" s="75"/>
      <c r="E11701" s="75"/>
      <c r="F11701" s="75"/>
    </row>
    <row r="11702" spans="2:6">
      <c r="B11702" s="75"/>
      <c r="C11702" s="75"/>
      <c r="D11702" s="75"/>
      <c r="E11702" s="75"/>
      <c r="F11702" s="75"/>
    </row>
    <row r="11703" spans="2:6">
      <c r="B11703" s="75"/>
      <c r="C11703" s="75"/>
      <c r="D11703" s="75"/>
      <c r="E11703" s="75"/>
      <c r="F11703" s="75"/>
    </row>
    <row r="11704" spans="2:6">
      <c r="B11704" s="75"/>
      <c r="C11704" s="75"/>
      <c r="D11704" s="75"/>
      <c r="E11704" s="75"/>
      <c r="F11704" s="75"/>
    </row>
    <row r="11705" spans="2:6">
      <c r="B11705" s="75"/>
      <c r="C11705" s="75"/>
      <c r="D11705" s="75"/>
      <c r="E11705" s="75"/>
      <c r="F11705" s="75"/>
    </row>
    <row r="11706" spans="2:6">
      <c r="B11706" s="75"/>
      <c r="C11706" s="75"/>
      <c r="D11706" s="75"/>
      <c r="E11706" s="75"/>
      <c r="F11706" s="75"/>
    </row>
    <row r="11707" spans="2:6">
      <c r="B11707" s="75"/>
      <c r="C11707" s="75"/>
      <c r="D11707" s="75"/>
      <c r="E11707" s="75"/>
      <c r="F11707" s="75"/>
    </row>
    <row r="11708" spans="2:6">
      <c r="B11708" s="75"/>
      <c r="C11708" s="75"/>
      <c r="D11708" s="75"/>
      <c r="E11708" s="75"/>
      <c r="F11708" s="75"/>
    </row>
    <row r="11709" spans="2:6">
      <c r="B11709" s="75"/>
      <c r="C11709" s="75"/>
      <c r="D11709" s="75"/>
      <c r="E11709" s="75"/>
      <c r="F11709" s="75"/>
    </row>
    <row r="11710" spans="2:6">
      <c r="B11710" s="75"/>
      <c r="C11710" s="75"/>
      <c r="D11710" s="75"/>
      <c r="E11710" s="75"/>
      <c r="F11710" s="75"/>
    </row>
    <row r="11711" spans="2:6">
      <c r="B11711" s="75"/>
      <c r="C11711" s="75"/>
      <c r="D11711" s="75"/>
      <c r="E11711" s="75"/>
      <c r="F11711" s="75"/>
    </row>
    <row r="11712" spans="2:6">
      <c r="B11712" s="75"/>
      <c r="C11712" s="75"/>
      <c r="D11712" s="75"/>
      <c r="E11712" s="75"/>
      <c r="F11712" s="75"/>
    </row>
    <row r="11713" spans="2:6">
      <c r="B11713" s="75"/>
      <c r="C11713" s="75"/>
      <c r="D11713" s="75"/>
      <c r="E11713" s="75"/>
      <c r="F11713" s="75"/>
    </row>
    <row r="11714" spans="2:6">
      <c r="B11714" s="75"/>
      <c r="C11714" s="75"/>
      <c r="D11714" s="75"/>
      <c r="E11714" s="75"/>
      <c r="F11714" s="75"/>
    </row>
    <row r="11715" spans="2:6">
      <c r="B11715" s="75"/>
      <c r="C11715" s="75"/>
      <c r="D11715" s="75"/>
      <c r="E11715" s="75"/>
      <c r="F11715" s="75"/>
    </row>
    <row r="11716" spans="2:6">
      <c r="B11716" s="75"/>
      <c r="C11716" s="75"/>
      <c r="D11716" s="75"/>
      <c r="E11716" s="75"/>
      <c r="F11716" s="75"/>
    </row>
    <row r="11717" spans="2:6">
      <c r="B11717" s="75"/>
      <c r="C11717" s="75"/>
      <c r="D11717" s="75"/>
      <c r="E11717" s="75"/>
      <c r="F11717" s="75"/>
    </row>
    <row r="11718" spans="2:6">
      <c r="B11718" s="75"/>
      <c r="C11718" s="75"/>
      <c r="D11718" s="75"/>
      <c r="E11718" s="75"/>
      <c r="F11718" s="75"/>
    </row>
    <row r="11719" spans="2:6">
      <c r="B11719" s="75"/>
      <c r="C11719" s="75"/>
      <c r="D11719" s="75"/>
      <c r="E11719" s="75"/>
      <c r="F11719" s="75"/>
    </row>
    <row r="11720" spans="2:6">
      <c r="B11720" s="75"/>
      <c r="C11720" s="75"/>
      <c r="D11720" s="75"/>
      <c r="E11720" s="75"/>
      <c r="F11720" s="75"/>
    </row>
    <row r="11721" spans="2:6">
      <c r="B11721" s="75"/>
      <c r="C11721" s="75"/>
      <c r="D11721" s="75"/>
      <c r="E11721" s="75"/>
      <c r="F11721" s="75"/>
    </row>
    <row r="11722" spans="2:6">
      <c r="B11722" s="75"/>
      <c r="C11722" s="75"/>
      <c r="D11722" s="75"/>
      <c r="E11722" s="75"/>
      <c r="F11722" s="75"/>
    </row>
    <row r="11723" spans="2:6">
      <c r="B11723" s="75"/>
      <c r="C11723" s="75"/>
      <c r="D11723" s="75"/>
      <c r="E11723" s="75"/>
      <c r="F11723" s="75"/>
    </row>
    <row r="11724" spans="2:6">
      <c r="B11724" s="75"/>
      <c r="C11724" s="75"/>
      <c r="D11724" s="75"/>
      <c r="E11724" s="75"/>
      <c r="F11724" s="75"/>
    </row>
    <row r="11725" spans="2:6">
      <c r="B11725" s="75"/>
      <c r="C11725" s="75"/>
      <c r="D11725" s="75"/>
      <c r="E11725" s="75"/>
      <c r="F11725" s="75"/>
    </row>
    <row r="11726" spans="2:6">
      <c r="B11726" s="75"/>
      <c r="C11726" s="75"/>
      <c r="D11726" s="75"/>
      <c r="E11726" s="75"/>
      <c r="F11726" s="75"/>
    </row>
    <row r="11727" spans="2:6">
      <c r="B11727" s="75"/>
      <c r="C11727" s="75"/>
      <c r="D11727" s="75"/>
      <c r="E11727" s="75"/>
      <c r="F11727" s="75"/>
    </row>
    <row r="11728" spans="2:6">
      <c r="B11728" s="75"/>
      <c r="C11728" s="75"/>
      <c r="D11728" s="75"/>
      <c r="E11728" s="75"/>
      <c r="F11728" s="75"/>
    </row>
    <row r="11729" spans="2:6">
      <c r="B11729" s="75"/>
      <c r="C11729" s="75"/>
      <c r="D11729" s="75"/>
      <c r="E11729" s="75"/>
      <c r="F11729" s="75"/>
    </row>
    <row r="11730" spans="2:6">
      <c r="B11730" s="75"/>
      <c r="C11730" s="75"/>
      <c r="D11730" s="75"/>
      <c r="E11730" s="75"/>
      <c r="F11730" s="75"/>
    </row>
    <row r="11731" spans="2:6">
      <c r="B11731" s="75"/>
      <c r="C11731" s="75"/>
      <c r="D11731" s="75"/>
      <c r="E11731" s="75"/>
      <c r="F11731" s="75"/>
    </row>
    <row r="11732" spans="2:6">
      <c r="B11732" s="75"/>
      <c r="C11732" s="75"/>
      <c r="D11732" s="75"/>
      <c r="E11732" s="75"/>
      <c r="F11732" s="75"/>
    </row>
    <row r="11733" spans="2:6">
      <c r="B11733" s="75"/>
      <c r="C11733" s="75"/>
      <c r="D11733" s="75"/>
      <c r="E11733" s="75"/>
      <c r="F11733" s="75"/>
    </row>
    <row r="11734" spans="2:6">
      <c r="B11734" s="75"/>
      <c r="C11734" s="75"/>
      <c r="D11734" s="75"/>
      <c r="E11734" s="75"/>
      <c r="F11734" s="75"/>
    </row>
    <row r="11735" spans="2:6">
      <c r="B11735" s="75"/>
      <c r="C11735" s="75"/>
      <c r="D11735" s="75"/>
      <c r="E11735" s="75"/>
      <c r="F11735" s="75"/>
    </row>
    <row r="11736" spans="2:6">
      <c r="B11736" s="75"/>
      <c r="C11736" s="75"/>
      <c r="D11736" s="75"/>
      <c r="E11736" s="75"/>
      <c r="F11736" s="75"/>
    </row>
    <row r="11737" spans="2:6">
      <c r="B11737" s="75"/>
      <c r="C11737" s="75"/>
      <c r="D11737" s="75"/>
      <c r="E11737" s="75"/>
      <c r="F11737" s="75"/>
    </row>
    <row r="11738" spans="2:6">
      <c r="B11738" s="75"/>
      <c r="C11738" s="75"/>
      <c r="D11738" s="75"/>
      <c r="E11738" s="75"/>
      <c r="F11738" s="75"/>
    </row>
    <row r="11739" spans="2:6">
      <c r="B11739" s="75"/>
      <c r="C11739" s="75"/>
      <c r="D11739" s="75"/>
      <c r="E11739" s="75"/>
      <c r="F11739" s="75"/>
    </row>
    <row r="11740" spans="2:6">
      <c r="B11740" s="75"/>
      <c r="C11740" s="75"/>
      <c r="D11740" s="75"/>
      <c r="E11740" s="75"/>
      <c r="F11740" s="75"/>
    </row>
    <row r="11741" spans="2:6">
      <c r="B11741" s="75"/>
      <c r="C11741" s="75"/>
      <c r="D11741" s="75"/>
      <c r="E11741" s="75"/>
      <c r="F11741" s="75"/>
    </row>
    <row r="11742" spans="2:6">
      <c r="B11742" s="75"/>
      <c r="C11742" s="75"/>
      <c r="D11742" s="75"/>
      <c r="E11742" s="75"/>
      <c r="F11742" s="75"/>
    </row>
    <row r="11743" spans="2:6">
      <c r="B11743" s="75"/>
      <c r="C11743" s="75"/>
      <c r="D11743" s="75"/>
      <c r="E11743" s="75"/>
      <c r="F11743" s="75"/>
    </row>
    <row r="11744" spans="2:6">
      <c r="B11744" s="75"/>
      <c r="C11744" s="75"/>
      <c r="D11744" s="75"/>
      <c r="E11744" s="75"/>
      <c r="F11744" s="75"/>
    </row>
    <row r="11745" spans="2:6">
      <c r="B11745" s="75"/>
      <c r="C11745" s="75"/>
      <c r="D11745" s="75"/>
      <c r="E11745" s="75"/>
      <c r="F11745" s="75"/>
    </row>
    <row r="11746" spans="2:6">
      <c r="B11746" s="75"/>
      <c r="C11746" s="75"/>
      <c r="D11746" s="75"/>
      <c r="E11746" s="75"/>
      <c r="F11746" s="75"/>
    </row>
    <row r="11747" spans="2:6">
      <c r="B11747" s="75"/>
      <c r="C11747" s="75"/>
      <c r="D11747" s="75"/>
      <c r="E11747" s="75"/>
      <c r="F11747" s="75"/>
    </row>
    <row r="11748" spans="2:6">
      <c r="B11748" s="75"/>
      <c r="C11748" s="75"/>
      <c r="D11748" s="75"/>
      <c r="E11748" s="75"/>
      <c r="F11748" s="75"/>
    </row>
    <row r="11749" spans="2:6">
      <c r="B11749" s="75"/>
      <c r="C11749" s="75"/>
      <c r="D11749" s="75"/>
      <c r="E11749" s="75"/>
      <c r="F11749" s="75"/>
    </row>
    <row r="11750" spans="2:6">
      <c r="B11750" s="75"/>
      <c r="C11750" s="75"/>
      <c r="D11750" s="75"/>
      <c r="E11750" s="75"/>
      <c r="F11750" s="75"/>
    </row>
    <row r="11751" spans="2:6">
      <c r="B11751" s="75"/>
      <c r="C11751" s="75"/>
      <c r="D11751" s="75"/>
      <c r="E11751" s="75"/>
      <c r="F11751" s="75"/>
    </row>
    <row r="11752" spans="2:6">
      <c r="B11752" s="75"/>
      <c r="C11752" s="75"/>
      <c r="D11752" s="75"/>
      <c r="E11752" s="75"/>
      <c r="F11752" s="75"/>
    </row>
    <row r="11753" spans="2:6">
      <c r="B11753" s="75"/>
      <c r="C11753" s="75"/>
      <c r="D11753" s="75"/>
      <c r="E11753" s="75"/>
      <c r="F11753" s="75"/>
    </row>
    <row r="11754" spans="2:6">
      <c r="B11754" s="75"/>
      <c r="C11754" s="75"/>
      <c r="D11754" s="75"/>
      <c r="E11754" s="75"/>
      <c r="F11754" s="75"/>
    </row>
    <row r="11755" spans="2:6">
      <c r="B11755" s="75"/>
      <c r="C11755" s="75"/>
      <c r="D11755" s="75"/>
      <c r="E11755" s="75"/>
      <c r="F11755" s="75"/>
    </row>
    <row r="11756" spans="2:6">
      <c r="B11756" s="75"/>
      <c r="C11756" s="75"/>
      <c r="D11756" s="75"/>
      <c r="E11756" s="75"/>
      <c r="F11756" s="75"/>
    </row>
    <row r="11757" spans="2:6">
      <c r="B11757" s="75"/>
      <c r="C11757" s="75"/>
      <c r="D11757" s="75"/>
      <c r="E11757" s="75"/>
      <c r="F11757" s="75"/>
    </row>
    <row r="11758" spans="2:6">
      <c r="B11758" s="75"/>
      <c r="C11758" s="75"/>
      <c r="D11758" s="75"/>
      <c r="E11758" s="75"/>
      <c r="F11758" s="75"/>
    </row>
    <row r="11759" spans="2:6">
      <c r="B11759" s="75"/>
      <c r="C11759" s="75"/>
      <c r="D11759" s="75"/>
      <c r="E11759" s="75"/>
      <c r="F11759" s="75"/>
    </row>
    <row r="11760" spans="2:6">
      <c r="B11760" s="75"/>
      <c r="C11760" s="75"/>
      <c r="D11760" s="75"/>
      <c r="E11760" s="75"/>
      <c r="F11760" s="75"/>
    </row>
    <row r="11761" spans="2:6">
      <c r="B11761" s="75"/>
      <c r="C11761" s="75"/>
      <c r="D11761" s="75"/>
      <c r="E11761" s="75"/>
      <c r="F11761" s="75"/>
    </row>
    <row r="11762" spans="2:6">
      <c r="B11762" s="75"/>
      <c r="C11762" s="75"/>
      <c r="D11762" s="75"/>
      <c r="E11762" s="75"/>
      <c r="F11762" s="75"/>
    </row>
    <row r="11763" spans="2:6">
      <c r="B11763" s="75"/>
      <c r="C11763" s="75"/>
      <c r="D11763" s="75"/>
      <c r="E11763" s="75"/>
      <c r="F11763" s="75"/>
    </row>
    <row r="11764" spans="2:6">
      <c r="B11764" s="75"/>
      <c r="C11764" s="75"/>
      <c r="D11764" s="75"/>
      <c r="E11764" s="75"/>
      <c r="F11764" s="75"/>
    </row>
    <row r="11765" spans="2:6">
      <c r="B11765" s="75"/>
      <c r="C11765" s="75"/>
      <c r="D11765" s="75"/>
      <c r="E11765" s="75"/>
      <c r="F11765" s="75"/>
    </row>
    <row r="11766" spans="2:6">
      <c r="B11766" s="75"/>
      <c r="C11766" s="75"/>
      <c r="D11766" s="75"/>
      <c r="E11766" s="75"/>
      <c r="F11766" s="75"/>
    </row>
    <row r="11767" spans="2:6">
      <c r="B11767" s="75"/>
      <c r="C11767" s="75"/>
      <c r="D11767" s="75"/>
      <c r="E11767" s="75"/>
      <c r="F11767" s="75"/>
    </row>
    <row r="11768" spans="2:6">
      <c r="B11768" s="75"/>
      <c r="C11768" s="75"/>
      <c r="D11768" s="75"/>
      <c r="E11768" s="75"/>
      <c r="F11768" s="75"/>
    </row>
    <row r="11769" spans="2:6">
      <c r="B11769" s="75"/>
      <c r="C11769" s="75"/>
      <c r="D11769" s="75"/>
      <c r="E11769" s="75"/>
      <c r="F11769" s="75"/>
    </row>
    <row r="11770" spans="2:6">
      <c r="B11770" s="75"/>
      <c r="C11770" s="75"/>
      <c r="D11770" s="75"/>
      <c r="E11770" s="75"/>
      <c r="F11770" s="75"/>
    </row>
    <row r="11771" spans="2:6">
      <c r="B11771" s="75"/>
      <c r="C11771" s="75"/>
      <c r="D11771" s="75"/>
      <c r="E11771" s="75"/>
      <c r="F11771" s="75"/>
    </row>
    <row r="11772" spans="2:6">
      <c r="B11772" s="75"/>
      <c r="C11772" s="75"/>
      <c r="D11772" s="75"/>
      <c r="E11772" s="75"/>
      <c r="F11772" s="75"/>
    </row>
    <row r="11773" spans="2:6">
      <c r="B11773" s="75"/>
      <c r="C11773" s="75"/>
      <c r="D11773" s="75"/>
      <c r="E11773" s="75"/>
      <c r="F11773" s="75"/>
    </row>
    <row r="11774" spans="2:6">
      <c r="B11774" s="75"/>
      <c r="C11774" s="75"/>
      <c r="D11774" s="75"/>
      <c r="E11774" s="75"/>
      <c r="F11774" s="75"/>
    </row>
    <row r="11775" spans="2:6">
      <c r="B11775" s="75"/>
      <c r="C11775" s="75"/>
      <c r="D11775" s="75"/>
      <c r="E11775" s="75"/>
      <c r="F11775" s="75"/>
    </row>
    <row r="11776" spans="2:6">
      <c r="B11776" s="75"/>
      <c r="C11776" s="75"/>
      <c r="D11776" s="75"/>
      <c r="E11776" s="75"/>
      <c r="F11776" s="75"/>
    </row>
    <row r="11777" spans="2:6">
      <c r="B11777" s="75"/>
      <c r="C11777" s="75"/>
      <c r="D11777" s="75"/>
      <c r="E11777" s="75"/>
      <c r="F11777" s="75"/>
    </row>
    <row r="11778" spans="2:6">
      <c r="B11778" s="75"/>
      <c r="C11778" s="75"/>
      <c r="D11778" s="75"/>
      <c r="E11778" s="75"/>
      <c r="F11778" s="75"/>
    </row>
    <row r="11779" spans="2:6">
      <c r="B11779" s="75"/>
      <c r="C11779" s="75"/>
      <c r="D11779" s="75"/>
      <c r="E11779" s="75"/>
      <c r="F11779" s="75"/>
    </row>
    <row r="11780" spans="2:6">
      <c r="B11780" s="75"/>
      <c r="C11780" s="75"/>
      <c r="D11780" s="75"/>
      <c r="E11780" s="75"/>
      <c r="F11780" s="75"/>
    </row>
    <row r="11781" spans="2:6">
      <c r="B11781" s="75"/>
      <c r="C11781" s="75"/>
      <c r="D11781" s="75"/>
      <c r="E11781" s="75"/>
      <c r="F11781" s="75"/>
    </row>
    <row r="11782" spans="2:6">
      <c r="B11782" s="75"/>
      <c r="C11782" s="75"/>
      <c r="D11782" s="75"/>
      <c r="E11782" s="75"/>
      <c r="F11782" s="75"/>
    </row>
    <row r="11783" spans="2:6">
      <c r="B11783" s="75"/>
      <c r="C11783" s="75"/>
      <c r="D11783" s="75"/>
      <c r="E11783" s="75"/>
      <c r="F11783" s="75"/>
    </row>
    <row r="11784" spans="2:6">
      <c r="B11784" s="75"/>
      <c r="C11784" s="75"/>
      <c r="D11784" s="75"/>
      <c r="E11784" s="75"/>
      <c r="F11784" s="75"/>
    </row>
    <row r="11785" spans="2:6">
      <c r="B11785" s="75"/>
      <c r="C11785" s="75"/>
      <c r="D11785" s="75"/>
      <c r="E11785" s="75"/>
      <c r="F11785" s="75"/>
    </row>
    <row r="11786" spans="2:6">
      <c r="B11786" s="75"/>
      <c r="C11786" s="75"/>
      <c r="D11786" s="75"/>
      <c r="E11786" s="75"/>
      <c r="F11786" s="75"/>
    </row>
    <row r="11787" spans="2:6">
      <c r="B11787" s="75"/>
      <c r="C11787" s="75"/>
      <c r="D11787" s="75"/>
      <c r="E11787" s="75"/>
      <c r="F11787" s="75"/>
    </row>
    <row r="11788" spans="2:6">
      <c r="B11788" s="75"/>
      <c r="C11788" s="75"/>
      <c r="D11788" s="75"/>
      <c r="E11788" s="75"/>
      <c r="F11788" s="75"/>
    </row>
    <row r="11789" spans="2:6">
      <c r="B11789" s="75"/>
      <c r="C11789" s="75"/>
      <c r="D11789" s="75"/>
      <c r="E11789" s="75"/>
      <c r="F11789" s="75"/>
    </row>
    <row r="11790" spans="2:6">
      <c r="B11790" s="75"/>
      <c r="C11790" s="75"/>
      <c r="D11790" s="75"/>
      <c r="E11790" s="75"/>
      <c r="F11790" s="75"/>
    </row>
    <row r="11791" spans="2:6">
      <c r="B11791" s="75"/>
      <c r="C11791" s="75"/>
      <c r="D11791" s="75"/>
      <c r="E11791" s="75"/>
      <c r="F11791" s="75"/>
    </row>
    <row r="11792" spans="2:6">
      <c r="B11792" s="75"/>
      <c r="C11792" s="75"/>
      <c r="D11792" s="75"/>
      <c r="E11792" s="75"/>
      <c r="F11792" s="75"/>
    </row>
    <row r="11793" spans="2:6">
      <c r="B11793" s="75"/>
      <c r="C11793" s="75"/>
      <c r="D11793" s="75"/>
      <c r="E11793" s="75"/>
      <c r="F11793" s="75"/>
    </row>
    <row r="11794" spans="2:6">
      <c r="B11794" s="75"/>
      <c r="C11794" s="75"/>
      <c r="D11794" s="75"/>
      <c r="E11794" s="75"/>
      <c r="F11794" s="75"/>
    </row>
    <row r="11795" spans="2:6">
      <c r="B11795" s="75"/>
      <c r="C11795" s="75"/>
      <c r="D11795" s="75"/>
      <c r="E11795" s="75"/>
      <c r="F11795" s="75"/>
    </row>
    <row r="11796" spans="2:6">
      <c r="B11796" s="75"/>
      <c r="C11796" s="75"/>
      <c r="D11796" s="75"/>
      <c r="E11796" s="75"/>
      <c r="F11796" s="75"/>
    </row>
    <row r="11797" spans="2:6">
      <c r="B11797" s="75"/>
      <c r="C11797" s="75"/>
      <c r="D11797" s="75"/>
      <c r="E11797" s="75"/>
      <c r="F11797" s="75"/>
    </row>
    <row r="11798" spans="2:6">
      <c r="B11798" s="75"/>
      <c r="C11798" s="75"/>
      <c r="D11798" s="75"/>
      <c r="E11798" s="75"/>
      <c r="F11798" s="75"/>
    </row>
    <row r="11799" spans="2:6">
      <c r="B11799" s="75"/>
      <c r="C11799" s="75"/>
      <c r="D11799" s="75"/>
      <c r="E11799" s="75"/>
      <c r="F11799" s="75"/>
    </row>
    <row r="11800" spans="2:6">
      <c r="B11800" s="75"/>
      <c r="C11800" s="75"/>
      <c r="D11800" s="75"/>
      <c r="E11800" s="75"/>
      <c r="F11800" s="75"/>
    </row>
    <row r="11801" spans="2:6">
      <c r="B11801" s="75"/>
      <c r="C11801" s="75"/>
      <c r="D11801" s="75"/>
      <c r="E11801" s="75"/>
      <c r="F11801" s="75"/>
    </row>
    <row r="11802" spans="2:6">
      <c r="B11802" s="75"/>
      <c r="C11802" s="75"/>
      <c r="D11802" s="75"/>
      <c r="E11802" s="75"/>
      <c r="F11802" s="75"/>
    </row>
    <row r="11803" spans="2:6">
      <c r="B11803" s="75"/>
      <c r="C11803" s="75"/>
      <c r="D11803" s="75"/>
      <c r="E11803" s="75"/>
      <c r="F11803" s="75"/>
    </row>
    <row r="11804" spans="2:6">
      <c r="B11804" s="75"/>
      <c r="C11804" s="75"/>
      <c r="D11804" s="75"/>
      <c r="E11804" s="75"/>
      <c r="F11804" s="75"/>
    </row>
    <row r="11805" spans="2:6">
      <c r="B11805" s="75"/>
      <c r="C11805" s="75"/>
      <c r="D11805" s="75"/>
      <c r="E11805" s="75"/>
      <c r="F11805" s="75"/>
    </row>
    <row r="11806" spans="2:6">
      <c r="B11806" s="75"/>
      <c r="C11806" s="75"/>
      <c r="D11806" s="75"/>
      <c r="E11806" s="75"/>
      <c r="F11806" s="75"/>
    </row>
    <row r="11807" spans="2:6">
      <c r="B11807" s="75"/>
      <c r="C11807" s="75"/>
      <c r="D11807" s="75"/>
      <c r="E11807" s="75"/>
      <c r="F11807" s="75"/>
    </row>
    <row r="11808" spans="2:6">
      <c r="B11808" s="75"/>
      <c r="C11808" s="75"/>
      <c r="D11808" s="75"/>
      <c r="E11808" s="75"/>
      <c r="F11808" s="75"/>
    </row>
    <row r="11809" spans="2:6">
      <c r="B11809" s="75"/>
      <c r="C11809" s="75"/>
      <c r="D11809" s="75"/>
      <c r="E11809" s="75"/>
      <c r="F11809" s="75"/>
    </row>
    <row r="11810" spans="2:6">
      <c r="B11810" s="75"/>
      <c r="C11810" s="75"/>
      <c r="D11810" s="75"/>
      <c r="E11810" s="75"/>
      <c r="F11810" s="75"/>
    </row>
    <row r="11811" spans="2:6">
      <c r="B11811" s="75"/>
      <c r="C11811" s="75"/>
      <c r="D11811" s="75"/>
      <c r="E11811" s="75"/>
      <c r="F11811" s="75"/>
    </row>
    <row r="11812" spans="2:6">
      <c r="B11812" s="75"/>
      <c r="C11812" s="75"/>
      <c r="D11812" s="75"/>
      <c r="E11812" s="75"/>
      <c r="F11812" s="75"/>
    </row>
    <row r="11813" spans="2:6">
      <c r="B11813" s="75"/>
      <c r="C11813" s="75"/>
      <c r="D11813" s="75"/>
      <c r="E11813" s="75"/>
      <c r="F11813" s="75"/>
    </row>
    <row r="11814" spans="2:6">
      <c r="B11814" s="75"/>
      <c r="C11814" s="75"/>
      <c r="D11814" s="75"/>
      <c r="E11814" s="75"/>
      <c r="F11814" s="75"/>
    </row>
    <row r="11815" spans="2:6">
      <c r="B11815" s="75"/>
      <c r="C11815" s="75"/>
      <c r="D11815" s="75"/>
      <c r="E11815" s="75"/>
      <c r="F11815" s="75"/>
    </row>
    <row r="11816" spans="2:6">
      <c r="B11816" s="75"/>
      <c r="C11816" s="75"/>
      <c r="D11816" s="75"/>
      <c r="E11816" s="75"/>
      <c r="F11816" s="75"/>
    </row>
    <row r="11817" spans="2:6">
      <c r="B11817" s="75"/>
      <c r="C11817" s="75"/>
      <c r="D11817" s="75"/>
      <c r="E11817" s="75"/>
      <c r="F11817" s="75"/>
    </row>
    <row r="11818" spans="2:6">
      <c r="B11818" s="75"/>
      <c r="C11818" s="75"/>
      <c r="D11818" s="75"/>
      <c r="E11818" s="75"/>
      <c r="F11818" s="75"/>
    </row>
    <row r="11819" spans="2:6">
      <c r="B11819" s="75"/>
      <c r="C11819" s="75"/>
      <c r="D11819" s="75"/>
      <c r="E11819" s="75"/>
      <c r="F11819" s="75"/>
    </row>
    <row r="11820" spans="2:6">
      <c r="B11820" s="75"/>
      <c r="C11820" s="75"/>
      <c r="D11820" s="75"/>
      <c r="E11820" s="75"/>
      <c r="F11820" s="75"/>
    </row>
    <row r="11821" spans="2:6">
      <c r="B11821" s="75"/>
      <c r="C11821" s="75"/>
      <c r="D11821" s="75"/>
      <c r="E11821" s="75"/>
      <c r="F11821" s="75"/>
    </row>
    <row r="11822" spans="2:6">
      <c r="B11822" s="75"/>
      <c r="C11822" s="75"/>
      <c r="D11822" s="75"/>
      <c r="E11822" s="75"/>
      <c r="F11822" s="75"/>
    </row>
    <row r="11823" spans="2:6">
      <c r="B11823" s="75"/>
      <c r="C11823" s="75"/>
      <c r="D11823" s="75"/>
      <c r="E11823" s="75"/>
      <c r="F11823" s="75"/>
    </row>
    <row r="11824" spans="2:6">
      <c r="B11824" s="75"/>
      <c r="C11824" s="75"/>
      <c r="D11824" s="75"/>
      <c r="E11824" s="75"/>
      <c r="F11824" s="75"/>
    </row>
    <row r="11825" spans="2:6">
      <c r="B11825" s="75"/>
      <c r="C11825" s="75"/>
      <c r="D11825" s="75"/>
      <c r="E11825" s="75"/>
      <c r="F11825" s="75"/>
    </row>
    <row r="11826" spans="2:6">
      <c r="B11826" s="75"/>
      <c r="C11826" s="75"/>
      <c r="D11826" s="75"/>
      <c r="E11826" s="75"/>
      <c r="F11826" s="75"/>
    </row>
    <row r="11827" spans="2:6">
      <c r="B11827" s="75"/>
      <c r="C11827" s="75"/>
      <c r="D11827" s="75"/>
      <c r="E11827" s="75"/>
      <c r="F11827" s="75"/>
    </row>
    <row r="11828" spans="2:6">
      <c r="B11828" s="75"/>
      <c r="C11828" s="75"/>
      <c r="D11828" s="75"/>
      <c r="E11828" s="75"/>
      <c r="F11828" s="75"/>
    </row>
    <row r="11829" spans="2:6">
      <c r="B11829" s="75"/>
      <c r="C11829" s="75"/>
      <c r="D11829" s="75"/>
      <c r="E11829" s="75"/>
      <c r="F11829" s="75"/>
    </row>
    <row r="11830" spans="2:6">
      <c r="B11830" s="75"/>
      <c r="C11830" s="75"/>
      <c r="D11830" s="75"/>
      <c r="E11830" s="75"/>
      <c r="F11830" s="75"/>
    </row>
    <row r="11831" spans="2:6">
      <c r="B11831" s="75"/>
      <c r="C11831" s="75"/>
      <c r="D11831" s="75"/>
      <c r="E11831" s="75"/>
      <c r="F11831" s="75"/>
    </row>
    <row r="11832" spans="2:6">
      <c r="B11832" s="75"/>
      <c r="C11832" s="75"/>
      <c r="D11832" s="75"/>
      <c r="E11832" s="75"/>
      <c r="F11832" s="75"/>
    </row>
    <row r="11833" spans="2:6">
      <c r="B11833" s="75"/>
      <c r="C11833" s="75"/>
      <c r="D11833" s="75"/>
      <c r="E11833" s="75"/>
      <c r="F11833" s="75"/>
    </row>
    <row r="11834" spans="2:6">
      <c r="B11834" s="75"/>
      <c r="C11834" s="75"/>
      <c r="D11834" s="75"/>
      <c r="E11834" s="75"/>
      <c r="F11834" s="75"/>
    </row>
    <row r="11835" spans="2:6">
      <c r="B11835" s="75"/>
      <c r="C11835" s="75"/>
      <c r="D11835" s="75"/>
      <c r="E11835" s="75"/>
      <c r="F11835" s="75"/>
    </row>
    <row r="11836" spans="2:6">
      <c r="B11836" s="75"/>
      <c r="C11836" s="75"/>
      <c r="D11836" s="75"/>
      <c r="E11836" s="75"/>
      <c r="F11836" s="75"/>
    </row>
    <row r="11837" spans="2:6">
      <c r="B11837" s="75"/>
      <c r="C11837" s="75"/>
      <c r="D11837" s="75"/>
      <c r="E11837" s="75"/>
      <c r="F11837" s="75"/>
    </row>
    <row r="11838" spans="2:6">
      <c r="B11838" s="75"/>
      <c r="C11838" s="75"/>
      <c r="D11838" s="75"/>
      <c r="E11838" s="75"/>
      <c r="F11838" s="75"/>
    </row>
    <row r="11839" spans="2:6">
      <c r="B11839" s="75"/>
      <c r="C11839" s="75"/>
      <c r="D11839" s="75"/>
      <c r="E11839" s="75"/>
      <c r="F11839" s="75"/>
    </row>
    <row r="11840" spans="2:6">
      <c r="B11840" s="75"/>
      <c r="C11840" s="75"/>
      <c r="D11840" s="75"/>
      <c r="E11840" s="75"/>
      <c r="F11840" s="75"/>
    </row>
    <row r="11841" spans="2:6">
      <c r="B11841" s="75"/>
      <c r="C11841" s="75"/>
      <c r="D11841" s="75"/>
      <c r="E11841" s="75"/>
      <c r="F11841" s="75"/>
    </row>
    <row r="11842" spans="2:6">
      <c r="B11842" s="75"/>
      <c r="C11842" s="75"/>
      <c r="D11842" s="75"/>
      <c r="E11842" s="75"/>
      <c r="F11842" s="75"/>
    </row>
    <row r="11843" spans="2:6">
      <c r="B11843" s="75"/>
      <c r="C11843" s="75"/>
      <c r="D11843" s="75"/>
      <c r="E11843" s="75"/>
      <c r="F11843" s="75"/>
    </row>
    <row r="11844" spans="2:6">
      <c r="B11844" s="75"/>
      <c r="C11844" s="75"/>
      <c r="D11844" s="75"/>
      <c r="E11844" s="75"/>
      <c r="F11844" s="75"/>
    </row>
    <row r="11845" spans="2:6">
      <c r="B11845" s="75"/>
      <c r="C11845" s="75"/>
      <c r="D11845" s="75"/>
      <c r="E11845" s="75"/>
      <c r="F11845" s="75"/>
    </row>
    <row r="11846" spans="2:6">
      <c r="B11846" s="75"/>
      <c r="C11846" s="75"/>
      <c r="D11846" s="75"/>
      <c r="E11846" s="75"/>
      <c r="F11846" s="75"/>
    </row>
    <row r="11847" spans="2:6">
      <c r="B11847" s="75"/>
      <c r="C11847" s="75"/>
      <c r="D11847" s="75"/>
      <c r="E11847" s="75"/>
      <c r="F11847" s="75"/>
    </row>
    <row r="11848" spans="2:6">
      <c r="B11848" s="75"/>
      <c r="C11848" s="75"/>
      <c r="D11848" s="75"/>
      <c r="E11848" s="75"/>
      <c r="F11848" s="75"/>
    </row>
    <row r="11849" spans="2:6">
      <c r="B11849" s="75"/>
      <c r="C11849" s="75"/>
      <c r="D11849" s="75"/>
      <c r="E11849" s="75"/>
      <c r="F11849" s="75"/>
    </row>
    <row r="11850" spans="2:6">
      <c r="B11850" s="75"/>
      <c r="C11850" s="75"/>
      <c r="D11850" s="75"/>
      <c r="E11850" s="75"/>
      <c r="F11850" s="75"/>
    </row>
    <row r="11851" spans="2:6">
      <c r="B11851" s="75"/>
      <c r="C11851" s="75"/>
      <c r="D11851" s="75"/>
      <c r="E11851" s="75"/>
      <c r="F11851" s="75"/>
    </row>
    <row r="11852" spans="2:6">
      <c r="B11852" s="75"/>
      <c r="C11852" s="75"/>
      <c r="D11852" s="75"/>
      <c r="E11852" s="75"/>
      <c r="F11852" s="75"/>
    </row>
    <row r="11853" spans="2:6">
      <c r="B11853" s="75"/>
      <c r="C11853" s="75"/>
      <c r="D11853" s="75"/>
      <c r="E11853" s="75"/>
      <c r="F11853" s="75"/>
    </row>
    <row r="11854" spans="2:6">
      <c r="B11854" s="75"/>
      <c r="C11854" s="75"/>
      <c r="D11854" s="75"/>
      <c r="E11854" s="75"/>
      <c r="F11854" s="75"/>
    </row>
    <row r="11855" spans="2:6">
      <c r="B11855" s="75"/>
      <c r="C11855" s="75"/>
      <c r="D11855" s="75"/>
      <c r="E11855" s="75"/>
      <c r="F11855" s="75"/>
    </row>
    <row r="11856" spans="2:6">
      <c r="B11856" s="75"/>
      <c r="C11856" s="75"/>
      <c r="D11856" s="75"/>
      <c r="E11856" s="75"/>
      <c r="F11856" s="75"/>
    </row>
    <row r="11857" spans="2:6">
      <c r="B11857" s="75"/>
      <c r="C11857" s="75"/>
      <c r="D11857" s="75"/>
      <c r="E11857" s="75"/>
      <c r="F11857" s="75"/>
    </row>
    <row r="11858" spans="2:6">
      <c r="B11858" s="75"/>
      <c r="C11858" s="75"/>
      <c r="D11858" s="75"/>
      <c r="E11858" s="75"/>
      <c r="F11858" s="75"/>
    </row>
    <row r="11859" spans="2:6">
      <c r="B11859" s="75"/>
      <c r="C11859" s="75"/>
      <c r="D11859" s="75"/>
      <c r="E11859" s="75"/>
      <c r="F11859" s="75"/>
    </row>
    <row r="11860" spans="2:6">
      <c r="B11860" s="75"/>
      <c r="C11860" s="75"/>
      <c r="D11860" s="75"/>
      <c r="E11860" s="75"/>
      <c r="F11860" s="75"/>
    </row>
    <row r="11861" spans="2:6">
      <c r="B11861" s="75"/>
      <c r="C11861" s="75"/>
      <c r="D11861" s="75"/>
      <c r="E11861" s="75"/>
      <c r="F11861" s="75"/>
    </row>
    <row r="11862" spans="2:6">
      <c r="B11862" s="75"/>
      <c r="C11862" s="75"/>
      <c r="D11862" s="75"/>
      <c r="E11862" s="75"/>
      <c r="F11862" s="75"/>
    </row>
    <row r="11863" spans="2:6">
      <c r="B11863" s="75"/>
      <c r="C11863" s="75"/>
      <c r="D11863" s="75"/>
      <c r="E11863" s="75"/>
      <c r="F11863" s="75"/>
    </row>
    <row r="11864" spans="2:6">
      <c r="B11864" s="75"/>
      <c r="C11864" s="75"/>
      <c r="D11864" s="75"/>
      <c r="E11864" s="75"/>
      <c r="F11864" s="75"/>
    </row>
    <row r="11865" spans="2:6">
      <c r="B11865" s="75"/>
      <c r="C11865" s="75"/>
      <c r="D11865" s="75"/>
      <c r="E11865" s="75"/>
      <c r="F11865" s="75"/>
    </row>
    <row r="11866" spans="2:6">
      <c r="B11866" s="75"/>
      <c r="C11866" s="75"/>
      <c r="D11866" s="75"/>
      <c r="E11866" s="75"/>
      <c r="F11866" s="75"/>
    </row>
    <row r="11867" spans="2:6">
      <c r="B11867" s="75"/>
      <c r="C11867" s="75"/>
      <c r="D11867" s="75"/>
      <c r="E11867" s="75"/>
      <c r="F11867" s="75"/>
    </row>
    <row r="11868" spans="2:6">
      <c r="B11868" s="75"/>
      <c r="C11868" s="75"/>
      <c r="D11868" s="75"/>
      <c r="E11868" s="75"/>
      <c r="F11868" s="75"/>
    </row>
    <row r="11869" spans="2:6">
      <c r="B11869" s="75"/>
      <c r="C11869" s="75"/>
      <c r="D11869" s="75"/>
      <c r="E11869" s="75"/>
      <c r="F11869" s="75"/>
    </row>
    <row r="11870" spans="2:6">
      <c r="B11870" s="75"/>
      <c r="C11870" s="75"/>
      <c r="D11870" s="75"/>
      <c r="E11870" s="75"/>
      <c r="F11870" s="75"/>
    </row>
    <row r="11871" spans="2:6">
      <c r="B11871" s="75"/>
      <c r="C11871" s="75"/>
      <c r="D11871" s="75"/>
      <c r="E11871" s="75"/>
      <c r="F11871" s="75"/>
    </row>
    <row r="11872" spans="2:6">
      <c r="B11872" s="75"/>
      <c r="C11872" s="75"/>
      <c r="D11872" s="75"/>
      <c r="E11872" s="75"/>
      <c r="F11872" s="75"/>
    </row>
    <row r="11873" spans="2:6">
      <c r="B11873" s="75"/>
      <c r="C11873" s="75"/>
      <c r="D11873" s="75"/>
      <c r="E11873" s="75"/>
      <c r="F11873" s="75"/>
    </row>
    <row r="11874" spans="2:6">
      <c r="B11874" s="75"/>
      <c r="C11874" s="75"/>
      <c r="D11874" s="75"/>
      <c r="E11874" s="75"/>
      <c r="F11874" s="75"/>
    </row>
    <row r="11875" spans="2:6">
      <c r="B11875" s="75"/>
      <c r="C11875" s="75"/>
      <c r="D11875" s="75"/>
      <c r="E11875" s="75"/>
      <c r="F11875" s="75"/>
    </row>
    <row r="11876" spans="2:6">
      <c r="B11876" s="75"/>
      <c r="C11876" s="75"/>
      <c r="D11876" s="75"/>
      <c r="E11876" s="75"/>
      <c r="F11876" s="75"/>
    </row>
    <row r="11877" spans="2:6">
      <c r="B11877" s="75"/>
      <c r="C11877" s="75"/>
      <c r="D11877" s="75"/>
      <c r="E11877" s="75"/>
      <c r="F11877" s="75"/>
    </row>
    <row r="11878" spans="2:6">
      <c r="B11878" s="75"/>
      <c r="C11878" s="75"/>
      <c r="D11878" s="75"/>
      <c r="E11878" s="75"/>
      <c r="F11878" s="75"/>
    </row>
    <row r="11879" spans="2:6">
      <c r="B11879" s="75"/>
      <c r="C11879" s="75"/>
      <c r="D11879" s="75"/>
      <c r="E11879" s="75"/>
      <c r="F11879" s="75"/>
    </row>
    <row r="11880" spans="2:6">
      <c r="B11880" s="75"/>
      <c r="C11880" s="75"/>
      <c r="D11880" s="75"/>
      <c r="E11880" s="75"/>
      <c r="F11880" s="75"/>
    </row>
    <row r="11881" spans="2:6">
      <c r="B11881" s="75"/>
      <c r="C11881" s="75"/>
      <c r="D11881" s="75"/>
      <c r="E11881" s="75"/>
      <c r="F11881" s="75"/>
    </row>
    <row r="11882" spans="2:6">
      <c r="B11882" s="75"/>
      <c r="C11882" s="75"/>
      <c r="D11882" s="75"/>
      <c r="E11882" s="75"/>
      <c r="F11882" s="75"/>
    </row>
    <row r="11883" spans="2:6">
      <c r="B11883" s="75"/>
      <c r="C11883" s="75"/>
      <c r="D11883" s="75"/>
      <c r="E11883" s="75"/>
      <c r="F11883" s="75"/>
    </row>
    <row r="11884" spans="2:6">
      <c r="B11884" s="75"/>
      <c r="C11884" s="75"/>
      <c r="D11884" s="75"/>
      <c r="E11884" s="75"/>
      <c r="F11884" s="75"/>
    </row>
    <row r="11885" spans="2:6">
      <c r="B11885" s="75"/>
      <c r="C11885" s="75"/>
      <c r="D11885" s="75"/>
      <c r="E11885" s="75"/>
      <c r="F11885" s="75"/>
    </row>
    <row r="11886" spans="2:6">
      <c r="B11886" s="75"/>
      <c r="C11886" s="75"/>
      <c r="D11886" s="75"/>
      <c r="E11886" s="75"/>
      <c r="F11886" s="75"/>
    </row>
    <row r="11887" spans="2:6">
      <c r="B11887" s="75"/>
      <c r="C11887" s="75"/>
      <c r="D11887" s="75"/>
      <c r="E11887" s="75"/>
      <c r="F11887" s="75"/>
    </row>
    <row r="11888" spans="2:6">
      <c r="B11888" s="75"/>
      <c r="C11888" s="75"/>
      <c r="D11888" s="75"/>
      <c r="E11888" s="75"/>
      <c r="F11888" s="75"/>
    </row>
    <row r="11889" spans="2:6">
      <c r="B11889" s="75"/>
      <c r="C11889" s="75"/>
      <c r="D11889" s="75"/>
      <c r="E11889" s="75"/>
      <c r="F11889" s="75"/>
    </row>
    <row r="11890" spans="2:6">
      <c r="B11890" s="75"/>
      <c r="C11890" s="75"/>
      <c r="D11890" s="75"/>
      <c r="E11890" s="75"/>
      <c r="F11890" s="75"/>
    </row>
    <row r="11891" spans="2:6">
      <c r="B11891" s="75"/>
      <c r="C11891" s="75"/>
      <c r="D11891" s="75"/>
      <c r="E11891" s="75"/>
      <c r="F11891" s="75"/>
    </row>
    <row r="11892" spans="2:6">
      <c r="B11892" s="75"/>
      <c r="C11892" s="75"/>
      <c r="D11892" s="75"/>
      <c r="E11892" s="75"/>
      <c r="F11892" s="75"/>
    </row>
    <row r="11893" spans="2:6">
      <c r="B11893" s="75"/>
      <c r="C11893" s="75"/>
      <c r="D11893" s="75"/>
      <c r="E11893" s="75"/>
      <c r="F11893" s="75"/>
    </row>
    <row r="11894" spans="2:6">
      <c r="B11894" s="75"/>
      <c r="C11894" s="75"/>
      <c r="D11894" s="75"/>
      <c r="E11894" s="75"/>
      <c r="F11894" s="75"/>
    </row>
    <row r="11895" spans="2:6">
      <c r="B11895" s="75"/>
      <c r="C11895" s="75"/>
      <c r="D11895" s="75"/>
      <c r="E11895" s="75"/>
      <c r="F11895" s="75"/>
    </row>
    <row r="11896" spans="2:6">
      <c r="B11896" s="75"/>
      <c r="C11896" s="75"/>
      <c r="D11896" s="75"/>
      <c r="E11896" s="75"/>
      <c r="F11896" s="75"/>
    </row>
    <row r="11897" spans="2:6">
      <c r="B11897" s="75"/>
      <c r="C11897" s="75"/>
      <c r="D11897" s="75"/>
      <c r="E11897" s="75"/>
      <c r="F11897" s="75"/>
    </row>
    <row r="11898" spans="2:6">
      <c r="B11898" s="75"/>
      <c r="C11898" s="75"/>
      <c r="D11898" s="75"/>
      <c r="E11898" s="75"/>
      <c r="F11898" s="75"/>
    </row>
    <row r="11899" spans="2:6">
      <c r="B11899" s="75"/>
      <c r="C11899" s="75"/>
      <c r="D11899" s="75"/>
      <c r="E11899" s="75"/>
      <c r="F11899" s="75"/>
    </row>
    <row r="11900" spans="2:6">
      <c r="B11900" s="75"/>
      <c r="C11900" s="75"/>
      <c r="D11900" s="75"/>
      <c r="E11900" s="75"/>
      <c r="F11900" s="75"/>
    </row>
    <row r="11901" spans="2:6">
      <c r="B11901" s="75"/>
      <c r="C11901" s="75"/>
      <c r="D11901" s="75"/>
      <c r="E11901" s="75"/>
      <c r="F11901" s="75"/>
    </row>
    <row r="11902" spans="2:6">
      <c r="B11902" s="75"/>
      <c r="C11902" s="75"/>
      <c r="D11902" s="75"/>
      <c r="E11902" s="75"/>
      <c r="F11902" s="75"/>
    </row>
    <row r="11903" spans="2:6">
      <c r="B11903" s="75"/>
      <c r="C11903" s="75"/>
      <c r="D11903" s="75"/>
      <c r="E11903" s="75"/>
      <c r="F11903" s="75"/>
    </row>
    <row r="11904" spans="2:6">
      <c r="B11904" s="75"/>
      <c r="C11904" s="75"/>
      <c r="D11904" s="75"/>
      <c r="E11904" s="75"/>
      <c r="F11904" s="75"/>
    </row>
    <row r="11905" spans="2:6">
      <c r="B11905" s="75"/>
      <c r="C11905" s="75"/>
      <c r="D11905" s="75"/>
      <c r="E11905" s="75"/>
      <c r="F11905" s="75"/>
    </row>
    <row r="11906" spans="2:6">
      <c r="B11906" s="75"/>
      <c r="C11906" s="75"/>
      <c r="D11906" s="75"/>
      <c r="E11906" s="75"/>
      <c r="F11906" s="75"/>
    </row>
    <row r="11907" spans="2:6">
      <c r="B11907" s="75"/>
      <c r="C11907" s="75"/>
      <c r="D11907" s="75"/>
      <c r="E11907" s="75"/>
      <c r="F11907" s="75"/>
    </row>
    <row r="11908" spans="2:6">
      <c r="B11908" s="75"/>
      <c r="C11908" s="75"/>
      <c r="D11908" s="75"/>
      <c r="E11908" s="75"/>
      <c r="F11908" s="75"/>
    </row>
    <row r="11909" spans="2:6">
      <c r="B11909" s="75"/>
      <c r="C11909" s="75"/>
      <c r="D11909" s="75"/>
      <c r="E11909" s="75"/>
      <c r="F11909" s="75"/>
    </row>
    <row r="11910" spans="2:6">
      <c r="B11910" s="75"/>
      <c r="C11910" s="75"/>
      <c r="D11910" s="75"/>
      <c r="E11910" s="75"/>
      <c r="F11910" s="75"/>
    </row>
    <row r="11911" spans="2:6">
      <c r="B11911" s="75"/>
      <c r="C11911" s="75"/>
      <c r="D11911" s="75"/>
      <c r="E11911" s="75"/>
      <c r="F11911" s="75"/>
    </row>
    <row r="11912" spans="2:6">
      <c r="B11912" s="75"/>
      <c r="C11912" s="75"/>
      <c r="D11912" s="75"/>
      <c r="E11912" s="75"/>
      <c r="F11912" s="75"/>
    </row>
    <row r="11913" spans="2:6">
      <c r="B11913" s="75"/>
      <c r="C11913" s="75"/>
      <c r="D11913" s="75"/>
      <c r="E11913" s="75"/>
      <c r="F11913" s="75"/>
    </row>
    <row r="11914" spans="2:6">
      <c r="B11914" s="75"/>
      <c r="C11914" s="75"/>
      <c r="D11914" s="75"/>
      <c r="E11914" s="75"/>
      <c r="F11914" s="75"/>
    </row>
    <row r="11915" spans="2:6">
      <c r="B11915" s="75"/>
      <c r="C11915" s="75"/>
      <c r="D11915" s="75"/>
      <c r="E11915" s="75"/>
      <c r="F11915" s="75"/>
    </row>
    <row r="11916" spans="2:6">
      <c r="B11916" s="75"/>
      <c r="C11916" s="75"/>
      <c r="D11916" s="75"/>
      <c r="E11916" s="75"/>
      <c r="F11916" s="75"/>
    </row>
    <row r="11917" spans="2:6">
      <c r="B11917" s="75"/>
      <c r="C11917" s="75"/>
      <c r="D11917" s="75"/>
      <c r="E11917" s="75"/>
      <c r="F11917" s="75"/>
    </row>
    <row r="11918" spans="2:6">
      <c r="B11918" s="75"/>
      <c r="C11918" s="75"/>
      <c r="D11918" s="75"/>
      <c r="E11918" s="75"/>
      <c r="F11918" s="75"/>
    </row>
    <row r="11919" spans="2:6">
      <c r="B11919" s="75"/>
      <c r="C11919" s="75"/>
      <c r="D11919" s="75"/>
      <c r="E11919" s="75"/>
      <c r="F11919" s="75"/>
    </row>
    <row r="11920" spans="2:6">
      <c r="B11920" s="75"/>
      <c r="C11920" s="75"/>
      <c r="D11920" s="75"/>
      <c r="E11920" s="75"/>
      <c r="F11920" s="75"/>
    </row>
    <row r="11921" spans="2:6">
      <c r="B11921" s="75"/>
      <c r="C11921" s="75"/>
      <c r="D11921" s="75"/>
      <c r="E11921" s="75"/>
      <c r="F11921" s="75"/>
    </row>
    <row r="11922" spans="2:6">
      <c r="B11922" s="75"/>
      <c r="C11922" s="75"/>
      <c r="D11922" s="75"/>
      <c r="E11922" s="75"/>
      <c r="F11922" s="75"/>
    </row>
    <row r="11923" spans="2:6">
      <c r="B11923" s="75"/>
      <c r="C11923" s="75"/>
      <c r="D11923" s="75"/>
      <c r="E11923" s="75"/>
      <c r="F11923" s="75"/>
    </row>
    <row r="11924" spans="2:6">
      <c r="B11924" s="75"/>
      <c r="C11924" s="75"/>
      <c r="D11924" s="75"/>
      <c r="E11924" s="75"/>
      <c r="F11924" s="75"/>
    </row>
    <row r="11925" spans="2:6">
      <c r="B11925" s="75"/>
      <c r="C11925" s="75"/>
      <c r="D11925" s="75"/>
      <c r="E11925" s="75"/>
      <c r="F11925" s="75"/>
    </row>
    <row r="11926" spans="2:6">
      <c r="B11926" s="75"/>
      <c r="C11926" s="75"/>
      <c r="D11926" s="75"/>
      <c r="E11926" s="75"/>
      <c r="F11926" s="75"/>
    </row>
    <row r="11927" spans="2:6">
      <c r="B11927" s="75"/>
      <c r="C11927" s="75"/>
      <c r="D11927" s="75"/>
      <c r="E11927" s="75"/>
      <c r="F11927" s="75"/>
    </row>
    <row r="11928" spans="2:6">
      <c r="B11928" s="75"/>
      <c r="C11928" s="75"/>
      <c r="D11928" s="75"/>
      <c r="E11928" s="75"/>
      <c r="F11928" s="75"/>
    </row>
    <row r="11929" spans="2:6">
      <c r="B11929" s="75"/>
      <c r="C11929" s="75"/>
      <c r="D11929" s="75"/>
      <c r="E11929" s="75"/>
      <c r="F11929" s="75"/>
    </row>
    <row r="11930" spans="2:6">
      <c r="B11930" s="75"/>
      <c r="C11930" s="75"/>
      <c r="D11930" s="75"/>
      <c r="E11930" s="75"/>
      <c r="F11930" s="75"/>
    </row>
    <row r="11931" spans="2:6">
      <c r="B11931" s="75"/>
      <c r="C11931" s="75"/>
      <c r="D11931" s="75"/>
      <c r="E11931" s="75"/>
      <c r="F11931" s="75"/>
    </row>
    <row r="11932" spans="2:6">
      <c r="B11932" s="75"/>
      <c r="C11932" s="75"/>
      <c r="D11932" s="75"/>
      <c r="E11932" s="75"/>
      <c r="F11932" s="75"/>
    </row>
    <row r="11933" spans="2:6">
      <c r="B11933" s="75"/>
      <c r="C11933" s="75"/>
      <c r="D11933" s="75"/>
      <c r="E11933" s="75"/>
      <c r="F11933" s="75"/>
    </row>
    <row r="11934" spans="2:6">
      <c r="B11934" s="75"/>
      <c r="C11934" s="75"/>
      <c r="D11934" s="75"/>
      <c r="E11934" s="75"/>
      <c r="F11934" s="75"/>
    </row>
    <row r="11935" spans="2:6">
      <c r="B11935" s="75"/>
      <c r="C11935" s="75"/>
      <c r="D11935" s="75"/>
      <c r="E11935" s="75"/>
      <c r="F11935" s="75"/>
    </row>
    <row r="11936" spans="2:6">
      <c r="B11936" s="75"/>
      <c r="C11936" s="75"/>
      <c r="D11936" s="75"/>
      <c r="E11936" s="75"/>
      <c r="F11936" s="75"/>
    </row>
    <row r="11937" spans="2:6">
      <c r="B11937" s="75"/>
      <c r="C11937" s="75"/>
      <c r="D11937" s="75"/>
      <c r="E11937" s="75"/>
      <c r="F11937" s="75"/>
    </row>
    <row r="11938" spans="2:6">
      <c r="B11938" s="75"/>
      <c r="C11938" s="75"/>
      <c r="D11938" s="75"/>
      <c r="E11938" s="75"/>
      <c r="F11938" s="75"/>
    </row>
    <row r="11939" spans="2:6">
      <c r="B11939" s="75"/>
      <c r="C11939" s="75"/>
      <c r="D11939" s="75"/>
      <c r="E11939" s="75"/>
      <c r="F11939" s="75"/>
    </row>
    <row r="11940" spans="2:6">
      <c r="B11940" s="75"/>
      <c r="C11940" s="75"/>
      <c r="D11940" s="75"/>
      <c r="E11940" s="75"/>
      <c r="F11940" s="75"/>
    </row>
    <row r="11941" spans="2:6">
      <c r="B11941" s="75"/>
      <c r="C11941" s="75"/>
      <c r="D11941" s="75"/>
      <c r="E11941" s="75"/>
      <c r="F11941" s="75"/>
    </row>
    <row r="11942" spans="2:6">
      <c r="B11942" s="75"/>
      <c r="C11942" s="75"/>
      <c r="D11942" s="75"/>
      <c r="E11942" s="75"/>
      <c r="F11942" s="75"/>
    </row>
    <row r="11943" spans="2:6">
      <c r="B11943" s="75"/>
      <c r="C11943" s="75"/>
      <c r="D11943" s="75"/>
      <c r="E11943" s="75"/>
      <c r="F11943" s="75"/>
    </row>
    <row r="11944" spans="2:6">
      <c r="B11944" s="75"/>
      <c r="C11944" s="75"/>
      <c r="D11944" s="75"/>
      <c r="E11944" s="75"/>
      <c r="F11944" s="75"/>
    </row>
    <row r="11945" spans="2:6">
      <c r="B11945" s="75"/>
      <c r="C11945" s="75"/>
      <c r="D11945" s="75"/>
      <c r="E11945" s="75"/>
      <c r="F11945" s="75"/>
    </row>
    <row r="11946" spans="2:6">
      <c r="B11946" s="75"/>
      <c r="C11946" s="75"/>
      <c r="D11946" s="75"/>
      <c r="E11946" s="75"/>
      <c r="F11946" s="75"/>
    </row>
    <row r="11947" spans="2:6">
      <c r="B11947" s="75"/>
      <c r="C11947" s="75"/>
      <c r="D11947" s="75"/>
      <c r="E11947" s="75"/>
      <c r="F11947" s="75"/>
    </row>
    <row r="11948" spans="2:6">
      <c r="B11948" s="75"/>
      <c r="C11948" s="75"/>
      <c r="D11948" s="75"/>
      <c r="E11948" s="75"/>
      <c r="F11948" s="75"/>
    </row>
    <row r="11949" spans="2:6">
      <c r="B11949" s="75"/>
      <c r="C11949" s="75"/>
      <c r="D11949" s="75"/>
      <c r="E11949" s="75"/>
      <c r="F11949" s="75"/>
    </row>
    <row r="11950" spans="2:6">
      <c r="B11950" s="75"/>
      <c r="C11950" s="75"/>
      <c r="D11950" s="75"/>
      <c r="E11950" s="75"/>
      <c r="F11950" s="75"/>
    </row>
    <row r="11951" spans="2:6">
      <c r="B11951" s="75"/>
      <c r="C11951" s="75"/>
      <c r="D11951" s="75"/>
      <c r="E11951" s="75"/>
      <c r="F11951" s="75"/>
    </row>
    <row r="11952" spans="2:6">
      <c r="B11952" s="75"/>
      <c r="C11952" s="75"/>
      <c r="D11952" s="75"/>
      <c r="E11952" s="75"/>
      <c r="F11952" s="75"/>
    </row>
    <row r="11953" spans="2:6">
      <c r="B11953" s="75"/>
      <c r="C11953" s="75"/>
      <c r="D11953" s="75"/>
      <c r="E11953" s="75"/>
      <c r="F11953" s="75"/>
    </row>
    <row r="11954" spans="2:6">
      <c r="B11954" s="75"/>
      <c r="C11954" s="75"/>
      <c r="D11954" s="75"/>
      <c r="E11954" s="75"/>
      <c r="F11954" s="75"/>
    </row>
    <row r="11955" spans="2:6">
      <c r="B11955" s="75"/>
      <c r="C11955" s="75"/>
      <c r="D11955" s="75"/>
      <c r="E11955" s="75"/>
      <c r="F11955" s="75"/>
    </row>
    <row r="11956" spans="2:6">
      <c r="B11956" s="75"/>
      <c r="C11956" s="75"/>
      <c r="D11956" s="75"/>
      <c r="E11956" s="75"/>
      <c r="F11956" s="75"/>
    </row>
    <row r="11957" spans="2:6">
      <c r="B11957" s="75"/>
      <c r="C11957" s="75"/>
      <c r="D11957" s="75"/>
      <c r="E11957" s="75"/>
      <c r="F11957" s="75"/>
    </row>
    <row r="11958" spans="2:6">
      <c r="B11958" s="75"/>
      <c r="C11958" s="75"/>
      <c r="D11958" s="75"/>
      <c r="E11958" s="75"/>
      <c r="F11958" s="75"/>
    </row>
    <row r="11959" spans="2:6">
      <c r="B11959" s="75"/>
      <c r="C11959" s="75"/>
      <c r="D11959" s="75"/>
      <c r="E11959" s="75"/>
      <c r="F11959" s="75"/>
    </row>
    <row r="11960" spans="2:6">
      <c r="B11960" s="75"/>
      <c r="C11960" s="75"/>
      <c r="D11960" s="75"/>
      <c r="E11960" s="75"/>
      <c r="F11960" s="75"/>
    </row>
    <row r="11961" spans="2:6">
      <c r="B11961" s="75"/>
      <c r="C11961" s="75"/>
      <c r="D11961" s="75"/>
      <c r="E11961" s="75"/>
      <c r="F11961" s="75"/>
    </row>
    <row r="11962" spans="2:6">
      <c r="B11962" s="75"/>
      <c r="C11962" s="75"/>
      <c r="D11962" s="75"/>
      <c r="E11962" s="75"/>
      <c r="F11962" s="75"/>
    </row>
    <row r="11963" spans="2:6">
      <c r="B11963" s="75"/>
      <c r="C11963" s="75"/>
      <c r="D11963" s="75"/>
      <c r="E11963" s="75"/>
      <c r="F11963" s="75"/>
    </row>
    <row r="11964" spans="2:6">
      <c r="B11964" s="75"/>
      <c r="C11964" s="75"/>
      <c r="D11964" s="75"/>
      <c r="E11964" s="75"/>
      <c r="F11964" s="75"/>
    </row>
    <row r="11965" spans="2:6">
      <c r="B11965" s="75"/>
      <c r="C11965" s="75"/>
      <c r="D11965" s="75"/>
      <c r="E11965" s="75"/>
      <c r="F11965" s="75"/>
    </row>
    <row r="11966" spans="2:6">
      <c r="B11966" s="75"/>
      <c r="C11966" s="75"/>
      <c r="D11966" s="75"/>
      <c r="E11966" s="75"/>
      <c r="F11966" s="75"/>
    </row>
    <row r="11967" spans="2:6">
      <c r="B11967" s="75"/>
      <c r="C11967" s="75"/>
      <c r="D11967" s="75"/>
      <c r="E11967" s="75"/>
      <c r="F11967" s="75"/>
    </row>
    <row r="11968" spans="2:6">
      <c r="B11968" s="75"/>
      <c r="C11968" s="75"/>
      <c r="D11968" s="75"/>
      <c r="E11968" s="75"/>
      <c r="F11968" s="75"/>
    </row>
    <row r="11969" spans="2:6">
      <c r="B11969" s="75"/>
      <c r="C11969" s="75"/>
      <c r="D11969" s="75"/>
      <c r="E11969" s="75"/>
      <c r="F11969" s="75"/>
    </row>
    <row r="11970" spans="2:6">
      <c r="B11970" s="75"/>
      <c r="C11970" s="75"/>
      <c r="D11970" s="75"/>
      <c r="E11970" s="75"/>
      <c r="F11970" s="75"/>
    </row>
    <row r="11971" spans="2:6">
      <c r="B11971" s="75"/>
      <c r="C11971" s="75"/>
      <c r="D11971" s="75"/>
      <c r="E11971" s="75"/>
      <c r="F11971" s="75"/>
    </row>
    <row r="11972" spans="2:6">
      <c r="B11972" s="75"/>
      <c r="C11972" s="75"/>
      <c r="D11972" s="75"/>
      <c r="E11972" s="75"/>
      <c r="F11972" s="75"/>
    </row>
    <row r="11973" spans="2:6">
      <c r="B11973" s="75"/>
      <c r="C11973" s="75"/>
      <c r="D11973" s="75"/>
      <c r="E11973" s="75"/>
      <c r="F11973" s="75"/>
    </row>
    <row r="11974" spans="2:6">
      <c r="B11974" s="75"/>
      <c r="C11974" s="75"/>
      <c r="D11974" s="75"/>
      <c r="E11974" s="75"/>
      <c r="F11974" s="75"/>
    </row>
    <row r="11975" spans="2:6">
      <c r="B11975" s="75"/>
      <c r="C11975" s="75"/>
      <c r="D11975" s="75"/>
      <c r="E11975" s="75"/>
      <c r="F11975" s="75"/>
    </row>
    <row r="11976" spans="2:6">
      <c r="B11976" s="75"/>
      <c r="C11976" s="75"/>
      <c r="D11976" s="75"/>
      <c r="E11976" s="75"/>
      <c r="F11976" s="75"/>
    </row>
    <row r="11977" spans="2:6">
      <c r="B11977" s="75"/>
      <c r="C11977" s="75"/>
      <c r="D11977" s="75"/>
      <c r="E11977" s="75"/>
      <c r="F11977" s="75"/>
    </row>
    <row r="11978" spans="2:6">
      <c r="B11978" s="75"/>
      <c r="C11978" s="75"/>
      <c r="D11978" s="75"/>
      <c r="E11978" s="75"/>
      <c r="F11978" s="75"/>
    </row>
    <row r="11979" spans="2:6">
      <c r="B11979" s="75"/>
      <c r="C11979" s="75"/>
      <c r="D11979" s="75"/>
      <c r="E11979" s="75"/>
      <c r="F11979" s="75"/>
    </row>
    <row r="11980" spans="2:6">
      <c r="B11980" s="75"/>
      <c r="C11980" s="75"/>
      <c r="D11980" s="75"/>
      <c r="E11980" s="75"/>
      <c r="F11980" s="75"/>
    </row>
    <row r="11981" spans="2:6">
      <c r="B11981" s="75"/>
      <c r="C11981" s="75"/>
      <c r="D11981" s="75"/>
      <c r="E11981" s="75"/>
      <c r="F11981" s="75"/>
    </row>
    <row r="11982" spans="2:6">
      <c r="B11982" s="75"/>
      <c r="C11982" s="75"/>
      <c r="D11982" s="75"/>
      <c r="E11982" s="75"/>
      <c r="F11982" s="75"/>
    </row>
    <row r="11983" spans="2:6">
      <c r="B11983" s="75"/>
      <c r="C11983" s="75"/>
      <c r="D11983" s="75"/>
      <c r="E11983" s="75"/>
      <c r="F11983" s="75"/>
    </row>
    <row r="11984" spans="2:6">
      <c r="B11984" s="75"/>
      <c r="C11984" s="75"/>
      <c r="D11984" s="75"/>
      <c r="E11984" s="75"/>
      <c r="F11984" s="75"/>
    </row>
    <row r="11985" spans="2:6">
      <c r="B11985" s="75"/>
      <c r="C11985" s="75"/>
      <c r="D11985" s="75"/>
      <c r="E11985" s="75"/>
      <c r="F11985" s="75"/>
    </row>
    <row r="11986" spans="2:6">
      <c r="B11986" s="75"/>
      <c r="C11986" s="75"/>
      <c r="D11986" s="75"/>
      <c r="E11986" s="75"/>
      <c r="F11986" s="75"/>
    </row>
    <row r="11987" spans="2:6">
      <c r="B11987" s="75"/>
      <c r="C11987" s="75"/>
      <c r="D11987" s="75"/>
      <c r="E11987" s="75"/>
      <c r="F11987" s="75"/>
    </row>
    <row r="11988" spans="2:6">
      <c r="B11988" s="75"/>
      <c r="C11988" s="75"/>
      <c r="D11988" s="75"/>
      <c r="E11988" s="75"/>
      <c r="F11988" s="75"/>
    </row>
    <row r="11989" spans="2:6">
      <c r="B11989" s="75"/>
      <c r="C11989" s="75"/>
      <c r="D11989" s="75"/>
      <c r="E11989" s="75"/>
      <c r="F11989" s="75"/>
    </row>
    <row r="11990" spans="2:6">
      <c r="B11990" s="75"/>
      <c r="C11990" s="75"/>
      <c r="D11990" s="75"/>
      <c r="E11990" s="75"/>
      <c r="F11990" s="75"/>
    </row>
    <row r="11991" spans="2:6">
      <c r="B11991" s="75"/>
      <c r="C11991" s="75"/>
      <c r="D11991" s="75"/>
      <c r="E11991" s="75"/>
      <c r="F11991" s="75"/>
    </row>
    <row r="11992" spans="2:6">
      <c r="B11992" s="75"/>
      <c r="C11992" s="75"/>
      <c r="D11992" s="75"/>
      <c r="E11992" s="75"/>
      <c r="F11992" s="75"/>
    </row>
    <row r="11993" spans="2:6">
      <c r="B11993" s="75"/>
      <c r="C11993" s="75"/>
      <c r="D11993" s="75"/>
      <c r="E11993" s="75"/>
      <c r="F11993" s="75"/>
    </row>
    <row r="11994" spans="2:6">
      <c r="B11994" s="75"/>
      <c r="C11994" s="75"/>
      <c r="D11994" s="75"/>
      <c r="E11994" s="75"/>
      <c r="F11994" s="75"/>
    </row>
    <row r="11995" spans="2:6">
      <c r="B11995" s="75"/>
      <c r="C11995" s="75"/>
      <c r="D11995" s="75"/>
      <c r="E11995" s="75"/>
      <c r="F11995" s="75"/>
    </row>
    <row r="11996" spans="2:6">
      <c r="B11996" s="75"/>
      <c r="C11996" s="75"/>
      <c r="D11996" s="75"/>
      <c r="E11996" s="75"/>
      <c r="F11996" s="75"/>
    </row>
    <row r="11997" spans="2:6">
      <c r="B11997" s="75"/>
      <c r="C11997" s="75"/>
      <c r="D11997" s="75"/>
      <c r="E11997" s="75"/>
      <c r="F11997" s="75"/>
    </row>
    <row r="11998" spans="2:6">
      <c r="B11998" s="75"/>
      <c r="C11998" s="75"/>
      <c r="D11998" s="75"/>
      <c r="E11998" s="75"/>
      <c r="F11998" s="75"/>
    </row>
    <row r="11999" spans="2:6">
      <c r="B11999" s="75"/>
      <c r="C11999" s="75"/>
      <c r="D11999" s="75"/>
      <c r="E11999" s="75"/>
      <c r="F11999" s="75"/>
    </row>
    <row r="12000" spans="2:6">
      <c r="B12000" s="75"/>
      <c r="C12000" s="75"/>
      <c r="D12000" s="75"/>
      <c r="E12000" s="75"/>
      <c r="F12000" s="75"/>
    </row>
    <row r="12001" spans="2:6">
      <c r="B12001" s="75"/>
      <c r="C12001" s="75"/>
      <c r="D12001" s="75"/>
      <c r="E12001" s="75"/>
      <c r="F12001" s="75"/>
    </row>
    <row r="12002" spans="2:6">
      <c r="B12002" s="75"/>
      <c r="C12002" s="75"/>
      <c r="D12002" s="75"/>
      <c r="E12002" s="75"/>
      <c r="F12002" s="75"/>
    </row>
    <row r="12003" spans="2:6">
      <c r="B12003" s="75"/>
      <c r="C12003" s="75"/>
      <c r="D12003" s="75"/>
      <c r="E12003" s="75"/>
      <c r="F12003" s="75"/>
    </row>
    <row r="12004" spans="2:6">
      <c r="B12004" s="75"/>
      <c r="C12004" s="75"/>
      <c r="D12004" s="75"/>
      <c r="E12004" s="75"/>
      <c r="F12004" s="75"/>
    </row>
    <row r="12005" spans="2:6">
      <c r="B12005" s="75"/>
      <c r="C12005" s="75"/>
      <c r="D12005" s="75"/>
      <c r="E12005" s="75"/>
      <c r="F12005" s="75"/>
    </row>
    <row r="12006" spans="2:6">
      <c r="B12006" s="75"/>
      <c r="C12006" s="75"/>
      <c r="D12006" s="75"/>
      <c r="E12006" s="75"/>
      <c r="F12006" s="75"/>
    </row>
    <row r="12007" spans="2:6">
      <c r="B12007" s="75"/>
      <c r="C12007" s="75"/>
      <c r="D12007" s="75"/>
      <c r="E12007" s="75"/>
      <c r="F12007" s="75"/>
    </row>
    <row r="12008" spans="2:6">
      <c r="B12008" s="75"/>
      <c r="C12008" s="75"/>
      <c r="D12008" s="75"/>
      <c r="E12008" s="75"/>
      <c r="F12008" s="75"/>
    </row>
    <row r="12009" spans="2:6">
      <c r="B12009" s="75"/>
      <c r="C12009" s="75"/>
      <c r="D12009" s="75"/>
      <c r="E12009" s="75"/>
      <c r="F12009" s="75"/>
    </row>
    <row r="12010" spans="2:6">
      <c r="B12010" s="75"/>
      <c r="C12010" s="75"/>
      <c r="D12010" s="75"/>
      <c r="E12010" s="75"/>
      <c r="F12010" s="75"/>
    </row>
    <row r="12011" spans="2:6">
      <c r="B12011" s="75"/>
      <c r="C12011" s="75"/>
      <c r="D12011" s="75"/>
      <c r="E12011" s="75"/>
      <c r="F12011" s="75"/>
    </row>
    <row r="12012" spans="2:6">
      <c r="B12012" s="75"/>
      <c r="C12012" s="75"/>
      <c r="D12012" s="75"/>
      <c r="E12012" s="75"/>
      <c r="F12012" s="75"/>
    </row>
    <row r="12013" spans="2:6">
      <c r="B12013" s="75"/>
      <c r="C12013" s="75"/>
      <c r="D12013" s="75"/>
      <c r="E12013" s="75"/>
      <c r="F12013" s="75"/>
    </row>
    <row r="12014" spans="2:6">
      <c r="B12014" s="75"/>
      <c r="C12014" s="75"/>
      <c r="D12014" s="75"/>
      <c r="E12014" s="75"/>
      <c r="F12014" s="75"/>
    </row>
    <row r="12015" spans="2:6">
      <c r="B12015" s="75"/>
      <c r="C12015" s="75"/>
      <c r="D12015" s="75"/>
      <c r="E12015" s="75"/>
      <c r="F12015" s="75"/>
    </row>
    <row r="12016" spans="2:6">
      <c r="B12016" s="75"/>
      <c r="C12016" s="75"/>
      <c r="D12016" s="75"/>
      <c r="E12016" s="75"/>
      <c r="F12016" s="75"/>
    </row>
    <row r="12017" spans="2:6">
      <c r="B12017" s="75"/>
      <c r="C12017" s="75"/>
      <c r="D12017" s="75"/>
      <c r="E12017" s="75"/>
      <c r="F12017" s="75"/>
    </row>
    <row r="12018" spans="2:6">
      <c r="B12018" s="75"/>
      <c r="C12018" s="75"/>
      <c r="D12018" s="75"/>
      <c r="E12018" s="75"/>
      <c r="F12018" s="75"/>
    </row>
    <row r="12019" spans="2:6">
      <c r="B12019" s="75"/>
      <c r="C12019" s="75"/>
      <c r="D12019" s="75"/>
      <c r="E12019" s="75"/>
      <c r="F12019" s="75"/>
    </row>
    <row r="12020" spans="2:6">
      <c r="B12020" s="75"/>
      <c r="C12020" s="75"/>
      <c r="D12020" s="75"/>
      <c r="E12020" s="75"/>
      <c r="F12020" s="75"/>
    </row>
    <row r="12021" spans="2:6">
      <c r="B12021" s="75"/>
      <c r="C12021" s="75"/>
      <c r="D12021" s="75"/>
      <c r="E12021" s="75"/>
      <c r="F12021" s="75"/>
    </row>
    <row r="12022" spans="2:6">
      <c r="B12022" s="75"/>
      <c r="C12022" s="75"/>
      <c r="D12022" s="75"/>
      <c r="E12022" s="75"/>
      <c r="F12022" s="75"/>
    </row>
    <row r="12023" spans="2:6">
      <c r="B12023" s="75"/>
      <c r="C12023" s="75"/>
      <c r="D12023" s="75"/>
      <c r="E12023" s="75"/>
      <c r="F12023" s="75"/>
    </row>
    <row r="12024" spans="2:6">
      <c r="B12024" s="75"/>
      <c r="C12024" s="75"/>
      <c r="D12024" s="75"/>
      <c r="E12024" s="75"/>
      <c r="F12024" s="75"/>
    </row>
    <row r="12025" spans="2:6">
      <c r="B12025" s="75"/>
      <c r="C12025" s="75"/>
      <c r="D12025" s="75"/>
      <c r="E12025" s="75"/>
      <c r="F12025" s="75"/>
    </row>
    <row r="12026" spans="2:6">
      <c r="B12026" s="75"/>
      <c r="C12026" s="75"/>
      <c r="D12026" s="75"/>
      <c r="E12026" s="75"/>
      <c r="F12026" s="75"/>
    </row>
    <row r="12027" spans="2:6">
      <c r="B12027" s="75"/>
      <c r="C12027" s="75"/>
      <c r="D12027" s="75"/>
      <c r="E12027" s="75"/>
      <c r="F12027" s="75"/>
    </row>
    <row r="12028" spans="2:6">
      <c r="B12028" s="75"/>
      <c r="C12028" s="75"/>
      <c r="D12028" s="75"/>
      <c r="E12028" s="75"/>
      <c r="F12028" s="75"/>
    </row>
    <row r="12029" spans="2:6">
      <c r="B12029" s="75"/>
      <c r="C12029" s="75"/>
      <c r="D12029" s="75"/>
      <c r="E12029" s="75"/>
      <c r="F12029" s="75"/>
    </row>
    <row r="12030" spans="2:6">
      <c r="B12030" s="75"/>
      <c r="C12030" s="75"/>
      <c r="D12030" s="75"/>
      <c r="E12030" s="75"/>
      <c r="F12030" s="75"/>
    </row>
    <row r="12031" spans="2:6">
      <c r="B12031" s="75"/>
      <c r="C12031" s="75"/>
      <c r="D12031" s="75"/>
      <c r="E12031" s="75"/>
      <c r="F12031" s="75"/>
    </row>
    <row r="12032" spans="2:6">
      <c r="B12032" s="75"/>
      <c r="C12032" s="75"/>
      <c r="D12032" s="75"/>
      <c r="E12032" s="75"/>
      <c r="F12032" s="75"/>
    </row>
    <row r="12033" spans="2:6">
      <c r="B12033" s="75"/>
      <c r="C12033" s="75"/>
      <c r="D12033" s="75"/>
      <c r="E12033" s="75"/>
      <c r="F12033" s="75"/>
    </row>
    <row r="12034" spans="2:6">
      <c r="B12034" s="75"/>
      <c r="C12034" s="75"/>
      <c r="D12034" s="75"/>
      <c r="E12034" s="75"/>
      <c r="F12034" s="75"/>
    </row>
    <row r="12035" spans="2:6">
      <c r="B12035" s="75"/>
      <c r="C12035" s="75"/>
      <c r="D12035" s="75"/>
      <c r="E12035" s="75"/>
      <c r="F12035" s="75"/>
    </row>
    <row r="12036" spans="2:6">
      <c r="B12036" s="75"/>
      <c r="C12036" s="75"/>
      <c r="D12036" s="75"/>
      <c r="E12036" s="75"/>
      <c r="F12036" s="75"/>
    </row>
    <row r="12037" spans="2:6">
      <c r="B12037" s="75"/>
      <c r="C12037" s="75"/>
      <c r="D12037" s="75"/>
      <c r="E12037" s="75"/>
      <c r="F12037" s="75"/>
    </row>
    <row r="12038" spans="2:6">
      <c r="B12038" s="75"/>
      <c r="C12038" s="75"/>
      <c r="D12038" s="75"/>
      <c r="E12038" s="75"/>
      <c r="F12038" s="75"/>
    </row>
    <row r="12039" spans="2:6">
      <c r="B12039" s="75"/>
      <c r="C12039" s="75"/>
      <c r="D12039" s="75"/>
      <c r="E12039" s="75"/>
      <c r="F12039" s="75"/>
    </row>
    <row r="12040" spans="2:6">
      <c r="B12040" s="75"/>
      <c r="C12040" s="75"/>
      <c r="D12040" s="75"/>
      <c r="E12040" s="75"/>
      <c r="F12040" s="75"/>
    </row>
    <row r="12041" spans="2:6">
      <c r="B12041" s="75"/>
      <c r="C12041" s="75"/>
      <c r="D12041" s="75"/>
      <c r="E12041" s="75"/>
      <c r="F12041" s="75"/>
    </row>
    <row r="12042" spans="2:6">
      <c r="B12042" s="75"/>
      <c r="C12042" s="75"/>
      <c r="D12042" s="75"/>
      <c r="E12042" s="75"/>
      <c r="F12042" s="75"/>
    </row>
    <row r="12043" spans="2:6">
      <c r="B12043" s="75"/>
      <c r="C12043" s="75"/>
      <c r="D12043" s="75"/>
      <c r="E12043" s="75"/>
      <c r="F12043" s="75"/>
    </row>
    <row r="12044" spans="2:6">
      <c r="B12044" s="75"/>
      <c r="C12044" s="75"/>
      <c r="D12044" s="75"/>
      <c r="E12044" s="75"/>
      <c r="F12044" s="75"/>
    </row>
    <row r="12045" spans="2:6">
      <c r="B12045" s="75"/>
      <c r="C12045" s="75"/>
      <c r="D12045" s="75"/>
      <c r="E12045" s="75"/>
      <c r="F12045" s="75"/>
    </row>
    <row r="12046" spans="2:6">
      <c r="B12046" s="75"/>
      <c r="C12046" s="75"/>
      <c r="D12046" s="75"/>
      <c r="E12046" s="75"/>
      <c r="F12046" s="75"/>
    </row>
    <row r="12047" spans="2:6">
      <c r="B12047" s="75"/>
      <c r="C12047" s="75"/>
      <c r="D12047" s="75"/>
      <c r="E12047" s="75"/>
      <c r="F12047" s="75"/>
    </row>
    <row r="12048" spans="2:6">
      <c r="B12048" s="75"/>
      <c r="C12048" s="75"/>
      <c r="D12048" s="75"/>
      <c r="E12048" s="75"/>
      <c r="F12048" s="75"/>
    </row>
    <row r="12049" spans="2:6">
      <c r="B12049" s="75"/>
      <c r="C12049" s="75"/>
      <c r="D12049" s="75"/>
      <c r="E12049" s="75"/>
      <c r="F12049" s="75"/>
    </row>
    <row r="12050" spans="2:6">
      <c r="B12050" s="75"/>
      <c r="C12050" s="75"/>
      <c r="D12050" s="75"/>
      <c r="E12050" s="75"/>
      <c r="F12050" s="75"/>
    </row>
    <row r="12051" spans="2:6">
      <c r="B12051" s="75"/>
      <c r="C12051" s="75"/>
      <c r="D12051" s="75"/>
      <c r="E12051" s="75"/>
      <c r="F12051" s="75"/>
    </row>
    <row r="12052" spans="2:6">
      <c r="B12052" s="75"/>
      <c r="C12052" s="75"/>
      <c r="D12052" s="75"/>
      <c r="E12052" s="75"/>
      <c r="F12052" s="75"/>
    </row>
    <row r="12053" spans="2:6">
      <c r="B12053" s="75"/>
      <c r="C12053" s="75"/>
      <c r="D12053" s="75"/>
      <c r="E12053" s="75"/>
      <c r="F12053" s="75"/>
    </row>
    <row r="12054" spans="2:6">
      <c r="B12054" s="75"/>
      <c r="C12054" s="75"/>
      <c r="D12054" s="75"/>
      <c r="E12054" s="75"/>
      <c r="F12054" s="75"/>
    </row>
    <row r="12055" spans="2:6">
      <c r="B12055" s="75"/>
      <c r="C12055" s="75"/>
      <c r="D12055" s="75"/>
      <c r="E12055" s="75"/>
      <c r="F12055" s="75"/>
    </row>
    <row r="12056" spans="2:6">
      <c r="B12056" s="75"/>
      <c r="C12056" s="75"/>
      <c r="D12056" s="75"/>
      <c r="E12056" s="75"/>
      <c r="F12056" s="75"/>
    </row>
    <row r="12057" spans="2:6">
      <c r="B12057" s="75"/>
      <c r="C12057" s="75"/>
      <c r="D12057" s="75"/>
      <c r="E12057" s="75"/>
      <c r="F12057" s="75"/>
    </row>
    <row r="12058" spans="2:6">
      <c r="B12058" s="75"/>
      <c r="C12058" s="75"/>
      <c r="D12058" s="75"/>
      <c r="E12058" s="75"/>
      <c r="F12058" s="75"/>
    </row>
    <row r="12059" spans="2:6">
      <c r="B12059" s="75"/>
      <c r="C12059" s="75"/>
      <c r="D12059" s="75"/>
      <c r="E12059" s="75"/>
      <c r="F12059" s="75"/>
    </row>
    <row r="12060" spans="2:6">
      <c r="B12060" s="75"/>
      <c r="C12060" s="75"/>
      <c r="D12060" s="75"/>
      <c r="E12060" s="75"/>
      <c r="F12060" s="75"/>
    </row>
    <row r="12061" spans="2:6">
      <c r="B12061" s="75"/>
      <c r="C12061" s="75"/>
      <c r="D12061" s="75"/>
      <c r="E12061" s="75"/>
      <c r="F12061" s="75"/>
    </row>
    <row r="12062" spans="2:6">
      <c r="B12062" s="75"/>
      <c r="C12062" s="75"/>
      <c r="D12062" s="75"/>
      <c r="E12062" s="75"/>
      <c r="F12062" s="75"/>
    </row>
    <row r="12063" spans="2:6">
      <c r="B12063" s="75"/>
      <c r="C12063" s="75"/>
      <c r="D12063" s="75"/>
      <c r="E12063" s="75"/>
      <c r="F12063" s="75"/>
    </row>
    <row r="12064" spans="2:6">
      <c r="B12064" s="75"/>
      <c r="C12064" s="75"/>
      <c r="D12064" s="75"/>
      <c r="E12064" s="75"/>
      <c r="F12064" s="75"/>
    </row>
    <row r="12065" spans="2:6">
      <c r="B12065" s="75"/>
      <c r="C12065" s="75"/>
      <c r="D12065" s="75"/>
      <c r="E12065" s="75"/>
      <c r="F12065" s="75"/>
    </row>
    <row r="12066" spans="2:6">
      <c r="B12066" s="75"/>
      <c r="C12066" s="75"/>
      <c r="D12066" s="75"/>
      <c r="E12066" s="75"/>
      <c r="F12066" s="75"/>
    </row>
    <row r="12067" spans="2:6">
      <c r="B12067" s="75"/>
      <c r="C12067" s="75"/>
      <c r="D12067" s="75"/>
      <c r="E12067" s="75"/>
      <c r="F12067" s="75"/>
    </row>
    <row r="12068" spans="2:6">
      <c r="B12068" s="75"/>
      <c r="C12068" s="75"/>
      <c r="D12068" s="75"/>
      <c r="E12068" s="75"/>
      <c r="F12068" s="75"/>
    </row>
    <row r="12069" spans="2:6">
      <c r="B12069" s="75"/>
      <c r="C12069" s="75"/>
      <c r="D12069" s="75"/>
      <c r="E12069" s="75"/>
      <c r="F12069" s="75"/>
    </row>
    <row r="12070" spans="2:6">
      <c r="B12070" s="75"/>
      <c r="C12070" s="75"/>
      <c r="D12070" s="75"/>
      <c r="E12070" s="75"/>
      <c r="F12070" s="75"/>
    </row>
    <row r="12071" spans="2:6">
      <c r="B12071" s="75"/>
      <c r="C12071" s="75"/>
      <c r="D12071" s="75"/>
      <c r="E12071" s="75"/>
      <c r="F12071" s="75"/>
    </row>
    <row r="12072" spans="2:6">
      <c r="B12072" s="75"/>
      <c r="C12072" s="75"/>
      <c r="D12072" s="75"/>
      <c r="E12072" s="75"/>
      <c r="F12072" s="75"/>
    </row>
    <row r="12073" spans="2:6">
      <c r="B12073" s="75"/>
      <c r="C12073" s="75"/>
      <c r="D12073" s="75"/>
      <c r="E12073" s="75"/>
      <c r="F12073" s="75"/>
    </row>
    <row r="12074" spans="2:6">
      <c r="B12074" s="75"/>
      <c r="C12074" s="75"/>
      <c r="D12074" s="75"/>
      <c r="E12074" s="75"/>
      <c r="F12074" s="75"/>
    </row>
    <row r="12075" spans="2:6">
      <c r="B12075" s="75"/>
      <c r="C12075" s="75"/>
      <c r="D12075" s="75"/>
      <c r="E12075" s="75"/>
      <c r="F12075" s="75"/>
    </row>
    <row r="12076" spans="2:6">
      <c r="B12076" s="75"/>
      <c r="C12076" s="75"/>
      <c r="D12076" s="75"/>
      <c r="E12076" s="75"/>
      <c r="F12076" s="75"/>
    </row>
    <row r="12077" spans="2:6">
      <c r="B12077" s="75"/>
      <c r="C12077" s="75"/>
      <c r="D12077" s="75"/>
      <c r="E12077" s="75"/>
      <c r="F12077" s="75"/>
    </row>
    <row r="12078" spans="2:6">
      <c r="B12078" s="75"/>
      <c r="C12078" s="75"/>
      <c r="D12078" s="75"/>
      <c r="E12078" s="75"/>
      <c r="F12078" s="75"/>
    </row>
    <row r="12079" spans="2:6">
      <c r="B12079" s="75"/>
      <c r="C12079" s="75"/>
      <c r="D12079" s="75"/>
      <c r="E12079" s="75"/>
      <c r="F12079" s="75"/>
    </row>
    <row r="12080" spans="2:6">
      <c r="B12080" s="75"/>
      <c r="C12080" s="75"/>
      <c r="D12080" s="75"/>
      <c r="E12080" s="75"/>
      <c r="F12080" s="75"/>
    </row>
    <row r="12081" spans="2:6">
      <c r="B12081" s="75"/>
      <c r="C12081" s="75"/>
      <c r="D12081" s="75"/>
      <c r="E12081" s="75"/>
      <c r="F12081" s="75"/>
    </row>
    <row r="12082" spans="2:6">
      <c r="B12082" s="75"/>
      <c r="C12082" s="75"/>
      <c r="D12082" s="75"/>
      <c r="E12082" s="75"/>
      <c r="F12082" s="75"/>
    </row>
    <row r="12083" spans="2:6">
      <c r="B12083" s="75"/>
      <c r="C12083" s="75"/>
      <c r="D12083" s="75"/>
      <c r="E12083" s="75"/>
      <c r="F12083" s="75"/>
    </row>
    <row r="12084" spans="2:6">
      <c r="B12084" s="75"/>
      <c r="C12084" s="75"/>
      <c r="D12084" s="75"/>
      <c r="E12084" s="75"/>
      <c r="F12084" s="75"/>
    </row>
    <row r="12085" spans="2:6">
      <c r="B12085" s="75"/>
      <c r="C12085" s="75"/>
      <c r="D12085" s="75"/>
      <c r="E12085" s="75"/>
      <c r="F12085" s="75"/>
    </row>
    <row r="12086" spans="2:6">
      <c r="B12086" s="75"/>
      <c r="C12086" s="75"/>
      <c r="D12086" s="75"/>
      <c r="E12086" s="75"/>
      <c r="F12086" s="75"/>
    </row>
    <row r="12087" spans="2:6">
      <c r="B12087" s="75"/>
      <c r="C12087" s="75"/>
      <c r="D12087" s="75"/>
      <c r="E12087" s="75"/>
      <c r="F12087" s="75"/>
    </row>
    <row r="12088" spans="2:6">
      <c r="B12088" s="75"/>
      <c r="C12088" s="75"/>
      <c r="D12088" s="75"/>
      <c r="E12088" s="75"/>
      <c r="F12088" s="75"/>
    </row>
    <row r="12089" spans="2:6">
      <c r="B12089" s="75"/>
      <c r="C12089" s="75"/>
      <c r="D12089" s="75"/>
      <c r="E12089" s="75"/>
      <c r="F12089" s="75"/>
    </row>
    <row r="12090" spans="2:6">
      <c r="B12090" s="75"/>
      <c r="C12090" s="75"/>
      <c r="D12090" s="75"/>
      <c r="E12090" s="75"/>
      <c r="F12090" s="75"/>
    </row>
    <row r="12091" spans="2:6">
      <c r="B12091" s="75"/>
      <c r="C12091" s="75"/>
      <c r="D12091" s="75"/>
      <c r="E12091" s="75"/>
      <c r="F12091" s="75"/>
    </row>
    <row r="12092" spans="2:6">
      <c r="B12092" s="75"/>
      <c r="C12092" s="75"/>
      <c r="D12092" s="75"/>
      <c r="E12092" s="75"/>
      <c r="F12092" s="75"/>
    </row>
    <row r="12093" spans="2:6">
      <c r="B12093" s="75"/>
      <c r="C12093" s="75"/>
      <c r="D12093" s="75"/>
      <c r="E12093" s="75"/>
      <c r="F12093" s="75"/>
    </row>
    <row r="12094" spans="2:6">
      <c r="B12094" s="75"/>
      <c r="C12094" s="75"/>
      <c r="D12094" s="75"/>
      <c r="E12094" s="75"/>
      <c r="F12094" s="75"/>
    </row>
    <row r="12095" spans="2:6">
      <c r="B12095" s="75"/>
      <c r="C12095" s="75"/>
      <c r="D12095" s="75"/>
      <c r="E12095" s="75"/>
      <c r="F12095" s="75"/>
    </row>
    <row r="12096" spans="2:6">
      <c r="B12096" s="75"/>
      <c r="C12096" s="75"/>
      <c r="D12096" s="75"/>
      <c r="E12096" s="75"/>
      <c r="F12096" s="75"/>
    </row>
    <row r="12097" spans="2:6">
      <c r="B12097" s="75"/>
      <c r="C12097" s="75"/>
      <c r="D12097" s="75"/>
      <c r="E12097" s="75"/>
      <c r="F12097" s="75"/>
    </row>
    <row r="12098" spans="2:6">
      <c r="B12098" s="75"/>
      <c r="C12098" s="75"/>
      <c r="D12098" s="75"/>
      <c r="E12098" s="75"/>
      <c r="F12098" s="75"/>
    </row>
    <row r="12099" spans="2:6">
      <c r="B12099" s="75"/>
      <c r="C12099" s="75"/>
      <c r="D12099" s="75"/>
      <c r="E12099" s="75"/>
      <c r="F12099" s="75"/>
    </row>
    <row r="12100" spans="2:6">
      <c r="B12100" s="75"/>
      <c r="C12100" s="75"/>
      <c r="D12100" s="75"/>
      <c r="E12100" s="75"/>
      <c r="F12100" s="75"/>
    </row>
    <row r="12101" spans="2:6">
      <c r="B12101" s="75"/>
      <c r="C12101" s="75"/>
      <c r="D12101" s="75"/>
      <c r="E12101" s="75"/>
      <c r="F12101" s="75"/>
    </row>
    <row r="12102" spans="2:6">
      <c r="B12102" s="75"/>
      <c r="C12102" s="75"/>
      <c r="D12102" s="75"/>
      <c r="E12102" s="75"/>
      <c r="F12102" s="75"/>
    </row>
    <row r="12103" spans="2:6">
      <c r="B12103" s="75"/>
      <c r="C12103" s="75"/>
      <c r="D12103" s="75"/>
      <c r="E12103" s="75"/>
      <c r="F12103" s="75"/>
    </row>
    <row r="12104" spans="2:6">
      <c r="B12104" s="75"/>
      <c r="C12104" s="75"/>
      <c r="D12104" s="75"/>
      <c r="E12104" s="75"/>
      <c r="F12104" s="75"/>
    </row>
    <row r="12105" spans="2:6">
      <c r="B12105" s="75"/>
      <c r="C12105" s="75"/>
      <c r="D12105" s="75"/>
      <c r="E12105" s="75"/>
      <c r="F12105" s="75"/>
    </row>
    <row r="12106" spans="2:6">
      <c r="B12106" s="75"/>
      <c r="C12106" s="75"/>
      <c r="D12106" s="75"/>
      <c r="E12106" s="75"/>
      <c r="F12106" s="75"/>
    </row>
    <row r="12107" spans="2:6">
      <c r="B12107" s="75"/>
      <c r="C12107" s="75"/>
      <c r="D12107" s="75"/>
      <c r="E12107" s="75"/>
      <c r="F12107" s="75"/>
    </row>
    <row r="12108" spans="2:6">
      <c r="B12108" s="75"/>
      <c r="C12108" s="75"/>
      <c r="D12108" s="75"/>
      <c r="E12108" s="75"/>
      <c r="F12108" s="75"/>
    </row>
    <row r="12109" spans="2:6">
      <c r="B12109" s="75"/>
      <c r="C12109" s="75"/>
      <c r="D12109" s="75"/>
      <c r="E12109" s="75"/>
      <c r="F12109" s="75"/>
    </row>
    <row r="12110" spans="2:6">
      <c r="B12110" s="75"/>
      <c r="C12110" s="75"/>
      <c r="D12110" s="75"/>
      <c r="E12110" s="75"/>
      <c r="F12110" s="75"/>
    </row>
    <row r="12111" spans="2:6">
      <c r="B12111" s="75"/>
      <c r="C12111" s="75"/>
      <c r="D12111" s="75"/>
      <c r="E12111" s="75"/>
      <c r="F12111" s="75"/>
    </row>
    <row r="12112" spans="2:6">
      <c r="B12112" s="75"/>
      <c r="C12112" s="75"/>
      <c r="D12112" s="75"/>
      <c r="E12112" s="75"/>
      <c r="F12112" s="75"/>
    </row>
    <row r="12113" spans="2:6">
      <c r="B12113" s="75"/>
      <c r="C12113" s="75"/>
      <c r="D12113" s="75"/>
      <c r="E12113" s="75"/>
      <c r="F12113" s="75"/>
    </row>
    <row r="12114" spans="2:6">
      <c r="B12114" s="75"/>
      <c r="C12114" s="75"/>
      <c r="D12114" s="75"/>
      <c r="E12114" s="75"/>
      <c r="F12114" s="75"/>
    </row>
    <row r="12115" spans="2:6">
      <c r="B12115" s="75"/>
      <c r="C12115" s="75"/>
      <c r="D12115" s="75"/>
      <c r="E12115" s="75"/>
      <c r="F12115" s="75"/>
    </row>
    <row r="12116" spans="2:6">
      <c r="B12116" s="75"/>
      <c r="C12116" s="75"/>
      <c r="D12116" s="75"/>
      <c r="E12116" s="75"/>
      <c r="F12116" s="75"/>
    </row>
    <row r="12117" spans="2:6">
      <c r="B12117" s="75"/>
      <c r="C12117" s="75"/>
      <c r="D12117" s="75"/>
      <c r="E12117" s="75"/>
      <c r="F12117" s="75"/>
    </row>
    <row r="12118" spans="2:6">
      <c r="B12118" s="75"/>
      <c r="C12118" s="75"/>
      <c r="D12118" s="75"/>
      <c r="E12118" s="75"/>
      <c r="F12118" s="75"/>
    </row>
    <row r="12119" spans="2:6">
      <c r="B12119" s="75"/>
      <c r="C12119" s="75"/>
      <c r="D12119" s="75"/>
      <c r="E12119" s="75"/>
      <c r="F12119" s="75"/>
    </row>
    <row r="12120" spans="2:6">
      <c r="B12120" s="75"/>
      <c r="C12120" s="75"/>
      <c r="D12120" s="75"/>
      <c r="E12120" s="75"/>
      <c r="F12120" s="75"/>
    </row>
    <row r="12121" spans="2:6">
      <c r="B12121" s="75"/>
      <c r="C12121" s="75"/>
      <c r="D12121" s="75"/>
      <c r="E12121" s="75"/>
      <c r="F12121" s="75"/>
    </row>
    <row r="12122" spans="2:6">
      <c r="B12122" s="75"/>
      <c r="C12122" s="75"/>
      <c r="D12122" s="75"/>
      <c r="E12122" s="75"/>
      <c r="F12122" s="75"/>
    </row>
    <row r="12123" spans="2:6">
      <c r="B12123" s="75"/>
      <c r="C12123" s="75"/>
      <c r="D12123" s="75"/>
      <c r="E12123" s="75"/>
      <c r="F12123" s="75"/>
    </row>
    <row r="12124" spans="2:6">
      <c r="B12124" s="75"/>
      <c r="C12124" s="75"/>
      <c r="D12124" s="75"/>
      <c r="E12124" s="75"/>
      <c r="F12124" s="75"/>
    </row>
    <row r="12125" spans="2:6">
      <c r="B12125" s="75"/>
      <c r="C12125" s="75"/>
      <c r="D12125" s="75"/>
      <c r="E12125" s="75"/>
      <c r="F12125" s="75"/>
    </row>
    <row r="12126" spans="2:6">
      <c r="B12126" s="75"/>
      <c r="C12126" s="75"/>
      <c r="D12126" s="75"/>
      <c r="E12126" s="75"/>
      <c r="F12126" s="75"/>
    </row>
    <row r="12127" spans="2:6">
      <c r="B12127" s="75"/>
      <c r="C12127" s="75"/>
      <c r="D12127" s="75"/>
      <c r="E12127" s="75"/>
      <c r="F12127" s="75"/>
    </row>
    <row r="12128" spans="2:6">
      <c r="B12128" s="75"/>
      <c r="C12128" s="75"/>
      <c r="D12128" s="75"/>
      <c r="E12128" s="75"/>
      <c r="F12128" s="75"/>
    </row>
    <row r="12129" spans="2:6">
      <c r="B12129" s="75"/>
      <c r="C12129" s="75"/>
      <c r="D12129" s="75"/>
      <c r="E12129" s="75"/>
      <c r="F12129" s="75"/>
    </row>
    <row r="12130" spans="2:6">
      <c r="B12130" s="75"/>
      <c r="C12130" s="75"/>
      <c r="D12130" s="75"/>
      <c r="E12130" s="75"/>
      <c r="F12130" s="75"/>
    </row>
    <row r="12131" spans="2:6">
      <c r="B12131" s="75"/>
      <c r="C12131" s="75"/>
      <c r="D12131" s="75"/>
      <c r="E12131" s="75"/>
      <c r="F12131" s="75"/>
    </row>
    <row r="12132" spans="2:6">
      <c r="B12132" s="75"/>
      <c r="C12132" s="75"/>
      <c r="D12132" s="75"/>
      <c r="E12132" s="75"/>
      <c r="F12132" s="75"/>
    </row>
    <row r="12133" spans="2:6">
      <c r="B12133" s="75"/>
      <c r="C12133" s="75"/>
      <c r="D12133" s="75"/>
      <c r="E12133" s="75"/>
      <c r="F12133" s="75"/>
    </row>
    <row r="12134" spans="2:6">
      <c r="B12134" s="75"/>
      <c r="C12134" s="75"/>
      <c r="D12134" s="75"/>
      <c r="E12134" s="75"/>
      <c r="F12134" s="75"/>
    </row>
    <row r="12135" spans="2:6">
      <c r="B12135" s="75"/>
      <c r="C12135" s="75"/>
      <c r="D12135" s="75"/>
      <c r="E12135" s="75"/>
      <c r="F12135" s="75"/>
    </row>
    <row r="12136" spans="2:6">
      <c r="B12136" s="75"/>
      <c r="C12136" s="75"/>
      <c r="D12136" s="75"/>
      <c r="E12136" s="75"/>
      <c r="F12136" s="75"/>
    </row>
    <row r="12137" spans="2:6">
      <c r="B12137" s="75"/>
      <c r="C12137" s="75"/>
      <c r="D12137" s="75"/>
      <c r="E12137" s="75"/>
      <c r="F12137" s="75"/>
    </row>
    <row r="12138" spans="2:6">
      <c r="B12138" s="75"/>
      <c r="C12138" s="75"/>
      <c r="D12138" s="75"/>
      <c r="E12138" s="75"/>
      <c r="F12138" s="75"/>
    </row>
    <row r="12139" spans="2:6">
      <c r="B12139" s="75"/>
      <c r="C12139" s="75"/>
      <c r="D12139" s="75"/>
      <c r="E12139" s="75"/>
      <c r="F12139" s="75"/>
    </row>
    <row r="12140" spans="2:6">
      <c r="B12140" s="75"/>
      <c r="C12140" s="75"/>
      <c r="D12140" s="75"/>
      <c r="E12140" s="75"/>
      <c r="F12140" s="75"/>
    </row>
    <row r="12141" spans="2:6">
      <c r="B12141" s="75"/>
      <c r="C12141" s="75"/>
      <c r="D12141" s="75"/>
      <c r="E12141" s="75"/>
      <c r="F12141" s="75"/>
    </row>
    <row r="12142" spans="2:6">
      <c r="B12142" s="75"/>
      <c r="C12142" s="75"/>
      <c r="D12142" s="75"/>
      <c r="E12142" s="75"/>
      <c r="F12142" s="75"/>
    </row>
    <row r="12143" spans="2:6">
      <c r="B12143" s="75"/>
      <c r="C12143" s="75"/>
      <c r="D12143" s="75"/>
      <c r="E12143" s="75"/>
      <c r="F12143" s="75"/>
    </row>
    <row r="12144" spans="2:6">
      <c r="B12144" s="75"/>
      <c r="C12144" s="75"/>
      <c r="D12144" s="75"/>
      <c r="E12144" s="75"/>
      <c r="F12144" s="75"/>
    </row>
    <row r="12145" spans="2:6">
      <c r="B12145" s="75"/>
      <c r="C12145" s="75"/>
      <c r="D12145" s="75"/>
      <c r="E12145" s="75"/>
      <c r="F12145" s="75"/>
    </row>
    <row r="12146" spans="2:6">
      <c r="B12146" s="75"/>
      <c r="C12146" s="75"/>
      <c r="D12146" s="75"/>
      <c r="E12146" s="75"/>
      <c r="F12146" s="75"/>
    </row>
    <row r="12147" spans="2:6">
      <c r="B12147" s="75"/>
      <c r="C12147" s="75"/>
      <c r="D12147" s="75"/>
      <c r="E12147" s="75"/>
      <c r="F12147" s="75"/>
    </row>
    <row r="12148" spans="2:6">
      <c r="B12148" s="75"/>
      <c r="C12148" s="75"/>
      <c r="D12148" s="75"/>
      <c r="E12148" s="75"/>
      <c r="F12148" s="75"/>
    </row>
    <row r="12149" spans="2:6">
      <c r="B12149" s="75"/>
      <c r="C12149" s="75"/>
      <c r="D12149" s="75"/>
      <c r="E12149" s="75"/>
      <c r="F12149" s="75"/>
    </row>
    <row r="12150" spans="2:6">
      <c r="B12150" s="75"/>
      <c r="C12150" s="75"/>
      <c r="D12150" s="75"/>
      <c r="E12150" s="75"/>
      <c r="F12150" s="75"/>
    </row>
    <row r="12151" spans="2:6">
      <c r="B12151" s="75"/>
      <c r="C12151" s="75"/>
      <c r="D12151" s="75"/>
      <c r="E12151" s="75"/>
      <c r="F12151" s="75"/>
    </row>
    <row r="12152" spans="2:6">
      <c r="B12152" s="75"/>
      <c r="C12152" s="75"/>
      <c r="D12152" s="75"/>
      <c r="E12152" s="75"/>
      <c r="F12152" s="75"/>
    </row>
    <row r="12153" spans="2:6">
      <c r="B12153" s="75"/>
      <c r="C12153" s="75"/>
      <c r="D12153" s="75"/>
      <c r="E12153" s="75"/>
      <c r="F12153" s="75"/>
    </row>
    <row r="12154" spans="2:6">
      <c r="B12154" s="75"/>
      <c r="C12154" s="75"/>
      <c r="D12154" s="75"/>
      <c r="E12154" s="75"/>
      <c r="F12154" s="75"/>
    </row>
    <row r="12155" spans="2:6">
      <c r="B12155" s="75"/>
      <c r="C12155" s="75"/>
      <c r="D12155" s="75"/>
      <c r="E12155" s="75"/>
      <c r="F12155" s="75"/>
    </row>
    <row r="12156" spans="2:6">
      <c r="B12156" s="75"/>
      <c r="C12156" s="75"/>
      <c r="D12156" s="75"/>
      <c r="E12156" s="75"/>
      <c r="F12156" s="75"/>
    </row>
    <row r="12157" spans="2:6">
      <c r="B12157" s="75"/>
      <c r="C12157" s="75"/>
      <c r="D12157" s="75"/>
      <c r="E12157" s="75"/>
      <c r="F12157" s="75"/>
    </row>
    <row r="12158" spans="2:6">
      <c r="B12158" s="75"/>
      <c r="C12158" s="75"/>
      <c r="D12158" s="75"/>
      <c r="E12158" s="75"/>
      <c r="F12158" s="75"/>
    </row>
    <row r="12159" spans="2:6">
      <c r="B12159" s="75"/>
      <c r="C12159" s="75"/>
      <c r="D12159" s="75"/>
      <c r="E12159" s="75"/>
      <c r="F12159" s="75"/>
    </row>
    <row r="12160" spans="2:6">
      <c r="B12160" s="75"/>
      <c r="C12160" s="75"/>
      <c r="D12160" s="75"/>
      <c r="E12160" s="75"/>
      <c r="F12160" s="75"/>
    </row>
    <row r="12161" spans="2:6">
      <c r="B12161" s="75"/>
      <c r="C12161" s="75"/>
      <c r="D12161" s="75"/>
      <c r="E12161" s="75"/>
      <c r="F12161" s="75"/>
    </row>
    <row r="12162" spans="2:6">
      <c r="B12162" s="75"/>
      <c r="C12162" s="75"/>
      <c r="D12162" s="75"/>
      <c r="E12162" s="75"/>
      <c r="F12162" s="75"/>
    </row>
    <row r="12163" spans="2:6">
      <c r="B12163" s="75"/>
      <c r="C12163" s="75"/>
      <c r="D12163" s="75"/>
      <c r="E12163" s="75"/>
      <c r="F12163" s="75"/>
    </row>
    <row r="12164" spans="2:6">
      <c r="B12164" s="75"/>
      <c r="C12164" s="75"/>
      <c r="D12164" s="75"/>
      <c r="E12164" s="75"/>
      <c r="F12164" s="75"/>
    </row>
    <row r="12165" spans="2:6">
      <c r="B12165" s="75"/>
      <c r="C12165" s="75"/>
      <c r="D12165" s="75"/>
      <c r="E12165" s="75"/>
      <c r="F12165" s="75"/>
    </row>
    <row r="12166" spans="2:6">
      <c r="B12166" s="75"/>
      <c r="C12166" s="75"/>
      <c r="D12166" s="75"/>
      <c r="E12166" s="75"/>
      <c r="F12166" s="75"/>
    </row>
    <row r="12167" spans="2:6">
      <c r="B12167" s="75"/>
      <c r="C12167" s="75"/>
      <c r="D12167" s="75"/>
      <c r="E12167" s="75"/>
      <c r="F12167" s="75"/>
    </row>
    <row r="12168" spans="2:6">
      <c r="B12168" s="75"/>
      <c r="C12168" s="75"/>
      <c r="D12168" s="75"/>
      <c r="E12168" s="75"/>
      <c r="F12168" s="75"/>
    </row>
    <row r="12169" spans="2:6">
      <c r="B12169" s="75"/>
      <c r="C12169" s="75"/>
      <c r="D12169" s="75"/>
      <c r="E12169" s="75"/>
      <c r="F12169" s="75"/>
    </row>
    <row r="12170" spans="2:6">
      <c r="B12170" s="75"/>
      <c r="C12170" s="75"/>
      <c r="D12170" s="75"/>
      <c r="E12170" s="75"/>
      <c r="F12170" s="75"/>
    </row>
    <row r="12171" spans="2:6">
      <c r="B12171" s="75"/>
      <c r="C12171" s="75"/>
      <c r="D12171" s="75"/>
      <c r="E12171" s="75"/>
      <c r="F12171" s="75"/>
    </row>
    <row r="12172" spans="2:6">
      <c r="B12172" s="75"/>
      <c r="C12172" s="75"/>
      <c r="D12172" s="75"/>
      <c r="E12172" s="75"/>
      <c r="F12172" s="75"/>
    </row>
    <row r="12173" spans="2:6">
      <c r="B12173" s="75"/>
      <c r="C12173" s="75"/>
      <c r="D12173" s="75"/>
      <c r="E12173" s="75"/>
      <c r="F12173" s="75"/>
    </row>
    <row r="12174" spans="2:6">
      <c r="B12174" s="75"/>
      <c r="C12174" s="75"/>
      <c r="D12174" s="75"/>
      <c r="E12174" s="75"/>
      <c r="F12174" s="75"/>
    </row>
    <row r="12175" spans="2:6">
      <c r="B12175" s="75"/>
      <c r="C12175" s="75"/>
      <c r="D12175" s="75"/>
      <c r="E12175" s="75"/>
      <c r="F12175" s="75"/>
    </row>
    <row r="12176" spans="2:6">
      <c r="B12176" s="75"/>
      <c r="C12176" s="75"/>
      <c r="D12176" s="75"/>
      <c r="E12176" s="75"/>
      <c r="F12176" s="75"/>
    </row>
    <row r="12177" spans="2:6">
      <c r="B12177" s="75"/>
      <c r="C12177" s="75"/>
      <c r="D12177" s="75"/>
      <c r="E12177" s="75"/>
      <c r="F12177" s="75"/>
    </row>
    <row r="12178" spans="2:6">
      <c r="B12178" s="75"/>
      <c r="C12178" s="75"/>
      <c r="D12178" s="75"/>
      <c r="E12178" s="75"/>
      <c r="F12178" s="75"/>
    </row>
    <row r="12179" spans="2:6">
      <c r="B12179" s="75"/>
      <c r="C12179" s="75"/>
      <c r="D12179" s="75"/>
      <c r="E12179" s="75"/>
      <c r="F12179" s="75"/>
    </row>
    <row r="12180" spans="2:6">
      <c r="B12180" s="75"/>
      <c r="C12180" s="75"/>
      <c r="D12180" s="75"/>
      <c r="E12180" s="75"/>
      <c r="F12180" s="75"/>
    </row>
    <row r="12181" spans="2:6">
      <c r="B12181" s="75"/>
      <c r="C12181" s="75"/>
      <c r="D12181" s="75"/>
      <c r="E12181" s="75"/>
      <c r="F12181" s="75"/>
    </row>
    <row r="12182" spans="2:6">
      <c r="B12182" s="75"/>
      <c r="C12182" s="75"/>
      <c r="D12182" s="75"/>
      <c r="E12182" s="75"/>
      <c r="F12182" s="75"/>
    </row>
    <row r="12183" spans="2:6">
      <c r="B12183" s="75"/>
      <c r="C12183" s="75"/>
      <c r="D12183" s="75"/>
      <c r="E12183" s="75"/>
      <c r="F12183" s="75"/>
    </row>
    <row r="12184" spans="2:6">
      <c r="B12184" s="75"/>
      <c r="C12184" s="75"/>
      <c r="D12184" s="75"/>
      <c r="E12184" s="75"/>
      <c r="F12184" s="75"/>
    </row>
    <row r="12185" spans="2:6">
      <c r="B12185" s="75"/>
      <c r="C12185" s="75"/>
      <c r="D12185" s="75"/>
      <c r="E12185" s="75"/>
      <c r="F12185" s="75"/>
    </row>
    <row r="12186" spans="2:6">
      <c r="B12186" s="75"/>
      <c r="C12186" s="75"/>
      <c r="D12186" s="75"/>
      <c r="E12186" s="75"/>
      <c r="F12186" s="75"/>
    </row>
    <row r="12187" spans="2:6">
      <c r="B12187" s="75"/>
      <c r="C12187" s="75"/>
      <c r="D12187" s="75"/>
      <c r="E12187" s="75"/>
      <c r="F12187" s="75"/>
    </row>
    <row r="12188" spans="2:6">
      <c r="B12188" s="75"/>
      <c r="C12188" s="75"/>
      <c r="D12188" s="75"/>
      <c r="E12188" s="75"/>
      <c r="F12188" s="75"/>
    </row>
    <row r="12189" spans="2:6">
      <c r="B12189" s="75"/>
      <c r="C12189" s="75"/>
      <c r="D12189" s="75"/>
      <c r="E12189" s="75"/>
      <c r="F12189" s="75"/>
    </row>
    <row r="12190" spans="2:6">
      <c r="B12190" s="75"/>
      <c r="C12190" s="75"/>
      <c r="D12190" s="75"/>
      <c r="E12190" s="75"/>
      <c r="F12190" s="75"/>
    </row>
    <row r="12191" spans="2:6">
      <c r="B12191" s="75"/>
      <c r="C12191" s="75"/>
      <c r="D12191" s="75"/>
      <c r="E12191" s="75"/>
      <c r="F12191" s="75"/>
    </row>
    <row r="12192" spans="2:6">
      <c r="B12192" s="75"/>
      <c r="C12192" s="75"/>
      <c r="D12192" s="75"/>
      <c r="E12192" s="75"/>
      <c r="F12192" s="75"/>
    </row>
    <row r="12193" spans="2:6">
      <c r="B12193" s="75"/>
      <c r="C12193" s="75"/>
      <c r="D12193" s="75"/>
      <c r="E12193" s="75"/>
      <c r="F12193" s="75"/>
    </row>
    <row r="12194" spans="2:6">
      <c r="B12194" s="75"/>
      <c r="C12194" s="75"/>
      <c r="D12194" s="75"/>
      <c r="E12194" s="75"/>
      <c r="F12194" s="75"/>
    </row>
    <row r="12195" spans="2:6">
      <c r="B12195" s="75"/>
      <c r="C12195" s="75"/>
      <c r="D12195" s="75"/>
      <c r="E12195" s="75"/>
      <c r="F12195" s="75"/>
    </row>
    <row r="12196" spans="2:6">
      <c r="B12196" s="75"/>
      <c r="C12196" s="75"/>
      <c r="D12196" s="75"/>
      <c r="E12196" s="75"/>
      <c r="F12196" s="75"/>
    </row>
    <row r="12197" spans="2:6">
      <c r="B12197" s="75"/>
      <c r="C12197" s="75"/>
      <c r="D12197" s="75"/>
      <c r="E12197" s="75"/>
      <c r="F12197" s="75"/>
    </row>
    <row r="12198" spans="2:6">
      <c r="B12198" s="75"/>
      <c r="C12198" s="75"/>
      <c r="D12198" s="75"/>
      <c r="E12198" s="75"/>
      <c r="F12198" s="75"/>
    </row>
    <row r="12199" spans="2:6">
      <c r="B12199" s="75"/>
      <c r="C12199" s="75"/>
      <c r="D12199" s="75"/>
      <c r="E12199" s="75"/>
      <c r="F12199" s="75"/>
    </row>
    <row r="12200" spans="2:6">
      <c r="B12200" s="75"/>
      <c r="C12200" s="75"/>
      <c r="D12200" s="75"/>
      <c r="E12200" s="75"/>
      <c r="F12200" s="75"/>
    </row>
    <row r="12201" spans="2:6">
      <c r="B12201" s="75"/>
      <c r="C12201" s="75"/>
      <c r="D12201" s="75"/>
      <c r="E12201" s="75"/>
      <c r="F12201" s="75"/>
    </row>
    <row r="12202" spans="2:6">
      <c r="B12202" s="75"/>
      <c r="C12202" s="75"/>
      <c r="D12202" s="75"/>
      <c r="E12202" s="75"/>
      <c r="F12202" s="75"/>
    </row>
    <row r="12203" spans="2:6">
      <c r="B12203" s="75"/>
      <c r="C12203" s="75"/>
      <c r="D12203" s="75"/>
      <c r="E12203" s="75"/>
      <c r="F12203" s="75"/>
    </row>
    <row r="12204" spans="2:6">
      <c r="B12204" s="75"/>
      <c r="C12204" s="75"/>
      <c r="D12204" s="75"/>
      <c r="E12204" s="75"/>
      <c r="F12204" s="75"/>
    </row>
    <row r="12205" spans="2:6">
      <c r="B12205" s="75"/>
      <c r="C12205" s="75"/>
      <c r="D12205" s="75"/>
      <c r="E12205" s="75"/>
      <c r="F12205" s="75"/>
    </row>
    <row r="12206" spans="2:6">
      <c r="B12206" s="75"/>
      <c r="C12206" s="75"/>
      <c r="D12206" s="75"/>
      <c r="E12206" s="75"/>
      <c r="F12206" s="75"/>
    </row>
    <row r="12207" spans="2:6">
      <c r="B12207" s="75"/>
      <c r="C12207" s="75"/>
      <c r="D12207" s="75"/>
      <c r="E12207" s="75"/>
      <c r="F12207" s="75"/>
    </row>
    <row r="12208" spans="2:6">
      <c r="B12208" s="75"/>
      <c r="C12208" s="75"/>
      <c r="D12208" s="75"/>
      <c r="E12208" s="75"/>
      <c r="F12208" s="75"/>
    </row>
    <row r="12209" spans="2:6">
      <c r="B12209" s="75"/>
      <c r="C12209" s="75"/>
      <c r="D12209" s="75"/>
      <c r="E12209" s="75"/>
      <c r="F12209" s="75"/>
    </row>
    <row r="12210" spans="2:6">
      <c r="B12210" s="75"/>
      <c r="C12210" s="75"/>
      <c r="D12210" s="75"/>
      <c r="E12210" s="75"/>
      <c r="F12210" s="75"/>
    </row>
    <row r="12211" spans="2:6">
      <c r="B12211" s="75"/>
      <c r="C12211" s="75"/>
      <c r="D12211" s="75"/>
      <c r="E12211" s="75"/>
      <c r="F12211" s="75"/>
    </row>
    <row r="12212" spans="2:6">
      <c r="B12212" s="75"/>
      <c r="C12212" s="75"/>
      <c r="D12212" s="75"/>
      <c r="E12212" s="75"/>
      <c r="F12212" s="75"/>
    </row>
    <row r="12213" spans="2:6">
      <c r="B12213" s="75"/>
      <c r="C12213" s="75"/>
      <c r="D12213" s="75"/>
      <c r="E12213" s="75"/>
      <c r="F12213" s="75"/>
    </row>
    <row r="12214" spans="2:6">
      <c r="B12214" s="75"/>
      <c r="C12214" s="75"/>
      <c r="D12214" s="75"/>
      <c r="E12214" s="75"/>
      <c r="F12214" s="75"/>
    </row>
    <row r="12215" spans="2:6">
      <c r="B12215" s="75"/>
      <c r="C12215" s="75"/>
      <c r="D12215" s="75"/>
      <c r="E12215" s="75"/>
      <c r="F12215" s="75"/>
    </row>
    <row r="12216" spans="2:6">
      <c r="B12216" s="75"/>
      <c r="C12216" s="75"/>
      <c r="D12216" s="75"/>
      <c r="E12216" s="75"/>
      <c r="F12216" s="75"/>
    </row>
    <row r="12217" spans="2:6">
      <c r="B12217" s="75"/>
      <c r="C12217" s="75"/>
      <c r="D12217" s="75"/>
      <c r="E12217" s="75"/>
      <c r="F12217" s="75"/>
    </row>
    <row r="12218" spans="2:6">
      <c r="B12218" s="75"/>
      <c r="C12218" s="75"/>
      <c r="D12218" s="75"/>
      <c r="E12218" s="75"/>
      <c r="F12218" s="75"/>
    </row>
    <row r="12219" spans="2:6">
      <c r="B12219" s="75"/>
      <c r="C12219" s="75"/>
      <c r="D12219" s="75"/>
      <c r="E12219" s="75"/>
      <c r="F12219" s="75"/>
    </row>
    <row r="12220" spans="2:6">
      <c r="B12220" s="75"/>
      <c r="C12220" s="75"/>
      <c r="D12220" s="75"/>
      <c r="E12220" s="75"/>
      <c r="F12220" s="75"/>
    </row>
    <row r="12221" spans="2:6">
      <c r="B12221" s="75"/>
      <c r="C12221" s="75"/>
      <c r="D12221" s="75"/>
      <c r="E12221" s="75"/>
      <c r="F12221" s="75"/>
    </row>
    <row r="12222" spans="2:6">
      <c r="B12222" s="75"/>
      <c r="C12222" s="75"/>
      <c r="D12222" s="75"/>
      <c r="E12222" s="75"/>
      <c r="F12222" s="75"/>
    </row>
    <row r="12223" spans="2:6">
      <c r="B12223" s="75"/>
      <c r="C12223" s="75"/>
      <c r="D12223" s="75"/>
      <c r="E12223" s="75"/>
      <c r="F12223" s="75"/>
    </row>
    <row r="12224" spans="2:6">
      <c r="B12224" s="75"/>
      <c r="C12224" s="75"/>
      <c r="D12224" s="75"/>
      <c r="E12224" s="75"/>
      <c r="F12224" s="75"/>
    </row>
    <row r="12225" spans="2:6">
      <c r="B12225" s="75"/>
      <c r="C12225" s="75"/>
      <c r="D12225" s="75"/>
      <c r="E12225" s="75"/>
      <c r="F12225" s="75"/>
    </row>
    <row r="12226" spans="2:6">
      <c r="B12226" s="75"/>
      <c r="C12226" s="75"/>
      <c r="D12226" s="75"/>
      <c r="E12226" s="75"/>
      <c r="F12226" s="75"/>
    </row>
    <row r="12227" spans="2:6">
      <c r="B12227" s="75"/>
      <c r="C12227" s="75"/>
      <c r="D12227" s="75"/>
      <c r="E12227" s="75"/>
      <c r="F12227" s="75"/>
    </row>
    <row r="12228" spans="2:6">
      <c r="B12228" s="75"/>
      <c r="C12228" s="75"/>
      <c r="D12228" s="75"/>
      <c r="E12228" s="75"/>
      <c r="F12228" s="75"/>
    </row>
    <row r="12229" spans="2:6">
      <c r="B12229" s="75"/>
      <c r="C12229" s="75"/>
      <c r="D12229" s="75"/>
      <c r="E12229" s="75"/>
      <c r="F12229" s="75"/>
    </row>
    <row r="12230" spans="2:6">
      <c r="B12230" s="75"/>
      <c r="C12230" s="75"/>
      <c r="D12230" s="75"/>
      <c r="E12230" s="75"/>
      <c r="F12230" s="75"/>
    </row>
    <row r="12231" spans="2:6">
      <c r="B12231" s="75"/>
      <c r="C12231" s="75"/>
      <c r="D12231" s="75"/>
      <c r="E12231" s="75"/>
      <c r="F12231" s="75"/>
    </row>
    <row r="12232" spans="2:6">
      <c r="B12232" s="75"/>
      <c r="C12232" s="75"/>
      <c r="D12232" s="75"/>
      <c r="E12232" s="75"/>
      <c r="F12232" s="75"/>
    </row>
    <row r="12233" spans="2:6">
      <c r="B12233" s="75"/>
      <c r="C12233" s="75"/>
      <c r="D12233" s="75"/>
      <c r="E12233" s="75"/>
      <c r="F12233" s="75"/>
    </row>
    <row r="12234" spans="2:6">
      <c r="B12234" s="75"/>
      <c r="C12234" s="75"/>
      <c r="D12234" s="75"/>
      <c r="E12234" s="75"/>
      <c r="F12234" s="75"/>
    </row>
    <row r="12235" spans="2:6">
      <c r="B12235" s="75"/>
      <c r="C12235" s="75"/>
      <c r="D12235" s="75"/>
      <c r="E12235" s="75"/>
      <c r="F12235" s="75"/>
    </row>
    <row r="12236" spans="2:6">
      <c r="B12236" s="75"/>
      <c r="C12236" s="75"/>
      <c r="D12236" s="75"/>
      <c r="E12236" s="75"/>
      <c r="F12236" s="75"/>
    </row>
    <row r="12237" spans="2:6">
      <c r="B12237" s="75"/>
      <c r="C12237" s="75"/>
      <c r="D12237" s="75"/>
      <c r="E12237" s="75"/>
      <c r="F12237" s="75"/>
    </row>
    <row r="12238" spans="2:6">
      <c r="B12238" s="75"/>
      <c r="C12238" s="75"/>
      <c r="D12238" s="75"/>
      <c r="E12238" s="75"/>
      <c r="F12238" s="75"/>
    </row>
    <row r="12239" spans="2:6">
      <c r="B12239" s="75"/>
      <c r="C12239" s="75"/>
      <c r="D12239" s="75"/>
      <c r="E12239" s="75"/>
      <c r="F12239" s="75"/>
    </row>
    <row r="12240" spans="2:6">
      <c r="B12240" s="75"/>
      <c r="C12240" s="75"/>
      <c r="D12240" s="75"/>
      <c r="E12240" s="75"/>
      <c r="F12240" s="75"/>
    </row>
    <row r="12241" spans="2:6">
      <c r="B12241" s="75"/>
      <c r="C12241" s="75"/>
      <c r="D12241" s="75"/>
      <c r="E12241" s="75"/>
      <c r="F12241" s="75"/>
    </row>
    <row r="12242" spans="2:6">
      <c r="B12242" s="75"/>
      <c r="C12242" s="75"/>
      <c r="D12242" s="75"/>
      <c r="E12242" s="75"/>
      <c r="F12242" s="75"/>
    </row>
    <row r="12243" spans="2:6">
      <c r="B12243" s="75"/>
      <c r="C12243" s="75"/>
      <c r="D12243" s="75"/>
      <c r="E12243" s="75"/>
      <c r="F12243" s="75"/>
    </row>
    <row r="12244" spans="2:6">
      <c r="B12244" s="75"/>
      <c r="C12244" s="75"/>
      <c r="D12244" s="75"/>
      <c r="E12244" s="75"/>
      <c r="F12244" s="75"/>
    </row>
    <row r="12245" spans="2:6">
      <c r="B12245" s="75"/>
      <c r="C12245" s="75"/>
      <c r="D12245" s="75"/>
      <c r="E12245" s="75"/>
      <c r="F12245" s="75"/>
    </row>
    <row r="12246" spans="2:6">
      <c r="B12246" s="75"/>
      <c r="C12246" s="75"/>
      <c r="D12246" s="75"/>
      <c r="E12246" s="75"/>
      <c r="F12246" s="75"/>
    </row>
    <row r="12247" spans="2:6">
      <c r="B12247" s="75"/>
      <c r="C12247" s="75"/>
      <c r="D12247" s="75"/>
      <c r="E12247" s="75"/>
      <c r="F12247" s="75"/>
    </row>
    <row r="12248" spans="2:6">
      <c r="B12248" s="75"/>
      <c r="C12248" s="75"/>
      <c r="D12248" s="75"/>
      <c r="E12248" s="75"/>
      <c r="F12248" s="75"/>
    </row>
    <row r="12249" spans="2:6">
      <c r="B12249" s="75"/>
      <c r="C12249" s="75"/>
      <c r="D12249" s="75"/>
      <c r="E12249" s="75"/>
      <c r="F12249" s="75"/>
    </row>
    <row r="12250" spans="2:6">
      <c r="B12250" s="75"/>
      <c r="C12250" s="75"/>
      <c r="D12250" s="75"/>
      <c r="E12250" s="75"/>
      <c r="F12250" s="75"/>
    </row>
    <row r="12251" spans="2:6">
      <c r="B12251" s="75"/>
      <c r="C12251" s="75"/>
      <c r="D12251" s="75"/>
      <c r="E12251" s="75"/>
      <c r="F12251" s="75"/>
    </row>
    <row r="12252" spans="2:6">
      <c r="B12252" s="75"/>
      <c r="C12252" s="75"/>
      <c r="D12252" s="75"/>
      <c r="E12252" s="75"/>
      <c r="F12252" s="75"/>
    </row>
    <row r="12253" spans="2:6">
      <c r="B12253" s="75"/>
      <c r="C12253" s="75"/>
      <c r="D12253" s="75"/>
      <c r="E12253" s="75"/>
      <c r="F12253" s="75"/>
    </row>
    <row r="12254" spans="2:6">
      <c r="B12254" s="75"/>
      <c r="C12254" s="75"/>
      <c r="D12254" s="75"/>
      <c r="E12254" s="75"/>
      <c r="F12254" s="75"/>
    </row>
    <row r="12255" spans="2:6">
      <c r="B12255" s="75"/>
      <c r="C12255" s="75"/>
      <c r="D12255" s="75"/>
      <c r="E12255" s="75"/>
      <c r="F12255" s="75"/>
    </row>
    <row r="12256" spans="2:6">
      <c r="B12256" s="75"/>
      <c r="C12256" s="75"/>
      <c r="D12256" s="75"/>
      <c r="E12256" s="75"/>
      <c r="F12256" s="75"/>
    </row>
    <row r="12257" spans="2:6">
      <c r="B12257" s="75"/>
      <c r="C12257" s="75"/>
      <c r="D12257" s="75"/>
      <c r="E12257" s="75"/>
      <c r="F12257" s="75"/>
    </row>
    <row r="12258" spans="2:6">
      <c r="B12258" s="75"/>
      <c r="C12258" s="75"/>
      <c r="D12258" s="75"/>
      <c r="E12258" s="75"/>
      <c r="F12258" s="75"/>
    </row>
    <row r="12259" spans="2:6">
      <c r="B12259" s="75"/>
      <c r="C12259" s="75"/>
      <c r="D12259" s="75"/>
      <c r="E12259" s="75"/>
      <c r="F12259" s="75"/>
    </row>
    <row r="12260" spans="2:6">
      <c r="B12260" s="75"/>
      <c r="C12260" s="75"/>
      <c r="D12260" s="75"/>
      <c r="E12260" s="75"/>
      <c r="F12260" s="75"/>
    </row>
    <row r="12261" spans="2:6">
      <c r="B12261" s="75"/>
      <c r="C12261" s="75"/>
      <c r="D12261" s="75"/>
      <c r="E12261" s="75"/>
      <c r="F12261" s="75"/>
    </row>
    <row r="12262" spans="2:6">
      <c r="B12262" s="75"/>
      <c r="C12262" s="75"/>
      <c r="D12262" s="75"/>
      <c r="E12262" s="75"/>
      <c r="F12262" s="75"/>
    </row>
    <row r="12263" spans="2:6">
      <c r="B12263" s="75"/>
      <c r="C12263" s="75"/>
      <c r="D12263" s="75"/>
      <c r="E12263" s="75"/>
      <c r="F12263" s="75"/>
    </row>
    <row r="12264" spans="2:6">
      <c r="B12264" s="75"/>
      <c r="C12264" s="75"/>
      <c r="D12264" s="75"/>
      <c r="E12264" s="75"/>
      <c r="F12264" s="75"/>
    </row>
    <row r="12265" spans="2:6">
      <c r="B12265" s="75"/>
      <c r="C12265" s="75"/>
      <c r="D12265" s="75"/>
      <c r="E12265" s="75"/>
      <c r="F12265" s="75"/>
    </row>
    <row r="12266" spans="2:6">
      <c r="B12266" s="75"/>
      <c r="C12266" s="75"/>
      <c r="D12266" s="75"/>
      <c r="E12266" s="75"/>
      <c r="F12266" s="75"/>
    </row>
    <row r="12267" spans="2:6">
      <c r="B12267" s="75"/>
      <c r="C12267" s="75"/>
      <c r="D12267" s="75"/>
      <c r="E12267" s="75"/>
      <c r="F12267" s="75"/>
    </row>
    <row r="12268" spans="2:6">
      <c r="B12268" s="75"/>
      <c r="C12268" s="75"/>
      <c r="D12268" s="75"/>
      <c r="E12268" s="75"/>
      <c r="F12268" s="75"/>
    </row>
    <row r="12269" spans="2:6">
      <c r="B12269" s="75"/>
      <c r="C12269" s="75"/>
      <c r="D12269" s="75"/>
      <c r="E12269" s="75"/>
      <c r="F12269" s="75"/>
    </row>
    <row r="12270" spans="2:6">
      <c r="B12270" s="75"/>
      <c r="C12270" s="75"/>
      <c r="D12270" s="75"/>
      <c r="E12270" s="75"/>
      <c r="F12270" s="75"/>
    </row>
    <row r="12271" spans="2:6">
      <c r="B12271" s="75"/>
      <c r="C12271" s="75"/>
      <c r="D12271" s="75"/>
      <c r="E12271" s="75"/>
      <c r="F12271" s="75"/>
    </row>
    <row r="12272" spans="2:6">
      <c r="B12272" s="75"/>
      <c r="C12272" s="75"/>
      <c r="D12272" s="75"/>
      <c r="E12272" s="75"/>
      <c r="F12272" s="75"/>
    </row>
    <row r="12273" spans="2:6">
      <c r="B12273" s="75"/>
      <c r="C12273" s="75"/>
      <c r="D12273" s="75"/>
      <c r="E12273" s="75"/>
      <c r="F12273" s="75"/>
    </row>
    <row r="12274" spans="2:6">
      <c r="B12274" s="75"/>
      <c r="C12274" s="75"/>
      <c r="D12274" s="75"/>
      <c r="E12274" s="75"/>
      <c r="F12274" s="75"/>
    </row>
    <row r="12275" spans="2:6">
      <c r="B12275" s="75"/>
      <c r="C12275" s="75"/>
      <c r="D12275" s="75"/>
      <c r="E12275" s="75"/>
      <c r="F12275" s="75"/>
    </row>
    <row r="12276" spans="2:6">
      <c r="B12276" s="75"/>
      <c r="C12276" s="75"/>
      <c r="D12276" s="75"/>
      <c r="E12276" s="75"/>
      <c r="F12276" s="75"/>
    </row>
    <row r="12277" spans="2:6">
      <c r="B12277" s="75"/>
      <c r="C12277" s="75"/>
      <c r="D12277" s="75"/>
      <c r="E12277" s="75"/>
      <c r="F12277" s="75"/>
    </row>
    <row r="12278" spans="2:6">
      <c r="B12278" s="75"/>
      <c r="C12278" s="75"/>
      <c r="D12278" s="75"/>
      <c r="E12278" s="75"/>
      <c r="F12278" s="75"/>
    </row>
    <row r="12279" spans="2:6">
      <c r="B12279" s="75"/>
      <c r="C12279" s="75"/>
      <c r="D12279" s="75"/>
      <c r="E12279" s="75"/>
      <c r="F12279" s="75"/>
    </row>
    <row r="12280" spans="2:6">
      <c r="B12280" s="75"/>
      <c r="C12280" s="75"/>
      <c r="D12280" s="75"/>
      <c r="E12280" s="75"/>
      <c r="F12280" s="75"/>
    </row>
    <row r="12281" spans="2:6">
      <c r="B12281" s="75"/>
      <c r="C12281" s="75"/>
      <c r="D12281" s="75"/>
      <c r="E12281" s="75"/>
      <c r="F12281" s="75"/>
    </row>
    <row r="12282" spans="2:6">
      <c r="B12282" s="75"/>
      <c r="C12282" s="75"/>
      <c r="D12282" s="75"/>
      <c r="E12282" s="75"/>
      <c r="F12282" s="75"/>
    </row>
    <row r="12283" spans="2:6">
      <c r="B12283" s="75"/>
      <c r="C12283" s="75"/>
      <c r="D12283" s="75"/>
      <c r="E12283" s="75"/>
      <c r="F12283" s="75"/>
    </row>
    <row r="12284" spans="2:6">
      <c r="B12284" s="75"/>
      <c r="C12284" s="75"/>
      <c r="D12284" s="75"/>
      <c r="E12284" s="75"/>
      <c r="F12284" s="75"/>
    </row>
    <row r="12285" spans="2:6">
      <c r="B12285" s="75"/>
      <c r="C12285" s="75"/>
      <c r="D12285" s="75"/>
      <c r="E12285" s="75"/>
      <c r="F12285" s="75"/>
    </row>
    <row r="12286" spans="2:6">
      <c r="B12286" s="75"/>
      <c r="C12286" s="75"/>
      <c r="D12286" s="75"/>
      <c r="E12286" s="75"/>
      <c r="F12286" s="75"/>
    </row>
    <row r="12287" spans="2:6">
      <c r="B12287" s="75"/>
      <c r="C12287" s="75"/>
      <c r="D12287" s="75"/>
      <c r="E12287" s="75"/>
      <c r="F12287" s="75"/>
    </row>
    <row r="12288" spans="2:6">
      <c r="B12288" s="75"/>
      <c r="C12288" s="75"/>
      <c r="D12288" s="75"/>
      <c r="E12288" s="75"/>
      <c r="F12288" s="75"/>
    </row>
    <row r="12289" spans="2:6">
      <c r="B12289" s="75"/>
      <c r="C12289" s="75"/>
      <c r="D12289" s="75"/>
      <c r="E12289" s="75"/>
      <c r="F12289" s="75"/>
    </row>
    <row r="12290" spans="2:6">
      <c r="B12290" s="75"/>
      <c r="C12290" s="75"/>
      <c r="D12290" s="75"/>
      <c r="E12290" s="75"/>
      <c r="F12290" s="75"/>
    </row>
    <row r="12291" spans="2:6">
      <c r="B12291" s="75"/>
      <c r="C12291" s="75"/>
      <c r="D12291" s="75"/>
      <c r="E12291" s="75"/>
      <c r="F12291" s="75"/>
    </row>
    <row r="12292" spans="2:6">
      <c r="B12292" s="75"/>
      <c r="C12292" s="75"/>
      <c r="D12292" s="75"/>
      <c r="E12292" s="75"/>
      <c r="F12292" s="75"/>
    </row>
    <row r="12293" spans="2:6">
      <c r="B12293" s="75"/>
      <c r="C12293" s="75"/>
      <c r="D12293" s="75"/>
      <c r="E12293" s="75"/>
      <c r="F12293" s="75"/>
    </row>
    <row r="12294" spans="2:6">
      <c r="B12294" s="75"/>
      <c r="C12294" s="75"/>
      <c r="D12294" s="75"/>
      <c r="E12294" s="75"/>
      <c r="F12294" s="75"/>
    </row>
    <row r="12295" spans="2:6">
      <c r="B12295" s="75"/>
      <c r="C12295" s="75"/>
      <c r="D12295" s="75"/>
      <c r="E12295" s="75"/>
      <c r="F12295" s="75"/>
    </row>
    <row r="12296" spans="2:6">
      <c r="B12296" s="75"/>
      <c r="C12296" s="75"/>
      <c r="D12296" s="75"/>
      <c r="E12296" s="75"/>
      <c r="F12296" s="75"/>
    </row>
    <row r="12297" spans="2:6">
      <c r="B12297" s="75"/>
      <c r="C12297" s="75"/>
      <c r="D12297" s="75"/>
      <c r="E12297" s="75"/>
      <c r="F12297" s="75"/>
    </row>
    <row r="12298" spans="2:6">
      <c r="B12298" s="75"/>
      <c r="C12298" s="75"/>
      <c r="D12298" s="75"/>
      <c r="E12298" s="75"/>
      <c r="F12298" s="75"/>
    </row>
    <row r="12299" spans="2:6">
      <c r="B12299" s="75"/>
      <c r="C12299" s="75"/>
      <c r="D12299" s="75"/>
      <c r="E12299" s="75"/>
      <c r="F12299" s="75"/>
    </row>
    <row r="12300" spans="2:6">
      <c r="B12300" s="75"/>
      <c r="C12300" s="75"/>
      <c r="D12300" s="75"/>
      <c r="E12300" s="75"/>
      <c r="F12300" s="75"/>
    </row>
    <row r="12301" spans="2:6">
      <c r="B12301" s="75"/>
      <c r="C12301" s="75"/>
      <c r="D12301" s="75"/>
      <c r="E12301" s="75"/>
      <c r="F12301" s="75"/>
    </row>
    <row r="12302" spans="2:6">
      <c r="B12302" s="75"/>
      <c r="C12302" s="75"/>
      <c r="D12302" s="75"/>
      <c r="E12302" s="75"/>
      <c r="F12302" s="75"/>
    </row>
    <row r="12303" spans="2:6">
      <c r="B12303" s="75"/>
      <c r="C12303" s="75"/>
      <c r="D12303" s="75"/>
      <c r="E12303" s="75"/>
      <c r="F12303" s="75"/>
    </row>
    <row r="12304" spans="2:6">
      <c r="B12304" s="75"/>
      <c r="C12304" s="75"/>
      <c r="D12304" s="75"/>
      <c r="E12304" s="75"/>
      <c r="F12304" s="75"/>
    </row>
    <row r="12305" spans="2:6">
      <c r="B12305" s="75"/>
      <c r="C12305" s="75"/>
      <c r="D12305" s="75"/>
      <c r="E12305" s="75"/>
      <c r="F12305" s="75"/>
    </row>
    <row r="12306" spans="2:6">
      <c r="B12306" s="75"/>
      <c r="C12306" s="75"/>
      <c r="D12306" s="75"/>
      <c r="E12306" s="75"/>
      <c r="F12306" s="75"/>
    </row>
    <row r="12307" spans="2:6">
      <c r="B12307" s="75"/>
      <c r="C12307" s="75"/>
      <c r="D12307" s="75"/>
      <c r="E12307" s="75"/>
      <c r="F12307" s="75"/>
    </row>
    <row r="12308" spans="2:6">
      <c r="B12308" s="75"/>
      <c r="C12308" s="75"/>
      <c r="D12308" s="75"/>
      <c r="E12308" s="75"/>
      <c r="F12308" s="75"/>
    </row>
    <row r="12309" spans="2:6">
      <c r="B12309" s="75"/>
      <c r="C12309" s="75"/>
      <c r="D12309" s="75"/>
      <c r="E12309" s="75"/>
      <c r="F12309" s="75"/>
    </row>
    <row r="12310" spans="2:6">
      <c r="B12310" s="75"/>
      <c r="C12310" s="75"/>
      <c r="D12310" s="75"/>
      <c r="E12310" s="75"/>
      <c r="F12310" s="75"/>
    </row>
    <row r="12311" spans="2:6">
      <c r="B12311" s="75"/>
      <c r="C12311" s="75"/>
      <c r="D12311" s="75"/>
      <c r="E12311" s="75"/>
      <c r="F12311" s="75"/>
    </row>
    <row r="12312" spans="2:6">
      <c r="B12312" s="75"/>
      <c r="C12312" s="75"/>
      <c r="D12312" s="75"/>
      <c r="E12312" s="75"/>
      <c r="F12312" s="75"/>
    </row>
    <row r="12313" spans="2:6">
      <c r="B12313" s="75"/>
      <c r="C12313" s="75"/>
      <c r="D12313" s="75"/>
      <c r="E12313" s="75"/>
      <c r="F12313" s="75"/>
    </row>
    <row r="12314" spans="2:6">
      <c r="B12314" s="75"/>
      <c r="C12314" s="75"/>
      <c r="D12314" s="75"/>
      <c r="E12314" s="75"/>
      <c r="F12314" s="75"/>
    </row>
    <row r="12315" spans="2:6">
      <c r="B12315" s="75"/>
      <c r="C12315" s="75"/>
      <c r="D12315" s="75"/>
      <c r="E12315" s="75"/>
      <c r="F12315" s="75"/>
    </row>
    <row r="12316" spans="2:6">
      <c r="B12316" s="75"/>
      <c r="C12316" s="75"/>
      <c r="D12316" s="75"/>
      <c r="E12316" s="75"/>
      <c r="F12316" s="75"/>
    </row>
    <row r="12317" spans="2:6">
      <c r="B12317" s="75"/>
      <c r="C12317" s="75"/>
      <c r="D12317" s="75"/>
      <c r="E12317" s="75"/>
      <c r="F12317" s="75"/>
    </row>
    <row r="12318" spans="2:6">
      <c r="B12318" s="75"/>
      <c r="C12318" s="75"/>
      <c r="D12318" s="75"/>
      <c r="E12318" s="75"/>
      <c r="F12318" s="75"/>
    </row>
    <row r="12319" spans="2:6">
      <c r="B12319" s="75"/>
      <c r="C12319" s="75"/>
      <c r="D12319" s="75"/>
      <c r="E12319" s="75"/>
      <c r="F12319" s="75"/>
    </row>
    <row r="12320" spans="2:6">
      <c r="B12320" s="75"/>
      <c r="C12320" s="75"/>
      <c r="D12320" s="75"/>
      <c r="E12320" s="75"/>
      <c r="F12320" s="75"/>
    </row>
    <row r="12321" spans="2:6">
      <c r="B12321" s="75"/>
      <c r="C12321" s="75"/>
      <c r="D12321" s="75"/>
      <c r="E12321" s="75"/>
      <c r="F12321" s="75"/>
    </row>
    <row r="12322" spans="2:6">
      <c r="B12322" s="75"/>
      <c r="C12322" s="75"/>
      <c r="D12322" s="75"/>
      <c r="E12322" s="75"/>
      <c r="F12322" s="75"/>
    </row>
    <row r="12323" spans="2:6">
      <c r="B12323" s="75"/>
      <c r="C12323" s="75"/>
      <c r="D12323" s="75"/>
      <c r="E12323" s="75"/>
      <c r="F12323" s="75"/>
    </row>
    <row r="12324" spans="2:6">
      <c r="B12324" s="75"/>
      <c r="C12324" s="75"/>
      <c r="D12324" s="75"/>
      <c r="E12324" s="75"/>
      <c r="F12324" s="75"/>
    </row>
    <row r="12325" spans="2:6">
      <c r="B12325" s="75"/>
      <c r="C12325" s="75"/>
      <c r="D12325" s="75"/>
      <c r="E12325" s="75"/>
      <c r="F12325" s="75"/>
    </row>
    <row r="12326" spans="2:6">
      <c r="B12326" s="75"/>
      <c r="C12326" s="75"/>
      <c r="D12326" s="75"/>
      <c r="E12326" s="75"/>
      <c r="F12326" s="75"/>
    </row>
    <row r="12327" spans="2:6">
      <c r="B12327" s="75"/>
      <c r="C12327" s="75"/>
      <c r="D12327" s="75"/>
      <c r="E12327" s="75"/>
      <c r="F12327" s="75"/>
    </row>
    <row r="12328" spans="2:6">
      <c r="B12328" s="75"/>
      <c r="C12328" s="75"/>
      <c r="D12328" s="75"/>
      <c r="E12328" s="75"/>
      <c r="F12328" s="75"/>
    </row>
    <row r="12329" spans="2:6">
      <c r="B12329" s="75"/>
      <c r="C12329" s="75"/>
      <c r="D12329" s="75"/>
      <c r="E12329" s="75"/>
      <c r="F12329" s="75"/>
    </row>
    <row r="12330" spans="2:6">
      <c r="B12330" s="75"/>
      <c r="C12330" s="75"/>
      <c r="D12330" s="75"/>
      <c r="E12330" s="75"/>
      <c r="F12330" s="75"/>
    </row>
    <row r="12331" spans="2:6">
      <c r="B12331" s="75"/>
      <c r="C12331" s="75"/>
      <c r="D12331" s="75"/>
      <c r="E12331" s="75"/>
      <c r="F12331" s="75"/>
    </row>
    <row r="12332" spans="2:6">
      <c r="B12332" s="75"/>
      <c r="C12332" s="75"/>
      <c r="D12332" s="75"/>
      <c r="E12332" s="75"/>
      <c r="F12332" s="75"/>
    </row>
    <row r="12333" spans="2:6">
      <c r="B12333" s="75"/>
      <c r="C12333" s="75"/>
      <c r="D12333" s="75"/>
      <c r="E12333" s="75"/>
      <c r="F12333" s="75"/>
    </row>
    <row r="12334" spans="2:6">
      <c r="B12334" s="75"/>
      <c r="C12334" s="75"/>
      <c r="D12334" s="75"/>
      <c r="E12334" s="75"/>
      <c r="F12334" s="75"/>
    </row>
    <row r="12335" spans="2:6">
      <c r="B12335" s="75"/>
      <c r="C12335" s="75"/>
      <c r="D12335" s="75"/>
      <c r="E12335" s="75"/>
      <c r="F12335" s="75"/>
    </row>
    <row r="12336" spans="2:6">
      <c r="B12336" s="75"/>
      <c r="C12336" s="75"/>
      <c r="D12336" s="75"/>
      <c r="E12336" s="75"/>
      <c r="F12336" s="75"/>
    </row>
    <row r="12337" spans="2:6">
      <c r="B12337" s="75"/>
      <c r="C12337" s="75"/>
      <c r="D12337" s="75"/>
      <c r="E12337" s="75"/>
      <c r="F12337" s="75"/>
    </row>
    <row r="12338" spans="2:6">
      <c r="B12338" s="75"/>
      <c r="C12338" s="75"/>
      <c r="D12338" s="75"/>
      <c r="E12338" s="75"/>
      <c r="F12338" s="75"/>
    </row>
    <row r="12339" spans="2:6">
      <c r="B12339" s="75"/>
      <c r="C12339" s="75"/>
      <c r="D12339" s="75"/>
      <c r="E12339" s="75"/>
      <c r="F12339" s="75"/>
    </row>
    <row r="12340" spans="2:6">
      <c r="B12340" s="75"/>
      <c r="C12340" s="75"/>
      <c r="D12340" s="75"/>
      <c r="E12340" s="75"/>
      <c r="F12340" s="75"/>
    </row>
    <row r="12341" spans="2:6">
      <c r="B12341" s="75"/>
      <c r="C12341" s="75"/>
      <c r="D12341" s="75"/>
      <c r="E12341" s="75"/>
      <c r="F12341" s="75"/>
    </row>
    <row r="12342" spans="2:6">
      <c r="B12342" s="75"/>
      <c r="C12342" s="75"/>
      <c r="D12342" s="75"/>
      <c r="E12342" s="75"/>
      <c r="F12342" s="75"/>
    </row>
    <row r="12343" spans="2:6">
      <c r="B12343" s="75"/>
      <c r="C12343" s="75"/>
      <c r="D12343" s="75"/>
      <c r="E12343" s="75"/>
      <c r="F12343" s="75"/>
    </row>
    <row r="12344" spans="2:6">
      <c r="B12344" s="75"/>
      <c r="C12344" s="75"/>
      <c r="D12344" s="75"/>
      <c r="E12344" s="75"/>
      <c r="F12344" s="75"/>
    </row>
    <row r="12345" spans="2:6">
      <c r="B12345" s="75"/>
      <c r="C12345" s="75"/>
      <c r="D12345" s="75"/>
      <c r="E12345" s="75"/>
      <c r="F12345" s="75"/>
    </row>
    <row r="12346" spans="2:6">
      <c r="B12346" s="75"/>
      <c r="C12346" s="75"/>
      <c r="D12346" s="75"/>
      <c r="E12346" s="75"/>
      <c r="F12346" s="75"/>
    </row>
    <row r="12347" spans="2:6">
      <c r="B12347" s="75"/>
      <c r="C12347" s="75"/>
      <c r="D12347" s="75"/>
      <c r="E12347" s="75"/>
      <c r="F12347" s="75"/>
    </row>
    <row r="12348" spans="2:6">
      <c r="B12348" s="75"/>
      <c r="C12348" s="75"/>
      <c r="D12348" s="75"/>
      <c r="E12348" s="75"/>
      <c r="F12348" s="75"/>
    </row>
    <row r="12349" spans="2:6">
      <c r="B12349" s="75"/>
      <c r="C12349" s="75"/>
      <c r="D12349" s="75"/>
      <c r="E12349" s="75"/>
      <c r="F12349" s="75"/>
    </row>
    <row r="12350" spans="2:6">
      <c r="B12350" s="75"/>
      <c r="C12350" s="75"/>
      <c r="D12350" s="75"/>
      <c r="E12350" s="75"/>
      <c r="F12350" s="75"/>
    </row>
    <row r="12351" spans="2:6">
      <c r="B12351" s="75"/>
      <c r="C12351" s="75"/>
      <c r="D12351" s="75"/>
      <c r="E12351" s="75"/>
      <c r="F12351" s="75"/>
    </row>
    <row r="12352" spans="2:6">
      <c r="B12352" s="75"/>
      <c r="C12352" s="75"/>
      <c r="D12352" s="75"/>
      <c r="E12352" s="75"/>
      <c r="F12352" s="75"/>
    </row>
    <row r="12353" spans="2:6">
      <c r="B12353" s="75"/>
      <c r="C12353" s="75"/>
      <c r="D12353" s="75"/>
      <c r="E12353" s="75"/>
      <c r="F12353" s="75"/>
    </row>
    <row r="12354" spans="2:6">
      <c r="B12354" s="75"/>
      <c r="C12354" s="75"/>
      <c r="D12354" s="75"/>
      <c r="E12354" s="75"/>
      <c r="F12354" s="75"/>
    </row>
    <row r="12355" spans="2:6">
      <c r="B12355" s="75"/>
      <c r="C12355" s="75"/>
      <c r="D12355" s="75"/>
      <c r="E12355" s="75"/>
      <c r="F12355" s="75"/>
    </row>
    <row r="12356" spans="2:6">
      <c r="B12356" s="75"/>
      <c r="C12356" s="75"/>
      <c r="D12356" s="75"/>
      <c r="E12356" s="75"/>
      <c r="F12356" s="75"/>
    </row>
    <row r="12357" spans="2:6">
      <c r="B12357" s="75"/>
      <c r="C12357" s="75"/>
      <c r="D12357" s="75"/>
      <c r="E12357" s="75"/>
      <c r="F12357" s="75"/>
    </row>
    <row r="12358" spans="2:6">
      <c r="B12358" s="75"/>
      <c r="C12358" s="75"/>
      <c r="D12358" s="75"/>
      <c r="E12358" s="75"/>
      <c r="F12358" s="75"/>
    </row>
    <row r="12359" spans="2:6">
      <c r="B12359" s="75"/>
      <c r="C12359" s="75"/>
      <c r="D12359" s="75"/>
      <c r="E12359" s="75"/>
      <c r="F12359" s="75"/>
    </row>
    <row r="12360" spans="2:6">
      <c r="B12360" s="75"/>
      <c r="C12360" s="75"/>
      <c r="D12360" s="75"/>
      <c r="E12360" s="75"/>
      <c r="F12360" s="75"/>
    </row>
    <row r="12361" spans="2:6">
      <c r="B12361" s="75"/>
      <c r="C12361" s="75"/>
      <c r="D12361" s="75"/>
      <c r="E12361" s="75"/>
      <c r="F12361" s="75"/>
    </row>
    <row r="12362" spans="2:6">
      <c r="B12362" s="75"/>
      <c r="C12362" s="75"/>
      <c r="D12362" s="75"/>
      <c r="E12362" s="75"/>
      <c r="F12362" s="75"/>
    </row>
    <row r="12363" spans="2:6">
      <c r="B12363" s="75"/>
      <c r="C12363" s="75"/>
      <c r="D12363" s="75"/>
      <c r="E12363" s="75"/>
      <c r="F12363" s="75"/>
    </row>
    <row r="12364" spans="2:6">
      <c r="B12364" s="75"/>
      <c r="C12364" s="75"/>
      <c r="D12364" s="75"/>
      <c r="E12364" s="75"/>
      <c r="F12364" s="75"/>
    </row>
    <row r="12365" spans="2:6">
      <c r="B12365" s="75"/>
      <c r="C12365" s="75"/>
      <c r="D12365" s="75"/>
      <c r="E12365" s="75"/>
      <c r="F12365" s="75"/>
    </row>
    <row r="12366" spans="2:6">
      <c r="B12366" s="75"/>
      <c r="C12366" s="75"/>
      <c r="D12366" s="75"/>
      <c r="E12366" s="75"/>
      <c r="F12366" s="75"/>
    </row>
    <row r="12367" spans="2:6">
      <c r="B12367" s="75"/>
      <c r="C12367" s="75"/>
      <c r="D12367" s="75"/>
      <c r="E12367" s="75"/>
      <c r="F12367" s="75"/>
    </row>
    <row r="12368" spans="2:6">
      <c r="B12368" s="75"/>
      <c r="C12368" s="75"/>
      <c r="D12368" s="75"/>
      <c r="E12368" s="75"/>
      <c r="F12368" s="75"/>
    </row>
    <row r="12369" spans="2:6">
      <c r="B12369" s="75"/>
      <c r="C12369" s="75"/>
      <c r="D12369" s="75"/>
      <c r="E12369" s="75"/>
      <c r="F12369" s="75"/>
    </row>
    <row r="12370" spans="2:6">
      <c r="B12370" s="75"/>
      <c r="C12370" s="75"/>
      <c r="D12370" s="75"/>
      <c r="E12370" s="75"/>
      <c r="F12370" s="75"/>
    </row>
    <row r="12371" spans="2:6">
      <c r="B12371" s="75"/>
      <c r="C12371" s="75"/>
      <c r="D12371" s="75"/>
      <c r="E12371" s="75"/>
      <c r="F12371" s="75"/>
    </row>
    <row r="12372" spans="2:6">
      <c r="B12372" s="75"/>
      <c r="C12372" s="75"/>
      <c r="D12372" s="75"/>
      <c r="E12372" s="75"/>
      <c r="F12372" s="75"/>
    </row>
    <row r="12373" spans="2:6">
      <c r="B12373" s="75"/>
      <c r="C12373" s="75"/>
      <c r="D12373" s="75"/>
      <c r="E12373" s="75"/>
      <c r="F12373" s="75"/>
    </row>
    <row r="12374" spans="2:6">
      <c r="B12374" s="75"/>
      <c r="C12374" s="75"/>
      <c r="D12374" s="75"/>
      <c r="E12374" s="75"/>
      <c r="F12374" s="75"/>
    </row>
    <row r="12375" spans="2:6">
      <c r="B12375" s="75"/>
      <c r="C12375" s="75"/>
      <c r="D12375" s="75"/>
      <c r="E12375" s="75"/>
      <c r="F12375" s="75"/>
    </row>
    <row r="12376" spans="2:6">
      <c r="B12376" s="75"/>
      <c r="C12376" s="75"/>
      <c r="D12376" s="75"/>
      <c r="E12376" s="75"/>
      <c r="F12376" s="75"/>
    </row>
    <row r="12377" spans="2:6">
      <c r="B12377" s="75"/>
      <c r="C12377" s="75"/>
      <c r="D12377" s="75"/>
      <c r="E12377" s="75"/>
      <c r="F12377" s="75"/>
    </row>
    <row r="12378" spans="2:6">
      <c r="B12378" s="75"/>
      <c r="C12378" s="75"/>
      <c r="D12378" s="75"/>
      <c r="E12378" s="75"/>
      <c r="F12378" s="75"/>
    </row>
    <row r="12379" spans="2:6">
      <c r="B12379" s="75"/>
      <c r="C12379" s="75"/>
      <c r="D12379" s="75"/>
      <c r="E12379" s="75"/>
      <c r="F12379" s="75"/>
    </row>
    <row r="12380" spans="2:6">
      <c r="B12380" s="75"/>
      <c r="C12380" s="75"/>
      <c r="D12380" s="75"/>
      <c r="E12380" s="75"/>
      <c r="F12380" s="75"/>
    </row>
    <row r="12381" spans="2:6">
      <c r="B12381" s="75"/>
      <c r="C12381" s="75"/>
      <c r="D12381" s="75"/>
      <c r="E12381" s="75"/>
      <c r="F12381" s="75"/>
    </row>
    <row r="12382" spans="2:6">
      <c r="B12382" s="75"/>
      <c r="C12382" s="75"/>
      <c r="D12382" s="75"/>
      <c r="E12382" s="75"/>
      <c r="F12382" s="75"/>
    </row>
    <row r="12383" spans="2:6">
      <c r="B12383" s="75"/>
      <c r="C12383" s="75"/>
      <c r="D12383" s="75"/>
      <c r="E12383" s="75"/>
      <c r="F12383" s="75"/>
    </row>
    <row r="12384" spans="2:6">
      <c r="B12384" s="75"/>
      <c r="C12384" s="75"/>
      <c r="D12384" s="75"/>
      <c r="E12384" s="75"/>
      <c r="F12384" s="75"/>
    </row>
    <row r="12385" spans="2:6">
      <c r="B12385" s="75"/>
      <c r="C12385" s="75"/>
      <c r="D12385" s="75"/>
      <c r="E12385" s="75"/>
      <c r="F12385" s="75"/>
    </row>
    <row r="12386" spans="2:6">
      <c r="B12386" s="75"/>
      <c r="C12386" s="75"/>
      <c r="D12386" s="75"/>
      <c r="E12386" s="75"/>
      <c r="F12386" s="75"/>
    </row>
    <row r="12387" spans="2:6">
      <c r="B12387" s="75"/>
      <c r="C12387" s="75"/>
      <c r="D12387" s="75"/>
      <c r="E12387" s="75"/>
      <c r="F12387" s="75"/>
    </row>
    <row r="12388" spans="2:6">
      <c r="B12388" s="75"/>
      <c r="C12388" s="75"/>
      <c r="D12388" s="75"/>
      <c r="E12388" s="75"/>
      <c r="F12388" s="75"/>
    </row>
    <row r="12389" spans="2:6">
      <c r="B12389" s="75"/>
      <c r="C12389" s="75"/>
      <c r="D12389" s="75"/>
      <c r="E12389" s="75"/>
      <c r="F12389" s="75"/>
    </row>
    <row r="12390" spans="2:6">
      <c r="B12390" s="75"/>
      <c r="C12390" s="75"/>
      <c r="D12390" s="75"/>
      <c r="E12390" s="75"/>
      <c r="F12390" s="75"/>
    </row>
    <row r="12391" spans="2:6">
      <c r="B12391" s="75"/>
      <c r="C12391" s="75"/>
      <c r="D12391" s="75"/>
      <c r="E12391" s="75"/>
      <c r="F12391" s="75"/>
    </row>
    <row r="12392" spans="2:6">
      <c r="B12392" s="75"/>
      <c r="C12392" s="75"/>
      <c r="D12392" s="75"/>
      <c r="E12392" s="75"/>
      <c r="F12392" s="75"/>
    </row>
    <row r="12393" spans="2:6">
      <c r="B12393" s="75"/>
      <c r="C12393" s="75"/>
      <c r="D12393" s="75"/>
      <c r="E12393" s="75"/>
      <c r="F12393" s="75"/>
    </row>
    <row r="12394" spans="2:6">
      <c r="B12394" s="75"/>
      <c r="C12394" s="75"/>
      <c r="D12394" s="75"/>
      <c r="E12394" s="75"/>
      <c r="F12394" s="75"/>
    </row>
    <row r="12395" spans="2:6">
      <c r="B12395" s="75"/>
      <c r="C12395" s="75"/>
      <c r="D12395" s="75"/>
      <c r="E12395" s="75"/>
      <c r="F12395" s="75"/>
    </row>
    <row r="12396" spans="2:6">
      <c r="B12396" s="75"/>
      <c r="C12396" s="75"/>
      <c r="D12396" s="75"/>
      <c r="E12396" s="75"/>
      <c r="F12396" s="75"/>
    </row>
    <row r="12397" spans="2:6">
      <c r="B12397" s="75"/>
      <c r="C12397" s="75"/>
      <c r="D12397" s="75"/>
      <c r="E12397" s="75"/>
      <c r="F12397" s="75"/>
    </row>
    <row r="12398" spans="2:6">
      <c r="B12398" s="75"/>
      <c r="C12398" s="75"/>
      <c r="D12398" s="75"/>
      <c r="E12398" s="75"/>
      <c r="F12398" s="75"/>
    </row>
    <row r="12399" spans="2:6">
      <c r="B12399" s="75"/>
      <c r="C12399" s="75"/>
      <c r="D12399" s="75"/>
      <c r="E12399" s="75"/>
      <c r="F12399" s="75"/>
    </row>
    <row r="12400" spans="2:6">
      <c r="B12400" s="75"/>
      <c r="C12400" s="75"/>
      <c r="D12400" s="75"/>
      <c r="E12400" s="75"/>
      <c r="F12400" s="75"/>
    </row>
    <row r="12401" spans="2:6">
      <c r="B12401" s="75"/>
      <c r="C12401" s="75"/>
      <c r="D12401" s="75"/>
      <c r="E12401" s="75"/>
      <c r="F12401" s="75"/>
    </row>
    <row r="12402" spans="2:6">
      <c r="B12402" s="75"/>
      <c r="C12402" s="75"/>
      <c r="D12402" s="75"/>
      <c r="E12402" s="75"/>
      <c r="F12402" s="75"/>
    </row>
    <row r="12403" spans="2:6">
      <c r="B12403" s="75"/>
      <c r="C12403" s="75"/>
      <c r="D12403" s="75"/>
      <c r="E12403" s="75"/>
      <c r="F12403" s="75"/>
    </row>
    <row r="12404" spans="2:6">
      <c r="B12404" s="75"/>
      <c r="C12404" s="75"/>
      <c r="D12404" s="75"/>
      <c r="E12404" s="75"/>
      <c r="F12404" s="75"/>
    </row>
    <row r="12405" spans="2:6">
      <c r="B12405" s="75"/>
      <c r="C12405" s="75"/>
      <c r="D12405" s="75"/>
      <c r="E12405" s="75"/>
      <c r="F12405" s="75"/>
    </row>
    <row r="12406" spans="2:6">
      <c r="B12406" s="75"/>
      <c r="C12406" s="75"/>
      <c r="D12406" s="75"/>
      <c r="E12406" s="75"/>
      <c r="F12406" s="75"/>
    </row>
    <row r="12407" spans="2:6">
      <c r="B12407" s="75"/>
      <c r="C12407" s="75"/>
      <c r="D12407" s="75"/>
      <c r="E12407" s="75"/>
      <c r="F12407" s="75"/>
    </row>
    <row r="12408" spans="2:6">
      <c r="B12408" s="75"/>
      <c r="C12408" s="75"/>
      <c r="D12408" s="75"/>
      <c r="E12408" s="75"/>
      <c r="F12408" s="75"/>
    </row>
    <row r="12409" spans="2:6">
      <c r="B12409" s="75"/>
      <c r="C12409" s="75"/>
      <c r="D12409" s="75"/>
      <c r="E12409" s="75"/>
      <c r="F12409" s="75"/>
    </row>
    <row r="12410" spans="2:6">
      <c r="B12410" s="75"/>
      <c r="C12410" s="75"/>
      <c r="D12410" s="75"/>
      <c r="E12410" s="75"/>
      <c r="F12410" s="75"/>
    </row>
    <row r="12411" spans="2:6">
      <c r="B12411" s="75"/>
      <c r="C12411" s="75"/>
      <c r="D12411" s="75"/>
      <c r="E12411" s="75"/>
      <c r="F12411" s="75"/>
    </row>
    <row r="12412" spans="2:6">
      <c r="B12412" s="75"/>
      <c r="C12412" s="75"/>
      <c r="D12412" s="75"/>
      <c r="E12412" s="75"/>
      <c r="F12412" s="75"/>
    </row>
    <row r="12413" spans="2:6">
      <c r="B12413" s="75"/>
      <c r="C12413" s="75"/>
      <c r="D12413" s="75"/>
      <c r="E12413" s="75"/>
      <c r="F12413" s="75"/>
    </row>
    <row r="12414" spans="2:6">
      <c r="B12414" s="75"/>
      <c r="C12414" s="75"/>
      <c r="D12414" s="75"/>
      <c r="E12414" s="75"/>
      <c r="F12414" s="75"/>
    </row>
    <row r="12415" spans="2:6">
      <c r="B12415" s="75"/>
      <c r="C12415" s="75"/>
      <c r="D12415" s="75"/>
      <c r="E12415" s="75"/>
      <c r="F12415" s="75"/>
    </row>
    <row r="12416" spans="2:6">
      <c r="B12416" s="75"/>
      <c r="C12416" s="75"/>
      <c r="D12416" s="75"/>
      <c r="E12416" s="75"/>
      <c r="F12416" s="75"/>
    </row>
    <row r="12417" spans="2:6">
      <c r="B12417" s="75"/>
      <c r="C12417" s="75"/>
      <c r="D12417" s="75"/>
      <c r="E12417" s="75"/>
      <c r="F12417" s="75"/>
    </row>
    <row r="12418" spans="2:6">
      <c r="B12418" s="75"/>
      <c r="C12418" s="75"/>
      <c r="D12418" s="75"/>
      <c r="E12418" s="75"/>
      <c r="F12418" s="75"/>
    </row>
    <row r="12419" spans="2:6">
      <c r="B12419" s="75"/>
      <c r="C12419" s="75"/>
      <c r="D12419" s="75"/>
      <c r="E12419" s="75"/>
      <c r="F12419" s="75"/>
    </row>
    <row r="12420" spans="2:6">
      <c r="B12420" s="75"/>
      <c r="C12420" s="75"/>
      <c r="D12420" s="75"/>
      <c r="E12420" s="75"/>
      <c r="F12420" s="75"/>
    </row>
    <row r="12421" spans="2:6">
      <c r="B12421" s="75"/>
      <c r="C12421" s="75"/>
      <c r="D12421" s="75"/>
      <c r="E12421" s="75"/>
      <c r="F12421" s="75"/>
    </row>
    <row r="12422" spans="2:6">
      <c r="B12422" s="75"/>
      <c r="C12422" s="75"/>
      <c r="D12422" s="75"/>
      <c r="E12422" s="75"/>
      <c r="F12422" s="75"/>
    </row>
    <row r="12423" spans="2:6">
      <c r="B12423" s="75"/>
      <c r="C12423" s="75"/>
      <c r="D12423" s="75"/>
      <c r="E12423" s="75"/>
      <c r="F12423" s="75"/>
    </row>
    <row r="12424" spans="2:6">
      <c r="B12424" s="75"/>
      <c r="C12424" s="75"/>
      <c r="D12424" s="75"/>
      <c r="E12424" s="75"/>
      <c r="F12424" s="75"/>
    </row>
    <row r="12425" spans="2:6">
      <c r="B12425" s="75"/>
      <c r="C12425" s="75"/>
      <c r="D12425" s="75"/>
      <c r="E12425" s="75"/>
      <c r="F12425" s="75"/>
    </row>
    <row r="12426" spans="2:6">
      <c r="B12426" s="75"/>
      <c r="C12426" s="75"/>
      <c r="D12426" s="75"/>
      <c r="E12426" s="75"/>
      <c r="F12426" s="75"/>
    </row>
    <row r="12427" spans="2:6">
      <c r="B12427" s="75"/>
      <c r="C12427" s="75"/>
      <c r="D12427" s="75"/>
      <c r="E12427" s="75"/>
      <c r="F12427" s="75"/>
    </row>
    <row r="12428" spans="2:6">
      <c r="B12428" s="75"/>
      <c r="C12428" s="75"/>
      <c r="D12428" s="75"/>
      <c r="E12428" s="75"/>
      <c r="F12428" s="75"/>
    </row>
    <row r="12429" spans="2:6">
      <c r="B12429" s="75"/>
      <c r="C12429" s="75"/>
      <c r="D12429" s="75"/>
      <c r="E12429" s="75"/>
      <c r="F12429" s="75"/>
    </row>
    <row r="12430" spans="2:6">
      <c r="B12430" s="75"/>
      <c r="C12430" s="75"/>
      <c r="D12430" s="75"/>
      <c r="E12430" s="75"/>
      <c r="F12430" s="75"/>
    </row>
    <row r="12431" spans="2:6">
      <c r="B12431" s="75"/>
      <c r="C12431" s="75"/>
      <c r="D12431" s="75"/>
      <c r="E12431" s="75"/>
      <c r="F12431" s="75"/>
    </row>
    <row r="12432" spans="2:6">
      <c r="B12432" s="75"/>
      <c r="C12432" s="75"/>
      <c r="D12432" s="75"/>
      <c r="E12432" s="75"/>
      <c r="F12432" s="75"/>
    </row>
    <row r="12433" spans="2:6">
      <c r="B12433" s="75"/>
      <c r="C12433" s="75"/>
      <c r="D12433" s="75"/>
      <c r="E12433" s="75"/>
      <c r="F12433" s="75"/>
    </row>
    <row r="12434" spans="2:6">
      <c r="B12434" s="75"/>
      <c r="C12434" s="75"/>
      <c r="D12434" s="75"/>
      <c r="E12434" s="75"/>
      <c r="F12434" s="75"/>
    </row>
    <row r="12435" spans="2:6">
      <c r="B12435" s="75"/>
      <c r="C12435" s="75"/>
      <c r="D12435" s="75"/>
      <c r="E12435" s="75"/>
      <c r="F12435" s="75"/>
    </row>
    <row r="12436" spans="2:6">
      <c r="B12436" s="75"/>
      <c r="C12436" s="75"/>
      <c r="D12436" s="75"/>
      <c r="E12436" s="75"/>
      <c r="F12436" s="75"/>
    </row>
    <row r="12437" spans="2:6">
      <c r="B12437" s="75"/>
      <c r="C12437" s="75"/>
      <c r="D12437" s="75"/>
      <c r="E12437" s="75"/>
      <c r="F12437" s="75"/>
    </row>
    <row r="12438" spans="2:6">
      <c r="B12438" s="75"/>
      <c r="C12438" s="75"/>
      <c r="D12438" s="75"/>
      <c r="E12438" s="75"/>
      <c r="F12438" s="75"/>
    </row>
    <row r="12439" spans="2:6">
      <c r="B12439" s="75"/>
      <c r="C12439" s="75"/>
      <c r="D12439" s="75"/>
      <c r="E12439" s="75"/>
      <c r="F12439" s="75"/>
    </row>
    <row r="12440" spans="2:6">
      <c r="B12440" s="75"/>
      <c r="C12440" s="75"/>
      <c r="D12440" s="75"/>
      <c r="E12440" s="75"/>
      <c r="F12440" s="75"/>
    </row>
    <row r="12441" spans="2:6">
      <c r="B12441" s="75"/>
      <c r="C12441" s="75"/>
      <c r="D12441" s="75"/>
      <c r="E12441" s="75"/>
      <c r="F12441" s="75"/>
    </row>
    <row r="12442" spans="2:6">
      <c r="B12442" s="75"/>
      <c r="C12442" s="75"/>
      <c r="D12442" s="75"/>
      <c r="E12442" s="75"/>
      <c r="F12442" s="75"/>
    </row>
    <row r="12443" spans="2:6">
      <c r="B12443" s="75"/>
      <c r="C12443" s="75"/>
      <c r="D12443" s="75"/>
      <c r="E12443" s="75"/>
      <c r="F12443" s="75"/>
    </row>
    <row r="12444" spans="2:6">
      <c r="B12444" s="75"/>
      <c r="C12444" s="75"/>
      <c r="D12444" s="75"/>
      <c r="E12444" s="75"/>
      <c r="F12444" s="75"/>
    </row>
    <row r="12445" spans="2:6">
      <c r="B12445" s="75"/>
      <c r="C12445" s="75"/>
      <c r="D12445" s="75"/>
      <c r="E12445" s="75"/>
      <c r="F12445" s="75"/>
    </row>
    <row r="12446" spans="2:6">
      <c r="B12446" s="75"/>
      <c r="C12446" s="75"/>
      <c r="D12446" s="75"/>
      <c r="E12446" s="75"/>
      <c r="F12446" s="75"/>
    </row>
    <row r="12447" spans="2:6">
      <c r="B12447" s="75"/>
      <c r="C12447" s="75"/>
      <c r="D12447" s="75"/>
      <c r="E12447" s="75"/>
      <c r="F12447" s="75"/>
    </row>
    <row r="12448" spans="2:6">
      <c r="B12448" s="75"/>
      <c r="C12448" s="75"/>
      <c r="D12448" s="75"/>
      <c r="E12448" s="75"/>
      <c r="F12448" s="75"/>
    </row>
    <row r="12449" spans="2:6">
      <c r="B12449" s="75"/>
      <c r="C12449" s="75"/>
      <c r="D12449" s="75"/>
      <c r="E12449" s="75"/>
      <c r="F12449" s="75"/>
    </row>
    <row r="12450" spans="2:6">
      <c r="B12450" s="75"/>
      <c r="C12450" s="75"/>
      <c r="D12450" s="75"/>
      <c r="E12450" s="75"/>
      <c r="F12450" s="75"/>
    </row>
    <row r="12451" spans="2:6">
      <c r="B12451" s="75"/>
      <c r="C12451" s="75"/>
      <c r="D12451" s="75"/>
      <c r="E12451" s="75"/>
      <c r="F12451" s="75"/>
    </row>
    <row r="12452" spans="2:6">
      <c r="B12452" s="75"/>
      <c r="C12452" s="75"/>
      <c r="D12452" s="75"/>
      <c r="E12452" s="75"/>
      <c r="F12452" s="75"/>
    </row>
    <row r="12453" spans="2:6">
      <c r="B12453" s="75"/>
      <c r="C12453" s="75"/>
      <c r="D12453" s="75"/>
      <c r="E12453" s="75"/>
      <c r="F12453" s="75"/>
    </row>
    <row r="12454" spans="2:6">
      <c r="B12454" s="75"/>
      <c r="C12454" s="75"/>
      <c r="D12454" s="75"/>
      <c r="E12454" s="75"/>
      <c r="F12454" s="75"/>
    </row>
    <row r="12455" spans="2:6">
      <c r="B12455" s="75"/>
      <c r="C12455" s="75"/>
      <c r="D12455" s="75"/>
      <c r="E12455" s="75"/>
      <c r="F12455" s="75"/>
    </row>
    <row r="12456" spans="2:6">
      <c r="B12456" s="75"/>
      <c r="C12456" s="75"/>
      <c r="D12456" s="75"/>
      <c r="E12456" s="75"/>
      <c r="F12456" s="75"/>
    </row>
    <row r="12457" spans="2:6">
      <c r="B12457" s="75"/>
      <c r="C12457" s="75"/>
      <c r="D12457" s="75"/>
      <c r="E12457" s="75"/>
      <c r="F12457" s="75"/>
    </row>
    <row r="12458" spans="2:6">
      <c r="B12458" s="75"/>
      <c r="C12458" s="75"/>
      <c r="D12458" s="75"/>
      <c r="E12458" s="75"/>
      <c r="F12458" s="75"/>
    </row>
    <row r="12459" spans="2:6">
      <c r="B12459" s="75"/>
      <c r="C12459" s="75"/>
      <c r="D12459" s="75"/>
      <c r="E12459" s="75"/>
      <c r="F12459" s="75"/>
    </row>
    <row r="12460" spans="2:6">
      <c r="B12460" s="75"/>
      <c r="C12460" s="75"/>
      <c r="D12460" s="75"/>
      <c r="E12460" s="75"/>
      <c r="F12460" s="75"/>
    </row>
    <row r="12461" spans="2:6">
      <c r="B12461" s="75"/>
      <c r="C12461" s="75"/>
      <c r="D12461" s="75"/>
      <c r="E12461" s="75"/>
      <c r="F12461" s="75"/>
    </row>
    <row r="12462" spans="2:6">
      <c r="B12462" s="75"/>
      <c r="C12462" s="75"/>
      <c r="D12462" s="75"/>
      <c r="E12462" s="75"/>
      <c r="F12462" s="75"/>
    </row>
    <row r="12463" spans="2:6">
      <c r="B12463" s="75"/>
      <c r="C12463" s="75"/>
      <c r="D12463" s="75"/>
      <c r="E12463" s="75"/>
      <c r="F12463" s="75"/>
    </row>
    <row r="12464" spans="2:6">
      <c r="B12464" s="75"/>
      <c r="C12464" s="75"/>
      <c r="D12464" s="75"/>
      <c r="E12464" s="75"/>
      <c r="F12464" s="75"/>
    </row>
    <row r="12465" spans="2:6">
      <c r="B12465" s="75"/>
      <c r="C12465" s="75"/>
      <c r="D12465" s="75"/>
      <c r="E12465" s="75"/>
      <c r="F12465" s="75"/>
    </row>
    <row r="12466" spans="2:6">
      <c r="B12466" s="75"/>
      <c r="C12466" s="75"/>
      <c r="D12466" s="75"/>
      <c r="E12466" s="75"/>
      <c r="F12466" s="75"/>
    </row>
    <row r="12467" spans="2:6">
      <c r="B12467" s="75"/>
      <c r="C12467" s="75"/>
      <c r="D12467" s="75"/>
      <c r="E12467" s="75"/>
      <c r="F12467" s="75"/>
    </row>
    <row r="12468" spans="2:6">
      <c r="B12468" s="75"/>
      <c r="C12468" s="75"/>
      <c r="D12468" s="75"/>
      <c r="E12468" s="75"/>
      <c r="F12468" s="75"/>
    </row>
    <row r="12469" spans="2:6">
      <c r="B12469" s="75"/>
      <c r="C12469" s="75"/>
      <c r="D12469" s="75"/>
      <c r="E12469" s="75"/>
      <c r="F12469" s="75"/>
    </row>
    <row r="12470" spans="2:6">
      <c r="B12470" s="75"/>
      <c r="C12470" s="75"/>
      <c r="D12470" s="75"/>
      <c r="E12470" s="75"/>
      <c r="F12470" s="75"/>
    </row>
    <row r="12471" spans="2:6">
      <c r="B12471" s="75"/>
      <c r="C12471" s="75"/>
      <c r="D12471" s="75"/>
      <c r="E12471" s="75"/>
      <c r="F12471" s="75"/>
    </row>
    <row r="12472" spans="2:6">
      <c r="B12472" s="75"/>
      <c r="C12472" s="75"/>
      <c r="D12472" s="75"/>
      <c r="E12472" s="75"/>
      <c r="F12472" s="75"/>
    </row>
    <row r="12473" spans="2:6">
      <c r="B12473" s="75"/>
      <c r="C12473" s="75"/>
      <c r="D12473" s="75"/>
      <c r="E12473" s="75"/>
      <c r="F12473" s="75"/>
    </row>
    <row r="12474" spans="2:6">
      <c r="B12474" s="75"/>
      <c r="C12474" s="75"/>
      <c r="D12474" s="75"/>
      <c r="E12474" s="75"/>
      <c r="F12474" s="75"/>
    </row>
    <row r="12475" spans="2:6">
      <c r="B12475" s="75"/>
      <c r="C12475" s="75"/>
      <c r="D12475" s="75"/>
      <c r="E12475" s="75"/>
      <c r="F12475" s="75"/>
    </row>
    <row r="12476" spans="2:6">
      <c r="B12476" s="75"/>
      <c r="C12476" s="75"/>
      <c r="D12476" s="75"/>
      <c r="E12476" s="75"/>
      <c r="F12476" s="75"/>
    </row>
    <row r="12477" spans="2:6">
      <c r="B12477" s="75"/>
      <c r="C12477" s="75"/>
      <c r="D12477" s="75"/>
      <c r="E12477" s="75"/>
      <c r="F12477" s="75"/>
    </row>
    <row r="12478" spans="2:6">
      <c r="B12478" s="75"/>
      <c r="C12478" s="75"/>
      <c r="D12478" s="75"/>
      <c r="E12478" s="75"/>
      <c r="F12478" s="75"/>
    </row>
    <row r="12479" spans="2:6">
      <c r="B12479" s="75"/>
      <c r="C12479" s="75"/>
      <c r="D12479" s="75"/>
      <c r="E12479" s="75"/>
      <c r="F12479" s="75"/>
    </row>
    <row r="12480" spans="2:6">
      <c r="B12480" s="75"/>
      <c r="C12480" s="75"/>
      <c r="D12480" s="75"/>
      <c r="E12480" s="75"/>
      <c r="F12480" s="75"/>
    </row>
    <row r="12481" spans="2:6">
      <c r="B12481" s="75"/>
      <c r="C12481" s="75"/>
      <c r="D12481" s="75"/>
      <c r="E12481" s="75"/>
      <c r="F12481" s="75"/>
    </row>
    <row r="12482" spans="2:6">
      <c r="B12482" s="75"/>
      <c r="C12482" s="75"/>
      <c r="D12482" s="75"/>
      <c r="E12482" s="75"/>
      <c r="F12482" s="75"/>
    </row>
    <row r="12483" spans="2:6">
      <c r="B12483" s="75"/>
      <c r="C12483" s="75"/>
      <c r="D12483" s="75"/>
      <c r="E12483" s="75"/>
      <c r="F12483" s="75"/>
    </row>
    <row r="12484" spans="2:6">
      <c r="B12484" s="75"/>
      <c r="C12484" s="75"/>
      <c r="D12484" s="75"/>
      <c r="E12484" s="75"/>
      <c r="F12484" s="75"/>
    </row>
    <row r="12485" spans="2:6">
      <c r="B12485" s="75"/>
      <c r="C12485" s="75"/>
      <c r="D12485" s="75"/>
      <c r="E12485" s="75"/>
      <c r="F12485" s="75"/>
    </row>
    <row r="12486" spans="2:6">
      <c r="B12486" s="75"/>
      <c r="C12486" s="75"/>
      <c r="D12486" s="75"/>
      <c r="E12486" s="75"/>
      <c r="F12486" s="75"/>
    </row>
    <row r="12487" spans="2:6">
      <c r="B12487" s="75"/>
      <c r="C12487" s="75"/>
      <c r="D12487" s="75"/>
      <c r="E12487" s="75"/>
      <c r="F12487" s="75"/>
    </row>
    <row r="12488" spans="2:6">
      <c r="B12488" s="75"/>
      <c r="C12488" s="75"/>
      <c r="D12488" s="75"/>
      <c r="E12488" s="75"/>
      <c r="F12488" s="75"/>
    </row>
    <row r="12489" spans="2:6">
      <c r="B12489" s="75"/>
      <c r="C12489" s="75"/>
      <c r="D12489" s="75"/>
      <c r="E12489" s="75"/>
      <c r="F12489" s="75"/>
    </row>
    <row r="12490" spans="2:6">
      <c r="B12490" s="75"/>
      <c r="C12490" s="75"/>
      <c r="D12490" s="75"/>
      <c r="E12490" s="75"/>
      <c r="F12490" s="75"/>
    </row>
    <row r="12491" spans="2:6">
      <c r="B12491" s="75"/>
      <c r="C12491" s="75"/>
      <c r="D12491" s="75"/>
      <c r="E12491" s="75"/>
      <c r="F12491" s="75"/>
    </row>
    <row r="12492" spans="2:6">
      <c r="B12492" s="75"/>
      <c r="C12492" s="75"/>
      <c r="D12492" s="75"/>
      <c r="E12492" s="75"/>
      <c r="F12492" s="75"/>
    </row>
    <row r="12493" spans="2:6">
      <c r="B12493" s="75"/>
      <c r="C12493" s="75"/>
      <c r="D12493" s="75"/>
      <c r="E12493" s="75"/>
      <c r="F12493" s="75"/>
    </row>
    <row r="12494" spans="2:6">
      <c r="B12494" s="75"/>
      <c r="C12494" s="75"/>
      <c r="D12494" s="75"/>
      <c r="E12494" s="75"/>
      <c r="F12494" s="75"/>
    </row>
    <row r="12495" spans="2:6">
      <c r="B12495" s="75"/>
      <c r="C12495" s="75"/>
      <c r="D12495" s="75"/>
      <c r="E12495" s="75"/>
      <c r="F12495" s="75"/>
    </row>
    <row r="12496" spans="2:6">
      <c r="B12496" s="75"/>
      <c r="C12496" s="75"/>
      <c r="D12496" s="75"/>
      <c r="E12496" s="75"/>
      <c r="F12496" s="75"/>
    </row>
    <row r="12497" spans="2:6">
      <c r="B12497" s="75"/>
      <c r="C12497" s="75"/>
      <c r="D12497" s="75"/>
      <c r="E12497" s="75"/>
      <c r="F12497" s="75"/>
    </row>
    <row r="12498" spans="2:6">
      <c r="B12498" s="75"/>
      <c r="C12498" s="75"/>
      <c r="D12498" s="75"/>
      <c r="E12498" s="75"/>
      <c r="F12498" s="75"/>
    </row>
    <row r="12499" spans="2:6">
      <c r="B12499" s="75"/>
      <c r="C12499" s="75"/>
      <c r="D12499" s="75"/>
      <c r="E12499" s="75"/>
      <c r="F12499" s="75"/>
    </row>
    <row r="12500" spans="2:6">
      <c r="B12500" s="75"/>
      <c r="C12500" s="75"/>
      <c r="D12500" s="75"/>
      <c r="E12500" s="75"/>
      <c r="F12500" s="75"/>
    </row>
    <row r="12501" spans="2:6">
      <c r="B12501" s="75"/>
      <c r="C12501" s="75"/>
      <c r="D12501" s="75"/>
      <c r="E12501" s="75"/>
      <c r="F12501" s="75"/>
    </row>
    <row r="12502" spans="2:6">
      <c r="B12502" s="75"/>
      <c r="C12502" s="75"/>
      <c r="D12502" s="75"/>
      <c r="E12502" s="75"/>
      <c r="F12502" s="75"/>
    </row>
    <row r="12503" spans="2:6">
      <c r="B12503" s="75"/>
      <c r="C12503" s="75"/>
      <c r="D12503" s="75"/>
      <c r="E12503" s="75"/>
      <c r="F12503" s="75"/>
    </row>
    <row r="12504" spans="2:6">
      <c r="B12504" s="75"/>
      <c r="C12504" s="75"/>
      <c r="D12504" s="75"/>
      <c r="E12504" s="75"/>
      <c r="F12504" s="75"/>
    </row>
    <row r="12505" spans="2:6">
      <c r="B12505" s="75"/>
      <c r="C12505" s="75"/>
      <c r="D12505" s="75"/>
      <c r="E12505" s="75"/>
      <c r="F12505" s="75"/>
    </row>
    <row r="12506" spans="2:6">
      <c r="B12506" s="75"/>
      <c r="C12506" s="75"/>
      <c r="D12506" s="75"/>
      <c r="E12506" s="75"/>
      <c r="F12506" s="75"/>
    </row>
    <row r="12507" spans="2:6">
      <c r="B12507" s="75"/>
      <c r="C12507" s="75"/>
      <c r="D12507" s="75"/>
      <c r="E12507" s="75"/>
      <c r="F12507" s="75"/>
    </row>
    <row r="12508" spans="2:6">
      <c r="B12508" s="75"/>
      <c r="C12508" s="75"/>
      <c r="D12508" s="75"/>
      <c r="E12508" s="75"/>
      <c r="F12508" s="75"/>
    </row>
    <row r="12509" spans="2:6">
      <c r="B12509" s="75"/>
      <c r="C12509" s="75"/>
      <c r="D12509" s="75"/>
      <c r="E12509" s="75"/>
      <c r="F12509" s="75"/>
    </row>
    <row r="12510" spans="2:6">
      <c r="B12510" s="75"/>
      <c r="C12510" s="75"/>
      <c r="D12510" s="75"/>
      <c r="E12510" s="75"/>
      <c r="F12510" s="75"/>
    </row>
    <row r="12511" spans="2:6">
      <c r="B12511" s="75"/>
      <c r="C12511" s="75"/>
      <c r="D12511" s="75"/>
      <c r="E12511" s="75"/>
      <c r="F12511" s="75"/>
    </row>
    <row r="12512" spans="2:6">
      <c r="B12512" s="75"/>
      <c r="C12512" s="75"/>
      <c r="D12512" s="75"/>
      <c r="E12512" s="75"/>
      <c r="F12512" s="75"/>
    </row>
    <row r="12513" spans="2:6">
      <c r="B12513" s="75"/>
      <c r="C12513" s="75"/>
      <c r="D12513" s="75"/>
      <c r="E12513" s="75"/>
      <c r="F12513" s="75"/>
    </row>
    <row r="12514" spans="2:6">
      <c r="B12514" s="75"/>
      <c r="C12514" s="75"/>
      <c r="D12514" s="75"/>
      <c r="E12514" s="75"/>
      <c r="F12514" s="75"/>
    </row>
    <row r="12515" spans="2:6">
      <c r="B12515" s="75"/>
      <c r="C12515" s="75"/>
      <c r="D12515" s="75"/>
      <c r="E12515" s="75"/>
      <c r="F12515" s="75"/>
    </row>
    <row r="12516" spans="2:6">
      <c r="B12516" s="75"/>
      <c r="C12516" s="75"/>
      <c r="D12516" s="75"/>
      <c r="E12516" s="75"/>
      <c r="F12516" s="75"/>
    </row>
    <row r="12517" spans="2:6">
      <c r="B12517" s="75"/>
      <c r="C12517" s="75"/>
      <c r="D12517" s="75"/>
      <c r="E12517" s="75"/>
      <c r="F12517" s="75"/>
    </row>
    <row r="12518" spans="2:6">
      <c r="B12518" s="75"/>
      <c r="C12518" s="75"/>
      <c r="D12518" s="75"/>
      <c r="E12518" s="75"/>
      <c r="F12518" s="75"/>
    </row>
    <row r="12519" spans="2:6">
      <c r="B12519" s="75"/>
      <c r="C12519" s="75"/>
      <c r="D12519" s="75"/>
      <c r="E12519" s="75"/>
      <c r="F12519" s="75"/>
    </row>
    <row r="12520" spans="2:6">
      <c r="B12520" s="75"/>
      <c r="C12520" s="75"/>
      <c r="D12520" s="75"/>
      <c r="E12520" s="75"/>
      <c r="F12520" s="75"/>
    </row>
    <row r="12521" spans="2:6">
      <c r="B12521" s="75"/>
      <c r="C12521" s="75"/>
      <c r="D12521" s="75"/>
      <c r="E12521" s="75"/>
      <c r="F12521" s="75"/>
    </row>
    <row r="12522" spans="2:6">
      <c r="B12522" s="75"/>
      <c r="C12522" s="75"/>
      <c r="D12522" s="75"/>
      <c r="E12522" s="75"/>
      <c r="F12522" s="75"/>
    </row>
    <row r="12523" spans="2:6">
      <c r="B12523" s="75"/>
      <c r="C12523" s="75"/>
      <c r="D12523" s="75"/>
      <c r="E12523" s="75"/>
      <c r="F12523" s="75"/>
    </row>
    <row r="12524" spans="2:6">
      <c r="B12524" s="75"/>
      <c r="C12524" s="75"/>
      <c r="D12524" s="75"/>
      <c r="E12524" s="75"/>
      <c r="F12524" s="75"/>
    </row>
    <row r="12525" spans="2:6">
      <c r="B12525" s="75"/>
      <c r="C12525" s="75"/>
      <c r="D12525" s="75"/>
      <c r="E12525" s="75"/>
      <c r="F12525" s="75"/>
    </row>
    <row r="12526" spans="2:6">
      <c r="B12526" s="75"/>
      <c r="C12526" s="75"/>
      <c r="D12526" s="75"/>
      <c r="E12526" s="75"/>
      <c r="F12526" s="75"/>
    </row>
    <row r="12527" spans="2:6">
      <c r="B12527" s="75"/>
      <c r="C12527" s="75"/>
      <c r="D12527" s="75"/>
      <c r="E12527" s="75"/>
      <c r="F12527" s="75"/>
    </row>
    <row r="12528" spans="2:6">
      <c r="B12528" s="75"/>
      <c r="C12528" s="75"/>
      <c r="D12528" s="75"/>
      <c r="E12528" s="75"/>
      <c r="F12528" s="75"/>
    </row>
    <row r="12529" spans="2:6">
      <c r="B12529" s="75"/>
      <c r="C12529" s="75"/>
      <c r="D12529" s="75"/>
      <c r="E12529" s="75"/>
      <c r="F12529" s="75"/>
    </row>
    <row r="12530" spans="2:6">
      <c r="B12530" s="75"/>
      <c r="C12530" s="75"/>
      <c r="D12530" s="75"/>
      <c r="E12530" s="75"/>
      <c r="F12530" s="75"/>
    </row>
    <row r="12531" spans="2:6">
      <c r="B12531" s="75"/>
      <c r="C12531" s="75"/>
      <c r="D12531" s="75"/>
      <c r="E12531" s="75"/>
      <c r="F12531" s="75"/>
    </row>
    <row r="12532" spans="2:6">
      <c r="B12532" s="75"/>
      <c r="C12532" s="75"/>
      <c r="D12532" s="75"/>
      <c r="E12532" s="75"/>
      <c r="F12532" s="75"/>
    </row>
    <row r="12533" spans="2:6">
      <c r="B12533" s="75"/>
      <c r="C12533" s="75"/>
      <c r="D12533" s="75"/>
      <c r="E12533" s="75"/>
      <c r="F12533" s="75"/>
    </row>
    <row r="12534" spans="2:6">
      <c r="B12534" s="75"/>
      <c r="C12534" s="75"/>
      <c r="D12534" s="75"/>
      <c r="E12534" s="75"/>
      <c r="F12534" s="75"/>
    </row>
    <row r="12535" spans="2:6">
      <c r="B12535" s="75"/>
      <c r="C12535" s="75"/>
      <c r="D12535" s="75"/>
      <c r="E12535" s="75"/>
      <c r="F12535" s="75"/>
    </row>
    <row r="12536" spans="2:6">
      <c r="B12536" s="75"/>
      <c r="C12536" s="75"/>
      <c r="D12536" s="75"/>
      <c r="E12536" s="75"/>
      <c r="F12536" s="75"/>
    </row>
    <row r="12537" spans="2:6">
      <c r="B12537" s="75"/>
      <c r="C12537" s="75"/>
      <c r="D12537" s="75"/>
      <c r="E12537" s="75"/>
      <c r="F12537" s="75"/>
    </row>
    <row r="12538" spans="2:6">
      <c r="B12538" s="75"/>
      <c r="C12538" s="75"/>
      <c r="D12538" s="75"/>
      <c r="E12538" s="75"/>
      <c r="F12538" s="75"/>
    </row>
    <row r="12539" spans="2:6">
      <c r="B12539" s="75"/>
      <c r="C12539" s="75"/>
      <c r="D12539" s="75"/>
      <c r="E12539" s="75"/>
      <c r="F12539" s="75"/>
    </row>
    <row r="12540" spans="2:6">
      <c r="B12540" s="75"/>
      <c r="C12540" s="75"/>
      <c r="D12540" s="75"/>
      <c r="E12540" s="75"/>
      <c r="F12540" s="75"/>
    </row>
    <row r="12541" spans="2:6">
      <c r="B12541" s="75"/>
      <c r="C12541" s="75"/>
      <c r="D12541" s="75"/>
      <c r="E12541" s="75"/>
      <c r="F12541" s="75"/>
    </row>
    <row r="12542" spans="2:6">
      <c r="B12542" s="75"/>
      <c r="C12542" s="75"/>
      <c r="D12542" s="75"/>
      <c r="E12542" s="75"/>
      <c r="F12542" s="75"/>
    </row>
    <row r="12543" spans="2:6">
      <c r="B12543" s="75"/>
      <c r="C12543" s="75"/>
      <c r="D12543" s="75"/>
      <c r="E12543" s="75"/>
      <c r="F12543" s="75"/>
    </row>
    <row r="12544" spans="2:6">
      <c r="B12544" s="75"/>
      <c r="C12544" s="75"/>
      <c r="D12544" s="75"/>
      <c r="E12544" s="75"/>
      <c r="F12544" s="75"/>
    </row>
    <row r="12545" spans="2:6">
      <c r="B12545" s="75"/>
      <c r="C12545" s="75"/>
      <c r="D12545" s="75"/>
      <c r="E12545" s="75"/>
      <c r="F12545" s="75"/>
    </row>
    <row r="12546" spans="2:6">
      <c r="B12546" s="75"/>
      <c r="C12546" s="75"/>
      <c r="D12546" s="75"/>
      <c r="E12546" s="75"/>
      <c r="F12546" s="75"/>
    </row>
    <row r="12547" spans="2:6">
      <c r="B12547" s="75"/>
      <c r="C12547" s="75"/>
      <c r="D12547" s="75"/>
      <c r="E12547" s="75"/>
      <c r="F12547" s="75"/>
    </row>
    <row r="12548" spans="2:6">
      <c r="B12548" s="75"/>
      <c r="C12548" s="75"/>
      <c r="D12548" s="75"/>
      <c r="E12548" s="75"/>
      <c r="F12548" s="75"/>
    </row>
    <row r="12549" spans="2:6">
      <c r="B12549" s="75"/>
      <c r="C12549" s="75"/>
      <c r="D12549" s="75"/>
      <c r="E12549" s="75"/>
      <c r="F12549" s="75"/>
    </row>
    <row r="12550" spans="2:6">
      <c r="B12550" s="75"/>
      <c r="C12550" s="75"/>
      <c r="D12550" s="75"/>
      <c r="E12550" s="75"/>
      <c r="F12550" s="75"/>
    </row>
    <row r="12551" spans="2:6">
      <c r="B12551" s="75"/>
      <c r="C12551" s="75"/>
      <c r="D12551" s="75"/>
      <c r="E12551" s="75"/>
      <c r="F12551" s="75"/>
    </row>
    <row r="12552" spans="2:6">
      <c r="B12552" s="75"/>
      <c r="C12552" s="75"/>
      <c r="D12552" s="75"/>
      <c r="E12552" s="75"/>
      <c r="F12552" s="75"/>
    </row>
    <row r="12553" spans="2:6">
      <c r="B12553" s="75"/>
      <c r="C12553" s="75"/>
      <c r="D12553" s="75"/>
      <c r="E12553" s="75"/>
      <c r="F12553" s="75"/>
    </row>
    <row r="12554" spans="2:6">
      <c r="B12554" s="75"/>
      <c r="C12554" s="75"/>
      <c r="D12554" s="75"/>
      <c r="E12554" s="75"/>
      <c r="F12554" s="75"/>
    </row>
    <row r="12555" spans="2:6">
      <c r="B12555" s="75"/>
      <c r="C12555" s="75"/>
      <c r="D12555" s="75"/>
      <c r="E12555" s="75"/>
      <c r="F12555" s="75"/>
    </row>
    <row r="12556" spans="2:6">
      <c r="B12556" s="75"/>
      <c r="C12556" s="75"/>
      <c r="D12556" s="75"/>
      <c r="E12556" s="75"/>
      <c r="F12556" s="75"/>
    </row>
    <row r="12557" spans="2:6">
      <c r="B12557" s="75"/>
      <c r="C12557" s="75"/>
      <c r="D12557" s="75"/>
      <c r="E12557" s="75"/>
      <c r="F12557" s="75"/>
    </row>
    <row r="12558" spans="2:6">
      <c r="B12558" s="75"/>
      <c r="C12558" s="75"/>
      <c r="D12558" s="75"/>
      <c r="E12558" s="75"/>
      <c r="F12558" s="75"/>
    </row>
    <row r="12559" spans="2:6">
      <c r="B12559" s="75"/>
      <c r="C12559" s="75"/>
      <c r="D12559" s="75"/>
      <c r="E12559" s="75"/>
      <c r="F12559" s="75"/>
    </row>
    <row r="12560" spans="2:6">
      <c r="B12560" s="75"/>
      <c r="C12560" s="75"/>
      <c r="D12560" s="75"/>
      <c r="E12560" s="75"/>
      <c r="F12560" s="75"/>
    </row>
    <row r="12561" spans="2:6">
      <c r="B12561" s="75"/>
      <c r="C12561" s="75"/>
      <c r="D12561" s="75"/>
      <c r="E12561" s="75"/>
      <c r="F12561" s="75"/>
    </row>
    <row r="12562" spans="2:6">
      <c r="B12562" s="75"/>
      <c r="C12562" s="75"/>
      <c r="D12562" s="75"/>
      <c r="E12562" s="75"/>
      <c r="F12562" s="75"/>
    </row>
    <row r="12563" spans="2:6">
      <c r="B12563" s="75"/>
      <c r="C12563" s="75"/>
      <c r="D12563" s="75"/>
      <c r="E12563" s="75"/>
      <c r="F12563" s="75"/>
    </row>
    <row r="12564" spans="2:6">
      <c r="B12564" s="75"/>
      <c r="C12564" s="75"/>
      <c r="D12564" s="75"/>
      <c r="E12564" s="75"/>
      <c r="F12564" s="75"/>
    </row>
    <row r="12565" spans="2:6">
      <c r="B12565" s="75"/>
      <c r="C12565" s="75"/>
      <c r="D12565" s="75"/>
      <c r="E12565" s="75"/>
      <c r="F12565" s="75"/>
    </row>
    <row r="12566" spans="2:6">
      <c r="B12566" s="75"/>
      <c r="C12566" s="75"/>
      <c r="D12566" s="75"/>
      <c r="E12566" s="75"/>
      <c r="F12566" s="75"/>
    </row>
    <row r="12567" spans="2:6">
      <c r="B12567" s="75"/>
      <c r="C12567" s="75"/>
      <c r="D12567" s="75"/>
      <c r="E12567" s="75"/>
      <c r="F12567" s="75"/>
    </row>
    <row r="12568" spans="2:6">
      <c r="B12568" s="75"/>
      <c r="C12568" s="75"/>
      <c r="D12568" s="75"/>
      <c r="E12568" s="75"/>
      <c r="F12568" s="75"/>
    </row>
    <row r="12569" spans="2:6">
      <c r="B12569" s="75"/>
      <c r="C12569" s="75"/>
      <c r="D12569" s="75"/>
      <c r="E12569" s="75"/>
      <c r="F12569" s="75"/>
    </row>
    <row r="12570" spans="2:6">
      <c r="B12570" s="75"/>
      <c r="C12570" s="75"/>
      <c r="D12570" s="75"/>
      <c r="E12570" s="75"/>
      <c r="F12570" s="75"/>
    </row>
    <row r="12571" spans="2:6">
      <c r="B12571" s="75"/>
      <c r="C12571" s="75"/>
      <c r="D12571" s="75"/>
      <c r="E12571" s="75"/>
      <c r="F12571" s="75"/>
    </row>
    <row r="12572" spans="2:6">
      <c r="B12572" s="75"/>
      <c r="C12572" s="75"/>
      <c r="D12572" s="75"/>
      <c r="E12572" s="75"/>
      <c r="F12572" s="75"/>
    </row>
    <row r="12573" spans="2:6">
      <c r="B12573" s="75"/>
      <c r="C12573" s="75"/>
      <c r="D12573" s="75"/>
      <c r="E12573" s="75"/>
      <c r="F12573" s="75"/>
    </row>
    <row r="12574" spans="2:6">
      <c r="B12574" s="75"/>
      <c r="C12574" s="75"/>
      <c r="D12574" s="75"/>
      <c r="E12574" s="75"/>
      <c r="F12574" s="75"/>
    </row>
    <row r="12575" spans="2:6">
      <c r="B12575" s="75"/>
      <c r="C12575" s="75"/>
      <c r="D12575" s="75"/>
      <c r="E12575" s="75"/>
      <c r="F12575" s="75"/>
    </row>
    <row r="12576" spans="2:6">
      <c r="B12576" s="75"/>
      <c r="C12576" s="75"/>
      <c r="D12576" s="75"/>
      <c r="E12576" s="75"/>
      <c r="F12576" s="75"/>
    </row>
    <row r="12577" spans="2:6">
      <c r="B12577" s="75"/>
      <c r="C12577" s="75"/>
      <c r="D12577" s="75"/>
      <c r="E12577" s="75"/>
      <c r="F12577" s="75"/>
    </row>
    <row r="12578" spans="2:6">
      <c r="B12578" s="75"/>
      <c r="C12578" s="75"/>
      <c r="D12578" s="75"/>
      <c r="E12578" s="75"/>
      <c r="F12578" s="75"/>
    </row>
    <row r="12579" spans="2:6">
      <c r="B12579" s="75"/>
      <c r="C12579" s="75"/>
      <c r="D12579" s="75"/>
      <c r="E12579" s="75"/>
      <c r="F12579" s="75"/>
    </row>
    <row r="12580" spans="2:6">
      <c r="B12580" s="75"/>
      <c r="C12580" s="75"/>
      <c r="D12580" s="75"/>
      <c r="E12580" s="75"/>
      <c r="F12580" s="75"/>
    </row>
    <row r="12581" spans="2:6">
      <c r="B12581" s="75"/>
      <c r="C12581" s="75"/>
      <c r="D12581" s="75"/>
      <c r="E12581" s="75"/>
      <c r="F12581" s="75"/>
    </row>
    <row r="12582" spans="2:6">
      <c r="B12582" s="75"/>
      <c r="C12582" s="75"/>
      <c r="D12582" s="75"/>
      <c r="E12582" s="75"/>
      <c r="F12582" s="75"/>
    </row>
    <row r="12583" spans="2:6">
      <c r="B12583" s="75"/>
      <c r="C12583" s="75"/>
      <c r="D12583" s="75"/>
      <c r="E12583" s="75"/>
      <c r="F12583" s="75"/>
    </row>
    <row r="12584" spans="2:6">
      <c r="B12584" s="75"/>
      <c r="C12584" s="75"/>
      <c r="D12584" s="75"/>
      <c r="E12584" s="75"/>
      <c r="F12584" s="75"/>
    </row>
    <row r="12585" spans="2:6">
      <c r="B12585" s="75"/>
      <c r="C12585" s="75"/>
      <c r="D12585" s="75"/>
      <c r="E12585" s="75"/>
      <c r="F12585" s="75"/>
    </row>
    <row r="12586" spans="2:6">
      <c r="B12586" s="75"/>
      <c r="C12586" s="75"/>
      <c r="D12586" s="75"/>
      <c r="E12586" s="75"/>
      <c r="F12586" s="75"/>
    </row>
    <row r="12587" spans="2:6">
      <c r="B12587" s="75"/>
      <c r="C12587" s="75"/>
      <c r="D12587" s="75"/>
      <c r="E12587" s="75"/>
      <c r="F12587" s="75"/>
    </row>
    <row r="12588" spans="2:6">
      <c r="B12588" s="75"/>
      <c r="C12588" s="75"/>
      <c r="D12588" s="75"/>
      <c r="E12588" s="75"/>
      <c r="F12588" s="75"/>
    </row>
    <row r="12589" spans="2:6">
      <c r="B12589" s="75"/>
      <c r="C12589" s="75"/>
      <c r="D12589" s="75"/>
      <c r="E12589" s="75"/>
      <c r="F12589" s="75"/>
    </row>
    <row r="12590" spans="2:6">
      <c r="B12590" s="75"/>
      <c r="C12590" s="75"/>
      <c r="D12590" s="75"/>
      <c r="E12590" s="75"/>
      <c r="F12590" s="75"/>
    </row>
    <row r="12591" spans="2:6">
      <c r="B12591" s="75"/>
      <c r="C12591" s="75"/>
      <c r="D12591" s="75"/>
      <c r="E12591" s="75"/>
      <c r="F12591" s="75"/>
    </row>
    <row r="12592" spans="2:6">
      <c r="B12592" s="75"/>
      <c r="C12592" s="75"/>
      <c r="D12592" s="75"/>
      <c r="E12592" s="75"/>
      <c r="F12592" s="75"/>
    </row>
    <row r="12593" spans="2:6">
      <c r="B12593" s="75"/>
      <c r="C12593" s="75"/>
      <c r="D12593" s="75"/>
      <c r="E12593" s="75"/>
      <c r="F12593" s="75"/>
    </row>
    <row r="12594" spans="2:6">
      <c r="B12594" s="75"/>
      <c r="C12594" s="75"/>
      <c r="D12594" s="75"/>
      <c r="E12594" s="75"/>
      <c r="F12594" s="75"/>
    </row>
    <row r="12595" spans="2:6">
      <c r="B12595" s="75"/>
      <c r="C12595" s="75"/>
      <c r="D12595" s="75"/>
      <c r="E12595" s="75"/>
      <c r="F12595" s="75"/>
    </row>
    <row r="12596" spans="2:6">
      <c r="B12596" s="75"/>
      <c r="C12596" s="75"/>
      <c r="D12596" s="75"/>
      <c r="E12596" s="75"/>
      <c r="F12596" s="75"/>
    </row>
    <row r="12597" spans="2:6">
      <c r="B12597" s="75"/>
      <c r="C12597" s="75"/>
      <c r="D12597" s="75"/>
      <c r="E12597" s="75"/>
      <c r="F12597" s="75"/>
    </row>
    <row r="12598" spans="2:6">
      <c r="B12598" s="75"/>
      <c r="C12598" s="75"/>
      <c r="D12598" s="75"/>
      <c r="E12598" s="75"/>
      <c r="F12598" s="75"/>
    </row>
    <row r="12599" spans="2:6">
      <c r="B12599" s="75"/>
      <c r="C12599" s="75"/>
      <c r="D12599" s="75"/>
      <c r="E12599" s="75"/>
      <c r="F12599" s="75"/>
    </row>
    <row r="12600" spans="2:6">
      <c r="B12600" s="75"/>
      <c r="C12600" s="75"/>
      <c r="D12600" s="75"/>
      <c r="E12600" s="75"/>
      <c r="F12600" s="75"/>
    </row>
    <row r="12601" spans="2:6">
      <c r="B12601" s="75"/>
      <c r="C12601" s="75"/>
      <c r="D12601" s="75"/>
      <c r="E12601" s="75"/>
      <c r="F12601" s="75"/>
    </row>
    <row r="12602" spans="2:6">
      <c r="B12602" s="75"/>
      <c r="C12602" s="75"/>
      <c r="D12602" s="75"/>
      <c r="E12602" s="75"/>
      <c r="F12602" s="75"/>
    </row>
    <row r="12603" spans="2:6">
      <c r="B12603" s="75"/>
      <c r="C12603" s="75"/>
      <c r="D12603" s="75"/>
      <c r="E12603" s="75"/>
      <c r="F12603" s="75"/>
    </row>
    <row r="12604" spans="2:6">
      <c r="B12604" s="75"/>
      <c r="C12604" s="75"/>
      <c r="D12604" s="75"/>
      <c r="E12604" s="75"/>
      <c r="F12604" s="75"/>
    </row>
    <row r="12605" spans="2:6">
      <c r="B12605" s="75"/>
      <c r="C12605" s="75"/>
      <c r="D12605" s="75"/>
      <c r="E12605" s="75"/>
      <c r="F12605" s="75"/>
    </row>
    <row r="12606" spans="2:6">
      <c r="B12606" s="75"/>
      <c r="C12606" s="75"/>
      <c r="D12606" s="75"/>
      <c r="E12606" s="75"/>
      <c r="F12606" s="75"/>
    </row>
    <row r="12607" spans="2:6">
      <c r="B12607" s="75"/>
      <c r="C12607" s="75"/>
      <c r="D12607" s="75"/>
      <c r="E12607" s="75"/>
      <c r="F12607" s="75"/>
    </row>
    <row r="12608" spans="2:6">
      <c r="B12608" s="75"/>
      <c r="C12608" s="75"/>
      <c r="D12608" s="75"/>
      <c r="E12608" s="75"/>
      <c r="F12608" s="75"/>
    </row>
    <row r="12609" spans="2:6">
      <c r="B12609" s="75"/>
      <c r="C12609" s="75"/>
      <c r="D12609" s="75"/>
      <c r="E12609" s="75"/>
      <c r="F12609" s="75"/>
    </row>
    <row r="12610" spans="2:6">
      <c r="B12610" s="75"/>
      <c r="C12610" s="75"/>
      <c r="D12610" s="75"/>
      <c r="E12610" s="75"/>
      <c r="F12610" s="75"/>
    </row>
    <row r="12611" spans="2:6">
      <c r="B12611" s="75"/>
      <c r="C12611" s="75"/>
      <c r="D12611" s="75"/>
      <c r="E12611" s="75"/>
      <c r="F12611" s="75"/>
    </row>
    <row r="12612" spans="2:6">
      <c r="B12612" s="75"/>
      <c r="C12612" s="75"/>
      <c r="D12612" s="75"/>
      <c r="E12612" s="75"/>
      <c r="F12612" s="75"/>
    </row>
    <row r="12613" spans="2:6">
      <c r="B12613" s="75"/>
      <c r="C12613" s="75"/>
      <c r="D12613" s="75"/>
      <c r="E12613" s="75"/>
      <c r="F12613" s="75"/>
    </row>
    <row r="12614" spans="2:6">
      <c r="B12614" s="75"/>
      <c r="C12614" s="75"/>
      <c r="D12614" s="75"/>
      <c r="E12614" s="75"/>
      <c r="F12614" s="75"/>
    </row>
    <row r="12615" spans="2:6">
      <c r="B12615" s="75"/>
      <c r="C12615" s="75"/>
      <c r="D12615" s="75"/>
      <c r="E12615" s="75"/>
      <c r="F12615" s="75"/>
    </row>
    <row r="12616" spans="2:6">
      <c r="B12616" s="75"/>
      <c r="C12616" s="75"/>
      <c r="D12616" s="75"/>
      <c r="E12616" s="75"/>
      <c r="F12616" s="75"/>
    </row>
    <row r="12617" spans="2:6">
      <c r="B12617" s="75"/>
      <c r="C12617" s="75"/>
      <c r="D12617" s="75"/>
      <c r="E12617" s="75"/>
      <c r="F12617" s="75"/>
    </row>
    <row r="12618" spans="2:6">
      <c r="B12618" s="75"/>
      <c r="C12618" s="75"/>
      <c r="D12618" s="75"/>
      <c r="E12618" s="75"/>
      <c r="F12618" s="75"/>
    </row>
    <row r="12619" spans="2:6">
      <c r="B12619" s="75"/>
      <c r="C12619" s="75"/>
      <c r="D12619" s="75"/>
      <c r="E12619" s="75"/>
      <c r="F12619" s="75"/>
    </row>
    <row r="12620" spans="2:6">
      <c r="B12620" s="75"/>
      <c r="C12620" s="75"/>
      <c r="D12620" s="75"/>
      <c r="E12620" s="75"/>
      <c r="F12620" s="75"/>
    </row>
    <row r="12621" spans="2:6">
      <c r="B12621" s="75"/>
      <c r="C12621" s="75"/>
      <c r="D12621" s="75"/>
      <c r="E12621" s="75"/>
      <c r="F12621" s="75"/>
    </row>
    <row r="12622" spans="2:6">
      <c r="B12622" s="75"/>
      <c r="C12622" s="75"/>
      <c r="D12622" s="75"/>
      <c r="E12622" s="75"/>
      <c r="F12622" s="75"/>
    </row>
    <row r="12623" spans="2:6">
      <c r="B12623" s="75"/>
      <c r="C12623" s="75"/>
      <c r="D12623" s="75"/>
      <c r="E12623" s="75"/>
      <c r="F12623" s="75"/>
    </row>
    <row r="12624" spans="2:6">
      <c r="B12624" s="75"/>
      <c r="C12624" s="75"/>
      <c r="D12624" s="75"/>
      <c r="E12624" s="75"/>
      <c r="F12624" s="75"/>
    </row>
    <row r="12625" spans="2:6">
      <c r="B12625" s="75"/>
      <c r="C12625" s="75"/>
      <c r="D12625" s="75"/>
      <c r="E12625" s="75"/>
      <c r="F12625" s="75"/>
    </row>
    <row r="12626" spans="2:6">
      <c r="B12626" s="75"/>
      <c r="C12626" s="75"/>
      <c r="D12626" s="75"/>
      <c r="E12626" s="75"/>
      <c r="F12626" s="75"/>
    </row>
    <row r="12627" spans="2:6">
      <c r="B12627" s="75"/>
      <c r="C12627" s="75"/>
      <c r="D12627" s="75"/>
      <c r="E12627" s="75"/>
      <c r="F12627" s="75"/>
    </row>
    <row r="12628" spans="2:6">
      <c r="B12628" s="75"/>
      <c r="C12628" s="75"/>
      <c r="D12628" s="75"/>
      <c r="E12628" s="75"/>
      <c r="F12628" s="75"/>
    </row>
    <row r="12629" spans="2:6">
      <c r="B12629" s="75"/>
      <c r="C12629" s="75"/>
      <c r="D12629" s="75"/>
      <c r="E12629" s="75"/>
      <c r="F12629" s="75"/>
    </row>
    <row r="12630" spans="2:6">
      <c r="B12630" s="75"/>
      <c r="C12630" s="75"/>
      <c r="D12630" s="75"/>
      <c r="E12630" s="75"/>
      <c r="F12630" s="75"/>
    </row>
    <row r="12631" spans="2:6">
      <c r="B12631" s="75"/>
      <c r="C12631" s="75"/>
      <c r="D12631" s="75"/>
      <c r="E12631" s="75"/>
      <c r="F12631" s="75"/>
    </row>
    <row r="12632" spans="2:6">
      <c r="B12632" s="75"/>
      <c r="C12632" s="75"/>
      <c r="D12632" s="75"/>
      <c r="E12632" s="75"/>
      <c r="F12632" s="75"/>
    </row>
    <row r="12633" spans="2:6">
      <c r="B12633" s="75"/>
      <c r="C12633" s="75"/>
      <c r="D12633" s="75"/>
      <c r="E12633" s="75"/>
      <c r="F12633" s="75"/>
    </row>
    <row r="12634" spans="2:6">
      <c r="B12634" s="75"/>
      <c r="C12634" s="75"/>
      <c r="D12634" s="75"/>
      <c r="E12634" s="75"/>
      <c r="F12634" s="75"/>
    </row>
    <row r="12635" spans="2:6">
      <c r="B12635" s="75"/>
      <c r="C12635" s="75"/>
      <c r="D12635" s="75"/>
      <c r="E12635" s="75"/>
      <c r="F12635" s="75"/>
    </row>
    <row r="12636" spans="2:6">
      <c r="B12636" s="75"/>
      <c r="C12636" s="75"/>
      <c r="D12636" s="75"/>
      <c r="E12636" s="75"/>
      <c r="F12636" s="75"/>
    </row>
    <row r="12637" spans="2:6">
      <c r="B12637" s="75"/>
      <c r="C12637" s="75"/>
      <c r="D12637" s="75"/>
      <c r="E12637" s="75"/>
      <c r="F12637" s="75"/>
    </row>
    <row r="12638" spans="2:6">
      <c r="B12638" s="75"/>
      <c r="C12638" s="75"/>
      <c r="D12638" s="75"/>
      <c r="E12638" s="75"/>
      <c r="F12638" s="75"/>
    </row>
    <row r="12639" spans="2:6">
      <c r="B12639" s="75"/>
      <c r="C12639" s="75"/>
      <c r="D12639" s="75"/>
      <c r="E12639" s="75"/>
      <c r="F12639" s="75"/>
    </row>
    <row r="12640" spans="2:6">
      <c r="B12640" s="75"/>
      <c r="C12640" s="75"/>
      <c r="D12640" s="75"/>
      <c r="E12640" s="75"/>
      <c r="F12640" s="75"/>
    </row>
    <row r="12641" spans="2:6">
      <c r="B12641" s="75"/>
      <c r="C12641" s="75"/>
      <c r="D12641" s="75"/>
      <c r="E12641" s="75"/>
      <c r="F12641" s="75"/>
    </row>
    <row r="12642" spans="2:6">
      <c r="B12642" s="75"/>
      <c r="C12642" s="75"/>
      <c r="D12642" s="75"/>
      <c r="E12642" s="75"/>
      <c r="F12642" s="75"/>
    </row>
    <row r="12643" spans="2:6">
      <c r="B12643" s="75"/>
      <c r="C12643" s="75"/>
      <c r="D12643" s="75"/>
      <c r="E12643" s="75"/>
      <c r="F12643" s="75"/>
    </row>
    <row r="12644" spans="2:6">
      <c r="B12644" s="75"/>
      <c r="C12644" s="75"/>
      <c r="D12644" s="75"/>
      <c r="E12644" s="75"/>
      <c r="F12644" s="75"/>
    </row>
    <row r="12645" spans="2:6">
      <c r="B12645" s="75"/>
      <c r="C12645" s="75"/>
      <c r="D12645" s="75"/>
      <c r="E12645" s="75"/>
      <c r="F12645" s="75"/>
    </row>
    <row r="12646" spans="2:6">
      <c r="B12646" s="75"/>
      <c r="C12646" s="75"/>
      <c r="D12646" s="75"/>
      <c r="E12646" s="75"/>
      <c r="F12646" s="75"/>
    </row>
    <row r="12647" spans="2:6">
      <c r="B12647" s="75"/>
      <c r="C12647" s="75"/>
      <c r="D12647" s="75"/>
      <c r="E12647" s="75"/>
      <c r="F12647" s="75"/>
    </row>
    <row r="12648" spans="2:6">
      <c r="B12648" s="75"/>
      <c r="C12648" s="75"/>
      <c r="D12648" s="75"/>
      <c r="E12648" s="75"/>
      <c r="F12648" s="75"/>
    </row>
    <row r="12649" spans="2:6">
      <c r="B12649" s="75"/>
      <c r="C12649" s="75"/>
      <c r="D12649" s="75"/>
      <c r="E12649" s="75"/>
      <c r="F12649" s="75"/>
    </row>
    <row r="12650" spans="2:6">
      <c r="B12650" s="75"/>
      <c r="C12650" s="75"/>
      <c r="D12650" s="75"/>
      <c r="E12650" s="75"/>
      <c r="F12650" s="75"/>
    </row>
    <row r="12651" spans="2:6">
      <c r="B12651" s="75"/>
      <c r="C12651" s="75"/>
      <c r="D12651" s="75"/>
      <c r="E12651" s="75"/>
      <c r="F12651" s="75"/>
    </row>
    <row r="12652" spans="2:6">
      <c r="B12652" s="75"/>
      <c r="C12652" s="75"/>
      <c r="D12652" s="75"/>
      <c r="E12652" s="75"/>
      <c r="F12652" s="75"/>
    </row>
    <row r="12653" spans="2:6">
      <c r="B12653" s="75"/>
      <c r="C12653" s="75"/>
      <c r="D12653" s="75"/>
      <c r="E12653" s="75"/>
      <c r="F12653" s="75"/>
    </row>
    <row r="12654" spans="2:6">
      <c r="B12654" s="75"/>
      <c r="C12654" s="75"/>
      <c r="D12654" s="75"/>
      <c r="E12654" s="75"/>
      <c r="F12654" s="75"/>
    </row>
    <row r="12655" spans="2:6">
      <c r="B12655" s="75"/>
      <c r="C12655" s="75"/>
      <c r="D12655" s="75"/>
      <c r="E12655" s="75"/>
      <c r="F12655" s="75"/>
    </row>
    <row r="12656" spans="2:6">
      <c r="B12656" s="75"/>
      <c r="C12656" s="75"/>
      <c r="D12656" s="75"/>
      <c r="E12656" s="75"/>
      <c r="F12656" s="75"/>
    </row>
    <row r="12657" spans="2:6">
      <c r="B12657" s="75"/>
      <c r="C12657" s="75"/>
      <c r="D12657" s="75"/>
      <c r="E12657" s="75"/>
      <c r="F12657" s="75"/>
    </row>
    <row r="12658" spans="2:6">
      <c r="B12658" s="75"/>
      <c r="C12658" s="75"/>
      <c r="D12658" s="75"/>
      <c r="E12658" s="75"/>
      <c r="F12658" s="75"/>
    </row>
    <row r="12659" spans="2:6">
      <c r="B12659" s="75"/>
      <c r="C12659" s="75"/>
      <c r="D12659" s="75"/>
      <c r="E12659" s="75"/>
      <c r="F12659" s="75"/>
    </row>
    <row r="12660" spans="2:6">
      <c r="B12660" s="75"/>
      <c r="C12660" s="75"/>
      <c r="D12660" s="75"/>
      <c r="E12660" s="75"/>
      <c r="F12660" s="75"/>
    </row>
    <row r="12661" spans="2:6">
      <c r="B12661" s="75"/>
      <c r="C12661" s="75"/>
      <c r="D12661" s="75"/>
      <c r="E12661" s="75"/>
      <c r="F12661" s="75"/>
    </row>
    <row r="12662" spans="2:6">
      <c r="B12662" s="75"/>
      <c r="C12662" s="75"/>
      <c r="D12662" s="75"/>
      <c r="E12662" s="75"/>
      <c r="F12662" s="75"/>
    </row>
    <row r="12663" spans="2:6">
      <c r="B12663" s="75"/>
      <c r="C12663" s="75"/>
      <c r="D12663" s="75"/>
      <c r="E12663" s="75"/>
      <c r="F12663" s="75"/>
    </row>
    <row r="12664" spans="2:6">
      <c r="B12664" s="75"/>
      <c r="C12664" s="75"/>
      <c r="D12664" s="75"/>
      <c r="E12664" s="75"/>
      <c r="F12664" s="75"/>
    </row>
    <row r="12665" spans="2:6">
      <c r="B12665" s="75"/>
      <c r="C12665" s="75"/>
      <c r="D12665" s="75"/>
      <c r="E12665" s="75"/>
      <c r="F12665" s="75"/>
    </row>
    <row r="12666" spans="2:6">
      <c r="B12666" s="75"/>
      <c r="C12666" s="75"/>
      <c r="D12666" s="75"/>
      <c r="E12666" s="75"/>
      <c r="F12666" s="75"/>
    </row>
    <row r="12667" spans="2:6">
      <c r="B12667" s="75"/>
      <c r="C12667" s="75"/>
      <c r="D12667" s="75"/>
      <c r="E12667" s="75"/>
      <c r="F12667" s="75"/>
    </row>
    <row r="12668" spans="2:6">
      <c r="B12668" s="75"/>
      <c r="C12668" s="75"/>
      <c r="D12668" s="75"/>
      <c r="E12668" s="75"/>
      <c r="F12668" s="75"/>
    </row>
    <row r="12669" spans="2:6">
      <c r="B12669" s="75"/>
      <c r="C12669" s="75"/>
      <c r="D12669" s="75"/>
      <c r="E12669" s="75"/>
      <c r="F12669" s="75"/>
    </row>
    <row r="12670" spans="2:6">
      <c r="B12670" s="75"/>
      <c r="C12670" s="75"/>
      <c r="D12670" s="75"/>
      <c r="E12670" s="75"/>
      <c r="F12670" s="75"/>
    </row>
    <row r="12671" spans="2:6">
      <c r="B12671" s="75"/>
      <c r="C12671" s="75"/>
      <c r="D12671" s="75"/>
      <c r="E12671" s="75"/>
      <c r="F12671" s="75"/>
    </row>
    <row r="12672" spans="2:6">
      <c r="B12672" s="75"/>
      <c r="C12672" s="75"/>
      <c r="D12672" s="75"/>
      <c r="E12672" s="75"/>
      <c r="F12672" s="75"/>
    </row>
    <row r="12673" spans="2:6">
      <c r="B12673" s="75"/>
      <c r="C12673" s="75"/>
      <c r="D12673" s="75"/>
      <c r="E12673" s="75"/>
      <c r="F12673" s="75"/>
    </row>
    <row r="12674" spans="2:6">
      <c r="B12674" s="75"/>
      <c r="C12674" s="75"/>
      <c r="D12674" s="75"/>
      <c r="E12674" s="75"/>
      <c r="F12674" s="75"/>
    </row>
    <row r="12675" spans="2:6">
      <c r="B12675" s="75"/>
      <c r="C12675" s="75"/>
      <c r="D12675" s="75"/>
      <c r="E12675" s="75"/>
      <c r="F12675" s="75"/>
    </row>
    <row r="12676" spans="2:6">
      <c r="B12676" s="75"/>
      <c r="C12676" s="75"/>
      <c r="D12676" s="75"/>
      <c r="E12676" s="75"/>
      <c r="F12676" s="75"/>
    </row>
    <row r="12677" spans="2:6">
      <c r="B12677" s="75"/>
      <c r="C12677" s="75"/>
      <c r="D12677" s="75"/>
      <c r="E12677" s="75"/>
      <c r="F12677" s="75"/>
    </row>
    <row r="12678" spans="2:6">
      <c r="B12678" s="75"/>
      <c r="C12678" s="75"/>
      <c r="D12678" s="75"/>
      <c r="E12678" s="75"/>
      <c r="F12678" s="75"/>
    </row>
    <row r="12679" spans="2:6">
      <c r="B12679" s="75"/>
      <c r="C12679" s="75"/>
      <c r="D12679" s="75"/>
      <c r="E12679" s="75"/>
      <c r="F12679" s="75"/>
    </row>
    <row r="12680" spans="2:6">
      <c r="B12680" s="75"/>
      <c r="C12680" s="75"/>
      <c r="D12680" s="75"/>
      <c r="E12680" s="75"/>
      <c r="F12680" s="75"/>
    </row>
    <row r="12681" spans="2:6">
      <c r="B12681" s="75"/>
      <c r="C12681" s="75"/>
      <c r="D12681" s="75"/>
      <c r="E12681" s="75"/>
      <c r="F12681" s="75"/>
    </row>
    <row r="12682" spans="2:6">
      <c r="B12682" s="75"/>
      <c r="C12682" s="75"/>
      <c r="D12682" s="75"/>
      <c r="E12682" s="75"/>
      <c r="F12682" s="75"/>
    </row>
    <row r="12683" spans="2:6">
      <c r="B12683" s="75"/>
      <c r="C12683" s="75"/>
      <c r="D12683" s="75"/>
      <c r="E12683" s="75"/>
      <c r="F12683" s="75"/>
    </row>
    <row r="12684" spans="2:6">
      <c r="B12684" s="75"/>
      <c r="C12684" s="75"/>
      <c r="D12684" s="75"/>
      <c r="E12684" s="75"/>
      <c r="F12684" s="75"/>
    </row>
    <row r="12685" spans="2:6">
      <c r="B12685" s="75"/>
      <c r="C12685" s="75"/>
      <c r="D12685" s="75"/>
      <c r="E12685" s="75"/>
      <c r="F12685" s="75"/>
    </row>
    <row r="12686" spans="2:6">
      <c r="B12686" s="75"/>
      <c r="C12686" s="75"/>
      <c r="D12686" s="75"/>
      <c r="E12686" s="75"/>
      <c r="F12686" s="75"/>
    </row>
    <row r="12687" spans="2:6">
      <c r="B12687" s="75"/>
      <c r="C12687" s="75"/>
      <c r="D12687" s="75"/>
      <c r="E12687" s="75"/>
      <c r="F12687" s="75"/>
    </row>
    <row r="12688" spans="2:6">
      <c r="B12688" s="75"/>
      <c r="C12688" s="75"/>
      <c r="D12688" s="75"/>
      <c r="E12688" s="75"/>
      <c r="F12688" s="75"/>
    </row>
    <row r="12689" spans="2:6">
      <c r="B12689" s="75"/>
      <c r="C12689" s="75"/>
      <c r="D12689" s="75"/>
      <c r="E12689" s="75"/>
      <c r="F12689" s="75"/>
    </row>
    <row r="12690" spans="2:6">
      <c r="B12690" s="75"/>
      <c r="C12690" s="75"/>
      <c r="D12690" s="75"/>
      <c r="E12690" s="75"/>
      <c r="F12690" s="75"/>
    </row>
    <row r="12691" spans="2:6">
      <c r="B12691" s="75"/>
      <c r="C12691" s="75"/>
      <c r="D12691" s="75"/>
      <c r="E12691" s="75"/>
      <c r="F12691" s="75"/>
    </row>
    <row r="12692" spans="2:6">
      <c r="B12692" s="75"/>
      <c r="C12692" s="75"/>
      <c r="D12692" s="75"/>
      <c r="E12692" s="75"/>
      <c r="F12692" s="75"/>
    </row>
    <row r="12693" spans="2:6">
      <c r="B12693" s="75"/>
      <c r="C12693" s="75"/>
      <c r="D12693" s="75"/>
      <c r="E12693" s="75"/>
      <c r="F12693" s="75"/>
    </row>
    <row r="12694" spans="2:6">
      <c r="B12694" s="75"/>
      <c r="C12694" s="75"/>
      <c r="D12694" s="75"/>
      <c r="E12694" s="75"/>
      <c r="F12694" s="75"/>
    </row>
    <row r="12695" spans="2:6">
      <c r="B12695" s="75"/>
      <c r="C12695" s="75"/>
      <c r="D12695" s="75"/>
      <c r="E12695" s="75"/>
      <c r="F12695" s="75"/>
    </row>
    <row r="12696" spans="2:6">
      <c r="B12696" s="75"/>
      <c r="C12696" s="75"/>
      <c r="D12696" s="75"/>
      <c r="E12696" s="75"/>
      <c r="F12696" s="75"/>
    </row>
    <row r="12697" spans="2:6">
      <c r="B12697" s="75"/>
      <c r="C12697" s="75"/>
      <c r="D12697" s="75"/>
      <c r="E12697" s="75"/>
      <c r="F12697" s="75"/>
    </row>
    <row r="12698" spans="2:6">
      <c r="B12698" s="75"/>
      <c r="C12698" s="75"/>
      <c r="D12698" s="75"/>
      <c r="E12698" s="75"/>
      <c r="F12698" s="75"/>
    </row>
    <row r="12699" spans="2:6">
      <c r="B12699" s="75"/>
      <c r="C12699" s="75"/>
      <c r="D12699" s="75"/>
      <c r="E12699" s="75"/>
      <c r="F12699" s="75"/>
    </row>
    <row r="12700" spans="2:6">
      <c r="B12700" s="75"/>
      <c r="C12700" s="75"/>
      <c r="D12700" s="75"/>
      <c r="E12700" s="75"/>
      <c r="F12700" s="75"/>
    </row>
    <row r="12701" spans="2:6">
      <c r="B12701" s="75"/>
      <c r="C12701" s="75"/>
      <c r="D12701" s="75"/>
      <c r="E12701" s="75"/>
      <c r="F12701" s="75"/>
    </row>
    <row r="12702" spans="2:6">
      <c r="B12702" s="75"/>
      <c r="C12702" s="75"/>
      <c r="D12702" s="75"/>
      <c r="E12702" s="75"/>
      <c r="F12702" s="75"/>
    </row>
    <row r="12703" spans="2:6">
      <c r="B12703" s="75"/>
      <c r="C12703" s="75"/>
      <c r="D12703" s="75"/>
      <c r="E12703" s="75"/>
      <c r="F12703" s="75"/>
    </row>
    <row r="12704" spans="2:6">
      <c r="B12704" s="75"/>
      <c r="C12704" s="75"/>
      <c r="D12704" s="75"/>
      <c r="E12704" s="75"/>
      <c r="F12704" s="75"/>
    </row>
    <row r="12705" spans="2:6">
      <c r="B12705" s="75"/>
      <c r="C12705" s="75"/>
      <c r="D12705" s="75"/>
      <c r="E12705" s="75"/>
      <c r="F12705" s="75"/>
    </row>
    <row r="12706" spans="2:6">
      <c r="B12706" s="75"/>
      <c r="C12706" s="75"/>
      <c r="D12706" s="75"/>
      <c r="E12706" s="75"/>
      <c r="F12706" s="75"/>
    </row>
    <row r="12707" spans="2:6">
      <c r="B12707" s="75"/>
      <c r="C12707" s="75"/>
      <c r="D12707" s="75"/>
      <c r="E12707" s="75"/>
      <c r="F12707" s="75"/>
    </row>
    <row r="12708" spans="2:6">
      <c r="B12708" s="75"/>
      <c r="C12708" s="75"/>
      <c r="D12708" s="75"/>
      <c r="E12708" s="75"/>
      <c r="F12708" s="75"/>
    </row>
    <row r="12709" spans="2:6">
      <c r="B12709" s="75"/>
      <c r="C12709" s="75"/>
      <c r="D12709" s="75"/>
      <c r="E12709" s="75"/>
      <c r="F12709" s="75"/>
    </row>
    <row r="12710" spans="2:6">
      <c r="B12710" s="75"/>
      <c r="C12710" s="75"/>
      <c r="D12710" s="75"/>
      <c r="E12710" s="75"/>
      <c r="F12710" s="75"/>
    </row>
    <row r="12711" spans="2:6">
      <c r="B12711" s="75"/>
      <c r="C12711" s="75"/>
      <c r="D12711" s="75"/>
      <c r="E12711" s="75"/>
      <c r="F12711" s="75"/>
    </row>
    <row r="12712" spans="2:6">
      <c r="B12712" s="75"/>
      <c r="C12712" s="75"/>
      <c r="D12712" s="75"/>
      <c r="E12712" s="75"/>
      <c r="F12712" s="75"/>
    </row>
    <row r="12713" spans="2:6">
      <c r="B12713" s="75"/>
      <c r="C12713" s="75"/>
      <c r="D12713" s="75"/>
      <c r="E12713" s="75"/>
      <c r="F12713" s="75"/>
    </row>
    <row r="12714" spans="2:6">
      <c r="B12714" s="75"/>
      <c r="C12714" s="75"/>
      <c r="D12714" s="75"/>
      <c r="E12714" s="75"/>
      <c r="F12714" s="75"/>
    </row>
    <row r="12715" spans="2:6">
      <c r="B12715" s="75"/>
      <c r="C12715" s="75"/>
      <c r="D12715" s="75"/>
      <c r="E12715" s="75"/>
      <c r="F12715" s="75"/>
    </row>
    <row r="12716" spans="2:6">
      <c r="B12716" s="75"/>
      <c r="C12716" s="75"/>
      <c r="D12716" s="75"/>
      <c r="E12716" s="75"/>
      <c r="F12716" s="75"/>
    </row>
    <row r="12717" spans="2:6">
      <c r="B12717" s="75"/>
      <c r="C12717" s="75"/>
      <c r="D12717" s="75"/>
      <c r="E12717" s="75"/>
      <c r="F12717" s="75"/>
    </row>
    <row r="12718" spans="2:6">
      <c r="B12718" s="75"/>
      <c r="C12718" s="75"/>
      <c r="D12718" s="75"/>
      <c r="E12718" s="75"/>
      <c r="F12718" s="75"/>
    </row>
    <row r="12719" spans="2:6">
      <c r="B12719" s="75"/>
      <c r="C12719" s="75"/>
      <c r="D12719" s="75"/>
      <c r="E12719" s="75"/>
      <c r="F12719" s="75"/>
    </row>
    <row r="12720" spans="2:6">
      <c r="B12720" s="75"/>
      <c r="C12720" s="75"/>
      <c r="D12720" s="75"/>
      <c r="E12720" s="75"/>
      <c r="F12720" s="75"/>
    </row>
    <row r="12721" spans="2:6">
      <c r="B12721" s="75"/>
      <c r="C12721" s="75"/>
      <c r="D12721" s="75"/>
      <c r="E12721" s="75"/>
      <c r="F12721" s="75"/>
    </row>
    <row r="12722" spans="2:6">
      <c r="B12722" s="75"/>
      <c r="C12722" s="75"/>
      <c r="D12722" s="75"/>
      <c r="E12722" s="75"/>
      <c r="F12722" s="75"/>
    </row>
    <row r="12723" spans="2:6">
      <c r="B12723" s="75"/>
      <c r="C12723" s="75"/>
      <c r="D12723" s="75"/>
      <c r="E12723" s="75"/>
      <c r="F12723" s="75"/>
    </row>
    <row r="12724" spans="2:6">
      <c r="B12724" s="75"/>
      <c r="C12724" s="75"/>
      <c r="D12724" s="75"/>
      <c r="E12724" s="75"/>
      <c r="F12724" s="75"/>
    </row>
    <row r="12725" spans="2:6">
      <c r="B12725" s="75"/>
      <c r="C12725" s="75"/>
      <c r="D12725" s="75"/>
      <c r="E12725" s="75"/>
      <c r="F12725" s="75"/>
    </row>
    <row r="12726" spans="2:6">
      <c r="B12726" s="75"/>
      <c r="C12726" s="75"/>
      <c r="D12726" s="75"/>
      <c r="E12726" s="75"/>
      <c r="F12726" s="75"/>
    </row>
    <row r="12727" spans="2:6">
      <c r="B12727" s="75"/>
      <c r="C12727" s="75"/>
      <c r="D12727" s="75"/>
      <c r="E12727" s="75"/>
      <c r="F12727" s="75"/>
    </row>
    <row r="12728" spans="2:6">
      <c r="B12728" s="75"/>
      <c r="C12728" s="75"/>
      <c r="D12728" s="75"/>
      <c r="E12728" s="75"/>
      <c r="F12728" s="75"/>
    </row>
    <row r="12729" spans="2:6">
      <c r="B12729" s="75"/>
      <c r="C12729" s="75"/>
      <c r="D12729" s="75"/>
      <c r="E12729" s="75"/>
      <c r="F12729" s="75"/>
    </row>
    <row r="12730" spans="2:6">
      <c r="B12730" s="75"/>
      <c r="C12730" s="75"/>
      <c r="D12730" s="75"/>
      <c r="E12730" s="75"/>
      <c r="F12730" s="75"/>
    </row>
    <row r="12731" spans="2:6">
      <c r="B12731" s="75"/>
      <c r="C12731" s="75"/>
      <c r="D12731" s="75"/>
      <c r="E12731" s="75"/>
      <c r="F12731" s="75"/>
    </row>
    <row r="12732" spans="2:6">
      <c r="B12732" s="75"/>
      <c r="C12732" s="75"/>
      <c r="D12732" s="75"/>
      <c r="E12732" s="75"/>
      <c r="F12732" s="75"/>
    </row>
    <row r="12733" spans="2:6">
      <c r="B12733" s="75"/>
      <c r="C12733" s="75"/>
      <c r="D12733" s="75"/>
      <c r="E12733" s="75"/>
      <c r="F12733" s="75"/>
    </row>
    <row r="12734" spans="2:6">
      <c r="B12734" s="75"/>
      <c r="C12734" s="75"/>
      <c r="D12734" s="75"/>
      <c r="E12734" s="75"/>
      <c r="F12734" s="75"/>
    </row>
    <row r="12735" spans="2:6">
      <c r="B12735" s="75"/>
      <c r="C12735" s="75"/>
      <c r="D12735" s="75"/>
      <c r="E12735" s="75"/>
      <c r="F12735" s="75"/>
    </row>
    <row r="12736" spans="2:6">
      <c r="B12736" s="75"/>
      <c r="C12736" s="75"/>
      <c r="D12736" s="75"/>
      <c r="E12736" s="75"/>
      <c r="F12736" s="75"/>
    </row>
    <row r="12737" spans="2:6">
      <c r="B12737" s="75"/>
      <c r="C12737" s="75"/>
      <c r="D12737" s="75"/>
      <c r="E12737" s="75"/>
      <c r="F12737" s="75"/>
    </row>
    <row r="12738" spans="2:6">
      <c r="B12738" s="75"/>
      <c r="C12738" s="75"/>
      <c r="D12738" s="75"/>
      <c r="E12738" s="75"/>
      <c r="F12738" s="75"/>
    </row>
    <row r="12739" spans="2:6">
      <c r="B12739" s="75"/>
      <c r="C12739" s="75"/>
      <c r="D12739" s="75"/>
      <c r="E12739" s="75"/>
      <c r="F12739" s="75"/>
    </row>
    <row r="12740" spans="2:6">
      <c r="B12740" s="75"/>
      <c r="C12740" s="75"/>
      <c r="D12740" s="75"/>
      <c r="E12740" s="75"/>
      <c r="F12740" s="75"/>
    </row>
    <row r="12741" spans="2:6">
      <c r="B12741" s="75"/>
      <c r="C12741" s="75"/>
      <c r="D12741" s="75"/>
      <c r="E12741" s="75"/>
      <c r="F12741" s="75"/>
    </row>
    <row r="12742" spans="2:6">
      <c r="B12742" s="75"/>
      <c r="C12742" s="75"/>
      <c r="D12742" s="75"/>
      <c r="E12742" s="75"/>
      <c r="F12742" s="75"/>
    </row>
    <row r="12743" spans="2:6">
      <c r="B12743" s="75"/>
      <c r="C12743" s="75"/>
      <c r="D12743" s="75"/>
      <c r="E12743" s="75"/>
      <c r="F12743" s="75"/>
    </row>
    <row r="12744" spans="2:6">
      <c r="B12744" s="75"/>
      <c r="C12744" s="75"/>
      <c r="D12744" s="75"/>
      <c r="E12744" s="75"/>
      <c r="F12744" s="75"/>
    </row>
    <row r="12745" spans="2:6">
      <c r="B12745" s="75"/>
      <c r="C12745" s="75"/>
      <c r="D12745" s="75"/>
      <c r="E12745" s="75"/>
      <c r="F12745" s="75"/>
    </row>
    <row r="12746" spans="2:6">
      <c r="B12746" s="75"/>
      <c r="C12746" s="75"/>
      <c r="D12746" s="75"/>
      <c r="E12746" s="75"/>
      <c r="F12746" s="75"/>
    </row>
    <row r="12747" spans="2:6">
      <c r="B12747" s="75"/>
      <c r="C12747" s="75"/>
      <c r="D12747" s="75"/>
      <c r="E12747" s="75"/>
      <c r="F12747" s="75"/>
    </row>
    <row r="12748" spans="2:6">
      <c r="B12748" s="75"/>
      <c r="C12748" s="75"/>
      <c r="D12748" s="75"/>
      <c r="E12748" s="75"/>
      <c r="F12748" s="75"/>
    </row>
    <row r="12749" spans="2:6">
      <c r="B12749" s="75"/>
      <c r="C12749" s="75"/>
      <c r="D12749" s="75"/>
      <c r="E12749" s="75"/>
      <c r="F12749" s="75"/>
    </row>
    <row r="12750" spans="2:6">
      <c r="B12750" s="75"/>
      <c r="C12750" s="75"/>
      <c r="D12750" s="75"/>
      <c r="E12750" s="75"/>
      <c r="F12750" s="75"/>
    </row>
    <row r="12751" spans="2:6">
      <c r="B12751" s="75"/>
      <c r="C12751" s="75"/>
      <c r="D12751" s="75"/>
      <c r="E12751" s="75"/>
      <c r="F12751" s="75"/>
    </row>
    <row r="12752" spans="2:6">
      <c r="B12752" s="75"/>
      <c r="C12752" s="75"/>
      <c r="D12752" s="75"/>
      <c r="E12752" s="75"/>
      <c r="F12752" s="75"/>
    </row>
    <row r="12753" spans="2:6">
      <c r="B12753" s="75"/>
      <c r="C12753" s="75"/>
      <c r="D12753" s="75"/>
      <c r="E12753" s="75"/>
      <c r="F12753" s="75"/>
    </row>
    <row r="12754" spans="2:6">
      <c r="B12754" s="75"/>
      <c r="C12754" s="75"/>
      <c r="D12754" s="75"/>
      <c r="E12754" s="75"/>
      <c r="F12754" s="75"/>
    </row>
  </sheetData>
  <mergeCells count="10">
    <mergeCell ref="I34:J34"/>
    <mergeCell ref="H2:L2"/>
    <mergeCell ref="I30:J30"/>
    <mergeCell ref="I31:J31"/>
    <mergeCell ref="I32:J32"/>
    <mergeCell ref="B2:F2"/>
    <mergeCell ref="B11:F11"/>
    <mergeCell ref="B20:F20"/>
    <mergeCell ref="B29:F29"/>
    <mergeCell ref="I33:J33"/>
  </mergeCells>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E2:Q14"/>
  <sheetViews>
    <sheetView zoomScale="130" zoomScaleNormal="130" workbookViewId="0">
      <selection activeCell="F32" sqref="F32"/>
    </sheetView>
  </sheetViews>
  <sheetFormatPr defaultRowHeight="14.4"/>
  <sheetData>
    <row r="2" spans="5:17">
      <c r="E2" s="374" t="s">
        <v>3700</v>
      </c>
      <c r="F2" s="374"/>
      <c r="G2" s="374"/>
      <c r="H2" s="374"/>
      <c r="I2" s="374"/>
      <c r="J2" s="374"/>
      <c r="K2" s="374"/>
      <c r="L2" s="374"/>
      <c r="M2" s="374"/>
      <c r="N2" s="374"/>
      <c r="O2" s="374"/>
      <c r="P2" s="374"/>
      <c r="Q2" s="374"/>
    </row>
    <row r="3" spans="5:17">
      <c r="E3" t="s">
        <v>3705</v>
      </c>
    </row>
    <row r="4" spans="5:17">
      <c r="E4" t="s">
        <v>3392</v>
      </c>
    </row>
    <row r="5" spans="5:17">
      <c r="E5" t="s">
        <v>3388</v>
      </c>
      <c r="F5" t="e">
        <f>COUNTIF(WEB_Database!#REF!,'Rack Analysis'!E7)</f>
        <v>#REF!</v>
      </c>
      <c r="G5" t="s">
        <v>3388</v>
      </c>
      <c r="H5" t="e">
        <f>COUNTIF(WEB_Database!#REF!,'Rack Analysis'!G7)</f>
        <v>#REF!</v>
      </c>
      <c r="I5" t="s">
        <v>3388</v>
      </c>
      <c r="J5" t="e">
        <f>COUNTIF(WEB_Database!#REF!,'Rack Analysis'!I7)</f>
        <v>#REF!</v>
      </c>
      <c r="K5" t="s">
        <v>3388</v>
      </c>
      <c r="L5" t="e">
        <f>COUNTIF(WEB_Database!#REF!,'Rack Analysis'!K7)</f>
        <v>#REF!</v>
      </c>
      <c r="M5" t="s">
        <v>3388</v>
      </c>
      <c r="N5" t="e">
        <f>COUNTIF(WEB_Database!#REF!,'Rack Analysis'!M7)</f>
        <v>#REF!</v>
      </c>
      <c r="O5" t="s">
        <v>3388</v>
      </c>
      <c r="P5" t="e">
        <f>COUNTIF(WEB_Database!#REF!,'Rack Analysis'!O7)</f>
        <v>#REF!</v>
      </c>
    </row>
    <row r="6" spans="5:17">
      <c r="E6" t="s">
        <v>3704</v>
      </c>
    </row>
    <row r="7" spans="5:17">
      <c r="E7" s="374" t="s">
        <v>3393</v>
      </c>
      <c r="F7" s="374"/>
      <c r="G7" s="374" t="s">
        <v>3394</v>
      </c>
      <c r="H7" s="374"/>
      <c r="I7" s="374" t="s">
        <v>3395</v>
      </c>
      <c r="J7" s="374"/>
      <c r="K7" s="374" t="s">
        <v>3396</v>
      </c>
      <c r="L7" s="374"/>
      <c r="M7" s="374" t="s">
        <v>3701</v>
      </c>
      <c r="N7" s="374"/>
      <c r="O7" s="374" t="s">
        <v>3702</v>
      </c>
      <c r="P7" s="374"/>
    </row>
    <row r="9" spans="5:17">
      <c r="E9" s="374" t="s">
        <v>3703</v>
      </c>
      <c r="F9" s="374"/>
      <c r="G9" s="374"/>
      <c r="H9" s="374"/>
      <c r="I9" s="374"/>
      <c r="J9" s="374"/>
      <c r="K9" s="374"/>
      <c r="L9" s="374"/>
      <c r="M9" s="374"/>
      <c r="N9" s="374"/>
      <c r="O9" s="374"/>
      <c r="P9" s="374"/>
      <c r="Q9" s="374"/>
    </row>
    <row r="10" spans="5:17">
      <c r="E10" t="s">
        <v>3705</v>
      </c>
    </row>
    <row r="11" spans="5:17">
      <c r="E11" t="s">
        <v>3392</v>
      </c>
    </row>
    <row r="12" spans="5:17">
      <c r="E12" t="s">
        <v>3388</v>
      </c>
      <c r="F12" t="e">
        <f>COUNTIF(WEB_Database!#REF!,'Rack Analysis'!E14)</f>
        <v>#REF!</v>
      </c>
      <c r="G12" t="s">
        <v>3388</v>
      </c>
      <c r="H12" t="e">
        <f>COUNTIF(WEB_Database!#REF!,'Rack Analysis'!G14)</f>
        <v>#REF!</v>
      </c>
      <c r="I12" t="s">
        <v>3388</v>
      </c>
      <c r="J12" t="e">
        <f>COUNTIF(WEB_Database!#REF!,'Rack Analysis'!I14)</f>
        <v>#REF!</v>
      </c>
      <c r="K12" t="s">
        <v>3388</v>
      </c>
      <c r="L12" t="e">
        <f>COUNTIF(WEB_Database!#REF!,'Rack Analysis'!K14)</f>
        <v>#REF!</v>
      </c>
      <c r="M12" t="s">
        <v>3388</v>
      </c>
      <c r="N12" t="e">
        <f>COUNTIF(WEB_Database!#REF!,'Rack Analysis'!M14)</f>
        <v>#REF!</v>
      </c>
      <c r="O12" t="s">
        <v>3388</v>
      </c>
      <c r="P12" t="e">
        <f>COUNTIF(WEB_Database!#REF!,'Rack Analysis'!O14)</f>
        <v>#REF!</v>
      </c>
    </row>
    <row r="13" spans="5:17">
      <c r="E13" t="s">
        <v>3704</v>
      </c>
    </row>
    <row r="14" spans="5:17">
      <c r="E14" s="374" t="s">
        <v>3397</v>
      </c>
      <c r="F14" s="374"/>
      <c r="G14" s="374" t="s">
        <v>3394</v>
      </c>
      <c r="H14" s="374"/>
      <c r="I14" s="374" t="s">
        <v>3395</v>
      </c>
      <c r="J14" s="374"/>
      <c r="K14" s="374" t="s">
        <v>3396</v>
      </c>
      <c r="L14" s="374"/>
      <c r="M14" s="374" t="s">
        <v>3701</v>
      </c>
      <c r="N14" s="374"/>
      <c r="O14" s="374" t="s">
        <v>3702</v>
      </c>
      <c r="P14" s="374"/>
    </row>
  </sheetData>
  <mergeCells count="14">
    <mergeCell ref="E9:Q9"/>
    <mergeCell ref="E14:F14"/>
    <mergeCell ref="G14:H14"/>
    <mergeCell ref="I14:J14"/>
    <mergeCell ref="K14:L14"/>
    <mergeCell ref="M14:N14"/>
    <mergeCell ref="O14:P14"/>
    <mergeCell ref="E2:Q2"/>
    <mergeCell ref="E7:F7"/>
    <mergeCell ref="G7:H7"/>
    <mergeCell ref="I7:J7"/>
    <mergeCell ref="K7:L7"/>
    <mergeCell ref="M7:N7"/>
    <mergeCell ref="O7:P7"/>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O56"/>
  <sheetViews>
    <sheetView topLeftCell="A12" zoomScale="70" zoomScaleNormal="70" workbookViewId="0">
      <selection activeCell="B17" sqref="B17"/>
    </sheetView>
  </sheetViews>
  <sheetFormatPr defaultColWidth="8.77734375" defaultRowHeight="14.4"/>
  <cols>
    <col min="1" max="1" width="8.21875" style="151" bestFit="1" customWidth="1"/>
    <col min="2" max="8" width="9.6640625" style="151" bestFit="1" customWidth="1"/>
    <col min="9" max="12" width="8.109375" style="151" bestFit="1" customWidth="1"/>
    <col min="13" max="13" width="6" style="151" bestFit="1" customWidth="1"/>
    <col min="14" max="14" width="8.77734375" style="151"/>
    <col min="15" max="15" width="7.44140625" style="151" bestFit="1" customWidth="1"/>
    <col min="16" max="16384" width="8.77734375" style="151"/>
  </cols>
  <sheetData>
    <row r="1" spans="1:15" ht="15" thickBot="1"/>
    <row r="2" spans="1:15" ht="24" thickBot="1">
      <c r="A2" s="378" t="s">
        <v>1884</v>
      </c>
      <c r="B2" s="379"/>
      <c r="C2" s="379"/>
      <c r="D2" s="379"/>
      <c r="E2" s="379"/>
      <c r="F2" s="379"/>
      <c r="G2" s="379"/>
      <c r="H2" s="379"/>
      <c r="I2" s="379"/>
      <c r="J2" s="379"/>
      <c r="K2" s="379"/>
      <c r="L2" s="379"/>
      <c r="M2" s="379"/>
      <c r="N2" s="379"/>
      <c r="O2" s="380"/>
    </row>
    <row r="4" spans="1:15" ht="15" thickBot="1">
      <c r="A4" s="381" t="s">
        <v>3750</v>
      </c>
      <c r="B4" s="381"/>
      <c r="C4" s="381"/>
      <c r="D4" s="381"/>
      <c r="E4" s="381"/>
      <c r="F4" s="381"/>
      <c r="G4" s="381"/>
      <c r="H4" s="381"/>
    </row>
    <row r="5" spans="1:15" s="318" customFormat="1" ht="112.8" customHeight="1" thickBot="1">
      <c r="A5" s="338" t="s">
        <v>3706</v>
      </c>
      <c r="B5" s="339" t="s">
        <v>3724</v>
      </c>
      <c r="C5" s="339" t="s">
        <v>3725</v>
      </c>
      <c r="D5" s="339" t="s">
        <v>3726</v>
      </c>
      <c r="E5" s="339" t="s">
        <v>3712</v>
      </c>
      <c r="F5" s="340" t="s">
        <v>3713</v>
      </c>
      <c r="G5" s="341"/>
      <c r="H5" s="340"/>
      <c r="M5" s="318" t="s">
        <v>3740</v>
      </c>
      <c r="O5" s="318" t="s">
        <v>3741</v>
      </c>
    </row>
    <row r="7" spans="1:15" ht="15" thickBot="1">
      <c r="A7" s="381" t="s">
        <v>3751</v>
      </c>
      <c r="B7" s="381"/>
      <c r="C7" s="381"/>
      <c r="D7" s="381"/>
      <c r="E7" s="381"/>
      <c r="F7" s="381"/>
      <c r="G7" s="381"/>
      <c r="H7" s="381"/>
    </row>
    <row r="8" spans="1:15" s="318" customFormat="1" ht="112.8" customHeight="1" thickBot="1">
      <c r="A8" s="338" t="s">
        <v>3708</v>
      </c>
      <c r="B8" s="339" t="s">
        <v>3727</v>
      </c>
      <c r="C8" s="339" t="s">
        <v>3728</v>
      </c>
      <c r="D8" s="339" t="s">
        <v>3738</v>
      </c>
      <c r="E8" s="339" t="s">
        <v>3739</v>
      </c>
      <c r="F8" s="340" t="s">
        <v>3714</v>
      </c>
      <c r="G8" s="342"/>
      <c r="H8" s="317"/>
      <c r="O8" s="318" t="s">
        <v>3742</v>
      </c>
    </row>
    <row r="10" spans="1:15" ht="15" thickBot="1"/>
    <row r="11" spans="1:15" ht="24" thickBot="1">
      <c r="A11" s="378" t="s">
        <v>3381</v>
      </c>
      <c r="B11" s="379"/>
      <c r="C11" s="379"/>
      <c r="D11" s="379"/>
      <c r="E11" s="379"/>
      <c r="F11" s="379"/>
      <c r="G11" s="379"/>
      <c r="H11" s="379"/>
      <c r="I11" s="379"/>
      <c r="J11" s="379"/>
      <c r="K11" s="379"/>
      <c r="L11" s="379"/>
      <c r="M11" s="379"/>
      <c r="N11" s="379"/>
      <c r="O11" s="380"/>
    </row>
    <row r="13" spans="1:15" ht="15" thickBot="1">
      <c r="A13" s="381" t="s">
        <v>3750</v>
      </c>
      <c r="B13" s="381"/>
      <c r="C13" s="381"/>
      <c r="D13" s="381"/>
      <c r="E13" s="381"/>
      <c r="F13" s="381"/>
      <c r="G13" s="381"/>
      <c r="H13" s="381"/>
    </row>
    <row r="14" spans="1:15" s="318" customFormat="1" ht="112.8" customHeight="1" thickBot="1">
      <c r="A14" s="338" t="s">
        <v>3706</v>
      </c>
      <c r="B14" s="339" t="s">
        <v>3708</v>
      </c>
      <c r="C14" s="339" t="s">
        <v>3724</v>
      </c>
      <c r="D14" s="339" t="s">
        <v>3725</v>
      </c>
      <c r="E14" s="339" t="s">
        <v>3726</v>
      </c>
      <c r="F14" s="340" t="s">
        <v>3712</v>
      </c>
      <c r="G14" s="341"/>
      <c r="H14" s="340"/>
      <c r="M14" s="318" t="s">
        <v>3740</v>
      </c>
      <c r="O14" s="318" t="s">
        <v>3744</v>
      </c>
    </row>
    <row r="16" spans="1:15" ht="15" thickBot="1">
      <c r="A16" s="381" t="s">
        <v>3751</v>
      </c>
      <c r="B16" s="381"/>
      <c r="C16" s="381"/>
      <c r="D16" s="381"/>
      <c r="E16" s="381"/>
      <c r="F16" s="381"/>
      <c r="G16" s="381"/>
      <c r="H16" s="381"/>
    </row>
    <row r="17" spans="1:15" s="318" customFormat="1" ht="112.8" customHeight="1" thickBot="1">
      <c r="A17" s="338" t="s">
        <v>3707</v>
      </c>
      <c r="B17" s="339" t="s">
        <v>3710</v>
      </c>
      <c r="C17" s="339" t="s">
        <v>3729</v>
      </c>
      <c r="D17" s="339" t="s">
        <v>3730</v>
      </c>
      <c r="E17" s="339" t="s">
        <v>3731</v>
      </c>
      <c r="F17" s="340" t="s">
        <v>3718</v>
      </c>
      <c r="G17" s="341"/>
      <c r="H17" s="340"/>
      <c r="O17" s="318" t="s">
        <v>3743</v>
      </c>
    </row>
    <row r="19" spans="1:15" ht="15" thickBot="1"/>
    <row r="20" spans="1:15" ht="24" thickBot="1">
      <c r="A20" s="378" t="s">
        <v>2927</v>
      </c>
      <c r="B20" s="379"/>
      <c r="C20" s="379"/>
      <c r="D20" s="379"/>
      <c r="E20" s="379"/>
      <c r="F20" s="379"/>
      <c r="G20" s="379"/>
      <c r="H20" s="379"/>
      <c r="I20" s="379"/>
      <c r="J20" s="379"/>
      <c r="K20" s="379"/>
      <c r="L20" s="379"/>
      <c r="M20" s="379"/>
      <c r="N20" s="379"/>
      <c r="O20" s="380"/>
    </row>
    <row r="22" spans="1:15" ht="15" thickBot="1">
      <c r="A22" s="381" t="s">
        <v>3752</v>
      </c>
      <c r="B22" s="381"/>
      <c r="C22" s="381"/>
      <c r="D22" s="381"/>
      <c r="E22" s="381"/>
      <c r="F22" s="381"/>
      <c r="G22" s="381"/>
      <c r="H22" s="381"/>
      <c r="I22" s="381"/>
      <c r="J22" s="381"/>
      <c r="K22" s="381"/>
      <c r="L22" s="381"/>
    </row>
    <row r="23" spans="1:15" s="318" customFormat="1" ht="112.8" customHeight="1" thickBot="1">
      <c r="A23" s="338" t="s">
        <v>3706</v>
      </c>
      <c r="B23" s="339" t="s">
        <v>3708</v>
      </c>
      <c r="C23" s="339" t="s">
        <v>3709</v>
      </c>
      <c r="D23" s="339" t="s">
        <v>3724</v>
      </c>
      <c r="E23" s="339" t="s">
        <v>3725</v>
      </c>
      <c r="F23" s="339" t="s">
        <v>3726</v>
      </c>
      <c r="G23" s="339" t="s">
        <v>3712</v>
      </c>
      <c r="H23" s="339" t="s">
        <v>3713</v>
      </c>
      <c r="I23" s="339" t="s">
        <v>3714</v>
      </c>
      <c r="J23" s="339" t="s">
        <v>3715</v>
      </c>
      <c r="K23" s="339" t="s">
        <v>3716</v>
      </c>
      <c r="L23" s="340" t="s">
        <v>3717</v>
      </c>
      <c r="O23" s="318" t="s">
        <v>3734</v>
      </c>
    </row>
    <row r="24" spans="1:15" ht="15" thickBot="1"/>
    <row r="25" spans="1:15" ht="15" thickBot="1">
      <c r="A25" s="323"/>
      <c r="B25" s="324"/>
      <c r="C25" s="324"/>
      <c r="D25" s="324"/>
      <c r="E25" s="324"/>
      <c r="F25" s="324"/>
      <c r="G25" s="375"/>
      <c r="H25" s="376"/>
      <c r="I25" s="376"/>
      <c r="J25" s="376"/>
      <c r="K25" s="376"/>
      <c r="L25" s="377"/>
    </row>
    <row r="27" spans="1:15" ht="15" thickBot="1">
      <c r="A27" s="381" t="s">
        <v>3753</v>
      </c>
      <c r="B27" s="381"/>
      <c r="C27" s="381"/>
      <c r="D27" s="381"/>
      <c r="E27" s="381"/>
      <c r="F27" s="381"/>
      <c r="G27" s="381"/>
      <c r="H27" s="381"/>
    </row>
    <row r="28" spans="1:15" s="318" customFormat="1" ht="112.8" customHeight="1" thickBot="1">
      <c r="A28" s="338" t="s">
        <v>3707</v>
      </c>
      <c r="B28" s="339" t="s">
        <v>3710</v>
      </c>
      <c r="C28" s="339" t="s">
        <v>3711</v>
      </c>
      <c r="D28" s="339" t="s">
        <v>3727</v>
      </c>
      <c r="E28" s="339" t="s">
        <v>3728</v>
      </c>
      <c r="F28" s="339" t="s">
        <v>3718</v>
      </c>
      <c r="G28" s="339" t="s">
        <v>3719</v>
      </c>
      <c r="H28" s="340" t="s">
        <v>3720</v>
      </c>
      <c r="O28" s="318" t="s">
        <v>3735</v>
      </c>
    </row>
    <row r="29" spans="1:15" ht="15" thickBot="1"/>
    <row r="30" spans="1:15" ht="15" thickBot="1">
      <c r="A30" s="375"/>
      <c r="B30" s="376"/>
      <c r="C30" s="376"/>
      <c r="D30" s="376"/>
      <c r="E30" s="377"/>
      <c r="F30" s="324"/>
      <c r="G30" s="324"/>
      <c r="H30" s="325"/>
    </row>
    <row r="32" spans="1:15" ht="15" thickBot="1">
      <c r="A32" s="381" t="s">
        <v>3754</v>
      </c>
      <c r="B32" s="381"/>
      <c r="C32" s="381"/>
      <c r="D32" s="381"/>
      <c r="E32" s="381"/>
      <c r="F32" s="381"/>
      <c r="G32" s="381"/>
      <c r="H32" s="381"/>
    </row>
    <row r="33" spans="1:15" s="318" customFormat="1" ht="112.8" customHeight="1" thickBot="1">
      <c r="A33" s="338" t="s">
        <v>3729</v>
      </c>
      <c r="B33" s="339" t="s">
        <v>3730</v>
      </c>
      <c r="C33" s="339" t="s">
        <v>3731</v>
      </c>
      <c r="D33" s="339" t="s">
        <v>3732</v>
      </c>
      <c r="E33" s="339" t="s">
        <v>3733</v>
      </c>
      <c r="F33" s="339" t="s">
        <v>3721</v>
      </c>
      <c r="G33" s="339" t="s">
        <v>3722</v>
      </c>
      <c r="H33" s="340" t="s">
        <v>3723</v>
      </c>
      <c r="O33" s="318" t="s">
        <v>3736</v>
      </c>
    </row>
    <row r="34" spans="1:15" ht="15" thickBot="1"/>
    <row r="35" spans="1:15" ht="15" thickBot="1">
      <c r="A35" s="375"/>
      <c r="B35" s="376"/>
      <c r="C35" s="376"/>
      <c r="D35" s="376"/>
      <c r="E35" s="377"/>
      <c r="F35" s="324"/>
      <c r="G35" s="324"/>
      <c r="H35" s="325"/>
    </row>
    <row r="37" spans="1:15" hidden="1"/>
    <row r="38" spans="1:15" hidden="1"/>
    <row r="39" spans="1:15" hidden="1"/>
    <row r="40" spans="1:15" hidden="1"/>
    <row r="41" spans="1:15" hidden="1"/>
    <row r="42" spans="1:15" hidden="1"/>
    <row r="43" spans="1:15" hidden="1"/>
    <row r="44" spans="1:15" s="318" customFormat="1" ht="112.8" hidden="1" customHeight="1">
      <c r="A44" s="317" t="s">
        <v>3711</v>
      </c>
      <c r="B44" s="317" t="s">
        <v>3718</v>
      </c>
      <c r="C44" s="317" t="s">
        <v>3719</v>
      </c>
      <c r="D44" s="317" t="s">
        <v>3720</v>
      </c>
      <c r="E44" s="317" t="s">
        <v>3721</v>
      </c>
      <c r="F44" s="317" t="s">
        <v>3722</v>
      </c>
      <c r="G44" s="317" t="s">
        <v>3723</v>
      </c>
      <c r="H44" s="317" t="s">
        <v>3729</v>
      </c>
      <c r="I44" s="317" t="s">
        <v>3730</v>
      </c>
      <c r="J44" s="317" t="s">
        <v>3731</v>
      </c>
      <c r="K44" s="317" t="s">
        <v>3732</v>
      </c>
      <c r="L44" s="317" t="s">
        <v>3733</v>
      </c>
    </row>
    <row r="45" spans="1:15" hidden="1"/>
    <row r="46" spans="1:15" hidden="1"/>
    <row r="47" spans="1:15" hidden="1"/>
    <row r="48" spans="1:15" hidden="1"/>
    <row r="49" spans="1:8" s="318" customFormat="1" ht="112.8" hidden="1" customHeight="1">
      <c r="A49" s="317" t="s">
        <v>3706</v>
      </c>
      <c r="B49" s="317" t="s">
        <v>3708</v>
      </c>
      <c r="C49" s="317" t="s">
        <v>3709</v>
      </c>
      <c r="D49" s="317" t="s">
        <v>3712</v>
      </c>
      <c r="E49" s="317" t="s">
        <v>3713</v>
      </c>
      <c r="F49" s="317" t="s">
        <v>3714</v>
      </c>
      <c r="G49" s="317" t="s">
        <v>3715</v>
      </c>
      <c r="H49" s="317" t="s">
        <v>3716</v>
      </c>
    </row>
    <row r="50" spans="1:8" hidden="1"/>
    <row r="51" spans="1:8" hidden="1"/>
    <row r="52" spans="1:8" hidden="1"/>
    <row r="53" spans="1:8" hidden="1"/>
    <row r="54" spans="1:8" s="318" customFormat="1" ht="112.8" hidden="1" customHeight="1">
      <c r="A54" s="317" t="s">
        <v>3707</v>
      </c>
      <c r="B54" s="317" t="s">
        <v>3710</v>
      </c>
      <c r="C54" s="317" t="s">
        <v>3717</v>
      </c>
      <c r="D54" s="317" t="s">
        <v>3724</v>
      </c>
      <c r="E54" s="317" t="s">
        <v>3725</v>
      </c>
      <c r="F54" s="317" t="s">
        <v>3726</v>
      </c>
      <c r="G54" s="317" t="s">
        <v>3727</v>
      </c>
      <c r="H54" s="317" t="s">
        <v>3728</v>
      </c>
    </row>
    <row r="55" spans="1:8" hidden="1"/>
    <row r="56" spans="1:8" hidden="1"/>
  </sheetData>
  <mergeCells count="13">
    <mergeCell ref="A30:E30"/>
    <mergeCell ref="A35:E35"/>
    <mergeCell ref="G25:L25"/>
    <mergeCell ref="A2:O2"/>
    <mergeCell ref="A11:O11"/>
    <mergeCell ref="A20:O20"/>
    <mergeCell ref="A4:H4"/>
    <mergeCell ref="A7:H7"/>
    <mergeCell ref="A13:H13"/>
    <mergeCell ref="A16:H16"/>
    <mergeCell ref="A22:L22"/>
    <mergeCell ref="A27:H27"/>
    <mergeCell ref="A32:H32"/>
  </mergeCells>
  <pageMargins left="0.7" right="0.7" top="0.75" bottom="0.75" header="0.3" footer="0.3"/>
  <pageSetup scale="69" orientation="portrait" r:id="rId1"/>
  <rowBreaks count="1" manualBreakCount="1">
    <brk id="1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U171"/>
  <sheetViews>
    <sheetView topLeftCell="E1" zoomScale="130" zoomScaleNormal="130" workbookViewId="0">
      <pane xSplit="5" ySplit="1" topLeftCell="J92" activePane="bottomRight" state="frozen"/>
      <selection activeCell="E1" sqref="E1"/>
      <selection pane="topRight" activeCell="J1" sqref="J1"/>
      <selection pane="bottomLeft" activeCell="E2" sqref="E2"/>
      <selection pane="bottomRight" activeCell="F38" sqref="F38"/>
    </sheetView>
  </sheetViews>
  <sheetFormatPr defaultColWidth="15.77734375" defaultRowHeight="14.4"/>
  <cols>
    <col min="5" max="5" width="21.77734375" hidden="1" customWidth="1"/>
    <col min="17" max="17" width="13.88671875" bestFit="1" customWidth="1"/>
    <col min="18" max="18" width="10.88671875" bestFit="1" customWidth="1"/>
    <col min="19" max="19" width="9.6640625" customWidth="1"/>
    <col min="20" max="20" width="7.88671875" customWidth="1"/>
    <col min="21" max="21" width="8.6640625" bestFit="1" customWidth="1"/>
  </cols>
  <sheetData>
    <row r="1" spans="1:21" ht="27.6" customHeight="1">
      <c r="A1" s="1" t="s">
        <v>0</v>
      </c>
      <c r="B1" s="1" t="s">
        <v>1</v>
      </c>
      <c r="C1" s="1" t="s">
        <v>2</v>
      </c>
      <c r="D1" s="133" t="s">
        <v>3</v>
      </c>
      <c r="E1" s="6" t="s">
        <v>0</v>
      </c>
      <c r="F1" s="6" t="s">
        <v>1</v>
      </c>
      <c r="G1" s="6" t="s">
        <v>2</v>
      </c>
      <c r="H1" s="7" t="s">
        <v>3</v>
      </c>
      <c r="I1" s="6" t="s">
        <v>4</v>
      </c>
      <c r="J1" s="6" t="s">
        <v>5</v>
      </c>
      <c r="K1" s="6" t="s">
        <v>6</v>
      </c>
      <c r="L1" s="6" t="s">
        <v>7</v>
      </c>
      <c r="M1" s="6" t="s">
        <v>8</v>
      </c>
      <c r="N1" s="6" t="s">
        <v>9</v>
      </c>
      <c r="O1" s="6" t="s">
        <v>10</v>
      </c>
      <c r="P1" s="8" t="s">
        <v>11</v>
      </c>
      <c r="Q1" s="6" t="s">
        <v>12</v>
      </c>
      <c r="R1" s="6" t="s">
        <v>13</v>
      </c>
      <c r="S1" s="6" t="s">
        <v>899</v>
      </c>
      <c r="T1" s="6" t="s">
        <v>900</v>
      </c>
      <c r="U1" s="6" t="s">
        <v>906</v>
      </c>
    </row>
    <row r="2" spans="1:21" ht="15" customHeight="1">
      <c r="A2" s="2">
        <v>1</v>
      </c>
      <c r="B2" s="3"/>
      <c r="C2" s="4" t="s">
        <v>14</v>
      </c>
      <c r="D2" s="134" t="s">
        <v>15</v>
      </c>
      <c r="E2" s="9">
        <v>1</v>
      </c>
      <c r="F2" s="10"/>
      <c r="G2" s="11" t="s">
        <v>14</v>
      </c>
      <c r="H2" s="12" t="s">
        <v>15</v>
      </c>
      <c r="I2" s="135" t="s">
        <v>901</v>
      </c>
      <c r="J2" s="11" t="s">
        <v>16</v>
      </c>
      <c r="K2" s="11" t="s">
        <v>17</v>
      </c>
      <c r="L2" s="11" t="s">
        <v>18</v>
      </c>
      <c r="M2" s="11" t="s">
        <v>19</v>
      </c>
      <c r="N2" s="10"/>
      <c r="O2" s="11" t="s">
        <v>20</v>
      </c>
      <c r="P2" s="10"/>
      <c r="Q2" s="136"/>
      <c r="R2" s="136"/>
      <c r="S2" s="136"/>
      <c r="T2" s="136"/>
      <c r="U2" s="136"/>
    </row>
    <row r="3" spans="1:21" ht="15" customHeight="1">
      <c r="A3" s="2">
        <v>3</v>
      </c>
      <c r="B3" s="3"/>
      <c r="C3" s="4" t="s">
        <v>21</v>
      </c>
      <c r="D3" s="134" t="s">
        <v>22</v>
      </c>
      <c r="E3" s="9">
        <v>3</v>
      </c>
      <c r="F3" s="10"/>
      <c r="G3" s="11" t="s">
        <v>21</v>
      </c>
      <c r="H3" s="12" t="s">
        <v>22</v>
      </c>
      <c r="I3" s="12" t="s">
        <v>23</v>
      </c>
      <c r="J3" s="11" t="s">
        <v>24</v>
      </c>
      <c r="K3" s="11" t="s">
        <v>25</v>
      </c>
      <c r="L3" s="11" t="s">
        <v>18</v>
      </c>
      <c r="M3" s="11" t="s">
        <v>19</v>
      </c>
      <c r="N3" s="16" t="s">
        <v>26</v>
      </c>
      <c r="O3" s="11" t="s">
        <v>20</v>
      </c>
      <c r="P3" s="10"/>
      <c r="Q3" s="11" t="s">
        <v>27</v>
      </c>
      <c r="R3" s="136">
        <v>3.5</v>
      </c>
      <c r="S3" s="136"/>
      <c r="T3" s="136"/>
      <c r="U3" s="136"/>
    </row>
    <row r="4" spans="1:21" ht="15" customHeight="1">
      <c r="A4" s="2">
        <v>3</v>
      </c>
      <c r="B4" s="3"/>
      <c r="C4" s="4" t="s">
        <v>28</v>
      </c>
      <c r="D4" s="134" t="s">
        <v>29</v>
      </c>
      <c r="E4" s="9">
        <v>3</v>
      </c>
      <c r="F4" s="10"/>
      <c r="G4" s="11" t="s">
        <v>28</v>
      </c>
      <c r="H4" s="12" t="s">
        <v>29</v>
      </c>
      <c r="I4" s="12" t="s">
        <v>23</v>
      </c>
      <c r="J4" s="11" t="s">
        <v>24</v>
      </c>
      <c r="K4" s="11" t="s">
        <v>25</v>
      </c>
      <c r="L4" s="11" t="s">
        <v>18</v>
      </c>
      <c r="M4" s="11" t="s">
        <v>19</v>
      </c>
      <c r="N4" s="16" t="s">
        <v>26</v>
      </c>
      <c r="O4" s="11" t="s">
        <v>20</v>
      </c>
      <c r="P4" s="10"/>
      <c r="Q4" s="11" t="s">
        <v>27</v>
      </c>
      <c r="R4" s="136">
        <v>3.5</v>
      </c>
      <c r="S4" s="136"/>
      <c r="T4" s="136"/>
      <c r="U4" s="136"/>
    </row>
    <row r="5" spans="1:21" ht="15" customHeight="1">
      <c r="A5" s="2">
        <v>3</v>
      </c>
      <c r="B5" s="3"/>
      <c r="C5" s="4" t="s">
        <v>30</v>
      </c>
      <c r="D5" s="134" t="s">
        <v>31</v>
      </c>
      <c r="E5" s="9">
        <v>3</v>
      </c>
      <c r="F5" s="10"/>
      <c r="G5" s="11" t="s">
        <v>30</v>
      </c>
      <c r="H5" s="12" t="s">
        <v>31</v>
      </c>
      <c r="I5" s="135" t="s">
        <v>902</v>
      </c>
      <c r="J5" s="11" t="s">
        <v>24</v>
      </c>
      <c r="K5" s="11" t="s">
        <v>25</v>
      </c>
      <c r="L5" s="11" t="s">
        <v>18</v>
      </c>
      <c r="M5" s="11" t="s">
        <v>19</v>
      </c>
      <c r="N5" s="16" t="s">
        <v>26</v>
      </c>
      <c r="O5" s="11" t="s">
        <v>20</v>
      </c>
      <c r="P5" s="10"/>
      <c r="Q5" s="11" t="s">
        <v>27</v>
      </c>
      <c r="R5" s="136">
        <v>3.5</v>
      </c>
      <c r="S5" s="136"/>
      <c r="T5" s="136"/>
      <c r="U5" s="136"/>
    </row>
    <row r="6" spans="1:21" ht="15" customHeight="1">
      <c r="A6" s="2">
        <v>3</v>
      </c>
      <c r="B6" s="3"/>
      <c r="C6" s="4" t="s">
        <v>30</v>
      </c>
      <c r="D6" s="134" t="s">
        <v>31</v>
      </c>
      <c r="E6" s="9">
        <v>3</v>
      </c>
      <c r="F6" s="10"/>
      <c r="G6" s="11" t="s">
        <v>30</v>
      </c>
      <c r="H6" s="12" t="s">
        <v>31</v>
      </c>
      <c r="I6" s="12" t="s">
        <v>32</v>
      </c>
      <c r="J6" s="11" t="s">
        <v>24</v>
      </c>
      <c r="K6" s="11" t="s">
        <v>25</v>
      </c>
      <c r="L6" s="11" t="s">
        <v>18</v>
      </c>
      <c r="M6" s="11" t="s">
        <v>19</v>
      </c>
      <c r="N6" s="16" t="s">
        <v>26</v>
      </c>
      <c r="O6" s="11" t="s">
        <v>20</v>
      </c>
      <c r="P6" s="10"/>
      <c r="Q6" s="11" t="s">
        <v>27</v>
      </c>
      <c r="R6" s="136">
        <v>3.5</v>
      </c>
      <c r="S6" s="136"/>
      <c r="T6" s="136"/>
      <c r="U6" s="136"/>
    </row>
    <row r="7" spans="1:21" ht="15" customHeight="1">
      <c r="A7" s="2">
        <v>3</v>
      </c>
      <c r="B7" s="3"/>
      <c r="C7" s="4" t="s">
        <v>30</v>
      </c>
      <c r="D7" s="134" t="s">
        <v>31</v>
      </c>
      <c r="E7" s="9">
        <v>3</v>
      </c>
      <c r="F7" s="10"/>
      <c r="G7" s="11" t="s">
        <v>30</v>
      </c>
      <c r="H7" s="12" t="s">
        <v>31</v>
      </c>
      <c r="I7" s="12" t="s">
        <v>33</v>
      </c>
      <c r="J7" s="11" t="s">
        <v>24</v>
      </c>
      <c r="K7" s="11" t="s">
        <v>25</v>
      </c>
      <c r="L7" s="11" t="s">
        <v>18</v>
      </c>
      <c r="M7" s="11" t="s">
        <v>19</v>
      </c>
      <c r="N7" s="16" t="s">
        <v>26</v>
      </c>
      <c r="O7" s="11" t="s">
        <v>20</v>
      </c>
      <c r="P7" s="10"/>
      <c r="Q7" s="11" t="s">
        <v>27</v>
      </c>
      <c r="R7" s="136">
        <v>3.5</v>
      </c>
      <c r="S7" s="136"/>
      <c r="T7" s="136"/>
      <c r="U7" s="136"/>
    </row>
    <row r="8" spans="1:21" ht="15" customHeight="1">
      <c r="A8" s="2">
        <v>3</v>
      </c>
      <c r="B8" s="4" t="s">
        <v>34</v>
      </c>
      <c r="C8" s="4" t="s">
        <v>35</v>
      </c>
      <c r="D8" s="134" t="s">
        <v>36</v>
      </c>
      <c r="E8" s="9">
        <v>3</v>
      </c>
      <c r="F8" s="11" t="s">
        <v>34</v>
      </c>
      <c r="G8" s="11" t="s">
        <v>35</v>
      </c>
      <c r="H8" s="12" t="s">
        <v>36</v>
      </c>
      <c r="I8" s="12" t="s">
        <v>37</v>
      </c>
      <c r="J8" s="11" t="s">
        <v>24</v>
      </c>
      <c r="K8" s="11" t="s">
        <v>25</v>
      </c>
      <c r="L8" s="11" t="s">
        <v>38</v>
      </c>
      <c r="M8" s="11" t="s">
        <v>19</v>
      </c>
      <c r="N8" s="16" t="s">
        <v>26</v>
      </c>
      <c r="O8" s="11" t="s">
        <v>20</v>
      </c>
      <c r="P8" s="10"/>
      <c r="Q8" s="136"/>
      <c r="R8" s="136"/>
      <c r="S8" s="136"/>
      <c r="T8" s="136"/>
      <c r="U8" s="136"/>
    </row>
    <row r="9" spans="1:21" ht="15" customHeight="1">
      <c r="A9" s="2">
        <v>3</v>
      </c>
      <c r="B9" s="4" t="s">
        <v>39</v>
      </c>
      <c r="C9" s="4" t="s">
        <v>40</v>
      </c>
      <c r="D9" s="134" t="s">
        <v>41</v>
      </c>
      <c r="E9" s="9">
        <v>3</v>
      </c>
      <c r="F9" s="11" t="s">
        <v>39</v>
      </c>
      <c r="G9" s="137" t="s">
        <v>903</v>
      </c>
      <c r="H9" s="12" t="s">
        <v>41</v>
      </c>
      <c r="I9" s="12" t="s">
        <v>42</v>
      </c>
      <c r="J9" s="11" t="s">
        <v>24</v>
      </c>
      <c r="K9" s="11" t="s">
        <v>25</v>
      </c>
      <c r="L9" s="11" t="s">
        <v>18</v>
      </c>
      <c r="M9" s="11" t="s">
        <v>19</v>
      </c>
      <c r="N9" s="16" t="s">
        <v>26</v>
      </c>
      <c r="O9" s="11" t="s">
        <v>20</v>
      </c>
      <c r="P9" s="10"/>
      <c r="Q9" s="11" t="s">
        <v>27</v>
      </c>
      <c r="R9" s="136">
        <v>3.5</v>
      </c>
      <c r="S9" s="136"/>
      <c r="T9" s="136"/>
      <c r="U9" s="136"/>
    </row>
    <row r="10" spans="1:21" ht="15" customHeight="1">
      <c r="A10" s="2">
        <v>3</v>
      </c>
      <c r="B10" s="4" t="s">
        <v>39</v>
      </c>
      <c r="C10" s="4" t="s">
        <v>43</v>
      </c>
      <c r="D10" s="134" t="s">
        <v>41</v>
      </c>
      <c r="E10" s="9">
        <v>3</v>
      </c>
      <c r="F10" s="11" t="s">
        <v>39</v>
      </c>
      <c r="G10" s="11" t="s">
        <v>43</v>
      </c>
      <c r="H10" s="12" t="s">
        <v>41</v>
      </c>
      <c r="I10" s="12" t="s">
        <v>42</v>
      </c>
      <c r="J10" s="11" t="s">
        <v>24</v>
      </c>
      <c r="K10" s="11" t="s">
        <v>25</v>
      </c>
      <c r="L10" s="11" t="s">
        <v>18</v>
      </c>
      <c r="M10" s="11" t="s">
        <v>19</v>
      </c>
      <c r="N10" s="16" t="s">
        <v>26</v>
      </c>
      <c r="O10" s="11" t="s">
        <v>20</v>
      </c>
      <c r="P10" s="10"/>
      <c r="Q10" s="11" t="s">
        <v>27</v>
      </c>
      <c r="R10" s="136">
        <v>3.5</v>
      </c>
      <c r="S10" s="136"/>
      <c r="T10" s="136"/>
      <c r="U10" s="136"/>
    </row>
    <row r="11" spans="1:21" ht="15" customHeight="1">
      <c r="A11" s="2">
        <v>3</v>
      </c>
      <c r="B11" s="4" t="s">
        <v>44</v>
      </c>
      <c r="C11" s="4" t="s">
        <v>45</v>
      </c>
      <c r="D11" s="134" t="s">
        <v>46</v>
      </c>
      <c r="E11" s="9">
        <v>3</v>
      </c>
      <c r="F11" s="11" t="s">
        <v>44</v>
      </c>
      <c r="G11" s="11" t="s">
        <v>45</v>
      </c>
      <c r="H11" s="12" t="s">
        <v>46</v>
      </c>
      <c r="I11" s="12" t="s">
        <v>47</v>
      </c>
      <c r="J11" s="10"/>
      <c r="K11" s="11" t="s">
        <v>48</v>
      </c>
      <c r="L11" s="11" t="s">
        <v>38</v>
      </c>
      <c r="M11" s="11" t="s">
        <v>19</v>
      </c>
      <c r="N11" s="11" t="s">
        <v>49</v>
      </c>
      <c r="O11" s="11" t="s">
        <v>20</v>
      </c>
      <c r="P11" s="10"/>
      <c r="Q11" s="136"/>
      <c r="R11" s="136"/>
      <c r="S11" s="136"/>
      <c r="T11" s="136"/>
      <c r="U11" s="136"/>
    </row>
    <row r="12" spans="1:21" ht="15" customHeight="1">
      <c r="A12" s="2">
        <v>3</v>
      </c>
      <c r="B12" s="4" t="s">
        <v>50</v>
      </c>
      <c r="C12" s="4" t="s">
        <v>51</v>
      </c>
      <c r="D12" s="134" t="s">
        <v>46</v>
      </c>
      <c r="E12" s="9">
        <v>3</v>
      </c>
      <c r="F12" s="11" t="s">
        <v>50</v>
      </c>
      <c r="G12" s="11" t="s">
        <v>51</v>
      </c>
      <c r="H12" s="12" t="s">
        <v>46</v>
      </c>
      <c r="I12" s="12" t="s">
        <v>52</v>
      </c>
      <c r="J12" s="10"/>
      <c r="K12" s="11" t="s">
        <v>48</v>
      </c>
      <c r="L12" s="11" t="s">
        <v>38</v>
      </c>
      <c r="M12" s="11" t="s">
        <v>19</v>
      </c>
      <c r="N12" s="11" t="s">
        <v>49</v>
      </c>
      <c r="O12" s="11" t="s">
        <v>20</v>
      </c>
      <c r="P12" s="10"/>
      <c r="Q12" s="136"/>
      <c r="R12" s="136"/>
      <c r="S12" s="136"/>
      <c r="T12" s="136"/>
      <c r="U12" s="136"/>
    </row>
    <row r="13" spans="1:21" ht="15" customHeight="1">
      <c r="A13" s="2">
        <v>1</v>
      </c>
      <c r="B13" s="4" t="s">
        <v>53</v>
      </c>
      <c r="C13" s="4" t="s">
        <v>54</v>
      </c>
      <c r="D13" s="134" t="s">
        <v>36</v>
      </c>
      <c r="E13" s="9">
        <v>1</v>
      </c>
      <c r="F13" s="11" t="s">
        <v>53</v>
      </c>
      <c r="G13" s="11" t="s">
        <v>54</v>
      </c>
      <c r="H13" s="12" t="s">
        <v>36</v>
      </c>
      <c r="I13" s="12" t="s">
        <v>55</v>
      </c>
      <c r="J13" s="10"/>
      <c r="K13" s="11" t="s">
        <v>48</v>
      </c>
      <c r="L13" s="11" t="s">
        <v>38</v>
      </c>
      <c r="M13" s="11" t="s">
        <v>19</v>
      </c>
      <c r="N13" s="11" t="s">
        <v>49</v>
      </c>
      <c r="O13" s="11" t="s">
        <v>20</v>
      </c>
      <c r="P13" s="10"/>
      <c r="Q13" s="136"/>
      <c r="R13" s="136"/>
      <c r="S13" s="136"/>
      <c r="T13" s="136"/>
      <c r="U13" s="136"/>
    </row>
    <row r="14" spans="1:21" ht="15" customHeight="1">
      <c r="A14" s="2">
        <v>1</v>
      </c>
      <c r="B14" s="4" t="s">
        <v>56</v>
      </c>
      <c r="C14" s="4" t="s">
        <v>57</v>
      </c>
      <c r="D14" s="134" t="s">
        <v>36</v>
      </c>
      <c r="E14" s="9">
        <v>1</v>
      </c>
      <c r="F14" s="11" t="s">
        <v>56</v>
      </c>
      <c r="G14" s="11" t="s">
        <v>57</v>
      </c>
      <c r="H14" s="12" t="s">
        <v>36</v>
      </c>
      <c r="I14" s="12" t="s">
        <v>58</v>
      </c>
      <c r="J14" s="10"/>
      <c r="K14" s="11" t="s">
        <v>48</v>
      </c>
      <c r="L14" s="11" t="s">
        <v>38</v>
      </c>
      <c r="M14" s="11" t="s">
        <v>19</v>
      </c>
      <c r="N14" s="11" t="s">
        <v>49</v>
      </c>
      <c r="O14" s="11" t="s">
        <v>20</v>
      </c>
      <c r="P14" s="10"/>
      <c r="Q14" s="136"/>
      <c r="R14" s="136"/>
      <c r="S14" s="136"/>
      <c r="T14" s="136"/>
      <c r="U14" s="136"/>
    </row>
    <row r="15" spans="1:21" ht="15" customHeight="1">
      <c r="A15" s="2">
        <v>3</v>
      </c>
      <c r="B15" s="4" t="s">
        <v>59</v>
      </c>
      <c r="C15" s="4" t="s">
        <v>60</v>
      </c>
      <c r="D15" s="134" t="s">
        <v>36</v>
      </c>
      <c r="E15" s="9">
        <v>3</v>
      </c>
      <c r="F15" s="11" t="s">
        <v>59</v>
      </c>
      <c r="G15" s="11" t="s">
        <v>60</v>
      </c>
      <c r="H15" s="12" t="s">
        <v>36</v>
      </c>
      <c r="I15" s="15" t="s">
        <v>61</v>
      </c>
      <c r="J15" s="10"/>
      <c r="K15" s="11" t="s">
        <v>48</v>
      </c>
      <c r="L15" s="11" t="s">
        <v>38</v>
      </c>
      <c r="M15" s="11" t="s">
        <v>19</v>
      </c>
      <c r="N15" s="11" t="s">
        <v>49</v>
      </c>
      <c r="O15" s="11" t="s">
        <v>20</v>
      </c>
      <c r="P15" s="10"/>
      <c r="Q15" s="136"/>
      <c r="R15" s="136"/>
      <c r="S15" s="136"/>
      <c r="T15" s="136"/>
      <c r="U15" s="136"/>
    </row>
    <row r="16" spans="1:21" ht="15" customHeight="1">
      <c r="A16" s="2">
        <v>3</v>
      </c>
      <c r="B16" s="4" t="s">
        <v>62</v>
      </c>
      <c r="C16" s="4" t="s">
        <v>63</v>
      </c>
      <c r="D16" s="134" t="s">
        <v>36</v>
      </c>
      <c r="E16" s="9">
        <v>3</v>
      </c>
      <c r="F16" s="11" t="s">
        <v>62</v>
      </c>
      <c r="G16" s="11" t="s">
        <v>63</v>
      </c>
      <c r="H16" s="12" t="s">
        <v>36</v>
      </c>
      <c r="I16" s="15" t="s">
        <v>64</v>
      </c>
      <c r="J16" s="10"/>
      <c r="K16" s="11" t="s">
        <v>48</v>
      </c>
      <c r="L16" s="11" t="s">
        <v>38</v>
      </c>
      <c r="M16" s="11" t="s">
        <v>19</v>
      </c>
      <c r="N16" s="11" t="s">
        <v>49</v>
      </c>
      <c r="O16" s="11" t="s">
        <v>20</v>
      </c>
      <c r="P16" s="10"/>
      <c r="Q16" s="136"/>
      <c r="R16" s="136"/>
      <c r="S16" s="136"/>
      <c r="T16" s="136"/>
      <c r="U16" s="136"/>
    </row>
    <row r="17" spans="1:21" ht="15" customHeight="1">
      <c r="A17" s="2">
        <v>1</v>
      </c>
      <c r="B17" s="4" t="s">
        <v>65</v>
      </c>
      <c r="C17" s="4" t="s">
        <v>66</v>
      </c>
      <c r="D17" s="134" t="s">
        <v>36</v>
      </c>
      <c r="E17" s="9">
        <v>1</v>
      </c>
      <c r="F17" s="11" t="s">
        <v>65</v>
      </c>
      <c r="G17" s="11" t="s">
        <v>66</v>
      </c>
      <c r="H17" s="12" t="s">
        <v>36</v>
      </c>
      <c r="I17" s="12" t="s">
        <v>67</v>
      </c>
      <c r="J17" s="10"/>
      <c r="K17" s="11" t="s">
        <v>48</v>
      </c>
      <c r="L17" s="11" t="s">
        <v>38</v>
      </c>
      <c r="M17" s="11" t="s">
        <v>19</v>
      </c>
      <c r="N17" s="11" t="s">
        <v>49</v>
      </c>
      <c r="O17" s="11" t="s">
        <v>20</v>
      </c>
      <c r="P17" s="10"/>
      <c r="Q17" s="136"/>
      <c r="R17" s="136"/>
      <c r="S17" s="136"/>
      <c r="T17" s="136"/>
      <c r="U17" s="136"/>
    </row>
    <row r="18" spans="1:21" ht="15" customHeight="1">
      <c r="A18" s="2">
        <v>3</v>
      </c>
      <c r="B18" s="4" t="s">
        <v>68</v>
      </c>
      <c r="C18" s="4" t="s">
        <v>69</v>
      </c>
      <c r="D18" s="134" t="s">
        <v>70</v>
      </c>
      <c r="E18" s="9">
        <v>3</v>
      </c>
      <c r="F18" s="11" t="s">
        <v>68</v>
      </c>
      <c r="G18" s="11" t="s">
        <v>69</v>
      </c>
      <c r="H18" s="12" t="s">
        <v>70</v>
      </c>
      <c r="I18" s="12" t="s">
        <v>71</v>
      </c>
      <c r="J18" s="10"/>
      <c r="K18" s="16" t="s">
        <v>72</v>
      </c>
      <c r="L18" s="11" t="s">
        <v>73</v>
      </c>
      <c r="M18" s="11" t="s">
        <v>19</v>
      </c>
      <c r="N18" s="10"/>
      <c r="O18" s="11" t="s">
        <v>20</v>
      </c>
      <c r="P18" s="10"/>
      <c r="Q18" s="11" t="s">
        <v>74</v>
      </c>
      <c r="R18" s="136">
        <v>10</v>
      </c>
      <c r="S18" s="136"/>
      <c r="T18" s="136"/>
      <c r="U18" s="136"/>
    </row>
    <row r="19" spans="1:21" ht="15" customHeight="1">
      <c r="A19" s="2">
        <v>3</v>
      </c>
      <c r="B19" s="4" t="s">
        <v>68</v>
      </c>
      <c r="C19" s="4" t="s">
        <v>75</v>
      </c>
      <c r="D19" s="134" t="s">
        <v>76</v>
      </c>
      <c r="E19" s="9">
        <v>3</v>
      </c>
      <c r="F19" s="11" t="s">
        <v>68</v>
      </c>
      <c r="G19" s="11" t="s">
        <v>75</v>
      </c>
      <c r="H19" s="12" t="s">
        <v>76</v>
      </c>
      <c r="I19" s="12" t="s">
        <v>71</v>
      </c>
      <c r="J19" s="10"/>
      <c r="K19" s="16" t="s">
        <v>72</v>
      </c>
      <c r="L19" s="11" t="s">
        <v>73</v>
      </c>
      <c r="M19" s="11" t="s">
        <v>19</v>
      </c>
      <c r="N19" s="10"/>
      <c r="O19" s="11" t="s">
        <v>20</v>
      </c>
      <c r="P19" s="10"/>
      <c r="Q19" s="11" t="s">
        <v>74</v>
      </c>
      <c r="R19" s="136">
        <v>10</v>
      </c>
      <c r="S19" s="136"/>
      <c r="T19" s="136"/>
      <c r="U19" s="136"/>
    </row>
    <row r="20" spans="1:21" ht="15" customHeight="1">
      <c r="A20" s="2">
        <v>3</v>
      </c>
      <c r="B20" s="4" t="s">
        <v>77</v>
      </c>
      <c r="C20" s="4" t="s">
        <v>78</v>
      </c>
      <c r="D20" s="134" t="s">
        <v>70</v>
      </c>
      <c r="E20" s="9">
        <v>3</v>
      </c>
      <c r="F20" s="11" t="s">
        <v>77</v>
      </c>
      <c r="G20" s="11" t="s">
        <v>78</v>
      </c>
      <c r="H20" s="12" t="s">
        <v>70</v>
      </c>
      <c r="I20" s="12" t="s">
        <v>79</v>
      </c>
      <c r="J20" s="10"/>
      <c r="K20" s="16" t="s">
        <v>72</v>
      </c>
      <c r="L20" s="11" t="s">
        <v>73</v>
      </c>
      <c r="M20" s="11" t="s">
        <v>19</v>
      </c>
      <c r="N20" s="10"/>
      <c r="O20" s="11" t="s">
        <v>20</v>
      </c>
      <c r="P20" s="10"/>
      <c r="Q20" s="11" t="s">
        <v>74</v>
      </c>
      <c r="R20" s="136">
        <v>10</v>
      </c>
      <c r="S20" s="136"/>
      <c r="T20" s="136"/>
      <c r="U20" s="136"/>
    </row>
    <row r="21" spans="1:21" ht="15" customHeight="1">
      <c r="A21" s="2">
        <v>3</v>
      </c>
      <c r="B21" s="4" t="s">
        <v>77</v>
      </c>
      <c r="C21" s="4" t="s">
        <v>80</v>
      </c>
      <c r="D21" s="134" t="s">
        <v>76</v>
      </c>
      <c r="E21" s="9">
        <v>3</v>
      </c>
      <c r="F21" s="11" t="s">
        <v>77</v>
      </c>
      <c r="G21" s="11" t="s">
        <v>80</v>
      </c>
      <c r="H21" s="12" t="s">
        <v>76</v>
      </c>
      <c r="I21" s="12" t="s">
        <v>79</v>
      </c>
      <c r="J21" s="10"/>
      <c r="K21" s="16" t="s">
        <v>72</v>
      </c>
      <c r="L21" s="11" t="s">
        <v>73</v>
      </c>
      <c r="M21" s="11" t="s">
        <v>19</v>
      </c>
      <c r="N21" s="10"/>
      <c r="O21" s="11" t="s">
        <v>20</v>
      </c>
      <c r="P21" s="10"/>
      <c r="Q21" s="11" t="s">
        <v>74</v>
      </c>
      <c r="R21" s="136">
        <v>10</v>
      </c>
      <c r="S21" s="136"/>
      <c r="T21" s="136"/>
      <c r="U21" s="136"/>
    </row>
    <row r="22" spans="1:21" ht="15" customHeight="1">
      <c r="A22" s="2">
        <v>3</v>
      </c>
      <c r="B22" s="4" t="s">
        <v>81</v>
      </c>
      <c r="C22" s="4" t="s">
        <v>82</v>
      </c>
      <c r="D22" s="134" t="s">
        <v>70</v>
      </c>
      <c r="E22" s="9">
        <v>3</v>
      </c>
      <c r="F22" s="11" t="s">
        <v>81</v>
      </c>
      <c r="G22" s="11" t="s">
        <v>82</v>
      </c>
      <c r="H22" s="12" t="s">
        <v>70</v>
      </c>
      <c r="I22" s="12" t="s">
        <v>83</v>
      </c>
      <c r="J22" s="10"/>
      <c r="K22" s="16" t="s">
        <v>84</v>
      </c>
      <c r="L22" s="11" t="s">
        <v>73</v>
      </c>
      <c r="M22" s="11" t="s">
        <v>19</v>
      </c>
      <c r="N22" s="10"/>
      <c r="O22" s="11" t="s">
        <v>20</v>
      </c>
      <c r="P22" s="10"/>
      <c r="Q22" s="11" t="s">
        <v>74</v>
      </c>
      <c r="R22" s="136">
        <v>10</v>
      </c>
      <c r="S22" s="136"/>
      <c r="T22" s="136"/>
      <c r="U22" s="136"/>
    </row>
    <row r="23" spans="1:21" ht="15" customHeight="1">
      <c r="A23" s="2">
        <v>3</v>
      </c>
      <c r="B23" s="4" t="s">
        <v>81</v>
      </c>
      <c r="C23" s="4" t="s">
        <v>85</v>
      </c>
      <c r="D23" s="134" t="s">
        <v>76</v>
      </c>
      <c r="E23" s="9">
        <v>3</v>
      </c>
      <c r="F23" s="11" t="s">
        <v>81</v>
      </c>
      <c r="G23" s="11" t="s">
        <v>85</v>
      </c>
      <c r="H23" s="12" t="s">
        <v>76</v>
      </c>
      <c r="I23" s="12" t="s">
        <v>83</v>
      </c>
      <c r="J23" s="10"/>
      <c r="K23" s="16" t="s">
        <v>84</v>
      </c>
      <c r="L23" s="11" t="s">
        <v>73</v>
      </c>
      <c r="M23" s="11" t="s">
        <v>19</v>
      </c>
      <c r="N23" s="10"/>
      <c r="O23" s="11" t="s">
        <v>20</v>
      </c>
      <c r="P23" s="10"/>
      <c r="Q23" s="11" t="s">
        <v>74</v>
      </c>
      <c r="R23" s="136">
        <v>10</v>
      </c>
      <c r="S23" s="136"/>
      <c r="T23" s="136"/>
      <c r="U23" s="136"/>
    </row>
    <row r="24" spans="1:21" ht="15" customHeight="1">
      <c r="A24" s="2">
        <v>3</v>
      </c>
      <c r="B24" s="4" t="s">
        <v>86</v>
      </c>
      <c r="C24" s="4" t="s">
        <v>87</v>
      </c>
      <c r="D24" s="134" t="s">
        <v>70</v>
      </c>
      <c r="E24" s="9">
        <v>3</v>
      </c>
      <c r="F24" s="11" t="s">
        <v>86</v>
      </c>
      <c r="G24" s="11" t="s">
        <v>87</v>
      </c>
      <c r="H24" s="12" t="s">
        <v>70</v>
      </c>
      <c r="I24" s="12" t="s">
        <v>88</v>
      </c>
      <c r="J24" s="10"/>
      <c r="K24" s="16" t="s">
        <v>84</v>
      </c>
      <c r="L24" s="11" t="s">
        <v>73</v>
      </c>
      <c r="M24" s="11" t="s">
        <v>19</v>
      </c>
      <c r="N24" s="10"/>
      <c r="O24" s="11" t="s">
        <v>20</v>
      </c>
      <c r="P24" s="10"/>
      <c r="Q24" s="11" t="s">
        <v>74</v>
      </c>
      <c r="R24" s="136">
        <v>10</v>
      </c>
      <c r="S24" s="136"/>
      <c r="T24" s="136"/>
      <c r="U24" s="136"/>
    </row>
    <row r="25" spans="1:21" ht="15" customHeight="1">
      <c r="A25" s="2">
        <v>3</v>
      </c>
      <c r="B25" s="4" t="s">
        <v>86</v>
      </c>
      <c r="C25" s="4" t="s">
        <v>89</v>
      </c>
      <c r="D25" s="134" t="s">
        <v>76</v>
      </c>
      <c r="E25" s="9">
        <v>3</v>
      </c>
      <c r="F25" s="11" t="s">
        <v>86</v>
      </c>
      <c r="G25" s="11" t="s">
        <v>89</v>
      </c>
      <c r="H25" s="12" t="s">
        <v>76</v>
      </c>
      <c r="I25" s="12" t="s">
        <v>88</v>
      </c>
      <c r="J25" s="10"/>
      <c r="K25" s="16" t="s">
        <v>84</v>
      </c>
      <c r="L25" s="11" t="s">
        <v>73</v>
      </c>
      <c r="M25" s="11" t="s">
        <v>19</v>
      </c>
      <c r="N25" s="10"/>
      <c r="O25" s="11" t="s">
        <v>20</v>
      </c>
      <c r="P25" s="10"/>
      <c r="Q25" s="11" t="s">
        <v>74</v>
      </c>
      <c r="R25" s="136">
        <v>10</v>
      </c>
      <c r="S25" s="136"/>
      <c r="T25" s="136"/>
      <c r="U25" s="136"/>
    </row>
    <row r="26" spans="1:21" ht="15" customHeight="1">
      <c r="A26" s="2">
        <v>3</v>
      </c>
      <c r="B26" s="4" t="s">
        <v>90</v>
      </c>
      <c r="C26" s="4" t="s">
        <v>91</v>
      </c>
      <c r="D26" s="134" t="s">
        <v>36</v>
      </c>
      <c r="E26" s="9">
        <v>3</v>
      </c>
      <c r="F26" s="11" t="s">
        <v>90</v>
      </c>
      <c r="G26" s="11" t="s">
        <v>91</v>
      </c>
      <c r="H26" s="12" t="s">
        <v>36</v>
      </c>
      <c r="I26" s="12" t="s">
        <v>92</v>
      </c>
      <c r="J26" s="10"/>
      <c r="K26" s="11" t="s">
        <v>48</v>
      </c>
      <c r="L26" s="11" t="s">
        <v>38</v>
      </c>
      <c r="M26" s="11" t="s">
        <v>19</v>
      </c>
      <c r="N26" s="11" t="s">
        <v>49</v>
      </c>
      <c r="O26" s="11" t="s">
        <v>20</v>
      </c>
      <c r="P26" s="10"/>
      <c r="Q26" s="136"/>
      <c r="R26" s="136"/>
      <c r="S26" s="136"/>
      <c r="T26" s="136"/>
      <c r="U26" s="136"/>
    </row>
    <row r="27" spans="1:21" ht="15" customHeight="1">
      <c r="A27" s="2">
        <v>3</v>
      </c>
      <c r="B27" s="4" t="s">
        <v>68</v>
      </c>
      <c r="C27" s="4" t="s">
        <v>93</v>
      </c>
      <c r="D27" s="134" t="s">
        <v>15</v>
      </c>
      <c r="E27" s="9">
        <v>3</v>
      </c>
      <c r="F27" s="11" t="s">
        <v>68</v>
      </c>
      <c r="G27" s="11" t="s">
        <v>93</v>
      </c>
      <c r="H27" s="12" t="s">
        <v>15</v>
      </c>
      <c r="I27" s="12" t="s">
        <v>71</v>
      </c>
      <c r="J27" s="10"/>
      <c r="K27" s="16" t="s">
        <v>72</v>
      </c>
      <c r="L27" s="11" t="s">
        <v>18</v>
      </c>
      <c r="M27" s="11" t="s">
        <v>19</v>
      </c>
      <c r="N27" s="10"/>
      <c r="O27" s="11" t="s">
        <v>20</v>
      </c>
      <c r="P27" s="10"/>
      <c r="Q27" s="11" t="s">
        <v>27</v>
      </c>
      <c r="R27" s="136">
        <v>10</v>
      </c>
      <c r="S27" s="136"/>
      <c r="T27" s="136"/>
      <c r="U27" s="136"/>
    </row>
    <row r="28" spans="1:21" ht="15" customHeight="1">
      <c r="A28" s="2">
        <v>3</v>
      </c>
      <c r="B28" s="4" t="s">
        <v>68</v>
      </c>
      <c r="C28" s="4" t="s">
        <v>94</v>
      </c>
      <c r="D28" s="134" t="s">
        <v>95</v>
      </c>
      <c r="E28" s="9">
        <v>3</v>
      </c>
      <c r="F28" s="11" t="s">
        <v>68</v>
      </c>
      <c r="G28" s="11" t="s">
        <v>94</v>
      </c>
      <c r="H28" s="12" t="s">
        <v>95</v>
      </c>
      <c r="I28" s="12" t="s">
        <v>71</v>
      </c>
      <c r="J28" s="10"/>
      <c r="K28" s="16" t="s">
        <v>72</v>
      </c>
      <c r="L28" s="11" t="s">
        <v>18</v>
      </c>
      <c r="M28" s="11" t="s">
        <v>19</v>
      </c>
      <c r="N28" s="10"/>
      <c r="O28" s="11" t="s">
        <v>20</v>
      </c>
      <c r="P28" s="10"/>
      <c r="Q28" s="11" t="s">
        <v>27</v>
      </c>
      <c r="R28" s="136">
        <v>10</v>
      </c>
      <c r="S28" s="136"/>
      <c r="T28" s="136"/>
      <c r="U28" s="136"/>
    </row>
    <row r="29" spans="1:21" ht="15" customHeight="1">
      <c r="A29" s="2">
        <v>3</v>
      </c>
      <c r="B29" s="4" t="s">
        <v>77</v>
      </c>
      <c r="C29" s="4" t="s">
        <v>96</v>
      </c>
      <c r="D29" s="134" t="s">
        <v>15</v>
      </c>
      <c r="E29" s="9">
        <v>3</v>
      </c>
      <c r="F29" s="11" t="s">
        <v>77</v>
      </c>
      <c r="G29" s="11" t="s">
        <v>96</v>
      </c>
      <c r="H29" s="12" t="s">
        <v>15</v>
      </c>
      <c r="I29" s="12" t="s">
        <v>79</v>
      </c>
      <c r="J29" s="10"/>
      <c r="K29" s="16" t="s">
        <v>72</v>
      </c>
      <c r="L29" s="11" t="s">
        <v>18</v>
      </c>
      <c r="M29" s="11" t="s">
        <v>19</v>
      </c>
      <c r="N29" s="10"/>
      <c r="O29" s="11" t="s">
        <v>20</v>
      </c>
      <c r="P29" s="10"/>
      <c r="Q29" s="11" t="s">
        <v>27</v>
      </c>
      <c r="R29" s="136">
        <v>10</v>
      </c>
      <c r="S29" s="136"/>
      <c r="T29" s="136"/>
      <c r="U29" s="136"/>
    </row>
    <row r="30" spans="1:21" ht="15" customHeight="1">
      <c r="A30" s="2">
        <v>3</v>
      </c>
      <c r="B30" s="4" t="s">
        <v>77</v>
      </c>
      <c r="C30" s="4" t="s">
        <v>97</v>
      </c>
      <c r="D30" s="134" t="s">
        <v>95</v>
      </c>
      <c r="E30" s="9">
        <v>3</v>
      </c>
      <c r="F30" s="11" t="s">
        <v>77</v>
      </c>
      <c r="G30" s="11" t="s">
        <v>97</v>
      </c>
      <c r="H30" s="12" t="s">
        <v>95</v>
      </c>
      <c r="I30" s="12" t="s">
        <v>79</v>
      </c>
      <c r="J30" s="10"/>
      <c r="K30" s="16" t="s">
        <v>72</v>
      </c>
      <c r="L30" s="11" t="s">
        <v>18</v>
      </c>
      <c r="M30" s="11" t="s">
        <v>19</v>
      </c>
      <c r="N30" s="10"/>
      <c r="O30" s="11" t="s">
        <v>20</v>
      </c>
      <c r="P30" s="10"/>
      <c r="Q30" s="11" t="s">
        <v>27</v>
      </c>
      <c r="R30" s="136">
        <v>10</v>
      </c>
      <c r="S30" s="136"/>
      <c r="T30" s="136"/>
      <c r="U30" s="136"/>
    </row>
    <row r="31" spans="1:21" ht="15" customHeight="1">
      <c r="A31" s="2">
        <v>3</v>
      </c>
      <c r="B31" s="4" t="s">
        <v>81</v>
      </c>
      <c r="C31" s="4" t="s">
        <v>98</v>
      </c>
      <c r="D31" s="134" t="s">
        <v>15</v>
      </c>
      <c r="E31" s="9">
        <v>3</v>
      </c>
      <c r="F31" s="11" t="s">
        <v>81</v>
      </c>
      <c r="G31" s="11" t="s">
        <v>98</v>
      </c>
      <c r="H31" s="12" t="s">
        <v>15</v>
      </c>
      <c r="I31" s="12" t="s">
        <v>83</v>
      </c>
      <c r="J31" s="10"/>
      <c r="K31" s="16" t="s">
        <v>84</v>
      </c>
      <c r="L31" s="11" t="s">
        <v>18</v>
      </c>
      <c r="M31" s="11" t="s">
        <v>19</v>
      </c>
      <c r="N31" s="10"/>
      <c r="O31" s="11" t="s">
        <v>20</v>
      </c>
      <c r="P31" s="10"/>
      <c r="Q31" s="11" t="s">
        <v>27</v>
      </c>
      <c r="R31" s="136">
        <v>10</v>
      </c>
      <c r="S31" s="136"/>
      <c r="T31" s="136"/>
      <c r="U31" s="136"/>
    </row>
    <row r="32" spans="1:21" ht="18.899999999999999" customHeight="1">
      <c r="A32" s="2">
        <v>3</v>
      </c>
      <c r="B32" s="4" t="s">
        <v>81</v>
      </c>
      <c r="C32" s="4" t="s">
        <v>99</v>
      </c>
      <c r="D32" s="134" t="s">
        <v>95</v>
      </c>
      <c r="E32" s="9">
        <v>3</v>
      </c>
      <c r="F32" s="11" t="s">
        <v>81</v>
      </c>
      <c r="G32" s="11" t="s">
        <v>99</v>
      </c>
      <c r="H32" s="12" t="s">
        <v>95</v>
      </c>
      <c r="I32" s="12" t="s">
        <v>83</v>
      </c>
      <c r="J32" s="10"/>
      <c r="K32" s="16" t="s">
        <v>84</v>
      </c>
      <c r="L32" s="11" t="s">
        <v>18</v>
      </c>
      <c r="M32" s="11" t="s">
        <v>19</v>
      </c>
      <c r="N32" s="10"/>
      <c r="O32" s="11" t="s">
        <v>20</v>
      </c>
      <c r="P32" s="10"/>
      <c r="Q32" s="11" t="s">
        <v>27</v>
      </c>
      <c r="R32" s="136">
        <v>10</v>
      </c>
      <c r="S32" s="136"/>
      <c r="T32" s="136"/>
      <c r="U32" s="136"/>
    </row>
    <row r="33" spans="1:21" ht="18.899999999999999" customHeight="1">
      <c r="A33" s="2">
        <v>3</v>
      </c>
      <c r="B33" s="4" t="s">
        <v>86</v>
      </c>
      <c r="C33" s="4" t="s">
        <v>100</v>
      </c>
      <c r="D33" s="134" t="s">
        <v>15</v>
      </c>
      <c r="E33" s="9">
        <v>3</v>
      </c>
      <c r="F33" s="11" t="s">
        <v>86</v>
      </c>
      <c r="G33" s="11" t="s">
        <v>100</v>
      </c>
      <c r="H33" s="12" t="s">
        <v>15</v>
      </c>
      <c r="I33" s="12" t="s">
        <v>88</v>
      </c>
      <c r="J33" s="10"/>
      <c r="K33" s="16" t="s">
        <v>84</v>
      </c>
      <c r="L33" s="11" t="s">
        <v>18</v>
      </c>
      <c r="M33" s="11" t="s">
        <v>19</v>
      </c>
      <c r="N33" s="10"/>
      <c r="O33" s="11" t="s">
        <v>20</v>
      </c>
      <c r="P33" s="10"/>
      <c r="Q33" s="11" t="s">
        <v>27</v>
      </c>
      <c r="R33" s="136">
        <v>10</v>
      </c>
      <c r="S33" s="136"/>
      <c r="T33" s="136"/>
      <c r="U33" s="136"/>
    </row>
    <row r="34" spans="1:21" ht="18.899999999999999" customHeight="1">
      <c r="A34" s="2">
        <v>3</v>
      </c>
      <c r="B34" s="4" t="s">
        <v>86</v>
      </c>
      <c r="C34" s="4" t="s">
        <v>101</v>
      </c>
      <c r="D34" s="134" t="s">
        <v>95</v>
      </c>
      <c r="E34" s="9">
        <v>3</v>
      </c>
      <c r="F34" s="11" t="s">
        <v>86</v>
      </c>
      <c r="G34" s="11" t="s">
        <v>101</v>
      </c>
      <c r="H34" s="12" t="s">
        <v>95</v>
      </c>
      <c r="I34" s="12" t="s">
        <v>88</v>
      </c>
      <c r="J34" s="10"/>
      <c r="K34" s="16" t="s">
        <v>84</v>
      </c>
      <c r="L34" s="11" t="s">
        <v>18</v>
      </c>
      <c r="M34" s="11" t="s">
        <v>19</v>
      </c>
      <c r="N34" s="10"/>
      <c r="O34" s="11" t="s">
        <v>20</v>
      </c>
      <c r="P34" s="10"/>
      <c r="Q34" s="11" t="s">
        <v>27</v>
      </c>
      <c r="R34" s="136">
        <v>10</v>
      </c>
      <c r="S34" s="136"/>
      <c r="T34" s="136"/>
      <c r="U34" s="136"/>
    </row>
    <row r="35" spans="1:21" ht="18.899999999999999" customHeight="1">
      <c r="A35" s="2">
        <v>2</v>
      </c>
      <c r="B35" s="4" t="s">
        <v>102</v>
      </c>
      <c r="C35" s="4" t="s">
        <v>103</v>
      </c>
      <c r="D35" s="134" t="s">
        <v>36</v>
      </c>
      <c r="E35" s="9">
        <v>2</v>
      </c>
      <c r="F35" s="11" t="s">
        <v>102</v>
      </c>
      <c r="G35" s="11" t="s">
        <v>103</v>
      </c>
      <c r="H35" s="12" t="s">
        <v>36</v>
      </c>
      <c r="I35" s="135" t="s">
        <v>904</v>
      </c>
      <c r="J35" s="11" t="s">
        <v>105</v>
      </c>
      <c r="K35" s="11" t="s">
        <v>25</v>
      </c>
      <c r="L35" s="11" t="s">
        <v>38</v>
      </c>
      <c r="M35" s="11" t="s">
        <v>19</v>
      </c>
      <c r="N35" s="10"/>
      <c r="O35" s="11" t="s">
        <v>20</v>
      </c>
      <c r="P35" s="10"/>
      <c r="Q35" s="136"/>
      <c r="R35" s="136"/>
      <c r="S35" s="136"/>
      <c r="T35" s="136" t="s">
        <v>905</v>
      </c>
      <c r="U35" s="136"/>
    </row>
    <row r="36" spans="1:21" ht="18.899999999999999" customHeight="1">
      <c r="A36" s="2">
        <v>2</v>
      </c>
      <c r="B36" s="4" t="s">
        <v>106</v>
      </c>
      <c r="C36" s="4" t="s">
        <v>107</v>
      </c>
      <c r="D36" s="134" t="s">
        <v>36</v>
      </c>
      <c r="E36" s="9">
        <v>2</v>
      </c>
      <c r="F36" s="11" t="s">
        <v>106</v>
      </c>
      <c r="G36" s="11" t="s">
        <v>107</v>
      </c>
      <c r="H36" s="12" t="s">
        <v>36</v>
      </c>
      <c r="I36" s="12" t="s">
        <v>104</v>
      </c>
      <c r="J36" s="11" t="s">
        <v>105</v>
      </c>
      <c r="K36" s="11" t="s">
        <v>25</v>
      </c>
      <c r="L36" s="11" t="s">
        <v>38</v>
      </c>
      <c r="M36" s="11" t="s">
        <v>19</v>
      </c>
      <c r="N36" s="10"/>
      <c r="O36" s="11" t="s">
        <v>20</v>
      </c>
      <c r="P36" s="10"/>
      <c r="Q36" s="136"/>
      <c r="R36" s="136"/>
      <c r="S36" s="136"/>
      <c r="T36" s="136"/>
      <c r="U36" s="136"/>
    </row>
    <row r="37" spans="1:21" ht="18.899999999999999" customHeight="1">
      <c r="A37" s="2">
        <v>2</v>
      </c>
      <c r="B37" s="4" t="s">
        <v>108</v>
      </c>
      <c r="C37" s="4" t="s">
        <v>109</v>
      </c>
      <c r="D37" s="134" t="s">
        <v>36</v>
      </c>
      <c r="E37" s="9">
        <v>2</v>
      </c>
      <c r="F37" s="11" t="s">
        <v>108</v>
      </c>
      <c r="G37" s="11" t="s">
        <v>109</v>
      </c>
      <c r="H37" s="12" t="s">
        <v>36</v>
      </c>
      <c r="I37" s="12" t="s">
        <v>104</v>
      </c>
      <c r="J37" s="11" t="s">
        <v>105</v>
      </c>
      <c r="K37" s="11" t="s">
        <v>25</v>
      </c>
      <c r="L37" s="11" t="s">
        <v>38</v>
      </c>
      <c r="M37" s="11" t="s">
        <v>19</v>
      </c>
      <c r="N37" s="10"/>
      <c r="O37" s="11" t="s">
        <v>20</v>
      </c>
      <c r="P37" s="10"/>
      <c r="Q37" s="136"/>
      <c r="R37" s="136"/>
      <c r="S37" s="136"/>
      <c r="T37" s="136"/>
      <c r="U37" s="136"/>
    </row>
    <row r="38" spans="1:21" ht="18.899999999999999" customHeight="1">
      <c r="A38" s="146">
        <v>3</v>
      </c>
      <c r="B38" s="130" t="s">
        <v>110</v>
      </c>
      <c r="C38" s="130" t="s">
        <v>111</v>
      </c>
      <c r="D38" s="147" t="s">
        <v>112</v>
      </c>
      <c r="E38" s="9">
        <v>3</v>
      </c>
      <c r="F38" s="138" t="s">
        <v>110</v>
      </c>
      <c r="G38" s="149" t="s">
        <v>909</v>
      </c>
      <c r="H38" s="139" t="s">
        <v>112</v>
      </c>
      <c r="I38" s="139" t="s">
        <v>104</v>
      </c>
      <c r="J38" s="138" t="s">
        <v>105</v>
      </c>
      <c r="K38" s="138" t="s">
        <v>25</v>
      </c>
      <c r="L38" s="138" t="s">
        <v>38</v>
      </c>
      <c r="M38" s="138" t="s">
        <v>19</v>
      </c>
      <c r="N38" s="140"/>
      <c r="O38" s="138" t="s">
        <v>20</v>
      </c>
      <c r="P38" s="140"/>
      <c r="Q38" s="141"/>
      <c r="R38" s="141"/>
      <c r="S38" s="150" t="s">
        <v>907</v>
      </c>
      <c r="T38" s="142" t="s">
        <v>1874</v>
      </c>
      <c r="U38" s="150" t="s">
        <v>907</v>
      </c>
    </row>
    <row r="39" spans="1:21" ht="18.899999999999999" customHeight="1">
      <c r="A39" s="2">
        <v>3</v>
      </c>
      <c r="B39" s="4" t="s">
        <v>113</v>
      </c>
      <c r="C39" s="4" t="s">
        <v>114</v>
      </c>
      <c r="D39" s="134" t="s">
        <v>36</v>
      </c>
      <c r="E39" s="9">
        <v>3</v>
      </c>
      <c r="F39" s="138" t="s">
        <v>113</v>
      </c>
      <c r="G39" s="138" t="s">
        <v>114</v>
      </c>
      <c r="H39" s="139" t="s">
        <v>36</v>
      </c>
      <c r="I39" s="139" t="s">
        <v>104</v>
      </c>
      <c r="J39" s="138" t="s">
        <v>105</v>
      </c>
      <c r="K39" s="138" t="s">
        <v>25</v>
      </c>
      <c r="L39" s="138" t="s">
        <v>38</v>
      </c>
      <c r="M39" s="138" t="s">
        <v>19</v>
      </c>
      <c r="N39" s="140"/>
      <c r="O39" s="138" t="s">
        <v>20</v>
      </c>
      <c r="P39" s="140"/>
      <c r="Q39" s="141"/>
      <c r="R39" s="141"/>
      <c r="S39" s="141" t="s">
        <v>908</v>
      </c>
      <c r="T39" s="142" t="s">
        <v>1874</v>
      </c>
      <c r="U39" s="141" t="s">
        <v>1879</v>
      </c>
    </row>
    <row r="40" spans="1:21" ht="18.899999999999999" customHeight="1">
      <c r="A40" s="2">
        <v>1</v>
      </c>
      <c r="B40" s="4" t="s">
        <v>115</v>
      </c>
      <c r="C40" s="4" t="s">
        <v>116</v>
      </c>
      <c r="D40" s="134" t="s">
        <v>117</v>
      </c>
      <c r="E40" s="9">
        <v>1</v>
      </c>
      <c r="F40" s="138" t="s">
        <v>115</v>
      </c>
      <c r="G40" s="138" t="s">
        <v>116</v>
      </c>
      <c r="H40" s="139" t="s">
        <v>117</v>
      </c>
      <c r="I40" s="139" t="s">
        <v>118</v>
      </c>
      <c r="J40" s="138" t="s">
        <v>105</v>
      </c>
      <c r="K40" s="138" t="s">
        <v>25</v>
      </c>
      <c r="L40" s="138" t="s">
        <v>38</v>
      </c>
      <c r="M40" s="138" t="s">
        <v>19</v>
      </c>
      <c r="N40" s="138" t="s">
        <v>119</v>
      </c>
      <c r="O40" s="138" t="s">
        <v>20</v>
      </c>
      <c r="P40" s="140"/>
      <c r="Q40" s="141"/>
      <c r="R40" s="141"/>
      <c r="S40" s="141" t="s">
        <v>908</v>
      </c>
      <c r="T40" s="142" t="s">
        <v>1874</v>
      </c>
      <c r="U40" s="141" t="s">
        <v>1879</v>
      </c>
    </row>
    <row r="41" spans="1:21" ht="18.899999999999999" customHeight="1">
      <c r="A41" s="2">
        <v>1</v>
      </c>
      <c r="B41" s="4" t="s">
        <v>115</v>
      </c>
      <c r="C41" s="4" t="s">
        <v>120</v>
      </c>
      <c r="D41" s="134" t="s">
        <v>121</v>
      </c>
      <c r="E41" s="9">
        <v>1</v>
      </c>
      <c r="F41" s="138" t="s">
        <v>115</v>
      </c>
      <c r="G41" s="138" t="s">
        <v>120</v>
      </c>
      <c r="H41" s="139" t="s">
        <v>121</v>
      </c>
      <c r="I41" s="139" t="s">
        <v>118</v>
      </c>
      <c r="J41" s="138" t="s">
        <v>105</v>
      </c>
      <c r="K41" s="138" t="s">
        <v>25</v>
      </c>
      <c r="L41" s="138" t="s">
        <v>73</v>
      </c>
      <c r="M41" s="138" t="s">
        <v>19</v>
      </c>
      <c r="N41" s="138" t="s">
        <v>119</v>
      </c>
      <c r="O41" s="138" t="s">
        <v>20</v>
      </c>
      <c r="P41" s="140"/>
      <c r="Q41" s="138" t="s">
        <v>74</v>
      </c>
      <c r="R41" s="141">
        <v>330</v>
      </c>
      <c r="S41" s="141" t="s">
        <v>908</v>
      </c>
      <c r="T41" s="142" t="s">
        <v>1874</v>
      </c>
      <c r="U41" s="141" t="s">
        <v>1879</v>
      </c>
    </row>
    <row r="42" spans="1:21" ht="18.899999999999999" customHeight="1">
      <c r="A42" s="2">
        <v>1</v>
      </c>
      <c r="B42" s="4" t="s">
        <v>115</v>
      </c>
      <c r="C42" s="4" t="s">
        <v>122</v>
      </c>
      <c r="D42" s="134" t="s">
        <v>121</v>
      </c>
      <c r="E42" s="9">
        <v>1</v>
      </c>
      <c r="F42" s="138" t="s">
        <v>115</v>
      </c>
      <c r="G42" s="138" t="s">
        <v>122</v>
      </c>
      <c r="H42" s="139" t="s">
        <v>121</v>
      </c>
      <c r="I42" s="139" t="s">
        <v>118</v>
      </c>
      <c r="J42" s="138" t="s">
        <v>105</v>
      </c>
      <c r="K42" s="138" t="s">
        <v>25</v>
      </c>
      <c r="L42" s="138" t="s">
        <v>73</v>
      </c>
      <c r="M42" s="138" t="s">
        <v>19</v>
      </c>
      <c r="N42" s="138" t="s">
        <v>119</v>
      </c>
      <c r="O42" s="138" t="s">
        <v>20</v>
      </c>
      <c r="P42" s="140"/>
      <c r="Q42" s="138" t="s">
        <v>123</v>
      </c>
      <c r="R42" s="141">
        <v>330</v>
      </c>
      <c r="S42" s="141" t="s">
        <v>908</v>
      </c>
      <c r="T42" s="142" t="s">
        <v>1874</v>
      </c>
      <c r="U42" s="141" t="s">
        <v>1879</v>
      </c>
    </row>
    <row r="43" spans="1:21" ht="18.899999999999999" customHeight="1">
      <c r="A43" s="2">
        <v>1</v>
      </c>
      <c r="B43" s="4" t="s">
        <v>124</v>
      </c>
      <c r="C43" s="4" t="s">
        <v>125</v>
      </c>
      <c r="D43" s="134" t="s">
        <v>126</v>
      </c>
      <c r="E43" s="9">
        <v>1</v>
      </c>
      <c r="F43" s="138" t="s">
        <v>124</v>
      </c>
      <c r="G43" s="138" t="s">
        <v>125</v>
      </c>
      <c r="H43" s="139" t="s">
        <v>126</v>
      </c>
      <c r="I43" s="139" t="s">
        <v>127</v>
      </c>
      <c r="J43" s="138" t="s">
        <v>105</v>
      </c>
      <c r="K43" s="138" t="s">
        <v>25</v>
      </c>
      <c r="L43" s="138" t="s">
        <v>18</v>
      </c>
      <c r="M43" s="138" t="s">
        <v>19</v>
      </c>
      <c r="N43" s="140"/>
      <c r="O43" s="138" t="s">
        <v>20</v>
      </c>
      <c r="P43" s="140"/>
      <c r="Q43" s="138" t="s">
        <v>27</v>
      </c>
      <c r="R43" s="141">
        <v>3.5</v>
      </c>
      <c r="S43" s="141"/>
      <c r="T43" s="141"/>
      <c r="U43" s="141"/>
    </row>
    <row r="44" spans="1:21" ht="18.899999999999999" customHeight="1">
      <c r="A44" s="2">
        <v>1</v>
      </c>
      <c r="B44" s="4" t="s">
        <v>124</v>
      </c>
      <c r="C44" s="214" t="s">
        <v>2917</v>
      </c>
      <c r="D44" s="134" t="s">
        <v>41</v>
      </c>
      <c r="E44" s="9">
        <v>1</v>
      </c>
      <c r="F44" s="11" t="s">
        <v>124</v>
      </c>
      <c r="G44" s="11" t="s">
        <v>128</v>
      </c>
      <c r="H44" s="12" t="s">
        <v>41</v>
      </c>
      <c r="I44" s="12" t="s">
        <v>129</v>
      </c>
      <c r="J44" s="11" t="s">
        <v>105</v>
      </c>
      <c r="K44" s="11" t="s">
        <v>25</v>
      </c>
      <c r="L44" s="11" t="s">
        <v>18</v>
      </c>
      <c r="M44" s="11" t="s">
        <v>19</v>
      </c>
      <c r="N44" s="10"/>
      <c r="O44" s="11" t="s">
        <v>20</v>
      </c>
      <c r="P44" s="10"/>
      <c r="Q44" s="11" t="s">
        <v>27</v>
      </c>
      <c r="R44" s="136">
        <v>3.5</v>
      </c>
      <c r="S44" s="136"/>
      <c r="T44" s="136"/>
      <c r="U44" s="136"/>
    </row>
    <row r="45" spans="1:21" ht="18.899999999999999" customHeight="1">
      <c r="A45" s="2">
        <v>1</v>
      </c>
      <c r="B45" s="4" t="s">
        <v>130</v>
      </c>
      <c r="C45" s="4" t="s">
        <v>131</v>
      </c>
      <c r="D45" s="134" t="s">
        <v>126</v>
      </c>
      <c r="E45" s="9">
        <v>1</v>
      </c>
      <c r="F45" s="11" t="s">
        <v>130</v>
      </c>
      <c r="G45" s="11" t="s">
        <v>131</v>
      </c>
      <c r="H45" s="12" t="s">
        <v>126</v>
      </c>
      <c r="I45" s="12" t="s">
        <v>132</v>
      </c>
      <c r="J45" s="11" t="s">
        <v>105</v>
      </c>
      <c r="K45" s="11" t="s">
        <v>25</v>
      </c>
      <c r="L45" s="11" t="s">
        <v>18</v>
      </c>
      <c r="M45" s="11" t="s">
        <v>19</v>
      </c>
      <c r="N45" s="10"/>
      <c r="O45" s="11" t="s">
        <v>20</v>
      </c>
      <c r="P45" s="10"/>
      <c r="Q45" s="11" t="s">
        <v>27</v>
      </c>
      <c r="R45" s="136">
        <v>3.5</v>
      </c>
      <c r="S45" s="136"/>
      <c r="T45" s="136"/>
      <c r="U45" s="136"/>
    </row>
    <row r="46" spans="1:21" ht="18.899999999999999" customHeight="1">
      <c r="A46" s="2">
        <v>1</v>
      </c>
      <c r="B46" s="4" t="s">
        <v>130</v>
      </c>
      <c r="C46" s="4" t="s">
        <v>133</v>
      </c>
      <c r="D46" s="134" t="s">
        <v>41</v>
      </c>
      <c r="E46" s="9">
        <v>1</v>
      </c>
      <c r="F46" s="11" t="s">
        <v>130</v>
      </c>
      <c r="G46" s="11" t="s">
        <v>133</v>
      </c>
      <c r="H46" s="12" t="s">
        <v>41</v>
      </c>
      <c r="I46" s="12" t="s">
        <v>134</v>
      </c>
      <c r="J46" s="11" t="s">
        <v>105</v>
      </c>
      <c r="K46" s="11" t="s">
        <v>25</v>
      </c>
      <c r="L46" s="11" t="s">
        <v>18</v>
      </c>
      <c r="M46" s="11" t="s">
        <v>19</v>
      </c>
      <c r="N46" s="10"/>
      <c r="O46" s="11" t="s">
        <v>20</v>
      </c>
      <c r="P46" s="10"/>
      <c r="Q46" s="11" t="s">
        <v>27</v>
      </c>
      <c r="R46" s="136">
        <v>3.5</v>
      </c>
      <c r="S46" s="136"/>
      <c r="T46" s="136"/>
      <c r="U46" s="136"/>
    </row>
    <row r="47" spans="1:21" ht="18.899999999999999" customHeight="1">
      <c r="A47" s="2">
        <v>2</v>
      </c>
      <c r="B47" s="4" t="s">
        <v>135</v>
      </c>
      <c r="C47" s="4" t="s">
        <v>136</v>
      </c>
      <c r="D47" s="134" t="s">
        <v>36</v>
      </c>
      <c r="E47" s="9">
        <v>2</v>
      </c>
      <c r="F47" s="11" t="s">
        <v>135</v>
      </c>
      <c r="G47" s="11" t="s">
        <v>136</v>
      </c>
      <c r="H47" s="12" t="s">
        <v>36</v>
      </c>
      <c r="I47" s="12" t="s">
        <v>137</v>
      </c>
      <c r="J47" s="11" t="s">
        <v>138</v>
      </c>
      <c r="K47" s="11" t="s">
        <v>25</v>
      </c>
      <c r="L47" s="11" t="s">
        <v>38</v>
      </c>
      <c r="M47" s="11" t="s">
        <v>19</v>
      </c>
      <c r="N47" s="10"/>
      <c r="O47" s="11" t="s">
        <v>20</v>
      </c>
      <c r="P47" s="10"/>
      <c r="Q47" s="136"/>
      <c r="R47" s="136"/>
      <c r="S47" s="136"/>
      <c r="T47" s="136"/>
      <c r="U47" s="136"/>
    </row>
    <row r="48" spans="1:21" ht="18.899999999999999" customHeight="1">
      <c r="A48" s="2">
        <v>2</v>
      </c>
      <c r="B48" s="4" t="s">
        <v>139</v>
      </c>
      <c r="C48" s="4" t="s">
        <v>140</v>
      </c>
      <c r="D48" s="134" t="s">
        <v>36</v>
      </c>
      <c r="E48" s="9">
        <v>2</v>
      </c>
      <c r="F48" s="11" t="s">
        <v>139</v>
      </c>
      <c r="G48" s="11" t="s">
        <v>140</v>
      </c>
      <c r="H48" s="12" t="s">
        <v>36</v>
      </c>
      <c r="I48" s="12" t="s">
        <v>137</v>
      </c>
      <c r="J48" s="11" t="s">
        <v>138</v>
      </c>
      <c r="K48" s="11" t="s">
        <v>25</v>
      </c>
      <c r="L48" s="11" t="s">
        <v>38</v>
      </c>
      <c r="M48" s="11" t="s">
        <v>19</v>
      </c>
      <c r="N48" s="10"/>
      <c r="O48" s="11" t="s">
        <v>20</v>
      </c>
      <c r="P48" s="10"/>
      <c r="Q48" s="136"/>
      <c r="R48" s="136"/>
      <c r="S48" s="136"/>
      <c r="T48" s="136"/>
      <c r="U48" s="136"/>
    </row>
    <row r="49" spans="1:21" ht="18.899999999999999" customHeight="1">
      <c r="A49" s="2">
        <v>2</v>
      </c>
      <c r="B49" s="4" t="s">
        <v>141</v>
      </c>
      <c r="C49" s="4" t="s">
        <v>142</v>
      </c>
      <c r="D49" s="134" t="s">
        <v>36</v>
      </c>
      <c r="E49" s="9">
        <v>2</v>
      </c>
      <c r="F49" s="11" t="s">
        <v>141</v>
      </c>
      <c r="G49" s="11" t="s">
        <v>142</v>
      </c>
      <c r="H49" s="12" t="s">
        <v>36</v>
      </c>
      <c r="I49" s="12" t="s">
        <v>137</v>
      </c>
      <c r="J49" s="11" t="s">
        <v>138</v>
      </c>
      <c r="K49" s="11" t="s">
        <v>25</v>
      </c>
      <c r="L49" s="11" t="s">
        <v>38</v>
      </c>
      <c r="M49" s="11" t="s">
        <v>19</v>
      </c>
      <c r="N49" s="10"/>
      <c r="O49" s="11" t="s">
        <v>20</v>
      </c>
      <c r="P49" s="10"/>
      <c r="Q49" s="136"/>
      <c r="R49" s="136"/>
      <c r="S49" s="136"/>
      <c r="T49" s="136"/>
      <c r="U49" s="136"/>
    </row>
    <row r="50" spans="1:21" ht="18.899999999999999" customHeight="1">
      <c r="A50" s="2">
        <v>2</v>
      </c>
      <c r="B50" s="4" t="s">
        <v>143</v>
      </c>
      <c r="C50" s="4" t="s">
        <v>144</v>
      </c>
      <c r="D50" s="134" t="s">
        <v>112</v>
      </c>
      <c r="E50" s="9">
        <v>2</v>
      </c>
      <c r="F50" s="138" t="s">
        <v>143</v>
      </c>
      <c r="G50" s="138" t="s">
        <v>144</v>
      </c>
      <c r="H50" s="139" t="s">
        <v>112</v>
      </c>
      <c r="I50" s="139" t="s">
        <v>137</v>
      </c>
      <c r="J50" s="138" t="s">
        <v>138</v>
      </c>
      <c r="K50" s="138" t="s">
        <v>25</v>
      </c>
      <c r="L50" s="138" t="s">
        <v>38</v>
      </c>
      <c r="M50" s="138" t="s">
        <v>19</v>
      </c>
      <c r="N50" s="140"/>
      <c r="O50" s="138" t="s">
        <v>20</v>
      </c>
      <c r="P50" s="140"/>
      <c r="Q50" s="141"/>
      <c r="R50" s="141"/>
      <c r="S50" s="141" t="s">
        <v>908</v>
      </c>
      <c r="T50" s="142" t="s">
        <v>1874</v>
      </c>
      <c r="U50" s="141" t="s">
        <v>1879</v>
      </c>
    </row>
    <row r="51" spans="1:21" ht="18.899999999999999" customHeight="1">
      <c r="A51" s="2">
        <v>2</v>
      </c>
      <c r="B51" s="4" t="s">
        <v>145</v>
      </c>
      <c r="C51" s="4" t="s">
        <v>146</v>
      </c>
      <c r="D51" s="134" t="s">
        <v>36</v>
      </c>
      <c r="E51" s="9">
        <v>2</v>
      </c>
      <c r="F51" s="138" t="s">
        <v>145</v>
      </c>
      <c r="G51" s="138" t="s">
        <v>146</v>
      </c>
      <c r="H51" s="139" t="s">
        <v>36</v>
      </c>
      <c r="I51" s="139" t="s">
        <v>137</v>
      </c>
      <c r="J51" s="138" t="s">
        <v>138</v>
      </c>
      <c r="K51" s="138" t="s">
        <v>25</v>
      </c>
      <c r="L51" s="138" t="s">
        <v>38</v>
      </c>
      <c r="M51" s="138" t="s">
        <v>19</v>
      </c>
      <c r="N51" s="140"/>
      <c r="O51" s="138" t="s">
        <v>20</v>
      </c>
      <c r="P51" s="140"/>
      <c r="Q51" s="141"/>
      <c r="R51" s="141"/>
      <c r="S51" s="141" t="s">
        <v>908</v>
      </c>
      <c r="T51" s="142" t="s">
        <v>1874</v>
      </c>
      <c r="U51" s="141" t="s">
        <v>1879</v>
      </c>
    </row>
    <row r="52" spans="1:21" ht="18.899999999999999" customHeight="1">
      <c r="A52" s="2">
        <v>1</v>
      </c>
      <c r="B52" s="4" t="s">
        <v>147</v>
      </c>
      <c r="C52" s="4" t="s">
        <v>148</v>
      </c>
      <c r="D52" s="134" t="s">
        <v>117</v>
      </c>
      <c r="E52" s="9">
        <v>1</v>
      </c>
      <c r="F52" s="138" t="s">
        <v>147</v>
      </c>
      <c r="G52" s="138" t="s">
        <v>148</v>
      </c>
      <c r="H52" s="139" t="s">
        <v>117</v>
      </c>
      <c r="I52" s="139" t="s">
        <v>149</v>
      </c>
      <c r="J52" s="138" t="s">
        <v>138</v>
      </c>
      <c r="K52" s="138" t="s">
        <v>25</v>
      </c>
      <c r="L52" s="138" t="s">
        <v>38</v>
      </c>
      <c r="M52" s="138" t="s">
        <v>19</v>
      </c>
      <c r="N52" s="138" t="s">
        <v>119</v>
      </c>
      <c r="O52" s="138" t="s">
        <v>20</v>
      </c>
      <c r="P52" s="140"/>
      <c r="Q52" s="141"/>
      <c r="R52" s="141"/>
      <c r="S52" s="141" t="s">
        <v>908</v>
      </c>
      <c r="T52" s="142" t="s">
        <v>1874</v>
      </c>
      <c r="U52" s="141" t="s">
        <v>1879</v>
      </c>
    </row>
    <row r="53" spans="1:21" ht="18.899999999999999" customHeight="1">
      <c r="A53" s="2">
        <v>1</v>
      </c>
      <c r="B53" s="4" t="s">
        <v>147</v>
      </c>
      <c r="C53" s="4" t="s">
        <v>150</v>
      </c>
      <c r="D53" s="134" t="s">
        <v>121</v>
      </c>
      <c r="E53" s="148">
        <v>1</v>
      </c>
      <c r="F53" s="138" t="s">
        <v>147</v>
      </c>
      <c r="G53" s="138" t="s">
        <v>150</v>
      </c>
      <c r="H53" s="139" t="s">
        <v>121</v>
      </c>
      <c r="I53" s="139" t="s">
        <v>149</v>
      </c>
      <c r="J53" s="138" t="s">
        <v>138</v>
      </c>
      <c r="K53" s="138" t="s">
        <v>25</v>
      </c>
      <c r="L53" s="138" t="s">
        <v>73</v>
      </c>
      <c r="M53" s="138" t="s">
        <v>19</v>
      </c>
      <c r="N53" s="138" t="s">
        <v>119</v>
      </c>
      <c r="O53" s="138" t="s">
        <v>20</v>
      </c>
      <c r="P53" s="140"/>
      <c r="Q53" s="138" t="s">
        <v>123</v>
      </c>
      <c r="R53" s="141">
        <v>330</v>
      </c>
      <c r="S53" s="141" t="s">
        <v>908</v>
      </c>
      <c r="T53" s="142" t="s">
        <v>1874</v>
      </c>
      <c r="U53" s="141" t="s">
        <v>1879</v>
      </c>
    </row>
    <row r="54" spans="1:21" ht="18.899999999999999" customHeight="1">
      <c r="A54" s="2">
        <v>1</v>
      </c>
      <c r="B54" s="4" t="s">
        <v>147</v>
      </c>
      <c r="C54" s="4" t="s">
        <v>151</v>
      </c>
      <c r="D54" s="134" t="s">
        <v>121</v>
      </c>
      <c r="E54" s="9">
        <v>1</v>
      </c>
      <c r="F54" s="138" t="s">
        <v>147</v>
      </c>
      <c r="G54" s="138" t="s">
        <v>151</v>
      </c>
      <c r="H54" s="139" t="s">
        <v>121</v>
      </c>
      <c r="I54" s="139" t="s">
        <v>149</v>
      </c>
      <c r="J54" s="138" t="s">
        <v>138</v>
      </c>
      <c r="K54" s="138" t="s">
        <v>25</v>
      </c>
      <c r="L54" s="138" t="s">
        <v>73</v>
      </c>
      <c r="M54" s="138" t="s">
        <v>19</v>
      </c>
      <c r="N54" s="138" t="s">
        <v>119</v>
      </c>
      <c r="O54" s="138" t="s">
        <v>20</v>
      </c>
      <c r="P54" s="140"/>
      <c r="Q54" s="138" t="s">
        <v>123</v>
      </c>
      <c r="R54" s="141">
        <v>330</v>
      </c>
      <c r="S54" s="141" t="s">
        <v>908</v>
      </c>
      <c r="T54" s="142" t="s">
        <v>1874</v>
      </c>
      <c r="U54" s="141" t="s">
        <v>1879</v>
      </c>
    </row>
    <row r="55" spans="1:21" ht="18.899999999999999" customHeight="1">
      <c r="A55" s="2">
        <v>1</v>
      </c>
      <c r="B55" s="4" t="s">
        <v>152</v>
      </c>
      <c r="C55" s="4" t="s">
        <v>153</v>
      </c>
      <c r="D55" s="134" t="s">
        <v>126</v>
      </c>
      <c r="E55" s="9">
        <v>1</v>
      </c>
      <c r="F55" s="11" t="s">
        <v>152</v>
      </c>
      <c r="G55" s="11" t="s">
        <v>153</v>
      </c>
      <c r="H55" s="12" t="s">
        <v>126</v>
      </c>
      <c r="I55" s="12" t="s">
        <v>154</v>
      </c>
      <c r="J55" s="11" t="s">
        <v>138</v>
      </c>
      <c r="K55" s="11" t="s">
        <v>25</v>
      </c>
      <c r="L55" s="11" t="s">
        <v>18</v>
      </c>
      <c r="M55" s="11" t="s">
        <v>19</v>
      </c>
      <c r="N55" s="10"/>
      <c r="O55" s="11" t="s">
        <v>20</v>
      </c>
      <c r="P55" s="10"/>
      <c r="Q55" s="11" t="s">
        <v>27</v>
      </c>
      <c r="R55" s="136">
        <v>3.5</v>
      </c>
      <c r="S55" s="136"/>
      <c r="T55" s="136"/>
      <c r="U55" s="136"/>
    </row>
    <row r="56" spans="1:21" ht="18.899999999999999" customHeight="1">
      <c r="A56" s="2">
        <v>1</v>
      </c>
      <c r="B56" s="4" t="s">
        <v>152</v>
      </c>
      <c r="C56" s="4" t="s">
        <v>155</v>
      </c>
      <c r="D56" s="134" t="s">
        <v>41</v>
      </c>
      <c r="E56" s="9">
        <v>1</v>
      </c>
      <c r="F56" s="11" t="s">
        <v>152</v>
      </c>
      <c r="G56" s="11" t="s">
        <v>155</v>
      </c>
      <c r="H56" s="12" t="s">
        <v>41</v>
      </c>
      <c r="I56" s="12" t="s">
        <v>156</v>
      </c>
      <c r="J56" s="11" t="s">
        <v>138</v>
      </c>
      <c r="K56" s="11" t="s">
        <v>25</v>
      </c>
      <c r="L56" s="11" t="s">
        <v>18</v>
      </c>
      <c r="M56" s="11" t="s">
        <v>19</v>
      </c>
      <c r="N56" s="10"/>
      <c r="O56" s="11" t="s">
        <v>20</v>
      </c>
      <c r="P56" s="10"/>
      <c r="Q56" s="11" t="s">
        <v>27</v>
      </c>
      <c r="R56" s="136">
        <v>3.5</v>
      </c>
      <c r="S56" s="136"/>
      <c r="T56" s="136"/>
      <c r="U56" s="136"/>
    </row>
    <row r="57" spans="1:21" ht="18.899999999999999" customHeight="1">
      <c r="A57" s="2">
        <v>1</v>
      </c>
      <c r="B57" s="4" t="s">
        <v>157</v>
      </c>
      <c r="C57" s="4" t="s">
        <v>158</v>
      </c>
      <c r="D57" s="134" t="s">
        <v>126</v>
      </c>
      <c r="E57" s="9">
        <v>1</v>
      </c>
      <c r="F57" s="11" t="s">
        <v>157</v>
      </c>
      <c r="G57" s="11" t="s">
        <v>158</v>
      </c>
      <c r="H57" s="12" t="s">
        <v>126</v>
      </c>
      <c r="I57" s="12" t="s">
        <v>159</v>
      </c>
      <c r="J57" s="11" t="s">
        <v>138</v>
      </c>
      <c r="K57" s="11" t="s">
        <v>25</v>
      </c>
      <c r="L57" s="11" t="s">
        <v>18</v>
      </c>
      <c r="M57" s="11" t="s">
        <v>19</v>
      </c>
      <c r="N57" s="10"/>
      <c r="O57" s="11" t="s">
        <v>20</v>
      </c>
      <c r="P57" s="10"/>
      <c r="Q57" s="11" t="s">
        <v>27</v>
      </c>
      <c r="R57" s="136">
        <v>3.5</v>
      </c>
      <c r="S57" s="136"/>
      <c r="T57" s="136"/>
      <c r="U57" s="136"/>
    </row>
    <row r="58" spans="1:21" ht="18.899999999999999" customHeight="1">
      <c r="A58" s="2">
        <v>1</v>
      </c>
      <c r="B58" s="4" t="s">
        <v>157</v>
      </c>
      <c r="C58" s="4" t="s">
        <v>160</v>
      </c>
      <c r="D58" s="134" t="s">
        <v>41</v>
      </c>
      <c r="E58" s="9">
        <v>1</v>
      </c>
      <c r="F58" s="11" t="s">
        <v>157</v>
      </c>
      <c r="G58" s="11" t="s">
        <v>160</v>
      </c>
      <c r="H58" s="12" t="s">
        <v>41</v>
      </c>
      <c r="I58" s="12" t="s">
        <v>161</v>
      </c>
      <c r="J58" s="11" t="s">
        <v>138</v>
      </c>
      <c r="K58" s="11" t="s">
        <v>25</v>
      </c>
      <c r="L58" s="11" t="s">
        <v>18</v>
      </c>
      <c r="M58" s="11" t="s">
        <v>19</v>
      </c>
      <c r="N58" s="10"/>
      <c r="O58" s="11" t="s">
        <v>20</v>
      </c>
      <c r="P58" s="10"/>
      <c r="Q58" s="11" t="s">
        <v>27</v>
      </c>
      <c r="R58" s="136">
        <v>3.5</v>
      </c>
      <c r="S58" s="136"/>
      <c r="T58" s="136"/>
      <c r="U58" s="136"/>
    </row>
    <row r="59" spans="1:21" ht="18.899999999999999" customHeight="1">
      <c r="A59" s="2">
        <v>2</v>
      </c>
      <c r="B59" s="4" t="s">
        <v>162</v>
      </c>
      <c r="C59" s="4" t="s">
        <v>163</v>
      </c>
      <c r="D59" s="134" t="s">
        <v>36</v>
      </c>
      <c r="E59" s="9">
        <v>2</v>
      </c>
      <c r="F59" s="11" t="s">
        <v>162</v>
      </c>
      <c r="G59" s="11" t="s">
        <v>163</v>
      </c>
      <c r="H59" s="12" t="s">
        <v>36</v>
      </c>
      <c r="I59" s="12" t="s">
        <v>164</v>
      </c>
      <c r="J59" s="11" t="s">
        <v>165</v>
      </c>
      <c r="K59" s="11" t="s">
        <v>25</v>
      </c>
      <c r="L59" s="11" t="s">
        <v>38</v>
      </c>
      <c r="M59" s="11" t="s">
        <v>19</v>
      </c>
      <c r="N59" s="10"/>
      <c r="O59" s="11" t="s">
        <v>20</v>
      </c>
      <c r="P59" s="10"/>
      <c r="Q59" s="136"/>
      <c r="R59" s="136"/>
      <c r="S59" s="136"/>
      <c r="T59" s="136"/>
      <c r="U59" s="136"/>
    </row>
    <row r="60" spans="1:21" ht="18.899999999999999" customHeight="1">
      <c r="A60" s="2">
        <v>2</v>
      </c>
      <c r="B60" s="4" t="s">
        <v>166</v>
      </c>
      <c r="C60" s="4" t="s">
        <v>167</v>
      </c>
      <c r="D60" s="134" t="s">
        <v>36</v>
      </c>
      <c r="E60" s="9">
        <v>2</v>
      </c>
      <c r="F60" s="11" t="s">
        <v>166</v>
      </c>
      <c r="G60" s="11" t="s">
        <v>167</v>
      </c>
      <c r="H60" s="12" t="s">
        <v>36</v>
      </c>
      <c r="I60" s="12" t="s">
        <v>164</v>
      </c>
      <c r="J60" s="11" t="s">
        <v>165</v>
      </c>
      <c r="K60" s="11" t="s">
        <v>25</v>
      </c>
      <c r="L60" s="11" t="s">
        <v>38</v>
      </c>
      <c r="M60" s="11" t="s">
        <v>19</v>
      </c>
      <c r="N60" s="10"/>
      <c r="O60" s="11" t="s">
        <v>20</v>
      </c>
      <c r="P60" s="10"/>
      <c r="Q60" s="136"/>
      <c r="R60" s="136"/>
      <c r="S60" s="136"/>
      <c r="T60" s="136"/>
      <c r="U60" s="136"/>
    </row>
    <row r="61" spans="1:21" ht="18.899999999999999" customHeight="1">
      <c r="A61" s="2">
        <v>2</v>
      </c>
      <c r="B61" s="4" t="s">
        <v>168</v>
      </c>
      <c r="C61" s="4" t="s">
        <v>169</v>
      </c>
      <c r="D61" s="134" t="s">
        <v>36</v>
      </c>
      <c r="E61" s="9">
        <v>2</v>
      </c>
      <c r="F61" s="11" t="s">
        <v>168</v>
      </c>
      <c r="G61" s="11" t="s">
        <v>169</v>
      </c>
      <c r="H61" s="12" t="s">
        <v>36</v>
      </c>
      <c r="I61" s="12" t="s">
        <v>164</v>
      </c>
      <c r="J61" s="11" t="s">
        <v>165</v>
      </c>
      <c r="K61" s="11" t="s">
        <v>25</v>
      </c>
      <c r="L61" s="11" t="s">
        <v>38</v>
      </c>
      <c r="M61" s="11" t="s">
        <v>19</v>
      </c>
      <c r="N61" s="10"/>
      <c r="O61" s="11" t="s">
        <v>20</v>
      </c>
      <c r="P61" s="10"/>
      <c r="Q61" s="136"/>
      <c r="R61" s="136"/>
      <c r="S61" s="136"/>
      <c r="T61" s="136"/>
      <c r="U61" s="136"/>
    </row>
    <row r="62" spans="1:21" ht="18.899999999999999" customHeight="1">
      <c r="A62" s="2">
        <v>2</v>
      </c>
      <c r="B62" s="4" t="s">
        <v>170</v>
      </c>
      <c r="C62" s="4" t="s">
        <v>171</v>
      </c>
      <c r="D62" s="134" t="s">
        <v>112</v>
      </c>
      <c r="E62" s="9">
        <v>2</v>
      </c>
      <c r="F62" s="138" t="s">
        <v>170</v>
      </c>
      <c r="G62" s="138" t="s">
        <v>171</v>
      </c>
      <c r="H62" s="139" t="s">
        <v>112</v>
      </c>
      <c r="I62" s="139" t="s">
        <v>164</v>
      </c>
      <c r="J62" s="138" t="s">
        <v>165</v>
      </c>
      <c r="K62" s="138" t="s">
        <v>25</v>
      </c>
      <c r="L62" s="138" t="s">
        <v>38</v>
      </c>
      <c r="M62" s="138" t="s">
        <v>19</v>
      </c>
      <c r="N62" s="140"/>
      <c r="O62" s="138" t="s">
        <v>20</v>
      </c>
      <c r="P62" s="140"/>
      <c r="Q62" s="141"/>
      <c r="R62" s="141"/>
      <c r="S62" s="141" t="s">
        <v>1879</v>
      </c>
      <c r="T62" s="142" t="s">
        <v>1874</v>
      </c>
      <c r="U62" s="141" t="s">
        <v>1879</v>
      </c>
    </row>
    <row r="63" spans="1:21" ht="18.899999999999999" customHeight="1">
      <c r="A63" s="2">
        <v>2</v>
      </c>
      <c r="B63" s="4" t="s">
        <v>172</v>
      </c>
      <c r="C63" s="4" t="s">
        <v>173</v>
      </c>
      <c r="D63" s="134" t="s">
        <v>36</v>
      </c>
      <c r="E63" s="9">
        <v>2</v>
      </c>
      <c r="F63" s="138" t="s">
        <v>172</v>
      </c>
      <c r="G63" s="138" t="s">
        <v>173</v>
      </c>
      <c r="H63" s="139" t="s">
        <v>36</v>
      </c>
      <c r="I63" s="139" t="s">
        <v>164</v>
      </c>
      <c r="J63" s="138" t="s">
        <v>165</v>
      </c>
      <c r="K63" s="138" t="s">
        <v>25</v>
      </c>
      <c r="L63" s="138" t="s">
        <v>38</v>
      </c>
      <c r="M63" s="138" t="s">
        <v>19</v>
      </c>
      <c r="N63" s="140"/>
      <c r="O63" s="138" t="s">
        <v>20</v>
      </c>
      <c r="P63" s="140"/>
      <c r="Q63" s="141"/>
      <c r="R63" s="141"/>
      <c r="S63" s="141" t="s">
        <v>1879</v>
      </c>
      <c r="T63" s="142" t="s">
        <v>1874</v>
      </c>
      <c r="U63" s="141" t="s">
        <v>1879</v>
      </c>
    </row>
    <row r="64" spans="1:21" ht="18.899999999999999" customHeight="1">
      <c r="A64" s="2">
        <v>1</v>
      </c>
      <c r="B64" s="4" t="s">
        <v>174</v>
      </c>
      <c r="C64" s="4" t="s">
        <v>175</v>
      </c>
      <c r="D64" s="134" t="s">
        <v>117</v>
      </c>
      <c r="E64" s="9">
        <v>1</v>
      </c>
      <c r="F64" s="138" t="s">
        <v>174</v>
      </c>
      <c r="G64" s="138" t="s">
        <v>175</v>
      </c>
      <c r="H64" s="139" t="s">
        <v>117</v>
      </c>
      <c r="I64" s="139" t="s">
        <v>176</v>
      </c>
      <c r="J64" s="138" t="s">
        <v>165</v>
      </c>
      <c r="K64" s="138" t="s">
        <v>25</v>
      </c>
      <c r="L64" s="138" t="s">
        <v>38</v>
      </c>
      <c r="M64" s="138" t="s">
        <v>19</v>
      </c>
      <c r="N64" s="138" t="s">
        <v>119</v>
      </c>
      <c r="O64" s="138" t="s">
        <v>20</v>
      </c>
      <c r="P64" s="140"/>
      <c r="Q64" s="141"/>
      <c r="R64" s="141"/>
      <c r="S64" s="141" t="s">
        <v>1879</v>
      </c>
      <c r="T64" s="142" t="s">
        <v>1874</v>
      </c>
      <c r="U64" s="141" t="s">
        <v>1879</v>
      </c>
    </row>
    <row r="65" spans="1:21" ht="18.899999999999999" customHeight="1">
      <c r="A65" s="2">
        <v>1</v>
      </c>
      <c r="B65" s="4" t="s">
        <v>174</v>
      </c>
      <c r="C65" s="4" t="s">
        <v>177</v>
      </c>
      <c r="D65" s="134" t="s">
        <v>121</v>
      </c>
      <c r="E65" s="9">
        <v>1</v>
      </c>
      <c r="F65" s="138" t="s">
        <v>174</v>
      </c>
      <c r="G65" s="138" t="s">
        <v>177</v>
      </c>
      <c r="H65" s="139" t="s">
        <v>121</v>
      </c>
      <c r="I65" s="139" t="s">
        <v>176</v>
      </c>
      <c r="J65" s="138" t="s">
        <v>165</v>
      </c>
      <c r="K65" s="138" t="s">
        <v>25</v>
      </c>
      <c r="L65" s="138" t="s">
        <v>73</v>
      </c>
      <c r="M65" s="138" t="s">
        <v>19</v>
      </c>
      <c r="N65" s="138" t="s">
        <v>119</v>
      </c>
      <c r="O65" s="138" t="s">
        <v>20</v>
      </c>
      <c r="P65" s="140"/>
      <c r="Q65" s="138" t="s">
        <v>123</v>
      </c>
      <c r="R65" s="141">
        <v>330</v>
      </c>
      <c r="S65" s="141" t="s">
        <v>1879</v>
      </c>
      <c r="T65" s="142" t="s">
        <v>1874</v>
      </c>
      <c r="U65" s="141" t="s">
        <v>1879</v>
      </c>
    </row>
    <row r="66" spans="1:21" ht="18.899999999999999" customHeight="1">
      <c r="A66" s="2">
        <v>1</v>
      </c>
      <c r="B66" s="4" t="s">
        <v>174</v>
      </c>
      <c r="C66" s="4" t="s">
        <v>178</v>
      </c>
      <c r="D66" s="134" t="s">
        <v>121</v>
      </c>
      <c r="E66" s="9">
        <v>1</v>
      </c>
      <c r="F66" s="138" t="s">
        <v>174</v>
      </c>
      <c r="G66" s="138" t="s">
        <v>178</v>
      </c>
      <c r="H66" s="139" t="s">
        <v>121</v>
      </c>
      <c r="I66" s="139" t="s">
        <v>176</v>
      </c>
      <c r="J66" s="138" t="s">
        <v>165</v>
      </c>
      <c r="K66" s="138" t="s">
        <v>25</v>
      </c>
      <c r="L66" s="138" t="s">
        <v>73</v>
      </c>
      <c r="M66" s="138" t="s">
        <v>19</v>
      </c>
      <c r="N66" s="138" t="s">
        <v>119</v>
      </c>
      <c r="O66" s="138" t="s">
        <v>20</v>
      </c>
      <c r="P66" s="140"/>
      <c r="Q66" s="138" t="s">
        <v>123</v>
      </c>
      <c r="R66" s="141">
        <v>330</v>
      </c>
      <c r="S66" s="141" t="s">
        <v>1879</v>
      </c>
      <c r="T66" s="142" t="s">
        <v>1874</v>
      </c>
      <c r="U66" s="141" t="s">
        <v>1879</v>
      </c>
    </row>
    <row r="67" spans="1:21" ht="18.899999999999999" customHeight="1">
      <c r="A67" s="2">
        <v>1</v>
      </c>
      <c r="B67" s="4" t="s">
        <v>179</v>
      </c>
      <c r="C67" s="4" t="s">
        <v>180</v>
      </c>
      <c r="D67" s="134" t="s">
        <v>126</v>
      </c>
      <c r="E67" s="9">
        <v>1</v>
      </c>
      <c r="F67" s="11" t="s">
        <v>179</v>
      </c>
      <c r="G67" s="11" t="s">
        <v>180</v>
      </c>
      <c r="H67" s="12" t="s">
        <v>126</v>
      </c>
      <c r="I67" s="12" t="s">
        <v>181</v>
      </c>
      <c r="J67" s="11" t="s">
        <v>165</v>
      </c>
      <c r="K67" s="11" t="s">
        <v>25</v>
      </c>
      <c r="L67" s="11" t="s">
        <v>18</v>
      </c>
      <c r="M67" s="11" t="s">
        <v>19</v>
      </c>
      <c r="N67" s="10"/>
      <c r="O67" s="11" t="s">
        <v>20</v>
      </c>
      <c r="P67" s="10"/>
      <c r="Q67" s="11" t="s">
        <v>27</v>
      </c>
      <c r="R67" s="136">
        <v>3.5</v>
      </c>
      <c r="S67" s="136"/>
      <c r="T67" s="136"/>
      <c r="U67" s="136"/>
    </row>
    <row r="68" spans="1:21" ht="18.899999999999999" customHeight="1">
      <c r="A68" s="2">
        <v>1</v>
      </c>
      <c r="B68" s="4" t="s">
        <v>179</v>
      </c>
      <c r="C68" s="4" t="s">
        <v>182</v>
      </c>
      <c r="D68" s="134" t="s">
        <v>41</v>
      </c>
      <c r="E68" s="9">
        <v>1</v>
      </c>
      <c r="F68" s="11" t="s">
        <v>179</v>
      </c>
      <c r="G68" s="11" t="s">
        <v>182</v>
      </c>
      <c r="H68" s="12" t="s">
        <v>41</v>
      </c>
      <c r="I68" s="12" t="s">
        <v>183</v>
      </c>
      <c r="J68" s="11" t="s">
        <v>165</v>
      </c>
      <c r="K68" s="11" t="s">
        <v>25</v>
      </c>
      <c r="L68" s="11" t="s">
        <v>18</v>
      </c>
      <c r="M68" s="11" t="s">
        <v>19</v>
      </c>
      <c r="N68" s="10"/>
      <c r="O68" s="11" t="s">
        <v>20</v>
      </c>
      <c r="P68" s="10"/>
      <c r="Q68" s="11" t="s">
        <v>27</v>
      </c>
      <c r="R68" s="136">
        <v>3.5</v>
      </c>
      <c r="S68" s="136"/>
      <c r="T68" s="136"/>
      <c r="U68" s="136"/>
    </row>
    <row r="69" spans="1:21" ht="18.899999999999999" customHeight="1">
      <c r="A69" s="2">
        <v>1</v>
      </c>
      <c r="B69" s="4" t="s">
        <v>184</v>
      </c>
      <c r="C69" s="4" t="s">
        <v>185</v>
      </c>
      <c r="D69" s="134" t="s">
        <v>126</v>
      </c>
      <c r="E69" s="9">
        <v>1</v>
      </c>
      <c r="F69" s="11" t="s">
        <v>184</v>
      </c>
      <c r="G69" s="11" t="s">
        <v>185</v>
      </c>
      <c r="H69" s="12" t="s">
        <v>126</v>
      </c>
      <c r="I69" s="12" t="s">
        <v>186</v>
      </c>
      <c r="J69" s="11" t="s">
        <v>165</v>
      </c>
      <c r="K69" s="11" t="s">
        <v>25</v>
      </c>
      <c r="L69" s="11" t="s">
        <v>18</v>
      </c>
      <c r="M69" s="11" t="s">
        <v>19</v>
      </c>
      <c r="N69" s="10"/>
      <c r="O69" s="11" t="s">
        <v>20</v>
      </c>
      <c r="P69" s="10"/>
      <c r="Q69" s="11" t="s">
        <v>27</v>
      </c>
      <c r="R69" s="136">
        <v>3.5</v>
      </c>
      <c r="S69" s="136"/>
      <c r="T69" s="136"/>
      <c r="U69" s="136"/>
    </row>
    <row r="70" spans="1:21" ht="18.899999999999999" customHeight="1">
      <c r="A70" s="2">
        <v>1</v>
      </c>
      <c r="B70" s="4" t="s">
        <v>184</v>
      </c>
      <c r="C70" s="4" t="s">
        <v>187</v>
      </c>
      <c r="D70" s="134" t="s">
        <v>41</v>
      </c>
      <c r="E70" s="9">
        <v>1</v>
      </c>
      <c r="F70" s="11" t="s">
        <v>184</v>
      </c>
      <c r="G70" s="11" t="s">
        <v>187</v>
      </c>
      <c r="H70" s="12" t="s">
        <v>41</v>
      </c>
      <c r="I70" s="12" t="s">
        <v>188</v>
      </c>
      <c r="J70" s="11" t="s">
        <v>165</v>
      </c>
      <c r="K70" s="11" t="s">
        <v>25</v>
      </c>
      <c r="L70" s="11" t="s">
        <v>18</v>
      </c>
      <c r="M70" s="11" t="s">
        <v>19</v>
      </c>
      <c r="N70" s="10"/>
      <c r="O70" s="11" t="s">
        <v>20</v>
      </c>
      <c r="P70" s="10"/>
      <c r="Q70" s="11" t="s">
        <v>27</v>
      </c>
      <c r="R70" s="136">
        <v>3.5</v>
      </c>
      <c r="S70" s="136"/>
      <c r="T70" s="136"/>
      <c r="U70" s="136"/>
    </row>
    <row r="71" spans="1:21" ht="18.899999999999999" customHeight="1">
      <c r="A71" s="2">
        <v>1</v>
      </c>
      <c r="B71" s="4" t="s">
        <v>189</v>
      </c>
      <c r="C71" s="4" t="s">
        <v>190</v>
      </c>
      <c r="D71" s="134" t="s">
        <v>36</v>
      </c>
      <c r="E71" s="9">
        <v>1</v>
      </c>
      <c r="F71" s="11" t="s">
        <v>189</v>
      </c>
      <c r="G71" s="11" t="s">
        <v>190</v>
      </c>
      <c r="H71" s="12" t="s">
        <v>36</v>
      </c>
      <c r="I71" s="12" t="s">
        <v>191</v>
      </c>
      <c r="J71" s="11" t="s">
        <v>192</v>
      </c>
      <c r="K71" s="11" t="s">
        <v>25</v>
      </c>
      <c r="L71" s="11" t="s">
        <v>38</v>
      </c>
      <c r="M71" s="11" t="s">
        <v>19</v>
      </c>
      <c r="N71" s="10"/>
      <c r="O71" s="11" t="s">
        <v>20</v>
      </c>
      <c r="P71" s="10"/>
      <c r="Q71" s="136"/>
      <c r="R71" s="136"/>
      <c r="S71" s="136"/>
      <c r="T71" s="136"/>
      <c r="U71" s="136"/>
    </row>
    <row r="72" spans="1:21" ht="18.899999999999999" customHeight="1">
      <c r="A72" s="2">
        <v>1</v>
      </c>
      <c r="B72" s="4" t="s">
        <v>193</v>
      </c>
      <c r="C72" s="4" t="s">
        <v>194</v>
      </c>
      <c r="D72" s="134" t="s">
        <v>36</v>
      </c>
      <c r="E72" s="9">
        <v>1</v>
      </c>
      <c r="F72" s="11" t="s">
        <v>193</v>
      </c>
      <c r="G72" s="11" t="s">
        <v>194</v>
      </c>
      <c r="H72" s="12" t="s">
        <v>36</v>
      </c>
      <c r="I72" s="12" t="s">
        <v>191</v>
      </c>
      <c r="J72" s="11" t="s">
        <v>192</v>
      </c>
      <c r="K72" s="11" t="s">
        <v>25</v>
      </c>
      <c r="L72" s="11" t="s">
        <v>38</v>
      </c>
      <c r="M72" s="11" t="s">
        <v>19</v>
      </c>
      <c r="N72" s="10"/>
      <c r="O72" s="11" t="s">
        <v>20</v>
      </c>
      <c r="P72" s="10"/>
      <c r="Q72" s="136"/>
      <c r="R72" s="136"/>
      <c r="S72" s="136"/>
      <c r="T72" s="136"/>
      <c r="U72" s="136"/>
    </row>
    <row r="73" spans="1:21" ht="18.899999999999999" customHeight="1">
      <c r="A73" s="2">
        <v>1</v>
      </c>
      <c r="B73" s="4" t="s">
        <v>195</v>
      </c>
      <c r="C73" s="4" t="s">
        <v>196</v>
      </c>
      <c r="D73" s="134" t="s">
        <v>36</v>
      </c>
      <c r="E73" s="9">
        <v>1</v>
      </c>
      <c r="F73" s="11" t="s">
        <v>195</v>
      </c>
      <c r="G73" s="11" t="s">
        <v>196</v>
      </c>
      <c r="H73" s="12" t="s">
        <v>36</v>
      </c>
      <c r="I73" s="12" t="s">
        <v>191</v>
      </c>
      <c r="J73" s="11" t="s">
        <v>192</v>
      </c>
      <c r="K73" s="11" t="s">
        <v>25</v>
      </c>
      <c r="L73" s="11" t="s">
        <v>38</v>
      </c>
      <c r="M73" s="11" t="s">
        <v>19</v>
      </c>
      <c r="N73" s="10"/>
      <c r="O73" s="11" t="s">
        <v>20</v>
      </c>
      <c r="P73" s="10"/>
      <c r="Q73" s="136"/>
      <c r="R73" s="136"/>
      <c r="S73" s="136"/>
      <c r="T73" s="136"/>
      <c r="U73" s="136"/>
    </row>
    <row r="74" spans="1:21" ht="18.899999999999999" customHeight="1">
      <c r="A74" s="2">
        <v>2</v>
      </c>
      <c r="B74" s="4" t="s">
        <v>197</v>
      </c>
      <c r="C74" s="4" t="s">
        <v>198</v>
      </c>
      <c r="D74" s="134" t="s">
        <v>112</v>
      </c>
      <c r="E74" s="9">
        <v>2</v>
      </c>
      <c r="F74" s="138" t="s">
        <v>197</v>
      </c>
      <c r="G74" s="138" t="s">
        <v>198</v>
      </c>
      <c r="H74" s="139" t="s">
        <v>112</v>
      </c>
      <c r="I74" s="139" t="s">
        <v>191</v>
      </c>
      <c r="J74" s="138" t="s">
        <v>192</v>
      </c>
      <c r="K74" s="138" t="s">
        <v>25</v>
      </c>
      <c r="L74" s="138" t="s">
        <v>38</v>
      </c>
      <c r="M74" s="138" t="s">
        <v>19</v>
      </c>
      <c r="N74" s="140"/>
      <c r="O74" s="138" t="s">
        <v>20</v>
      </c>
      <c r="P74" s="140"/>
      <c r="Q74" s="141"/>
      <c r="R74" s="141"/>
      <c r="S74" s="150" t="s">
        <v>907</v>
      </c>
      <c r="T74" s="142" t="s">
        <v>1874</v>
      </c>
      <c r="U74" s="150" t="s">
        <v>907</v>
      </c>
    </row>
    <row r="75" spans="1:21" s="131" customFormat="1" ht="18.899999999999999" customHeight="1">
      <c r="A75" s="146">
        <v>2</v>
      </c>
      <c r="B75" s="130" t="s">
        <v>199</v>
      </c>
      <c r="C75" s="130" t="s">
        <v>200</v>
      </c>
      <c r="D75" s="147" t="s">
        <v>36</v>
      </c>
      <c r="E75" s="148">
        <v>2</v>
      </c>
      <c r="F75" s="138" t="s">
        <v>199</v>
      </c>
      <c r="G75" s="138" t="s">
        <v>200</v>
      </c>
      <c r="H75" s="139" t="s">
        <v>36</v>
      </c>
      <c r="I75" s="139" t="s">
        <v>191</v>
      </c>
      <c r="J75" s="138" t="s">
        <v>192</v>
      </c>
      <c r="K75" s="138" t="s">
        <v>25</v>
      </c>
      <c r="L75" s="138" t="s">
        <v>38</v>
      </c>
      <c r="M75" s="138" t="s">
        <v>19</v>
      </c>
      <c r="N75" s="138"/>
      <c r="O75" s="138" t="s">
        <v>20</v>
      </c>
      <c r="P75" s="138"/>
      <c r="Q75" s="138"/>
      <c r="R75" s="138"/>
      <c r="S75" s="150" t="s">
        <v>907</v>
      </c>
      <c r="T75" s="142" t="s">
        <v>1874</v>
      </c>
      <c r="U75" s="150" t="s">
        <v>907</v>
      </c>
    </row>
    <row r="76" spans="1:21" ht="18.899999999999999" customHeight="1">
      <c r="A76" s="2">
        <v>1</v>
      </c>
      <c r="B76" s="4" t="s">
        <v>201</v>
      </c>
      <c r="C76" s="4" t="s">
        <v>202</v>
      </c>
      <c r="D76" s="134" t="s">
        <v>117</v>
      </c>
      <c r="E76" s="9">
        <v>1</v>
      </c>
      <c r="F76" s="138" t="s">
        <v>201</v>
      </c>
      <c r="G76" s="138" t="s">
        <v>202</v>
      </c>
      <c r="H76" s="139" t="s">
        <v>117</v>
      </c>
      <c r="I76" s="139" t="s">
        <v>203</v>
      </c>
      <c r="J76" s="138" t="s">
        <v>192</v>
      </c>
      <c r="K76" s="138" t="s">
        <v>25</v>
      </c>
      <c r="L76" s="138" t="s">
        <v>38</v>
      </c>
      <c r="M76" s="138" t="s">
        <v>19</v>
      </c>
      <c r="N76" s="138" t="s">
        <v>119</v>
      </c>
      <c r="O76" s="138" t="s">
        <v>20</v>
      </c>
      <c r="P76" s="140"/>
      <c r="Q76" s="141"/>
      <c r="R76" s="141"/>
      <c r="S76" s="150" t="s">
        <v>907</v>
      </c>
      <c r="T76" s="142" t="s">
        <v>1874</v>
      </c>
      <c r="U76" s="150" t="s">
        <v>907</v>
      </c>
    </row>
    <row r="77" spans="1:21" ht="18.899999999999999" customHeight="1">
      <c r="A77" s="2">
        <v>1</v>
      </c>
      <c r="B77" s="4" t="s">
        <v>201</v>
      </c>
      <c r="C77" s="4" t="s">
        <v>204</v>
      </c>
      <c r="D77" s="134" t="s">
        <v>121</v>
      </c>
      <c r="E77" s="9">
        <v>1</v>
      </c>
      <c r="F77" s="138" t="s">
        <v>201</v>
      </c>
      <c r="G77" s="138" t="s">
        <v>204</v>
      </c>
      <c r="H77" s="139" t="s">
        <v>121</v>
      </c>
      <c r="I77" s="139" t="s">
        <v>203</v>
      </c>
      <c r="J77" s="138" t="s">
        <v>192</v>
      </c>
      <c r="K77" s="138" t="s">
        <v>25</v>
      </c>
      <c r="L77" s="138" t="s">
        <v>73</v>
      </c>
      <c r="M77" s="138" t="s">
        <v>19</v>
      </c>
      <c r="N77" s="138" t="s">
        <v>119</v>
      </c>
      <c r="O77" s="138" t="s">
        <v>20</v>
      </c>
      <c r="P77" s="140"/>
      <c r="Q77" s="138" t="s">
        <v>123</v>
      </c>
      <c r="R77" s="141">
        <v>330</v>
      </c>
      <c r="S77" s="150" t="s">
        <v>907</v>
      </c>
      <c r="T77" s="142" t="s">
        <v>1874</v>
      </c>
      <c r="U77" s="150" t="s">
        <v>907</v>
      </c>
    </row>
    <row r="78" spans="1:21" ht="18.899999999999999" customHeight="1">
      <c r="A78" s="2">
        <v>1</v>
      </c>
      <c r="B78" s="4" t="s">
        <v>201</v>
      </c>
      <c r="C78" s="4" t="s">
        <v>205</v>
      </c>
      <c r="D78" s="134" t="s">
        <v>121</v>
      </c>
      <c r="E78" s="9">
        <v>1</v>
      </c>
      <c r="F78" s="138" t="s">
        <v>201</v>
      </c>
      <c r="G78" s="138" t="s">
        <v>205</v>
      </c>
      <c r="H78" s="139" t="s">
        <v>121</v>
      </c>
      <c r="I78" s="139" t="s">
        <v>203</v>
      </c>
      <c r="J78" s="138" t="s">
        <v>192</v>
      </c>
      <c r="K78" s="138" t="s">
        <v>25</v>
      </c>
      <c r="L78" s="138" t="s">
        <v>73</v>
      </c>
      <c r="M78" s="138" t="s">
        <v>19</v>
      </c>
      <c r="N78" s="138" t="s">
        <v>119</v>
      </c>
      <c r="O78" s="138" t="s">
        <v>20</v>
      </c>
      <c r="P78" s="140"/>
      <c r="Q78" s="138" t="s">
        <v>123</v>
      </c>
      <c r="R78" s="141">
        <v>330</v>
      </c>
      <c r="S78" s="150" t="s">
        <v>907</v>
      </c>
      <c r="T78" s="142" t="s">
        <v>1874</v>
      </c>
      <c r="U78" s="150" t="s">
        <v>907</v>
      </c>
    </row>
    <row r="79" spans="1:21" ht="18.899999999999999" customHeight="1">
      <c r="A79" s="2">
        <v>1</v>
      </c>
      <c r="B79" s="4" t="s">
        <v>206</v>
      </c>
      <c r="C79" s="4" t="s">
        <v>207</v>
      </c>
      <c r="D79" s="134" t="s">
        <v>126</v>
      </c>
      <c r="E79" s="9">
        <v>1</v>
      </c>
      <c r="F79" s="11" t="s">
        <v>206</v>
      </c>
      <c r="G79" s="11" t="s">
        <v>207</v>
      </c>
      <c r="H79" s="12" t="s">
        <v>126</v>
      </c>
      <c r="I79" s="12" t="s">
        <v>208</v>
      </c>
      <c r="J79" s="11" t="s">
        <v>192</v>
      </c>
      <c r="K79" s="11" t="s">
        <v>25</v>
      </c>
      <c r="L79" s="11" t="s">
        <v>18</v>
      </c>
      <c r="M79" s="11" t="s">
        <v>19</v>
      </c>
      <c r="N79" s="10"/>
      <c r="O79" s="11" t="s">
        <v>20</v>
      </c>
      <c r="P79" s="10"/>
      <c r="Q79" s="11" t="s">
        <v>27</v>
      </c>
      <c r="R79" s="136">
        <v>3.5</v>
      </c>
      <c r="S79" s="136"/>
      <c r="T79" s="136"/>
      <c r="U79" s="136"/>
    </row>
    <row r="80" spans="1:21" ht="18.899999999999999" customHeight="1">
      <c r="A80" s="2">
        <v>1</v>
      </c>
      <c r="B80" s="4" t="s">
        <v>206</v>
      </c>
      <c r="C80" s="4" t="s">
        <v>209</v>
      </c>
      <c r="D80" s="134" t="s">
        <v>41</v>
      </c>
      <c r="E80" s="9">
        <v>1</v>
      </c>
      <c r="F80" s="11" t="s">
        <v>206</v>
      </c>
      <c r="G80" s="11" t="s">
        <v>209</v>
      </c>
      <c r="H80" s="12" t="s">
        <v>41</v>
      </c>
      <c r="I80" s="12" t="s">
        <v>210</v>
      </c>
      <c r="J80" s="11" t="s">
        <v>192</v>
      </c>
      <c r="K80" s="11" t="s">
        <v>25</v>
      </c>
      <c r="L80" s="11" t="s">
        <v>18</v>
      </c>
      <c r="M80" s="11" t="s">
        <v>19</v>
      </c>
      <c r="N80" s="10"/>
      <c r="O80" s="11" t="s">
        <v>20</v>
      </c>
      <c r="P80" s="10"/>
      <c r="Q80" s="11" t="s">
        <v>27</v>
      </c>
      <c r="R80" s="136">
        <v>3.5</v>
      </c>
      <c r="S80" s="136"/>
      <c r="T80" s="136"/>
      <c r="U80" s="136"/>
    </row>
    <row r="81" spans="1:21" ht="18.899999999999999" customHeight="1">
      <c r="A81" s="2">
        <v>1</v>
      </c>
      <c r="B81" s="4" t="s">
        <v>211</v>
      </c>
      <c r="C81" s="4" t="s">
        <v>212</v>
      </c>
      <c r="D81" s="134" t="s">
        <v>126</v>
      </c>
      <c r="E81" s="9">
        <v>1</v>
      </c>
      <c r="F81" s="11" t="s">
        <v>211</v>
      </c>
      <c r="G81" s="11" t="s">
        <v>212</v>
      </c>
      <c r="H81" s="12" t="s">
        <v>126</v>
      </c>
      <c r="I81" s="12" t="s">
        <v>213</v>
      </c>
      <c r="J81" s="11" t="s">
        <v>192</v>
      </c>
      <c r="K81" s="11" t="s">
        <v>25</v>
      </c>
      <c r="L81" s="11" t="s">
        <v>18</v>
      </c>
      <c r="M81" s="11" t="s">
        <v>19</v>
      </c>
      <c r="N81" s="10"/>
      <c r="O81" s="11" t="s">
        <v>20</v>
      </c>
      <c r="P81" s="10"/>
      <c r="Q81" s="11" t="s">
        <v>27</v>
      </c>
      <c r="R81" s="136">
        <v>3.5</v>
      </c>
      <c r="S81" s="136"/>
      <c r="T81" s="136"/>
      <c r="U81" s="136"/>
    </row>
    <row r="82" spans="1:21" ht="18.899999999999999" customHeight="1">
      <c r="A82" s="2">
        <v>1</v>
      </c>
      <c r="B82" s="4" t="s">
        <v>211</v>
      </c>
      <c r="C82" s="4" t="s">
        <v>214</v>
      </c>
      <c r="D82" s="134" t="s">
        <v>41</v>
      </c>
      <c r="E82" s="9">
        <v>1</v>
      </c>
      <c r="F82" s="11" t="s">
        <v>211</v>
      </c>
      <c r="G82" s="11" t="s">
        <v>214</v>
      </c>
      <c r="H82" s="12" t="s">
        <v>41</v>
      </c>
      <c r="I82" s="12" t="s">
        <v>215</v>
      </c>
      <c r="J82" s="11" t="s">
        <v>192</v>
      </c>
      <c r="K82" s="11" t="s">
        <v>25</v>
      </c>
      <c r="L82" s="11" t="s">
        <v>18</v>
      </c>
      <c r="M82" s="11" t="s">
        <v>19</v>
      </c>
      <c r="N82" s="10"/>
      <c r="O82" s="11" t="s">
        <v>20</v>
      </c>
      <c r="P82" s="10"/>
      <c r="Q82" s="11" t="s">
        <v>27</v>
      </c>
      <c r="R82" s="136">
        <v>3.5</v>
      </c>
      <c r="S82" s="136"/>
      <c r="T82" s="136"/>
      <c r="U82" s="136"/>
    </row>
    <row r="83" spans="1:21" ht="18.899999999999999" customHeight="1">
      <c r="A83" s="2">
        <v>2</v>
      </c>
      <c r="B83" s="4" t="s">
        <v>216</v>
      </c>
      <c r="C83" s="4" t="s">
        <v>217</v>
      </c>
      <c r="D83" s="134" t="s">
        <v>218</v>
      </c>
      <c r="E83" s="9">
        <v>2</v>
      </c>
      <c r="F83" s="11" t="s">
        <v>216</v>
      </c>
      <c r="G83" s="11" t="s">
        <v>217</v>
      </c>
      <c r="H83" s="12" t="s">
        <v>218</v>
      </c>
      <c r="I83" s="12" t="s">
        <v>219</v>
      </c>
      <c r="J83" s="11" t="s">
        <v>220</v>
      </c>
      <c r="K83" s="11" t="s">
        <v>25</v>
      </c>
      <c r="L83" s="11" t="s">
        <v>38</v>
      </c>
      <c r="M83" s="11" t="s">
        <v>19</v>
      </c>
      <c r="N83" s="10"/>
      <c r="O83" s="11" t="s">
        <v>20</v>
      </c>
      <c r="P83" s="10"/>
      <c r="Q83" s="136"/>
      <c r="R83" s="136"/>
      <c r="S83" s="136"/>
      <c r="T83" s="136"/>
      <c r="U83" s="136"/>
    </row>
    <row r="84" spans="1:21" ht="18.899999999999999" customHeight="1">
      <c r="A84" s="2">
        <v>3</v>
      </c>
      <c r="B84" s="4" t="s">
        <v>221</v>
      </c>
      <c r="C84" s="4" t="s">
        <v>222</v>
      </c>
      <c r="D84" s="134" t="s">
        <v>36</v>
      </c>
      <c r="E84" s="9">
        <v>3</v>
      </c>
      <c r="F84" s="11" t="s">
        <v>221</v>
      </c>
      <c r="G84" s="11" t="s">
        <v>222</v>
      </c>
      <c r="H84" s="12" t="s">
        <v>36</v>
      </c>
      <c r="I84" s="12" t="s">
        <v>219</v>
      </c>
      <c r="J84" s="11" t="s">
        <v>220</v>
      </c>
      <c r="K84" s="11" t="s">
        <v>25</v>
      </c>
      <c r="L84" s="11" t="s">
        <v>38</v>
      </c>
      <c r="M84" s="11" t="s">
        <v>19</v>
      </c>
      <c r="N84" s="10"/>
      <c r="O84" s="11" t="s">
        <v>20</v>
      </c>
      <c r="P84" s="10"/>
      <c r="Q84" s="136"/>
      <c r="R84" s="136"/>
      <c r="S84" s="136"/>
      <c r="T84" s="136"/>
      <c r="U84" s="136"/>
    </row>
    <row r="85" spans="1:21" ht="18.899999999999999" customHeight="1">
      <c r="A85" s="2">
        <v>3</v>
      </c>
      <c r="B85" s="4" t="s">
        <v>221</v>
      </c>
      <c r="C85" s="4" t="s">
        <v>223</v>
      </c>
      <c r="D85" s="134" t="s">
        <v>224</v>
      </c>
      <c r="E85" s="9">
        <v>3</v>
      </c>
      <c r="F85" s="11" t="s">
        <v>221</v>
      </c>
      <c r="G85" s="11" t="s">
        <v>223</v>
      </c>
      <c r="H85" s="12" t="s">
        <v>224</v>
      </c>
      <c r="I85" s="12" t="s">
        <v>219</v>
      </c>
      <c r="J85" s="11" t="s">
        <v>220</v>
      </c>
      <c r="K85" s="11" t="s">
        <v>25</v>
      </c>
      <c r="L85" s="11" t="s">
        <v>38</v>
      </c>
      <c r="M85" s="11" t="s">
        <v>19</v>
      </c>
      <c r="N85" s="10"/>
      <c r="O85" s="11" t="s">
        <v>20</v>
      </c>
      <c r="P85" s="10"/>
      <c r="Q85" s="136"/>
      <c r="R85" s="136"/>
      <c r="S85" s="136"/>
      <c r="T85" s="136"/>
      <c r="U85" s="136"/>
    </row>
    <row r="86" spans="1:21" ht="18.899999999999999" customHeight="1">
      <c r="A86" s="2">
        <v>2</v>
      </c>
      <c r="B86" s="4" t="s">
        <v>221</v>
      </c>
      <c r="C86" s="4" t="s">
        <v>225</v>
      </c>
      <c r="D86" s="134" t="s">
        <v>112</v>
      </c>
      <c r="E86" s="9">
        <v>2</v>
      </c>
      <c r="F86" s="11" t="s">
        <v>221</v>
      </c>
      <c r="G86" s="11" t="s">
        <v>225</v>
      </c>
      <c r="H86" s="12" t="s">
        <v>112</v>
      </c>
      <c r="I86" s="12" t="s">
        <v>219</v>
      </c>
      <c r="J86" s="11" t="s">
        <v>220</v>
      </c>
      <c r="K86" s="11" t="s">
        <v>25</v>
      </c>
      <c r="L86" s="11" t="s">
        <v>38</v>
      </c>
      <c r="M86" s="11" t="s">
        <v>19</v>
      </c>
      <c r="N86" s="10"/>
      <c r="O86" s="11" t="s">
        <v>20</v>
      </c>
      <c r="P86" s="10"/>
      <c r="Q86" s="136"/>
      <c r="R86" s="136"/>
      <c r="S86" s="136"/>
      <c r="T86" s="136"/>
      <c r="U86" s="136"/>
    </row>
    <row r="87" spans="1:21" ht="18.899999999999999" customHeight="1">
      <c r="A87" s="2">
        <v>1</v>
      </c>
      <c r="B87" s="4" t="s">
        <v>226</v>
      </c>
      <c r="C87" s="4" t="s">
        <v>227</v>
      </c>
      <c r="D87" s="134" t="s">
        <v>218</v>
      </c>
      <c r="E87" s="9">
        <v>1</v>
      </c>
      <c r="F87" s="11" t="s">
        <v>226</v>
      </c>
      <c r="G87" s="11" t="s">
        <v>227</v>
      </c>
      <c r="H87" s="12" t="s">
        <v>218</v>
      </c>
      <c r="I87" s="12" t="s">
        <v>228</v>
      </c>
      <c r="J87" s="11" t="s">
        <v>220</v>
      </c>
      <c r="K87" s="11" t="s">
        <v>25</v>
      </c>
      <c r="L87" s="11" t="s">
        <v>38</v>
      </c>
      <c r="M87" s="11" t="s">
        <v>19</v>
      </c>
      <c r="N87" s="10"/>
      <c r="O87" s="11" t="s">
        <v>20</v>
      </c>
      <c r="P87" s="10"/>
      <c r="Q87" s="136"/>
      <c r="R87" s="136"/>
      <c r="S87" s="136"/>
      <c r="T87" s="136"/>
      <c r="U87" s="136"/>
    </row>
    <row r="88" spans="1:21" ht="18.899999999999999" customHeight="1">
      <c r="A88" s="2">
        <v>3</v>
      </c>
      <c r="B88" s="4" t="s">
        <v>229</v>
      </c>
      <c r="C88" s="4" t="s">
        <v>230</v>
      </c>
      <c r="D88" s="134" t="s">
        <v>36</v>
      </c>
      <c r="E88" s="9">
        <v>3</v>
      </c>
      <c r="F88" s="11" t="s">
        <v>229</v>
      </c>
      <c r="G88" s="11" t="s">
        <v>230</v>
      </c>
      <c r="H88" s="12" t="s">
        <v>36</v>
      </c>
      <c r="I88" s="12" t="s">
        <v>228</v>
      </c>
      <c r="J88" s="11" t="s">
        <v>220</v>
      </c>
      <c r="K88" s="11" t="s">
        <v>25</v>
      </c>
      <c r="L88" s="11" t="s">
        <v>38</v>
      </c>
      <c r="M88" s="11" t="s">
        <v>19</v>
      </c>
      <c r="N88" s="10"/>
      <c r="O88" s="11" t="s">
        <v>20</v>
      </c>
      <c r="P88" s="10"/>
      <c r="Q88" s="136"/>
      <c r="R88" s="136"/>
      <c r="S88" s="136"/>
      <c r="T88" s="136"/>
      <c r="U88" s="136"/>
    </row>
    <row r="89" spans="1:21" ht="18.899999999999999" customHeight="1">
      <c r="A89" s="2">
        <v>3</v>
      </c>
      <c r="B89" s="4" t="s">
        <v>229</v>
      </c>
      <c r="C89" s="4" t="s">
        <v>231</v>
      </c>
      <c r="D89" s="134" t="s">
        <v>224</v>
      </c>
      <c r="E89" s="9">
        <v>3</v>
      </c>
      <c r="F89" s="11" t="s">
        <v>229</v>
      </c>
      <c r="G89" s="11" t="s">
        <v>231</v>
      </c>
      <c r="H89" s="12" t="s">
        <v>224</v>
      </c>
      <c r="I89" s="12" t="s">
        <v>228</v>
      </c>
      <c r="J89" s="11" t="s">
        <v>220</v>
      </c>
      <c r="K89" s="11" t="s">
        <v>25</v>
      </c>
      <c r="L89" s="11" t="s">
        <v>38</v>
      </c>
      <c r="M89" s="11" t="s">
        <v>19</v>
      </c>
      <c r="N89" s="10"/>
      <c r="O89" s="11" t="s">
        <v>20</v>
      </c>
      <c r="P89" s="10"/>
      <c r="Q89" s="136"/>
      <c r="R89" s="136"/>
      <c r="S89" s="136"/>
      <c r="T89" s="136"/>
      <c r="U89" s="136"/>
    </row>
    <row r="90" spans="1:21" ht="18.899999999999999" customHeight="1">
      <c r="A90" s="2">
        <v>3</v>
      </c>
      <c r="B90" s="4" t="s">
        <v>229</v>
      </c>
      <c r="C90" s="4" t="s">
        <v>232</v>
      </c>
      <c r="D90" s="134" t="s">
        <v>112</v>
      </c>
      <c r="E90" s="9">
        <v>3</v>
      </c>
      <c r="F90" s="11" t="s">
        <v>229</v>
      </c>
      <c r="G90" s="11" t="s">
        <v>232</v>
      </c>
      <c r="H90" s="12" t="s">
        <v>112</v>
      </c>
      <c r="I90" s="12" t="s">
        <v>228</v>
      </c>
      <c r="J90" s="11" t="s">
        <v>220</v>
      </c>
      <c r="K90" s="11" t="s">
        <v>25</v>
      </c>
      <c r="L90" s="11" t="s">
        <v>38</v>
      </c>
      <c r="M90" s="11" t="s">
        <v>19</v>
      </c>
      <c r="N90" s="10"/>
      <c r="O90" s="11" t="s">
        <v>20</v>
      </c>
      <c r="P90" s="10"/>
      <c r="Q90" s="136"/>
      <c r="R90" s="136"/>
      <c r="S90" s="136"/>
      <c r="T90" s="136"/>
      <c r="U90" s="136"/>
    </row>
    <row r="91" spans="1:21" ht="18.899999999999999" customHeight="1">
      <c r="A91" s="2">
        <v>2</v>
      </c>
      <c r="B91" s="4" t="s">
        <v>233</v>
      </c>
      <c r="C91" s="4" t="s">
        <v>234</v>
      </c>
      <c r="D91" s="134" t="s">
        <v>218</v>
      </c>
      <c r="E91" s="9">
        <v>2</v>
      </c>
      <c r="F91" s="11" t="s">
        <v>233</v>
      </c>
      <c r="G91" s="11" t="s">
        <v>234</v>
      </c>
      <c r="H91" s="12" t="s">
        <v>218</v>
      </c>
      <c r="I91" s="12" t="s">
        <v>235</v>
      </c>
      <c r="J91" s="11" t="s">
        <v>220</v>
      </c>
      <c r="K91" s="11" t="s">
        <v>25</v>
      </c>
      <c r="L91" s="11" t="s">
        <v>38</v>
      </c>
      <c r="M91" s="11" t="s">
        <v>19</v>
      </c>
      <c r="N91" s="10"/>
      <c r="O91" s="11" t="s">
        <v>20</v>
      </c>
      <c r="P91" s="10"/>
      <c r="Q91" s="136"/>
      <c r="R91" s="136"/>
      <c r="S91" s="136"/>
      <c r="T91" s="136"/>
      <c r="U91" s="136"/>
    </row>
    <row r="92" spans="1:21" ht="18.899999999999999" customHeight="1">
      <c r="A92" s="2">
        <v>3</v>
      </c>
      <c r="B92" s="4" t="s">
        <v>236</v>
      </c>
      <c r="C92" s="4" t="s">
        <v>237</v>
      </c>
      <c r="D92" s="134" t="s">
        <v>36</v>
      </c>
      <c r="E92" s="9">
        <v>3</v>
      </c>
      <c r="F92" s="11" t="s">
        <v>236</v>
      </c>
      <c r="G92" s="11" t="s">
        <v>237</v>
      </c>
      <c r="H92" s="12" t="s">
        <v>36</v>
      </c>
      <c r="I92" s="12" t="s">
        <v>235</v>
      </c>
      <c r="J92" s="11" t="s">
        <v>220</v>
      </c>
      <c r="K92" s="11" t="s">
        <v>25</v>
      </c>
      <c r="L92" s="11" t="s">
        <v>38</v>
      </c>
      <c r="M92" s="11" t="s">
        <v>19</v>
      </c>
      <c r="N92" s="10"/>
      <c r="O92" s="11" t="s">
        <v>20</v>
      </c>
      <c r="P92" s="10"/>
      <c r="Q92" s="136"/>
      <c r="R92" s="136"/>
      <c r="S92" s="136"/>
      <c r="T92" s="136"/>
      <c r="U92" s="136"/>
    </row>
    <row r="93" spans="1:21" ht="18.899999999999999" customHeight="1">
      <c r="A93" s="2">
        <v>3</v>
      </c>
      <c r="B93" s="4" t="s">
        <v>236</v>
      </c>
      <c r="C93" s="4" t="s">
        <v>238</v>
      </c>
      <c r="D93" s="134" t="s">
        <v>224</v>
      </c>
      <c r="E93" s="9">
        <v>3</v>
      </c>
      <c r="F93" s="11" t="s">
        <v>236</v>
      </c>
      <c r="G93" s="11" t="s">
        <v>238</v>
      </c>
      <c r="H93" s="12" t="s">
        <v>224</v>
      </c>
      <c r="I93" s="12" t="s">
        <v>235</v>
      </c>
      <c r="J93" s="11" t="s">
        <v>220</v>
      </c>
      <c r="K93" s="11" t="s">
        <v>25</v>
      </c>
      <c r="L93" s="11" t="s">
        <v>38</v>
      </c>
      <c r="M93" s="11" t="s">
        <v>19</v>
      </c>
      <c r="N93" s="10"/>
      <c r="O93" s="11" t="s">
        <v>20</v>
      </c>
      <c r="P93" s="10"/>
      <c r="Q93" s="136"/>
      <c r="R93" s="136"/>
      <c r="S93" s="136"/>
      <c r="T93" s="136"/>
      <c r="U93" s="136"/>
    </row>
    <row r="94" spans="1:21" ht="18.899999999999999" customHeight="1">
      <c r="A94" s="2">
        <v>3</v>
      </c>
      <c r="B94" s="4" t="s">
        <v>236</v>
      </c>
      <c r="C94" s="4" t="s">
        <v>239</v>
      </c>
      <c r="D94" s="134" t="s">
        <v>112</v>
      </c>
      <c r="E94" s="9">
        <v>3</v>
      </c>
      <c r="F94" s="11" t="s">
        <v>236</v>
      </c>
      <c r="G94" s="11" t="s">
        <v>239</v>
      </c>
      <c r="H94" s="12" t="s">
        <v>112</v>
      </c>
      <c r="I94" s="12" t="s">
        <v>235</v>
      </c>
      <c r="J94" s="11" t="s">
        <v>220</v>
      </c>
      <c r="K94" s="11" t="s">
        <v>25</v>
      </c>
      <c r="L94" s="11" t="s">
        <v>38</v>
      </c>
      <c r="M94" s="11" t="s">
        <v>19</v>
      </c>
      <c r="N94" s="10"/>
      <c r="O94" s="11" t="s">
        <v>20</v>
      </c>
      <c r="P94" s="10"/>
      <c r="Q94" s="136"/>
      <c r="R94" s="136"/>
      <c r="S94" s="136"/>
      <c r="T94" s="136"/>
      <c r="U94" s="136"/>
    </row>
    <row r="95" spans="1:21" ht="18.899999999999999" customHeight="1">
      <c r="A95" s="2">
        <v>2</v>
      </c>
      <c r="B95" s="4" t="s">
        <v>240</v>
      </c>
      <c r="C95" s="4" t="s">
        <v>241</v>
      </c>
      <c r="D95" s="134" t="s">
        <v>218</v>
      </c>
      <c r="E95" s="9">
        <v>2</v>
      </c>
      <c r="F95" s="11" t="s">
        <v>240</v>
      </c>
      <c r="G95" s="11" t="s">
        <v>241</v>
      </c>
      <c r="H95" s="12" t="s">
        <v>218</v>
      </c>
      <c r="I95" s="12" t="s">
        <v>242</v>
      </c>
      <c r="J95" s="11" t="s">
        <v>220</v>
      </c>
      <c r="K95" s="11" t="s">
        <v>25</v>
      </c>
      <c r="L95" s="11" t="s">
        <v>38</v>
      </c>
      <c r="M95" s="11" t="s">
        <v>19</v>
      </c>
      <c r="N95" s="10"/>
      <c r="O95" s="11" t="s">
        <v>20</v>
      </c>
      <c r="P95" s="10"/>
      <c r="Q95" s="136"/>
      <c r="R95" s="136"/>
      <c r="S95" s="136"/>
      <c r="T95" s="136"/>
      <c r="U95" s="136"/>
    </row>
    <row r="96" spans="1:21" ht="18.899999999999999" customHeight="1">
      <c r="A96" s="2">
        <v>3</v>
      </c>
      <c r="B96" s="4" t="s">
        <v>243</v>
      </c>
      <c r="C96" s="4" t="s">
        <v>244</v>
      </c>
      <c r="D96" s="134" t="s">
        <v>36</v>
      </c>
      <c r="E96" s="9">
        <v>3</v>
      </c>
      <c r="F96" s="11" t="s">
        <v>243</v>
      </c>
      <c r="G96" s="11" t="s">
        <v>244</v>
      </c>
      <c r="H96" s="12" t="s">
        <v>36</v>
      </c>
      <c r="I96" s="12" t="s">
        <v>242</v>
      </c>
      <c r="J96" s="11" t="s">
        <v>220</v>
      </c>
      <c r="K96" s="11" t="s">
        <v>25</v>
      </c>
      <c r="L96" s="11" t="s">
        <v>38</v>
      </c>
      <c r="M96" s="11" t="s">
        <v>19</v>
      </c>
      <c r="N96" s="10"/>
      <c r="O96" s="11" t="s">
        <v>20</v>
      </c>
      <c r="P96" s="10"/>
      <c r="Q96" s="136"/>
      <c r="R96" s="136"/>
      <c r="S96" s="136"/>
      <c r="T96" s="136"/>
      <c r="U96" s="136"/>
    </row>
    <row r="97" spans="1:21" ht="18.899999999999999" customHeight="1">
      <c r="A97" s="2">
        <v>3</v>
      </c>
      <c r="B97" s="4" t="s">
        <v>243</v>
      </c>
      <c r="C97" s="4" t="s">
        <v>245</v>
      </c>
      <c r="D97" s="134" t="s">
        <v>224</v>
      </c>
      <c r="E97" s="9">
        <v>3</v>
      </c>
      <c r="F97" s="11" t="s">
        <v>243</v>
      </c>
      <c r="G97" s="11" t="s">
        <v>245</v>
      </c>
      <c r="H97" s="12" t="s">
        <v>224</v>
      </c>
      <c r="I97" s="12" t="s">
        <v>242</v>
      </c>
      <c r="J97" s="11" t="s">
        <v>220</v>
      </c>
      <c r="K97" s="11" t="s">
        <v>25</v>
      </c>
      <c r="L97" s="11" t="s">
        <v>38</v>
      </c>
      <c r="M97" s="11" t="s">
        <v>19</v>
      </c>
      <c r="N97" s="10"/>
      <c r="O97" s="11" t="s">
        <v>20</v>
      </c>
      <c r="P97" s="10"/>
      <c r="Q97" s="136"/>
      <c r="R97" s="136"/>
      <c r="S97" s="136"/>
      <c r="T97" s="136"/>
      <c r="U97" s="136"/>
    </row>
    <row r="98" spans="1:21" ht="18.899999999999999" customHeight="1">
      <c r="A98" s="2">
        <v>3</v>
      </c>
      <c r="B98" s="4" t="s">
        <v>243</v>
      </c>
      <c r="C98" s="4" t="s">
        <v>246</v>
      </c>
      <c r="D98" s="134" t="s">
        <v>112</v>
      </c>
      <c r="E98" s="9">
        <v>3</v>
      </c>
      <c r="F98" s="11" t="s">
        <v>243</v>
      </c>
      <c r="G98" s="11" t="s">
        <v>246</v>
      </c>
      <c r="H98" s="12" t="s">
        <v>112</v>
      </c>
      <c r="I98" s="12" t="s">
        <v>242</v>
      </c>
      <c r="J98" s="11" t="s">
        <v>220</v>
      </c>
      <c r="K98" s="11" t="s">
        <v>25</v>
      </c>
      <c r="L98" s="11" t="s">
        <v>38</v>
      </c>
      <c r="M98" s="11" t="s">
        <v>19</v>
      </c>
      <c r="N98" s="10"/>
      <c r="O98" s="11" t="s">
        <v>20</v>
      </c>
      <c r="P98" s="10"/>
      <c r="Q98" s="136"/>
      <c r="R98" s="136"/>
      <c r="S98" s="136"/>
      <c r="T98" s="136"/>
      <c r="U98" s="136"/>
    </row>
    <row r="99" spans="1:21" ht="18.899999999999999" customHeight="1">
      <c r="A99" s="2">
        <v>2</v>
      </c>
      <c r="B99" s="4" t="s">
        <v>247</v>
      </c>
      <c r="C99" s="4" t="s">
        <v>248</v>
      </c>
      <c r="D99" s="134" t="s">
        <v>112</v>
      </c>
      <c r="E99" s="9">
        <v>2</v>
      </c>
      <c r="F99" s="11" t="s">
        <v>247</v>
      </c>
      <c r="G99" s="11" t="s">
        <v>248</v>
      </c>
      <c r="H99" s="12" t="s">
        <v>112</v>
      </c>
      <c r="I99" s="12" t="s">
        <v>249</v>
      </c>
      <c r="J99" s="11" t="s">
        <v>250</v>
      </c>
      <c r="K99" s="11" t="s">
        <v>25</v>
      </c>
      <c r="L99" s="11" t="s">
        <v>38</v>
      </c>
      <c r="M99" s="11" t="s">
        <v>19</v>
      </c>
      <c r="N99" s="10"/>
      <c r="O99" s="11" t="s">
        <v>20</v>
      </c>
      <c r="P99" s="10"/>
      <c r="Q99" s="136"/>
      <c r="R99" s="136"/>
      <c r="S99" s="136"/>
      <c r="T99" s="136"/>
      <c r="U99" s="136"/>
    </row>
    <row r="100" spans="1:21" ht="18.899999999999999" customHeight="1">
      <c r="A100" s="2">
        <v>2</v>
      </c>
      <c r="B100" s="4" t="s">
        <v>251</v>
      </c>
      <c r="C100" s="4" t="s">
        <v>252</v>
      </c>
      <c r="D100" s="134" t="s">
        <v>36</v>
      </c>
      <c r="E100" s="9">
        <v>2</v>
      </c>
      <c r="F100" s="11" t="s">
        <v>251</v>
      </c>
      <c r="G100" s="11" t="s">
        <v>252</v>
      </c>
      <c r="H100" s="12" t="s">
        <v>36</v>
      </c>
      <c r="I100" s="12" t="s">
        <v>249</v>
      </c>
      <c r="J100" s="11" t="s">
        <v>250</v>
      </c>
      <c r="K100" s="11" t="s">
        <v>25</v>
      </c>
      <c r="L100" s="11" t="s">
        <v>38</v>
      </c>
      <c r="M100" s="11" t="s">
        <v>19</v>
      </c>
      <c r="N100" s="10"/>
      <c r="O100" s="11" t="s">
        <v>20</v>
      </c>
      <c r="P100" s="10"/>
      <c r="Q100" s="136"/>
      <c r="R100" s="136"/>
      <c r="S100" s="136"/>
      <c r="T100" s="136"/>
      <c r="U100" s="136"/>
    </row>
    <row r="101" spans="1:21" ht="18.899999999999999" customHeight="1">
      <c r="A101" s="2">
        <v>1</v>
      </c>
      <c r="B101" s="4" t="s">
        <v>253</v>
      </c>
      <c r="C101" s="4" t="s">
        <v>254</v>
      </c>
      <c r="D101" s="125" t="s">
        <v>255</v>
      </c>
      <c r="E101" s="9">
        <v>1</v>
      </c>
      <c r="F101" s="11" t="s">
        <v>253</v>
      </c>
      <c r="G101" s="11" t="s">
        <v>254</v>
      </c>
      <c r="H101" s="15" t="s">
        <v>255</v>
      </c>
      <c r="I101" s="12" t="s">
        <v>256</v>
      </c>
      <c r="J101" s="11" t="s">
        <v>257</v>
      </c>
      <c r="K101" s="11" t="s">
        <v>25</v>
      </c>
      <c r="L101" s="11" t="s">
        <v>38</v>
      </c>
      <c r="M101" s="11" t="s">
        <v>19</v>
      </c>
      <c r="N101" s="10"/>
      <c r="O101" s="11" t="s">
        <v>20</v>
      </c>
      <c r="P101" s="10"/>
      <c r="Q101" s="136"/>
      <c r="R101" s="136"/>
      <c r="S101" s="136"/>
      <c r="T101" s="136"/>
      <c r="U101" s="136"/>
    </row>
    <row r="102" spans="1:21" ht="18.899999999999999" customHeight="1">
      <c r="A102" s="2">
        <v>1</v>
      </c>
      <c r="B102" s="4" t="s">
        <v>253</v>
      </c>
      <c r="C102" s="4" t="s">
        <v>258</v>
      </c>
      <c r="D102" s="134" t="s">
        <v>259</v>
      </c>
      <c r="E102" s="9">
        <v>1</v>
      </c>
      <c r="F102" s="11" t="s">
        <v>253</v>
      </c>
      <c r="G102" s="11" t="s">
        <v>258</v>
      </c>
      <c r="H102" s="12" t="s">
        <v>259</v>
      </c>
      <c r="I102" s="12" t="s">
        <v>260</v>
      </c>
      <c r="J102" s="11" t="s">
        <v>257</v>
      </c>
      <c r="K102" s="11" t="s">
        <v>25</v>
      </c>
      <c r="L102" s="11" t="s">
        <v>261</v>
      </c>
      <c r="M102" s="11" t="s">
        <v>19</v>
      </c>
      <c r="N102" s="10"/>
      <c r="O102" s="11" t="s">
        <v>20</v>
      </c>
      <c r="P102" s="10"/>
      <c r="Q102" s="11" t="s">
        <v>262</v>
      </c>
      <c r="R102" s="136">
        <v>10</v>
      </c>
      <c r="S102" s="136"/>
      <c r="T102" s="136"/>
      <c r="U102" s="136"/>
    </row>
    <row r="103" spans="1:21" ht="18.899999999999999" customHeight="1">
      <c r="A103" s="2">
        <v>1</v>
      </c>
      <c r="B103" s="4" t="s">
        <v>263</v>
      </c>
      <c r="C103" s="4" t="s">
        <v>264</v>
      </c>
      <c r="D103" s="134" t="s">
        <v>36</v>
      </c>
      <c r="E103" s="9">
        <v>1</v>
      </c>
      <c r="F103" s="11" t="s">
        <v>263</v>
      </c>
      <c r="G103" s="11" t="s">
        <v>264</v>
      </c>
      <c r="H103" s="12" t="s">
        <v>36</v>
      </c>
      <c r="I103" s="12" t="s">
        <v>265</v>
      </c>
      <c r="J103" s="11" t="s">
        <v>257</v>
      </c>
      <c r="K103" s="11" t="s">
        <v>25</v>
      </c>
      <c r="L103" s="11" t="s">
        <v>38</v>
      </c>
      <c r="M103" s="11" t="s">
        <v>19</v>
      </c>
      <c r="N103" s="10"/>
      <c r="O103" s="11" t="s">
        <v>20</v>
      </c>
      <c r="P103" s="10"/>
      <c r="Q103" s="136"/>
      <c r="R103" s="136"/>
      <c r="S103" s="136"/>
      <c r="T103" s="136"/>
      <c r="U103" s="136"/>
    </row>
    <row r="104" spans="1:21" ht="18.899999999999999" customHeight="1">
      <c r="A104" s="2">
        <v>1</v>
      </c>
      <c r="B104" s="4" t="s">
        <v>266</v>
      </c>
      <c r="C104" s="4" t="s">
        <v>267</v>
      </c>
      <c r="D104" s="134" t="s">
        <v>36</v>
      </c>
      <c r="E104" s="9">
        <v>1</v>
      </c>
      <c r="F104" s="11" t="s">
        <v>266</v>
      </c>
      <c r="G104" s="11" t="s">
        <v>267</v>
      </c>
      <c r="H104" s="12" t="s">
        <v>36</v>
      </c>
      <c r="I104" s="12" t="s">
        <v>268</v>
      </c>
      <c r="J104" s="11" t="s">
        <v>257</v>
      </c>
      <c r="K104" s="11" t="s">
        <v>25</v>
      </c>
      <c r="L104" s="11" t="s">
        <v>38</v>
      </c>
      <c r="M104" s="11" t="s">
        <v>19</v>
      </c>
      <c r="N104" s="10"/>
      <c r="O104" s="11" t="s">
        <v>20</v>
      </c>
      <c r="P104" s="10"/>
      <c r="Q104" s="136"/>
      <c r="R104" s="136"/>
      <c r="S104" s="136"/>
      <c r="T104" s="136"/>
      <c r="U104" s="136"/>
    </row>
    <row r="105" spans="1:21" ht="18.899999999999999" customHeight="1">
      <c r="A105" s="2">
        <v>1</v>
      </c>
      <c r="B105" s="4" t="s">
        <v>269</v>
      </c>
      <c r="C105" s="4" t="s">
        <v>270</v>
      </c>
      <c r="D105" s="134" t="s">
        <v>70</v>
      </c>
      <c r="E105" s="9">
        <v>1</v>
      </c>
      <c r="F105" s="11" t="s">
        <v>269</v>
      </c>
      <c r="G105" s="11" t="s">
        <v>270</v>
      </c>
      <c r="H105" s="12" t="s">
        <v>70</v>
      </c>
      <c r="I105" s="12" t="s">
        <v>271</v>
      </c>
      <c r="J105" s="11" t="s">
        <v>257</v>
      </c>
      <c r="K105" s="11" t="s">
        <v>272</v>
      </c>
      <c r="L105" s="11" t="s">
        <v>73</v>
      </c>
      <c r="M105" s="11" t="s">
        <v>19</v>
      </c>
      <c r="N105" s="10"/>
      <c r="O105" s="11" t="s">
        <v>20</v>
      </c>
      <c r="P105" s="10"/>
      <c r="Q105" s="11" t="s">
        <v>74</v>
      </c>
      <c r="R105" s="136">
        <v>10</v>
      </c>
      <c r="S105" s="136"/>
      <c r="T105" s="136"/>
      <c r="U105" s="136"/>
    </row>
    <row r="106" spans="1:21" ht="18.899999999999999" customHeight="1">
      <c r="A106" s="2">
        <v>1</v>
      </c>
      <c r="B106" s="4" t="s">
        <v>269</v>
      </c>
      <c r="C106" s="4" t="s">
        <v>273</v>
      </c>
      <c r="D106" s="134" t="s">
        <v>76</v>
      </c>
      <c r="E106" s="9">
        <v>1</v>
      </c>
      <c r="F106" s="11" t="s">
        <v>269</v>
      </c>
      <c r="G106" s="11" t="s">
        <v>273</v>
      </c>
      <c r="H106" s="12" t="s">
        <v>76</v>
      </c>
      <c r="I106" s="12" t="s">
        <v>271</v>
      </c>
      <c r="J106" s="11" t="s">
        <v>257</v>
      </c>
      <c r="K106" s="11" t="s">
        <v>272</v>
      </c>
      <c r="L106" s="11" t="s">
        <v>73</v>
      </c>
      <c r="M106" s="11" t="s">
        <v>19</v>
      </c>
      <c r="N106" s="10"/>
      <c r="O106" s="11" t="s">
        <v>20</v>
      </c>
      <c r="P106" s="10"/>
      <c r="Q106" s="11" t="s">
        <v>74</v>
      </c>
      <c r="R106" s="136">
        <v>10</v>
      </c>
      <c r="S106" s="136"/>
      <c r="T106" s="136"/>
      <c r="U106" s="136"/>
    </row>
    <row r="107" spans="1:21" ht="18.899999999999999" customHeight="1">
      <c r="A107" s="2">
        <v>1</v>
      </c>
      <c r="B107" s="4" t="s">
        <v>274</v>
      </c>
      <c r="C107" s="4" t="s">
        <v>275</v>
      </c>
      <c r="D107" s="134" t="s">
        <v>70</v>
      </c>
      <c r="E107" s="9">
        <v>1</v>
      </c>
      <c r="F107" s="11" t="s">
        <v>274</v>
      </c>
      <c r="G107" s="11" t="s">
        <v>275</v>
      </c>
      <c r="H107" s="12" t="s">
        <v>70</v>
      </c>
      <c r="I107" s="12" t="s">
        <v>276</v>
      </c>
      <c r="J107" s="11" t="s">
        <v>257</v>
      </c>
      <c r="K107" s="11" t="s">
        <v>272</v>
      </c>
      <c r="L107" s="11" t="s">
        <v>73</v>
      </c>
      <c r="M107" s="11" t="s">
        <v>19</v>
      </c>
      <c r="N107" s="10"/>
      <c r="O107" s="11" t="s">
        <v>20</v>
      </c>
      <c r="P107" s="10"/>
      <c r="Q107" s="11" t="s">
        <v>74</v>
      </c>
      <c r="R107" s="136">
        <v>10</v>
      </c>
      <c r="S107" s="136"/>
      <c r="T107" s="136"/>
      <c r="U107" s="136"/>
    </row>
    <row r="108" spans="1:21" ht="18.899999999999999" customHeight="1">
      <c r="A108" s="2">
        <v>1</v>
      </c>
      <c r="B108" s="4" t="s">
        <v>274</v>
      </c>
      <c r="C108" s="4" t="s">
        <v>277</v>
      </c>
      <c r="D108" s="134" t="s">
        <v>76</v>
      </c>
      <c r="E108" s="9">
        <v>1</v>
      </c>
      <c r="F108" s="11" t="s">
        <v>274</v>
      </c>
      <c r="G108" s="11" t="s">
        <v>277</v>
      </c>
      <c r="H108" s="12" t="s">
        <v>76</v>
      </c>
      <c r="I108" s="12" t="s">
        <v>276</v>
      </c>
      <c r="J108" s="11" t="s">
        <v>257</v>
      </c>
      <c r="K108" s="11" t="s">
        <v>272</v>
      </c>
      <c r="L108" s="11" t="s">
        <v>73</v>
      </c>
      <c r="M108" s="11" t="s">
        <v>19</v>
      </c>
      <c r="N108" s="10"/>
      <c r="O108" s="11" t="s">
        <v>20</v>
      </c>
      <c r="P108" s="10"/>
      <c r="Q108" s="11" t="s">
        <v>74</v>
      </c>
      <c r="R108" s="136">
        <v>10</v>
      </c>
      <c r="S108" s="136"/>
      <c r="T108" s="136"/>
      <c r="U108" s="136"/>
    </row>
    <row r="109" spans="1:21" ht="18.899999999999999" customHeight="1">
      <c r="A109" s="2">
        <v>3</v>
      </c>
      <c r="B109" s="4" t="s">
        <v>278</v>
      </c>
      <c r="C109" s="4" t="s">
        <v>279</v>
      </c>
      <c r="D109" s="125" t="s">
        <v>280</v>
      </c>
      <c r="E109" s="9">
        <v>3</v>
      </c>
      <c r="F109" s="11" t="s">
        <v>278</v>
      </c>
      <c r="G109" s="11" t="s">
        <v>279</v>
      </c>
      <c r="H109" s="15" t="s">
        <v>280</v>
      </c>
      <c r="I109" s="12" t="s">
        <v>281</v>
      </c>
      <c r="J109" s="11" t="s">
        <v>257</v>
      </c>
      <c r="K109" s="11" t="s">
        <v>25</v>
      </c>
      <c r="L109" s="11" t="s">
        <v>38</v>
      </c>
      <c r="M109" s="11" t="s">
        <v>19</v>
      </c>
      <c r="N109" s="10"/>
      <c r="O109" s="11" t="s">
        <v>20</v>
      </c>
      <c r="P109" s="10"/>
      <c r="Q109" s="136"/>
      <c r="R109" s="136"/>
      <c r="S109" s="136"/>
      <c r="T109" s="136"/>
      <c r="U109" s="136"/>
    </row>
    <row r="110" spans="1:21" ht="18.899999999999999" customHeight="1">
      <c r="A110" s="2">
        <v>3</v>
      </c>
      <c r="B110" s="4" t="s">
        <v>278</v>
      </c>
      <c r="C110" s="4" t="s">
        <v>282</v>
      </c>
      <c r="D110" s="125" t="s">
        <v>280</v>
      </c>
      <c r="E110" s="9">
        <v>3</v>
      </c>
      <c r="F110" s="11" t="s">
        <v>278</v>
      </c>
      <c r="G110" s="11" t="s">
        <v>282</v>
      </c>
      <c r="H110" s="15" t="s">
        <v>280</v>
      </c>
      <c r="I110" s="12" t="s">
        <v>283</v>
      </c>
      <c r="J110" s="11" t="s">
        <v>257</v>
      </c>
      <c r="K110" s="11" t="s">
        <v>25</v>
      </c>
      <c r="L110" s="11" t="s">
        <v>38</v>
      </c>
      <c r="M110" s="11" t="s">
        <v>19</v>
      </c>
      <c r="N110" s="10"/>
      <c r="O110" s="11" t="s">
        <v>20</v>
      </c>
      <c r="P110" s="10"/>
      <c r="Q110" s="136"/>
      <c r="R110" s="136"/>
      <c r="S110" s="136"/>
      <c r="T110" s="136"/>
      <c r="U110" s="136"/>
    </row>
    <row r="111" spans="1:21" ht="18.899999999999999" customHeight="1">
      <c r="A111" s="2">
        <v>1</v>
      </c>
      <c r="B111" s="4" t="s">
        <v>284</v>
      </c>
      <c r="C111" s="4" t="s">
        <v>285</v>
      </c>
      <c r="D111" s="134" t="s">
        <v>286</v>
      </c>
      <c r="E111" s="9">
        <v>1</v>
      </c>
      <c r="F111" s="11" t="s">
        <v>284</v>
      </c>
      <c r="G111" s="11" t="s">
        <v>285</v>
      </c>
      <c r="H111" s="12" t="s">
        <v>286</v>
      </c>
      <c r="I111" s="15" t="s">
        <v>287</v>
      </c>
      <c r="J111" s="11" t="s">
        <v>257</v>
      </c>
      <c r="K111" s="16" t="s">
        <v>288</v>
      </c>
      <c r="L111" s="11" t="s">
        <v>18</v>
      </c>
      <c r="M111" s="11" t="s">
        <v>19</v>
      </c>
      <c r="N111" s="10"/>
      <c r="O111" s="11" t="s">
        <v>20</v>
      </c>
      <c r="P111" s="10"/>
      <c r="Q111" s="11" t="s">
        <v>27</v>
      </c>
      <c r="R111" s="136">
        <v>3.5</v>
      </c>
      <c r="S111" s="136"/>
      <c r="T111" s="136"/>
      <c r="U111" s="136"/>
    </row>
    <row r="112" spans="1:21" ht="18.899999999999999" customHeight="1">
      <c r="A112" s="2">
        <v>1</v>
      </c>
      <c r="B112" s="4" t="s">
        <v>284</v>
      </c>
      <c r="C112" s="4" t="s">
        <v>289</v>
      </c>
      <c r="D112" s="134" t="s">
        <v>290</v>
      </c>
      <c r="E112" s="9">
        <v>1</v>
      </c>
      <c r="F112" s="11" t="s">
        <v>284</v>
      </c>
      <c r="G112" s="11" t="s">
        <v>289</v>
      </c>
      <c r="H112" s="12" t="s">
        <v>290</v>
      </c>
      <c r="I112" s="15" t="s">
        <v>287</v>
      </c>
      <c r="J112" s="11" t="s">
        <v>257</v>
      </c>
      <c r="K112" s="16" t="s">
        <v>288</v>
      </c>
      <c r="L112" s="11" t="s">
        <v>38</v>
      </c>
      <c r="M112" s="11" t="s">
        <v>19</v>
      </c>
      <c r="N112" s="10"/>
      <c r="O112" s="11" t="s">
        <v>20</v>
      </c>
      <c r="P112" s="10"/>
      <c r="Q112" s="136"/>
      <c r="R112" s="136"/>
      <c r="S112" s="136"/>
      <c r="T112" s="136"/>
      <c r="U112" s="136"/>
    </row>
    <row r="113" spans="1:21" ht="18.899999999999999" customHeight="1">
      <c r="A113" s="2">
        <v>1</v>
      </c>
      <c r="B113" s="4" t="s">
        <v>284</v>
      </c>
      <c r="C113" s="4" t="s">
        <v>291</v>
      </c>
      <c r="D113" s="134" t="s">
        <v>292</v>
      </c>
      <c r="E113" s="9">
        <v>1</v>
      </c>
      <c r="F113" s="11" t="s">
        <v>284</v>
      </c>
      <c r="G113" s="11" t="s">
        <v>291</v>
      </c>
      <c r="H113" s="12" t="s">
        <v>292</v>
      </c>
      <c r="I113" s="12" t="s">
        <v>293</v>
      </c>
      <c r="J113" s="11" t="s">
        <v>257</v>
      </c>
      <c r="K113" s="16" t="s">
        <v>288</v>
      </c>
      <c r="L113" s="11" t="s">
        <v>73</v>
      </c>
      <c r="M113" s="11" t="s">
        <v>19</v>
      </c>
      <c r="N113" s="10"/>
      <c r="O113" s="11" t="s">
        <v>20</v>
      </c>
      <c r="P113" s="10"/>
      <c r="Q113" s="11" t="s">
        <v>74</v>
      </c>
      <c r="R113" s="136">
        <v>10</v>
      </c>
      <c r="S113" s="136"/>
      <c r="T113" s="136"/>
      <c r="U113" s="136"/>
    </row>
    <row r="114" spans="1:21" ht="18.899999999999999" customHeight="1">
      <c r="A114" s="2">
        <v>1</v>
      </c>
      <c r="B114" s="4" t="s">
        <v>284</v>
      </c>
      <c r="C114" s="4" t="s">
        <v>294</v>
      </c>
      <c r="D114" s="134" t="s">
        <v>295</v>
      </c>
      <c r="E114" s="9">
        <v>1</v>
      </c>
      <c r="F114" s="11" t="s">
        <v>284</v>
      </c>
      <c r="G114" s="11" t="s">
        <v>294</v>
      </c>
      <c r="H114" s="12" t="s">
        <v>295</v>
      </c>
      <c r="I114" s="12" t="s">
        <v>293</v>
      </c>
      <c r="J114" s="11" t="s">
        <v>257</v>
      </c>
      <c r="K114" s="16" t="s">
        <v>288</v>
      </c>
      <c r="L114" s="11" t="s">
        <v>73</v>
      </c>
      <c r="M114" s="11" t="s">
        <v>19</v>
      </c>
      <c r="N114" s="10"/>
      <c r="O114" s="11" t="s">
        <v>20</v>
      </c>
      <c r="P114" s="10"/>
      <c r="Q114" s="11" t="s">
        <v>74</v>
      </c>
      <c r="R114" s="136">
        <v>10</v>
      </c>
      <c r="S114" s="136"/>
      <c r="T114" s="136"/>
      <c r="U114" s="136"/>
    </row>
    <row r="115" spans="1:21" ht="18.899999999999999" customHeight="1">
      <c r="A115" s="2">
        <v>1</v>
      </c>
      <c r="B115" s="4" t="s">
        <v>296</v>
      </c>
      <c r="C115" s="4" t="s">
        <v>297</v>
      </c>
      <c r="D115" s="134" t="s">
        <v>286</v>
      </c>
      <c r="E115" s="9">
        <v>1</v>
      </c>
      <c r="F115" s="11" t="s">
        <v>296</v>
      </c>
      <c r="G115" s="11" t="s">
        <v>297</v>
      </c>
      <c r="H115" s="12" t="s">
        <v>286</v>
      </c>
      <c r="I115" s="15" t="s">
        <v>298</v>
      </c>
      <c r="J115" s="11" t="s">
        <v>257</v>
      </c>
      <c r="K115" s="16" t="s">
        <v>288</v>
      </c>
      <c r="L115" s="11" t="s">
        <v>18</v>
      </c>
      <c r="M115" s="11" t="s">
        <v>19</v>
      </c>
      <c r="N115" s="10"/>
      <c r="O115" s="11" t="s">
        <v>20</v>
      </c>
      <c r="P115" s="10"/>
      <c r="Q115" s="11" t="s">
        <v>27</v>
      </c>
      <c r="R115" s="136">
        <v>3.5</v>
      </c>
      <c r="S115" s="136"/>
      <c r="T115" s="136"/>
      <c r="U115" s="136"/>
    </row>
    <row r="116" spans="1:21" ht="18.899999999999999" customHeight="1">
      <c r="A116" s="2">
        <v>1</v>
      </c>
      <c r="B116" s="4" t="s">
        <v>296</v>
      </c>
      <c r="C116" s="4" t="s">
        <v>299</v>
      </c>
      <c r="D116" s="134" t="s">
        <v>290</v>
      </c>
      <c r="E116" s="9">
        <v>1</v>
      </c>
      <c r="F116" s="11" t="s">
        <v>296</v>
      </c>
      <c r="G116" s="11" t="s">
        <v>299</v>
      </c>
      <c r="H116" s="12" t="s">
        <v>290</v>
      </c>
      <c r="I116" s="15" t="s">
        <v>298</v>
      </c>
      <c r="J116" s="11" t="s">
        <v>257</v>
      </c>
      <c r="K116" s="16" t="s">
        <v>288</v>
      </c>
      <c r="L116" s="11" t="s">
        <v>38</v>
      </c>
      <c r="M116" s="11" t="s">
        <v>19</v>
      </c>
      <c r="N116" s="10"/>
      <c r="O116" s="11" t="s">
        <v>20</v>
      </c>
      <c r="P116" s="10"/>
      <c r="Q116" s="136"/>
      <c r="R116" s="136"/>
      <c r="S116" s="136"/>
      <c r="T116" s="136"/>
      <c r="U116" s="136"/>
    </row>
    <row r="117" spans="1:21" ht="18.899999999999999" customHeight="1">
      <c r="A117" s="2">
        <v>1</v>
      </c>
      <c r="B117" s="4" t="s">
        <v>296</v>
      </c>
      <c r="C117" s="4" t="s">
        <v>300</v>
      </c>
      <c r="D117" s="134" t="s">
        <v>292</v>
      </c>
      <c r="E117" s="9">
        <v>1</v>
      </c>
      <c r="F117" s="11" t="s">
        <v>296</v>
      </c>
      <c r="G117" s="11" t="s">
        <v>300</v>
      </c>
      <c r="H117" s="12" t="s">
        <v>292</v>
      </c>
      <c r="I117" s="12" t="s">
        <v>301</v>
      </c>
      <c r="J117" s="11" t="s">
        <v>257</v>
      </c>
      <c r="K117" s="16" t="s">
        <v>288</v>
      </c>
      <c r="L117" s="11" t="s">
        <v>73</v>
      </c>
      <c r="M117" s="11" t="s">
        <v>19</v>
      </c>
      <c r="N117" s="10"/>
      <c r="O117" s="11" t="s">
        <v>20</v>
      </c>
      <c r="P117" s="10"/>
      <c r="Q117" s="11" t="s">
        <v>74</v>
      </c>
      <c r="R117" s="136">
        <v>10</v>
      </c>
      <c r="S117" s="136"/>
      <c r="T117" s="136"/>
      <c r="U117" s="136"/>
    </row>
    <row r="118" spans="1:21" ht="18.899999999999999" customHeight="1">
      <c r="A118" s="2">
        <v>1</v>
      </c>
      <c r="B118" s="4" t="s">
        <v>296</v>
      </c>
      <c r="C118" s="4" t="s">
        <v>302</v>
      </c>
      <c r="D118" s="134" t="s">
        <v>295</v>
      </c>
      <c r="E118" s="9">
        <v>1</v>
      </c>
      <c r="F118" s="11" t="s">
        <v>296</v>
      </c>
      <c r="G118" s="11" t="s">
        <v>302</v>
      </c>
      <c r="H118" s="12" t="s">
        <v>295</v>
      </c>
      <c r="I118" s="12" t="s">
        <v>301</v>
      </c>
      <c r="J118" s="11" t="s">
        <v>257</v>
      </c>
      <c r="K118" s="16" t="s">
        <v>288</v>
      </c>
      <c r="L118" s="11" t="s">
        <v>73</v>
      </c>
      <c r="M118" s="11" t="s">
        <v>19</v>
      </c>
      <c r="N118" s="10"/>
      <c r="O118" s="11" t="s">
        <v>20</v>
      </c>
      <c r="P118" s="10"/>
      <c r="Q118" s="11" t="s">
        <v>74</v>
      </c>
      <c r="R118" s="136">
        <v>10</v>
      </c>
      <c r="S118" s="136"/>
      <c r="T118" s="136"/>
      <c r="U118" s="136"/>
    </row>
    <row r="119" spans="1:21" ht="18.899999999999999" customHeight="1">
      <c r="A119" s="2">
        <v>3</v>
      </c>
      <c r="B119" s="4" t="s">
        <v>303</v>
      </c>
      <c r="C119" s="4" t="s">
        <v>304</v>
      </c>
      <c r="D119" s="134" t="s">
        <v>36</v>
      </c>
      <c r="E119" s="9">
        <v>3</v>
      </c>
      <c r="F119" s="11" t="s">
        <v>303</v>
      </c>
      <c r="G119" s="11" t="s">
        <v>304</v>
      </c>
      <c r="H119" s="12" t="s">
        <v>36</v>
      </c>
      <c r="I119" s="12" t="s">
        <v>305</v>
      </c>
      <c r="J119" s="11" t="s">
        <v>306</v>
      </c>
      <c r="K119" s="11" t="s">
        <v>25</v>
      </c>
      <c r="L119" s="11" t="s">
        <v>38</v>
      </c>
      <c r="M119" s="11" t="s">
        <v>19</v>
      </c>
      <c r="N119" s="16" t="s">
        <v>307</v>
      </c>
      <c r="O119" s="11" t="s">
        <v>20</v>
      </c>
      <c r="P119" s="10"/>
      <c r="Q119" s="136"/>
      <c r="R119" s="136"/>
      <c r="S119" s="136"/>
      <c r="T119" s="136"/>
      <c r="U119" s="136"/>
    </row>
    <row r="120" spans="1:21" ht="18.899999999999999" customHeight="1">
      <c r="A120" s="2">
        <v>1</v>
      </c>
      <c r="B120" s="4" t="s">
        <v>308</v>
      </c>
      <c r="C120" s="4" t="s">
        <v>309</v>
      </c>
      <c r="D120" s="125" t="s">
        <v>310</v>
      </c>
      <c r="E120" s="9">
        <v>1</v>
      </c>
      <c r="F120" s="11" t="s">
        <v>308</v>
      </c>
      <c r="G120" s="11" t="s">
        <v>309</v>
      </c>
      <c r="H120" s="15" t="s">
        <v>310</v>
      </c>
      <c r="I120" s="15" t="s">
        <v>311</v>
      </c>
      <c r="J120" s="11" t="s">
        <v>306</v>
      </c>
      <c r="K120" s="11" t="s">
        <v>25</v>
      </c>
      <c r="L120" s="11" t="s">
        <v>38</v>
      </c>
      <c r="M120" s="11" t="s">
        <v>19</v>
      </c>
      <c r="N120" s="10"/>
      <c r="O120" s="11" t="s">
        <v>20</v>
      </c>
      <c r="P120" s="10"/>
      <c r="Q120" s="136"/>
      <c r="R120" s="136"/>
      <c r="S120" s="136"/>
      <c r="T120" s="136"/>
      <c r="U120" s="136"/>
    </row>
    <row r="121" spans="1:21" ht="18.899999999999999" customHeight="1">
      <c r="A121" s="2">
        <v>1</v>
      </c>
      <c r="B121" s="4" t="s">
        <v>308</v>
      </c>
      <c r="C121" s="4" t="s">
        <v>312</v>
      </c>
      <c r="D121" s="134" t="s">
        <v>259</v>
      </c>
      <c r="E121" s="9">
        <v>1</v>
      </c>
      <c r="F121" s="11" t="s">
        <v>308</v>
      </c>
      <c r="G121" s="11" t="s">
        <v>312</v>
      </c>
      <c r="H121" s="12" t="s">
        <v>259</v>
      </c>
      <c r="I121" s="15" t="s">
        <v>313</v>
      </c>
      <c r="J121" s="11" t="s">
        <v>306</v>
      </c>
      <c r="K121" s="11" t="s">
        <v>25</v>
      </c>
      <c r="L121" s="11" t="s">
        <v>261</v>
      </c>
      <c r="M121" s="11" t="s">
        <v>19</v>
      </c>
      <c r="N121" s="10"/>
      <c r="O121" s="11" t="s">
        <v>20</v>
      </c>
      <c r="P121" s="10"/>
      <c r="Q121" s="11" t="s">
        <v>262</v>
      </c>
      <c r="R121" s="136">
        <v>10</v>
      </c>
      <c r="S121" s="136"/>
      <c r="T121" s="136"/>
      <c r="U121" s="136"/>
    </row>
    <row r="122" spans="1:21" ht="18.899999999999999" customHeight="1">
      <c r="A122" s="2">
        <v>3</v>
      </c>
      <c r="B122" s="4" t="s">
        <v>314</v>
      </c>
      <c r="C122" s="4" t="s">
        <v>315</v>
      </c>
      <c r="D122" s="134" t="s">
        <v>112</v>
      </c>
      <c r="E122" s="9">
        <v>3</v>
      </c>
      <c r="F122" s="11" t="s">
        <v>314</v>
      </c>
      <c r="G122" s="11" t="s">
        <v>315</v>
      </c>
      <c r="H122" s="12" t="s">
        <v>112</v>
      </c>
      <c r="I122" s="15" t="s">
        <v>311</v>
      </c>
      <c r="J122" s="11" t="s">
        <v>306</v>
      </c>
      <c r="K122" s="11" t="s">
        <v>25</v>
      </c>
      <c r="L122" s="11" t="s">
        <v>38</v>
      </c>
      <c r="M122" s="11" t="s">
        <v>19</v>
      </c>
      <c r="N122" s="10"/>
      <c r="O122" s="11" t="s">
        <v>20</v>
      </c>
      <c r="P122" s="10"/>
      <c r="Q122" s="136"/>
      <c r="R122" s="136"/>
      <c r="S122" s="136"/>
      <c r="T122" s="136"/>
      <c r="U122" s="136"/>
    </row>
    <row r="123" spans="1:21" ht="18.899999999999999" customHeight="1">
      <c r="A123" s="2">
        <v>1</v>
      </c>
      <c r="B123" s="4" t="s">
        <v>316</v>
      </c>
      <c r="C123" s="4" t="s">
        <v>317</v>
      </c>
      <c r="D123" s="125" t="s">
        <v>318</v>
      </c>
      <c r="E123" s="9">
        <v>1</v>
      </c>
      <c r="F123" s="11" t="s">
        <v>316</v>
      </c>
      <c r="G123" s="11" t="s">
        <v>317</v>
      </c>
      <c r="H123" s="15" t="s">
        <v>318</v>
      </c>
      <c r="I123" s="12" t="s">
        <v>319</v>
      </c>
      <c r="J123" s="11" t="s">
        <v>306</v>
      </c>
      <c r="K123" s="11" t="s">
        <v>25</v>
      </c>
      <c r="L123" s="11" t="s">
        <v>38</v>
      </c>
      <c r="M123" s="11" t="s">
        <v>19</v>
      </c>
      <c r="N123" s="10"/>
      <c r="O123" s="11" t="s">
        <v>20</v>
      </c>
      <c r="P123" s="10"/>
      <c r="Q123" s="136"/>
      <c r="R123" s="136"/>
      <c r="S123" s="136"/>
      <c r="T123" s="136"/>
      <c r="U123" s="136"/>
    </row>
    <row r="124" spans="1:21" ht="18.899999999999999" customHeight="1">
      <c r="A124" s="2">
        <v>1</v>
      </c>
      <c r="B124" s="4" t="s">
        <v>320</v>
      </c>
      <c r="C124" s="4" t="s">
        <v>321</v>
      </c>
      <c r="D124" s="134" t="s">
        <v>46</v>
      </c>
      <c r="E124" s="9">
        <v>1</v>
      </c>
      <c r="F124" s="11" t="s">
        <v>320</v>
      </c>
      <c r="G124" s="11" t="s">
        <v>321</v>
      </c>
      <c r="H124" s="12" t="s">
        <v>46</v>
      </c>
      <c r="I124" s="12" t="s">
        <v>322</v>
      </c>
      <c r="J124" s="11" t="s">
        <v>323</v>
      </c>
      <c r="K124" s="11" t="s">
        <v>25</v>
      </c>
      <c r="L124" s="11" t="s">
        <v>38</v>
      </c>
      <c r="M124" s="11" t="s">
        <v>19</v>
      </c>
      <c r="N124" s="15" t="s">
        <v>324</v>
      </c>
      <c r="O124" s="11" t="s">
        <v>20</v>
      </c>
      <c r="P124" s="10"/>
      <c r="Q124" s="136"/>
      <c r="R124" s="136"/>
      <c r="S124" s="136"/>
      <c r="T124" s="136"/>
      <c r="U124" s="136"/>
    </row>
    <row r="125" spans="1:21" ht="18.899999999999999" customHeight="1">
      <c r="A125" s="2">
        <v>3</v>
      </c>
      <c r="B125" s="4" t="s">
        <v>325</v>
      </c>
      <c r="C125" s="4" t="s">
        <v>326</v>
      </c>
      <c r="D125" s="134" t="s">
        <v>36</v>
      </c>
      <c r="E125" s="9">
        <v>3</v>
      </c>
      <c r="F125" s="11" t="s">
        <v>325</v>
      </c>
      <c r="G125" s="11" t="s">
        <v>326</v>
      </c>
      <c r="H125" s="12" t="s">
        <v>36</v>
      </c>
      <c r="I125" s="15" t="s">
        <v>327</v>
      </c>
      <c r="J125" s="11" t="s">
        <v>323</v>
      </c>
      <c r="K125" s="11" t="s">
        <v>25</v>
      </c>
      <c r="L125" s="11" t="s">
        <v>38</v>
      </c>
      <c r="M125" s="11" t="s">
        <v>19</v>
      </c>
      <c r="N125" s="15" t="s">
        <v>324</v>
      </c>
      <c r="O125" s="11" t="s">
        <v>20</v>
      </c>
      <c r="P125" s="10"/>
      <c r="Q125" s="136"/>
      <c r="R125" s="136"/>
      <c r="S125" s="136"/>
      <c r="T125" s="136"/>
      <c r="U125" s="136"/>
    </row>
    <row r="126" spans="1:21" ht="18.899999999999999" customHeight="1">
      <c r="A126" s="2">
        <v>3</v>
      </c>
      <c r="B126" s="4" t="s">
        <v>328</v>
      </c>
      <c r="C126" s="4" t="s">
        <v>329</v>
      </c>
      <c r="D126" s="134" t="s">
        <v>36</v>
      </c>
      <c r="E126" s="9">
        <v>3</v>
      </c>
      <c r="F126" s="11" t="s">
        <v>328</v>
      </c>
      <c r="G126" s="11" t="s">
        <v>329</v>
      </c>
      <c r="H126" s="12" t="s">
        <v>36</v>
      </c>
      <c r="I126" s="15" t="s">
        <v>330</v>
      </c>
      <c r="J126" s="11" t="s">
        <v>323</v>
      </c>
      <c r="K126" s="11" t="s">
        <v>25</v>
      </c>
      <c r="L126" s="11" t="s">
        <v>38</v>
      </c>
      <c r="M126" s="11" t="s">
        <v>19</v>
      </c>
      <c r="N126" s="15" t="s">
        <v>324</v>
      </c>
      <c r="O126" s="11" t="s">
        <v>20</v>
      </c>
      <c r="P126" s="10"/>
      <c r="Q126" s="136"/>
      <c r="R126" s="136"/>
      <c r="S126" s="136"/>
      <c r="T126" s="136"/>
      <c r="U126" s="136"/>
    </row>
    <row r="127" spans="1:21" ht="18.899999999999999" customHeight="1">
      <c r="A127" s="2">
        <v>3</v>
      </c>
      <c r="B127" s="4" t="s">
        <v>331</v>
      </c>
      <c r="C127" s="4" t="s">
        <v>332</v>
      </c>
      <c r="D127" s="134" t="s">
        <v>70</v>
      </c>
      <c r="E127" s="9">
        <v>3</v>
      </c>
      <c r="F127" s="11" t="s">
        <v>331</v>
      </c>
      <c r="G127" s="11" t="s">
        <v>332</v>
      </c>
      <c r="H127" s="12" t="s">
        <v>70</v>
      </c>
      <c r="I127" s="12" t="s">
        <v>333</v>
      </c>
      <c r="J127" s="11" t="s">
        <v>323</v>
      </c>
      <c r="K127" s="16" t="s">
        <v>334</v>
      </c>
      <c r="L127" s="11" t="s">
        <v>73</v>
      </c>
      <c r="M127" s="11" t="s">
        <v>19</v>
      </c>
      <c r="N127" s="10"/>
      <c r="O127" s="11" t="s">
        <v>20</v>
      </c>
      <c r="P127" s="10"/>
      <c r="Q127" s="11" t="s">
        <v>74</v>
      </c>
      <c r="R127" s="136">
        <v>10</v>
      </c>
      <c r="S127" s="136"/>
      <c r="T127" s="136"/>
      <c r="U127" s="136"/>
    </row>
    <row r="128" spans="1:21" ht="18.899999999999999" customHeight="1">
      <c r="A128" s="2">
        <v>3</v>
      </c>
      <c r="B128" s="4" t="s">
        <v>331</v>
      </c>
      <c r="C128" s="4" t="s">
        <v>335</v>
      </c>
      <c r="D128" s="134" t="s">
        <v>76</v>
      </c>
      <c r="E128" s="9">
        <v>3</v>
      </c>
      <c r="F128" s="11" t="s">
        <v>331</v>
      </c>
      <c r="G128" s="11" t="s">
        <v>335</v>
      </c>
      <c r="H128" s="12" t="s">
        <v>76</v>
      </c>
      <c r="I128" s="12" t="s">
        <v>333</v>
      </c>
      <c r="J128" s="11" t="s">
        <v>323</v>
      </c>
      <c r="K128" s="16" t="s">
        <v>334</v>
      </c>
      <c r="L128" s="11" t="s">
        <v>73</v>
      </c>
      <c r="M128" s="11" t="s">
        <v>19</v>
      </c>
      <c r="N128" s="10"/>
      <c r="O128" s="11" t="s">
        <v>20</v>
      </c>
      <c r="P128" s="10"/>
      <c r="Q128" s="11" t="s">
        <v>74</v>
      </c>
      <c r="R128" s="136">
        <v>10</v>
      </c>
      <c r="S128" s="136"/>
      <c r="T128" s="136"/>
      <c r="U128" s="136"/>
    </row>
    <row r="129" spans="1:21" ht="18.899999999999999" customHeight="1">
      <c r="A129" s="2">
        <v>3</v>
      </c>
      <c r="B129" s="4" t="s">
        <v>336</v>
      </c>
      <c r="C129" s="4" t="s">
        <v>337</v>
      </c>
      <c r="D129" s="134" t="s">
        <v>70</v>
      </c>
      <c r="E129" s="9">
        <v>3</v>
      </c>
      <c r="F129" s="11" t="s">
        <v>336</v>
      </c>
      <c r="G129" s="11" t="s">
        <v>337</v>
      </c>
      <c r="H129" s="12" t="s">
        <v>70</v>
      </c>
      <c r="I129" s="12" t="s">
        <v>338</v>
      </c>
      <c r="J129" s="11" t="s">
        <v>323</v>
      </c>
      <c r="K129" s="16" t="s">
        <v>334</v>
      </c>
      <c r="L129" s="11" t="s">
        <v>73</v>
      </c>
      <c r="M129" s="11" t="s">
        <v>19</v>
      </c>
      <c r="N129" s="10"/>
      <c r="O129" s="11" t="s">
        <v>20</v>
      </c>
      <c r="P129" s="10"/>
      <c r="Q129" s="11" t="s">
        <v>74</v>
      </c>
      <c r="R129" s="136">
        <v>10</v>
      </c>
      <c r="S129" s="136"/>
      <c r="T129" s="136"/>
      <c r="U129" s="136"/>
    </row>
    <row r="130" spans="1:21" ht="18.899999999999999" customHeight="1">
      <c r="A130" s="2">
        <v>3</v>
      </c>
      <c r="B130" s="4" t="s">
        <v>336</v>
      </c>
      <c r="C130" s="4" t="s">
        <v>339</v>
      </c>
      <c r="D130" s="134" t="s">
        <v>76</v>
      </c>
      <c r="E130" s="9">
        <v>3</v>
      </c>
      <c r="F130" s="11" t="s">
        <v>336</v>
      </c>
      <c r="G130" s="11" t="s">
        <v>339</v>
      </c>
      <c r="H130" s="12" t="s">
        <v>76</v>
      </c>
      <c r="I130" s="12" t="s">
        <v>338</v>
      </c>
      <c r="J130" s="11" t="s">
        <v>323</v>
      </c>
      <c r="K130" s="16" t="s">
        <v>334</v>
      </c>
      <c r="L130" s="11" t="s">
        <v>73</v>
      </c>
      <c r="M130" s="11" t="s">
        <v>19</v>
      </c>
      <c r="N130" s="10"/>
      <c r="O130" s="11" t="s">
        <v>20</v>
      </c>
      <c r="P130" s="10"/>
      <c r="Q130" s="11" t="s">
        <v>74</v>
      </c>
      <c r="R130" s="136">
        <v>10</v>
      </c>
      <c r="S130" s="136"/>
      <c r="T130" s="136"/>
      <c r="U130" s="136"/>
    </row>
    <row r="131" spans="1:21" ht="18.899999999999999" customHeight="1">
      <c r="A131" s="2">
        <v>3</v>
      </c>
      <c r="B131" s="4" t="s">
        <v>340</v>
      </c>
      <c r="C131" s="4" t="s">
        <v>341</v>
      </c>
      <c r="D131" s="134" t="s">
        <v>70</v>
      </c>
      <c r="E131" s="9">
        <v>3</v>
      </c>
      <c r="F131" s="11" t="s">
        <v>340</v>
      </c>
      <c r="G131" s="11" t="s">
        <v>341</v>
      </c>
      <c r="H131" s="12" t="s">
        <v>70</v>
      </c>
      <c r="I131" s="12" t="s">
        <v>342</v>
      </c>
      <c r="J131" s="11" t="s">
        <v>323</v>
      </c>
      <c r="K131" s="16" t="s">
        <v>334</v>
      </c>
      <c r="L131" s="11" t="s">
        <v>73</v>
      </c>
      <c r="M131" s="11" t="s">
        <v>19</v>
      </c>
      <c r="N131" s="10"/>
      <c r="O131" s="11" t="s">
        <v>20</v>
      </c>
      <c r="P131" s="10"/>
      <c r="Q131" s="11" t="s">
        <v>74</v>
      </c>
      <c r="R131" s="136">
        <v>10</v>
      </c>
      <c r="S131" s="136"/>
      <c r="T131" s="136"/>
      <c r="U131" s="136"/>
    </row>
    <row r="132" spans="1:21" ht="18.899999999999999" customHeight="1">
      <c r="A132" s="2">
        <v>3</v>
      </c>
      <c r="B132" s="4" t="s">
        <v>340</v>
      </c>
      <c r="C132" s="4" t="s">
        <v>343</v>
      </c>
      <c r="D132" s="134" t="s">
        <v>76</v>
      </c>
      <c r="E132" s="9">
        <v>3</v>
      </c>
      <c r="F132" s="11" t="s">
        <v>340</v>
      </c>
      <c r="G132" s="11" t="s">
        <v>343</v>
      </c>
      <c r="H132" s="12" t="s">
        <v>76</v>
      </c>
      <c r="I132" s="12" t="s">
        <v>342</v>
      </c>
      <c r="J132" s="11" t="s">
        <v>323</v>
      </c>
      <c r="K132" s="16" t="s">
        <v>334</v>
      </c>
      <c r="L132" s="11" t="s">
        <v>73</v>
      </c>
      <c r="M132" s="11" t="s">
        <v>19</v>
      </c>
      <c r="N132" s="10"/>
      <c r="O132" s="11" t="s">
        <v>20</v>
      </c>
      <c r="P132" s="10"/>
      <c r="Q132" s="11" t="s">
        <v>74</v>
      </c>
      <c r="R132" s="136">
        <v>10</v>
      </c>
      <c r="S132" s="136"/>
      <c r="T132" s="136"/>
      <c r="U132" s="136"/>
    </row>
    <row r="133" spans="1:21" ht="18.899999999999999" customHeight="1">
      <c r="A133" s="2">
        <v>3</v>
      </c>
      <c r="B133" s="4" t="s">
        <v>344</v>
      </c>
      <c r="C133" s="4" t="s">
        <v>345</v>
      </c>
      <c r="D133" s="134" t="s">
        <v>46</v>
      </c>
      <c r="E133" s="9">
        <v>3</v>
      </c>
      <c r="F133" s="11" t="s">
        <v>344</v>
      </c>
      <c r="G133" s="11" t="s">
        <v>345</v>
      </c>
      <c r="H133" s="12" t="s">
        <v>46</v>
      </c>
      <c r="I133" s="12" t="s">
        <v>346</v>
      </c>
      <c r="J133" s="11" t="s">
        <v>347</v>
      </c>
      <c r="K133" s="11" t="s">
        <v>25</v>
      </c>
      <c r="L133" s="11" t="s">
        <v>38</v>
      </c>
      <c r="M133" s="11" t="s">
        <v>19</v>
      </c>
      <c r="N133" s="16" t="s">
        <v>348</v>
      </c>
      <c r="O133" s="11" t="s">
        <v>20</v>
      </c>
      <c r="P133" s="10"/>
      <c r="Q133" s="136"/>
      <c r="R133" s="136"/>
      <c r="S133" s="136"/>
      <c r="T133" s="136"/>
      <c r="U133" s="136"/>
    </row>
    <row r="134" spans="1:21" ht="18.899999999999999" customHeight="1">
      <c r="A134" s="2">
        <v>3</v>
      </c>
      <c r="B134" s="4" t="s">
        <v>349</v>
      </c>
      <c r="C134" s="4" t="s">
        <v>350</v>
      </c>
      <c r="D134" s="134" t="s">
        <v>70</v>
      </c>
      <c r="E134" s="9">
        <v>3</v>
      </c>
      <c r="F134" s="11" t="s">
        <v>349</v>
      </c>
      <c r="G134" s="11" t="s">
        <v>350</v>
      </c>
      <c r="H134" s="12" t="s">
        <v>70</v>
      </c>
      <c r="I134" s="12" t="s">
        <v>351</v>
      </c>
      <c r="J134" s="11" t="s">
        <v>347</v>
      </c>
      <c r="K134" s="11" t="s">
        <v>352</v>
      </c>
      <c r="L134" s="11" t="s">
        <v>73</v>
      </c>
      <c r="M134" s="11" t="s">
        <v>19</v>
      </c>
      <c r="N134" s="10"/>
      <c r="O134" s="11" t="s">
        <v>20</v>
      </c>
      <c r="P134" s="10"/>
      <c r="Q134" s="11" t="s">
        <v>74</v>
      </c>
      <c r="R134" s="136">
        <v>10</v>
      </c>
      <c r="S134" s="136"/>
      <c r="T134" s="136"/>
      <c r="U134" s="136"/>
    </row>
    <row r="135" spans="1:21" ht="18.899999999999999" customHeight="1">
      <c r="A135" s="2">
        <v>3</v>
      </c>
      <c r="B135" s="4" t="s">
        <v>349</v>
      </c>
      <c r="C135" s="4" t="s">
        <v>353</v>
      </c>
      <c r="D135" s="134" t="s">
        <v>76</v>
      </c>
      <c r="E135" s="9">
        <v>3</v>
      </c>
      <c r="F135" s="11" t="s">
        <v>349</v>
      </c>
      <c r="G135" s="11" t="s">
        <v>353</v>
      </c>
      <c r="H135" s="12" t="s">
        <v>76</v>
      </c>
      <c r="I135" s="12" t="s">
        <v>351</v>
      </c>
      <c r="J135" s="11" t="s">
        <v>347</v>
      </c>
      <c r="K135" s="11" t="s">
        <v>352</v>
      </c>
      <c r="L135" s="11" t="s">
        <v>73</v>
      </c>
      <c r="M135" s="11" t="s">
        <v>19</v>
      </c>
      <c r="N135" s="10"/>
      <c r="O135" s="11" t="s">
        <v>20</v>
      </c>
      <c r="P135" s="10"/>
      <c r="Q135" s="11" t="s">
        <v>74</v>
      </c>
      <c r="R135" s="136">
        <v>10</v>
      </c>
      <c r="S135" s="136"/>
      <c r="T135" s="136"/>
      <c r="U135" s="136"/>
    </row>
    <row r="136" spans="1:21" ht="18.899999999999999" customHeight="1">
      <c r="A136" s="2">
        <v>1</v>
      </c>
      <c r="B136" s="4" t="s">
        <v>354</v>
      </c>
      <c r="C136" s="4" t="s">
        <v>355</v>
      </c>
      <c r="D136" s="134" t="s">
        <v>36</v>
      </c>
      <c r="E136" s="9">
        <v>1</v>
      </c>
      <c r="F136" s="11" t="s">
        <v>354</v>
      </c>
      <c r="G136" s="11" t="s">
        <v>355</v>
      </c>
      <c r="H136" s="12" t="s">
        <v>36</v>
      </c>
      <c r="I136" s="15" t="s">
        <v>356</v>
      </c>
      <c r="J136" s="11" t="s">
        <v>347</v>
      </c>
      <c r="K136" s="11" t="s">
        <v>25</v>
      </c>
      <c r="L136" s="11" t="s">
        <v>38</v>
      </c>
      <c r="M136" s="11" t="s">
        <v>19</v>
      </c>
      <c r="N136" s="16" t="s">
        <v>348</v>
      </c>
      <c r="O136" s="11" t="s">
        <v>20</v>
      </c>
      <c r="P136" s="10"/>
      <c r="Q136" s="136"/>
      <c r="R136" s="136"/>
      <c r="S136" s="136"/>
      <c r="T136" s="136"/>
      <c r="U136" s="136"/>
    </row>
    <row r="137" spans="1:21" ht="18.899999999999999" customHeight="1">
      <c r="A137" s="2">
        <v>1</v>
      </c>
      <c r="B137" s="4" t="s">
        <v>357</v>
      </c>
      <c r="C137" s="4" t="s">
        <v>358</v>
      </c>
      <c r="D137" s="134" t="s">
        <v>36</v>
      </c>
      <c r="E137" s="9">
        <v>1</v>
      </c>
      <c r="F137" s="11" t="s">
        <v>357</v>
      </c>
      <c r="G137" s="11" t="s">
        <v>358</v>
      </c>
      <c r="H137" s="12" t="s">
        <v>36</v>
      </c>
      <c r="I137" s="15" t="s">
        <v>359</v>
      </c>
      <c r="J137" s="11" t="s">
        <v>347</v>
      </c>
      <c r="K137" s="11" t="s">
        <v>25</v>
      </c>
      <c r="L137" s="11" t="s">
        <v>38</v>
      </c>
      <c r="M137" s="11" t="s">
        <v>19</v>
      </c>
      <c r="N137" s="16" t="s">
        <v>348</v>
      </c>
      <c r="O137" s="11" t="s">
        <v>20</v>
      </c>
      <c r="P137" s="10"/>
      <c r="Q137" s="136"/>
      <c r="R137" s="136"/>
      <c r="S137" s="136"/>
      <c r="T137" s="136"/>
      <c r="U137" s="136"/>
    </row>
    <row r="138" spans="1:21" ht="18.899999999999999" customHeight="1">
      <c r="A138" s="2">
        <v>3</v>
      </c>
      <c r="B138" s="4" t="s">
        <v>360</v>
      </c>
      <c r="C138" s="4" t="s">
        <v>361</v>
      </c>
      <c r="D138" s="134" t="s">
        <v>70</v>
      </c>
      <c r="E138" s="9">
        <v>3</v>
      </c>
      <c r="F138" s="11" t="s">
        <v>360</v>
      </c>
      <c r="G138" s="11" t="s">
        <v>361</v>
      </c>
      <c r="H138" s="12" t="s">
        <v>70</v>
      </c>
      <c r="I138" s="12" t="s">
        <v>362</v>
      </c>
      <c r="J138" s="11" t="s">
        <v>347</v>
      </c>
      <c r="K138" s="11" t="s">
        <v>363</v>
      </c>
      <c r="L138" s="11" t="s">
        <v>73</v>
      </c>
      <c r="M138" s="11" t="s">
        <v>19</v>
      </c>
      <c r="N138" s="10"/>
      <c r="O138" s="11" t="s">
        <v>20</v>
      </c>
      <c r="P138" s="10"/>
      <c r="Q138" s="11" t="s">
        <v>74</v>
      </c>
      <c r="R138" s="136">
        <v>10</v>
      </c>
      <c r="S138" s="136"/>
      <c r="T138" s="136"/>
      <c r="U138" s="136"/>
    </row>
    <row r="139" spans="1:21" ht="18.899999999999999" customHeight="1">
      <c r="A139" s="2">
        <v>3</v>
      </c>
      <c r="B139" s="4" t="s">
        <v>360</v>
      </c>
      <c r="C139" s="4" t="s">
        <v>364</v>
      </c>
      <c r="D139" s="134" t="s">
        <v>76</v>
      </c>
      <c r="E139" s="9">
        <v>3</v>
      </c>
      <c r="F139" s="11" t="s">
        <v>360</v>
      </c>
      <c r="G139" s="11" t="s">
        <v>364</v>
      </c>
      <c r="H139" s="12" t="s">
        <v>76</v>
      </c>
      <c r="I139" s="12" t="s">
        <v>362</v>
      </c>
      <c r="J139" s="11" t="s">
        <v>347</v>
      </c>
      <c r="K139" s="11" t="s">
        <v>363</v>
      </c>
      <c r="L139" s="11" t="s">
        <v>73</v>
      </c>
      <c r="M139" s="11" t="s">
        <v>19</v>
      </c>
      <c r="N139" s="10"/>
      <c r="O139" s="11" t="s">
        <v>20</v>
      </c>
      <c r="P139" s="10"/>
      <c r="Q139" s="11" t="s">
        <v>74</v>
      </c>
      <c r="R139" s="136">
        <v>10</v>
      </c>
      <c r="S139" s="136"/>
      <c r="T139" s="136"/>
      <c r="U139" s="136"/>
    </row>
    <row r="140" spans="1:21" ht="18.899999999999999" customHeight="1">
      <c r="A140" s="2">
        <v>3</v>
      </c>
      <c r="B140" s="4" t="s">
        <v>365</v>
      </c>
      <c r="C140" s="4" t="s">
        <v>366</v>
      </c>
      <c r="D140" s="134" t="s">
        <v>70</v>
      </c>
      <c r="E140" s="9">
        <v>3</v>
      </c>
      <c r="F140" s="11" t="s">
        <v>365</v>
      </c>
      <c r="G140" s="11" t="s">
        <v>366</v>
      </c>
      <c r="H140" s="12" t="s">
        <v>70</v>
      </c>
      <c r="I140" s="12" t="s">
        <v>367</v>
      </c>
      <c r="J140" s="11" t="s">
        <v>347</v>
      </c>
      <c r="K140" s="11" t="s">
        <v>363</v>
      </c>
      <c r="L140" s="11" t="s">
        <v>73</v>
      </c>
      <c r="M140" s="11" t="s">
        <v>19</v>
      </c>
      <c r="N140" s="10"/>
      <c r="O140" s="11" t="s">
        <v>20</v>
      </c>
      <c r="P140" s="10"/>
      <c r="Q140" s="11" t="s">
        <v>74</v>
      </c>
      <c r="R140" s="136">
        <v>10</v>
      </c>
      <c r="S140" s="136"/>
      <c r="T140" s="136"/>
      <c r="U140" s="136"/>
    </row>
    <row r="141" spans="1:21" ht="18.899999999999999" customHeight="1">
      <c r="A141" s="2">
        <v>3</v>
      </c>
      <c r="B141" s="4" t="s">
        <v>365</v>
      </c>
      <c r="C141" s="4" t="s">
        <v>368</v>
      </c>
      <c r="D141" s="134" t="s">
        <v>76</v>
      </c>
      <c r="E141" s="9">
        <v>3</v>
      </c>
      <c r="F141" s="11" t="s">
        <v>365</v>
      </c>
      <c r="G141" s="11" t="s">
        <v>368</v>
      </c>
      <c r="H141" s="12" t="s">
        <v>76</v>
      </c>
      <c r="I141" s="12" t="s">
        <v>367</v>
      </c>
      <c r="J141" s="11" t="s">
        <v>347</v>
      </c>
      <c r="K141" s="11" t="s">
        <v>363</v>
      </c>
      <c r="L141" s="11" t="s">
        <v>73</v>
      </c>
      <c r="M141" s="11" t="s">
        <v>19</v>
      </c>
      <c r="N141" s="10"/>
      <c r="O141" s="11" t="s">
        <v>20</v>
      </c>
      <c r="P141" s="10"/>
      <c r="Q141" s="11" t="s">
        <v>74</v>
      </c>
      <c r="R141" s="136">
        <v>10</v>
      </c>
      <c r="S141" s="136"/>
      <c r="T141" s="136"/>
      <c r="U141" s="136"/>
    </row>
    <row r="142" spans="1:21" ht="18.899999999999999" customHeight="1">
      <c r="A142" s="2">
        <v>1</v>
      </c>
      <c r="B142" s="4" t="s">
        <v>369</v>
      </c>
      <c r="C142" s="4" t="s">
        <v>370</v>
      </c>
      <c r="D142" s="134" t="s">
        <v>36</v>
      </c>
      <c r="E142" s="9">
        <v>1</v>
      </c>
      <c r="F142" s="11" t="s">
        <v>369</v>
      </c>
      <c r="G142" s="11" t="s">
        <v>370</v>
      </c>
      <c r="H142" s="12" t="s">
        <v>36</v>
      </c>
      <c r="I142" s="12" t="s">
        <v>371</v>
      </c>
      <c r="J142" s="11" t="s">
        <v>372</v>
      </c>
      <c r="K142" s="11" t="s">
        <v>25</v>
      </c>
      <c r="L142" s="11" t="s">
        <v>38</v>
      </c>
      <c r="M142" s="11" t="s">
        <v>19</v>
      </c>
      <c r="N142" s="16" t="s">
        <v>373</v>
      </c>
      <c r="O142" s="11" t="s">
        <v>20</v>
      </c>
      <c r="P142" s="10"/>
      <c r="Q142" s="136"/>
      <c r="R142" s="136"/>
      <c r="S142" s="136"/>
      <c r="T142" s="136"/>
      <c r="U142" s="136"/>
    </row>
    <row r="143" spans="1:21" ht="18.899999999999999" customHeight="1">
      <c r="A143" s="2">
        <v>1</v>
      </c>
      <c r="B143" s="4" t="s">
        <v>374</v>
      </c>
      <c r="C143" s="4" t="s">
        <v>375</v>
      </c>
      <c r="D143" s="134" t="s">
        <v>46</v>
      </c>
      <c r="E143" s="9">
        <v>1</v>
      </c>
      <c r="F143" s="11" t="s">
        <v>374</v>
      </c>
      <c r="G143" s="11" t="s">
        <v>375</v>
      </c>
      <c r="H143" s="12" t="s">
        <v>46</v>
      </c>
      <c r="I143" s="12" t="s">
        <v>376</v>
      </c>
      <c r="J143" s="11" t="s">
        <v>372</v>
      </c>
      <c r="K143" s="11" t="s">
        <v>25</v>
      </c>
      <c r="L143" s="11" t="s">
        <v>38</v>
      </c>
      <c r="M143" s="11" t="s">
        <v>19</v>
      </c>
      <c r="N143" s="16" t="s">
        <v>373</v>
      </c>
      <c r="O143" s="11" t="s">
        <v>20</v>
      </c>
      <c r="P143" s="10"/>
      <c r="Q143" s="136"/>
      <c r="R143" s="136"/>
      <c r="S143" s="136"/>
      <c r="T143" s="136"/>
      <c r="U143" s="136"/>
    </row>
    <row r="144" spans="1:21" ht="18.899999999999999" customHeight="1">
      <c r="A144" s="2">
        <v>1</v>
      </c>
      <c r="B144" s="4" t="s">
        <v>377</v>
      </c>
      <c r="C144" s="4" t="s">
        <v>378</v>
      </c>
      <c r="D144" s="134" t="s">
        <v>36</v>
      </c>
      <c r="E144" s="9">
        <v>1</v>
      </c>
      <c r="F144" s="11" t="s">
        <v>377</v>
      </c>
      <c r="G144" s="11" t="s">
        <v>378</v>
      </c>
      <c r="H144" s="12" t="s">
        <v>36</v>
      </c>
      <c r="I144" s="15" t="s">
        <v>379</v>
      </c>
      <c r="J144" s="11" t="s">
        <v>372</v>
      </c>
      <c r="K144" s="11" t="s">
        <v>25</v>
      </c>
      <c r="L144" s="11" t="s">
        <v>38</v>
      </c>
      <c r="M144" s="11" t="s">
        <v>19</v>
      </c>
      <c r="N144" s="16" t="s">
        <v>373</v>
      </c>
      <c r="O144" s="11" t="s">
        <v>20</v>
      </c>
      <c r="P144" s="10"/>
      <c r="Q144" s="136"/>
      <c r="R144" s="136"/>
      <c r="S144" s="136"/>
      <c r="T144" s="136"/>
      <c r="U144" s="136"/>
    </row>
    <row r="145" spans="1:21" ht="18.899999999999999" customHeight="1">
      <c r="A145" s="2">
        <v>1</v>
      </c>
      <c r="B145" s="4" t="s">
        <v>380</v>
      </c>
      <c r="C145" s="4" t="s">
        <v>381</v>
      </c>
      <c r="D145" s="134" t="s">
        <v>36</v>
      </c>
      <c r="E145" s="9">
        <v>1</v>
      </c>
      <c r="F145" s="11" t="s">
        <v>380</v>
      </c>
      <c r="G145" s="11" t="s">
        <v>381</v>
      </c>
      <c r="H145" s="12" t="s">
        <v>36</v>
      </c>
      <c r="I145" s="15" t="s">
        <v>382</v>
      </c>
      <c r="J145" s="11" t="s">
        <v>372</v>
      </c>
      <c r="K145" s="11" t="s">
        <v>25</v>
      </c>
      <c r="L145" s="11" t="s">
        <v>38</v>
      </c>
      <c r="M145" s="11" t="s">
        <v>19</v>
      </c>
      <c r="N145" s="16" t="s">
        <v>373</v>
      </c>
      <c r="O145" s="11" t="s">
        <v>20</v>
      </c>
      <c r="P145" s="10"/>
      <c r="Q145" s="136"/>
      <c r="R145" s="136"/>
      <c r="S145" s="136"/>
      <c r="T145" s="136"/>
      <c r="U145" s="136"/>
    </row>
    <row r="146" spans="1:21" ht="18.899999999999999" customHeight="1">
      <c r="A146" s="2">
        <v>3</v>
      </c>
      <c r="B146" s="4" t="s">
        <v>383</v>
      </c>
      <c r="C146" s="4" t="s">
        <v>384</v>
      </c>
      <c r="D146" s="134" t="s">
        <v>70</v>
      </c>
      <c r="E146" s="9">
        <v>3</v>
      </c>
      <c r="F146" s="11" t="s">
        <v>383</v>
      </c>
      <c r="G146" s="11" t="s">
        <v>384</v>
      </c>
      <c r="H146" s="12" t="s">
        <v>70</v>
      </c>
      <c r="I146" s="12" t="s">
        <v>385</v>
      </c>
      <c r="J146" s="11" t="s">
        <v>372</v>
      </c>
      <c r="K146" s="11" t="s">
        <v>386</v>
      </c>
      <c r="L146" s="11" t="s">
        <v>73</v>
      </c>
      <c r="M146" s="11" t="s">
        <v>19</v>
      </c>
      <c r="N146" s="10"/>
      <c r="O146" s="11" t="s">
        <v>20</v>
      </c>
      <c r="P146" s="10"/>
      <c r="Q146" s="11" t="s">
        <v>74</v>
      </c>
      <c r="R146" s="136">
        <v>10</v>
      </c>
      <c r="S146" s="136"/>
      <c r="T146" s="136"/>
      <c r="U146" s="136"/>
    </row>
    <row r="147" spans="1:21" ht="18.899999999999999" customHeight="1">
      <c r="A147" s="2">
        <v>3</v>
      </c>
      <c r="B147" s="4" t="s">
        <v>383</v>
      </c>
      <c r="C147" s="4" t="s">
        <v>387</v>
      </c>
      <c r="D147" s="134" t="s">
        <v>76</v>
      </c>
      <c r="E147" s="9">
        <v>3</v>
      </c>
      <c r="F147" s="11" t="s">
        <v>383</v>
      </c>
      <c r="G147" s="11" t="s">
        <v>387</v>
      </c>
      <c r="H147" s="12" t="s">
        <v>76</v>
      </c>
      <c r="I147" s="12" t="s">
        <v>385</v>
      </c>
      <c r="J147" s="11" t="s">
        <v>372</v>
      </c>
      <c r="K147" s="11" t="s">
        <v>386</v>
      </c>
      <c r="L147" s="11" t="s">
        <v>73</v>
      </c>
      <c r="M147" s="11" t="s">
        <v>19</v>
      </c>
      <c r="N147" s="10"/>
      <c r="O147" s="11" t="s">
        <v>20</v>
      </c>
      <c r="P147" s="10"/>
      <c r="Q147" s="11" t="s">
        <v>74</v>
      </c>
      <c r="R147" s="136">
        <v>10</v>
      </c>
      <c r="S147" s="136"/>
      <c r="T147" s="136"/>
      <c r="U147" s="136"/>
    </row>
    <row r="148" spans="1:21" ht="18.899999999999999" customHeight="1">
      <c r="A148" s="2">
        <v>3</v>
      </c>
      <c r="B148" s="4" t="s">
        <v>388</v>
      </c>
      <c r="C148" s="4" t="s">
        <v>389</v>
      </c>
      <c r="D148" s="134" t="s">
        <v>70</v>
      </c>
      <c r="E148" s="9">
        <v>3</v>
      </c>
      <c r="F148" s="11" t="s">
        <v>388</v>
      </c>
      <c r="G148" s="11" t="s">
        <v>389</v>
      </c>
      <c r="H148" s="12" t="s">
        <v>70</v>
      </c>
      <c r="I148" s="12" t="s">
        <v>390</v>
      </c>
      <c r="J148" s="11" t="s">
        <v>372</v>
      </c>
      <c r="K148" s="11" t="s">
        <v>386</v>
      </c>
      <c r="L148" s="11" t="s">
        <v>73</v>
      </c>
      <c r="M148" s="11" t="s">
        <v>19</v>
      </c>
      <c r="N148" s="10"/>
      <c r="O148" s="11" t="s">
        <v>20</v>
      </c>
      <c r="P148" s="10"/>
      <c r="Q148" s="11" t="s">
        <v>74</v>
      </c>
      <c r="R148" s="136">
        <v>10</v>
      </c>
      <c r="S148" s="136"/>
      <c r="T148" s="136"/>
      <c r="U148" s="136"/>
    </row>
    <row r="149" spans="1:21" ht="18.899999999999999" customHeight="1">
      <c r="A149" s="2">
        <v>3</v>
      </c>
      <c r="B149" s="4" t="s">
        <v>388</v>
      </c>
      <c r="C149" s="4" t="s">
        <v>391</v>
      </c>
      <c r="D149" s="134" t="s">
        <v>76</v>
      </c>
      <c r="E149" s="9">
        <v>3</v>
      </c>
      <c r="F149" s="11" t="s">
        <v>388</v>
      </c>
      <c r="G149" s="11" t="s">
        <v>391</v>
      </c>
      <c r="H149" s="12" t="s">
        <v>76</v>
      </c>
      <c r="I149" s="12" t="s">
        <v>390</v>
      </c>
      <c r="J149" s="11" t="s">
        <v>372</v>
      </c>
      <c r="K149" s="11" t="s">
        <v>386</v>
      </c>
      <c r="L149" s="11" t="s">
        <v>73</v>
      </c>
      <c r="M149" s="11" t="s">
        <v>19</v>
      </c>
      <c r="N149" s="10"/>
      <c r="O149" s="11" t="s">
        <v>20</v>
      </c>
      <c r="P149" s="10"/>
      <c r="Q149" s="11" t="s">
        <v>74</v>
      </c>
      <c r="R149" s="136">
        <v>10</v>
      </c>
      <c r="S149" s="136"/>
      <c r="T149" s="136"/>
      <c r="U149" s="136"/>
    </row>
    <row r="150" spans="1:21" ht="18.899999999999999" customHeight="1">
      <c r="A150" s="2">
        <v>1</v>
      </c>
      <c r="B150" s="4" t="s">
        <v>392</v>
      </c>
      <c r="C150" s="4" t="s">
        <v>393</v>
      </c>
      <c r="D150" s="134" t="s">
        <v>36</v>
      </c>
      <c r="E150" s="9">
        <v>1</v>
      </c>
      <c r="F150" s="11" t="s">
        <v>392</v>
      </c>
      <c r="G150" s="11" t="s">
        <v>393</v>
      </c>
      <c r="H150" s="12" t="s">
        <v>36</v>
      </c>
      <c r="I150" s="12" t="s">
        <v>394</v>
      </c>
      <c r="J150" s="11" t="s">
        <v>395</v>
      </c>
      <c r="K150" s="11" t="s">
        <v>25</v>
      </c>
      <c r="L150" s="11" t="s">
        <v>38</v>
      </c>
      <c r="M150" s="11" t="s">
        <v>19</v>
      </c>
      <c r="N150" s="10"/>
      <c r="O150" s="11" t="s">
        <v>20</v>
      </c>
      <c r="P150" s="10"/>
      <c r="Q150" s="136"/>
      <c r="R150" s="136"/>
      <c r="S150" s="136"/>
      <c r="T150" s="136"/>
      <c r="U150" s="136"/>
    </row>
    <row r="151" spans="1:21" ht="18.899999999999999" customHeight="1">
      <c r="A151" s="2">
        <v>1</v>
      </c>
      <c r="B151" s="4" t="s">
        <v>396</v>
      </c>
      <c r="C151" s="4" t="s">
        <v>397</v>
      </c>
      <c r="D151" s="134" t="s">
        <v>46</v>
      </c>
      <c r="E151" s="9">
        <v>1</v>
      </c>
      <c r="F151" s="11" t="s">
        <v>396</v>
      </c>
      <c r="G151" s="11" t="s">
        <v>397</v>
      </c>
      <c r="H151" s="12" t="s">
        <v>46</v>
      </c>
      <c r="I151" s="12" t="s">
        <v>398</v>
      </c>
      <c r="J151" s="11" t="s">
        <v>399</v>
      </c>
      <c r="K151" s="11" t="s">
        <v>25</v>
      </c>
      <c r="L151" s="11" t="s">
        <v>38</v>
      </c>
      <c r="M151" s="11" t="s">
        <v>19</v>
      </c>
      <c r="N151" s="16" t="s">
        <v>400</v>
      </c>
      <c r="O151" s="11" t="s">
        <v>20</v>
      </c>
      <c r="P151" s="10"/>
      <c r="Q151" s="136"/>
      <c r="R151" s="136"/>
      <c r="S151" s="136"/>
      <c r="T151" s="136"/>
      <c r="U151" s="136"/>
    </row>
    <row r="152" spans="1:21" ht="18.899999999999999" customHeight="1">
      <c r="A152" s="2">
        <v>2</v>
      </c>
      <c r="B152" s="4" t="s">
        <v>401</v>
      </c>
      <c r="C152" s="4" t="s">
        <v>402</v>
      </c>
      <c r="D152" s="134" t="s">
        <v>70</v>
      </c>
      <c r="E152" s="9">
        <v>2</v>
      </c>
      <c r="F152" s="11" t="s">
        <v>401</v>
      </c>
      <c r="G152" s="11" t="s">
        <v>402</v>
      </c>
      <c r="H152" s="12" t="s">
        <v>70</v>
      </c>
      <c r="I152" s="12" t="s">
        <v>403</v>
      </c>
      <c r="J152" s="11" t="s">
        <v>399</v>
      </c>
      <c r="K152" s="11" t="s">
        <v>404</v>
      </c>
      <c r="L152" s="11" t="s">
        <v>73</v>
      </c>
      <c r="M152" s="11" t="s">
        <v>19</v>
      </c>
      <c r="N152" s="16" t="s">
        <v>400</v>
      </c>
      <c r="O152" s="11" t="s">
        <v>20</v>
      </c>
      <c r="P152" s="10"/>
      <c r="Q152" s="11" t="s">
        <v>74</v>
      </c>
      <c r="R152" s="136">
        <v>10</v>
      </c>
      <c r="S152" s="136"/>
      <c r="T152" s="136"/>
      <c r="U152" s="136"/>
    </row>
    <row r="153" spans="1:21" ht="18.899999999999999" customHeight="1">
      <c r="A153" s="2">
        <v>2</v>
      </c>
      <c r="B153" s="4" t="s">
        <v>401</v>
      </c>
      <c r="C153" s="4" t="s">
        <v>405</v>
      </c>
      <c r="D153" s="134" t="s">
        <v>76</v>
      </c>
      <c r="E153" s="9">
        <v>2</v>
      </c>
      <c r="F153" s="11" t="s">
        <v>401</v>
      </c>
      <c r="G153" s="11" t="s">
        <v>405</v>
      </c>
      <c r="H153" s="12" t="s">
        <v>76</v>
      </c>
      <c r="I153" s="12" t="s">
        <v>403</v>
      </c>
      <c r="J153" s="11" t="s">
        <v>399</v>
      </c>
      <c r="K153" s="11" t="s">
        <v>404</v>
      </c>
      <c r="L153" s="11" t="s">
        <v>73</v>
      </c>
      <c r="M153" s="11" t="s">
        <v>19</v>
      </c>
      <c r="N153" s="16" t="s">
        <v>400</v>
      </c>
      <c r="O153" s="11" t="s">
        <v>20</v>
      </c>
      <c r="P153" s="10"/>
      <c r="Q153" s="11" t="s">
        <v>74</v>
      </c>
      <c r="R153" s="136">
        <v>10</v>
      </c>
      <c r="S153" s="136"/>
      <c r="T153" s="136"/>
      <c r="U153" s="136"/>
    </row>
    <row r="154" spans="1:21" ht="18.899999999999999" customHeight="1">
      <c r="A154" s="2">
        <v>1</v>
      </c>
      <c r="B154" s="4" t="s">
        <v>406</v>
      </c>
      <c r="C154" s="4" t="s">
        <v>407</v>
      </c>
      <c r="D154" s="134" t="s">
        <v>36</v>
      </c>
      <c r="E154" s="9">
        <v>1</v>
      </c>
      <c r="F154" s="11" t="s">
        <v>406</v>
      </c>
      <c r="G154" s="11" t="s">
        <v>407</v>
      </c>
      <c r="H154" s="12" t="s">
        <v>36</v>
      </c>
      <c r="I154" s="12" t="s">
        <v>408</v>
      </c>
      <c r="J154" s="11" t="s">
        <v>399</v>
      </c>
      <c r="K154" s="11" t="s">
        <v>25</v>
      </c>
      <c r="L154" s="11" t="s">
        <v>38</v>
      </c>
      <c r="M154" s="11" t="s">
        <v>19</v>
      </c>
      <c r="N154" s="16" t="s">
        <v>400</v>
      </c>
      <c r="O154" s="11" t="s">
        <v>20</v>
      </c>
      <c r="P154" s="10"/>
      <c r="Q154" s="136"/>
      <c r="R154" s="136"/>
      <c r="S154" s="136"/>
      <c r="T154" s="136"/>
      <c r="U154" s="136"/>
    </row>
    <row r="155" spans="1:21" ht="18.899999999999999" customHeight="1">
      <c r="A155" s="2">
        <v>1</v>
      </c>
      <c r="B155" s="4" t="s">
        <v>409</v>
      </c>
      <c r="C155" s="4" t="s">
        <v>410</v>
      </c>
      <c r="D155" s="134" t="s">
        <v>36</v>
      </c>
      <c r="E155" s="9">
        <v>1</v>
      </c>
      <c r="F155" s="11" t="s">
        <v>409</v>
      </c>
      <c r="G155" s="11" t="s">
        <v>410</v>
      </c>
      <c r="H155" s="12" t="s">
        <v>36</v>
      </c>
      <c r="I155" s="12" t="s">
        <v>411</v>
      </c>
      <c r="J155" s="11" t="s">
        <v>399</v>
      </c>
      <c r="K155" s="11" t="s">
        <v>25</v>
      </c>
      <c r="L155" s="11" t="s">
        <v>38</v>
      </c>
      <c r="M155" s="11" t="s">
        <v>19</v>
      </c>
      <c r="N155" s="16" t="s">
        <v>400</v>
      </c>
      <c r="O155" s="11" t="s">
        <v>20</v>
      </c>
      <c r="P155" s="10"/>
      <c r="Q155" s="136"/>
      <c r="R155" s="136"/>
      <c r="S155" s="136"/>
      <c r="T155" s="136"/>
      <c r="U155" s="136"/>
    </row>
    <row r="156" spans="1:21" ht="18.899999999999999" customHeight="1">
      <c r="A156" s="2">
        <v>3</v>
      </c>
      <c r="B156" s="4" t="s">
        <v>412</v>
      </c>
      <c r="C156" s="4" t="s">
        <v>413</v>
      </c>
      <c r="D156" s="134" t="s">
        <v>70</v>
      </c>
      <c r="E156" s="9">
        <v>3</v>
      </c>
      <c r="F156" s="11" t="s">
        <v>412</v>
      </c>
      <c r="G156" s="11" t="s">
        <v>413</v>
      </c>
      <c r="H156" s="12" t="s">
        <v>70</v>
      </c>
      <c r="I156" s="12" t="s">
        <v>414</v>
      </c>
      <c r="J156" s="11" t="s">
        <v>399</v>
      </c>
      <c r="K156" s="11" t="s">
        <v>404</v>
      </c>
      <c r="L156" s="11" t="s">
        <v>73</v>
      </c>
      <c r="M156" s="11" t="s">
        <v>19</v>
      </c>
      <c r="N156" s="10"/>
      <c r="O156" s="11" t="s">
        <v>20</v>
      </c>
      <c r="P156" s="10"/>
      <c r="Q156" s="11" t="s">
        <v>74</v>
      </c>
      <c r="R156" s="136">
        <v>10</v>
      </c>
      <c r="S156" s="136"/>
      <c r="T156" s="136"/>
      <c r="U156" s="136"/>
    </row>
    <row r="157" spans="1:21" ht="18.899999999999999" customHeight="1">
      <c r="A157" s="2">
        <v>3</v>
      </c>
      <c r="B157" s="4" t="s">
        <v>412</v>
      </c>
      <c r="C157" s="4" t="s">
        <v>415</v>
      </c>
      <c r="D157" s="134" t="s">
        <v>76</v>
      </c>
      <c r="E157" s="9">
        <v>3</v>
      </c>
      <c r="F157" s="11" t="s">
        <v>412</v>
      </c>
      <c r="G157" s="11" t="s">
        <v>415</v>
      </c>
      <c r="H157" s="12" t="s">
        <v>76</v>
      </c>
      <c r="I157" s="12" t="s">
        <v>414</v>
      </c>
      <c r="J157" s="11" t="s">
        <v>399</v>
      </c>
      <c r="K157" s="11" t="s">
        <v>404</v>
      </c>
      <c r="L157" s="11" t="s">
        <v>73</v>
      </c>
      <c r="M157" s="11" t="s">
        <v>19</v>
      </c>
      <c r="N157" s="10"/>
      <c r="O157" s="11" t="s">
        <v>20</v>
      </c>
      <c r="P157" s="10"/>
      <c r="Q157" s="11" t="s">
        <v>74</v>
      </c>
      <c r="R157" s="136">
        <v>10</v>
      </c>
      <c r="S157" s="136"/>
      <c r="T157" s="136"/>
      <c r="U157" s="136"/>
    </row>
    <row r="158" spans="1:21" ht="18.899999999999999" customHeight="1">
      <c r="A158" s="2">
        <v>3</v>
      </c>
      <c r="B158" s="4" t="s">
        <v>416</v>
      </c>
      <c r="C158" s="4" t="s">
        <v>417</v>
      </c>
      <c r="D158" s="134" t="s">
        <v>70</v>
      </c>
      <c r="E158" s="9">
        <v>3</v>
      </c>
      <c r="F158" s="11" t="s">
        <v>416</v>
      </c>
      <c r="G158" s="11" t="s">
        <v>417</v>
      </c>
      <c r="H158" s="12" t="s">
        <v>70</v>
      </c>
      <c r="I158" s="12" t="s">
        <v>418</v>
      </c>
      <c r="J158" s="11" t="s">
        <v>399</v>
      </c>
      <c r="K158" s="11" t="s">
        <v>404</v>
      </c>
      <c r="L158" s="11" t="s">
        <v>73</v>
      </c>
      <c r="M158" s="11" t="s">
        <v>19</v>
      </c>
      <c r="N158" s="10"/>
      <c r="O158" s="11" t="s">
        <v>20</v>
      </c>
      <c r="P158" s="10"/>
      <c r="Q158" s="11" t="s">
        <v>74</v>
      </c>
      <c r="R158" s="136">
        <v>10</v>
      </c>
      <c r="S158" s="136"/>
      <c r="T158" s="136"/>
      <c r="U158" s="136"/>
    </row>
    <row r="159" spans="1:21" ht="18.899999999999999" customHeight="1">
      <c r="A159" s="2">
        <v>3</v>
      </c>
      <c r="B159" s="4" t="s">
        <v>416</v>
      </c>
      <c r="C159" s="4" t="s">
        <v>419</v>
      </c>
      <c r="D159" s="134" t="s">
        <v>76</v>
      </c>
      <c r="E159" s="9">
        <v>3</v>
      </c>
      <c r="F159" s="11" t="s">
        <v>416</v>
      </c>
      <c r="G159" s="11" t="s">
        <v>419</v>
      </c>
      <c r="H159" s="12" t="s">
        <v>76</v>
      </c>
      <c r="I159" s="12" t="s">
        <v>418</v>
      </c>
      <c r="J159" s="11" t="s">
        <v>399</v>
      </c>
      <c r="K159" s="11" t="s">
        <v>404</v>
      </c>
      <c r="L159" s="11" t="s">
        <v>73</v>
      </c>
      <c r="M159" s="11" t="s">
        <v>19</v>
      </c>
      <c r="N159" s="10"/>
      <c r="O159" s="11" t="s">
        <v>20</v>
      </c>
      <c r="P159" s="10"/>
      <c r="Q159" s="11" t="s">
        <v>74</v>
      </c>
      <c r="R159" s="136">
        <v>10</v>
      </c>
      <c r="S159" s="136"/>
      <c r="T159" s="136"/>
      <c r="U159" s="136"/>
    </row>
    <row r="160" spans="1:21" ht="18.899999999999999" customHeight="1">
      <c r="A160" s="2">
        <v>1</v>
      </c>
      <c r="B160" s="4" t="s">
        <v>420</v>
      </c>
      <c r="C160" s="4" t="s">
        <v>421</v>
      </c>
      <c r="D160" s="125" t="s">
        <v>255</v>
      </c>
      <c r="E160" s="9">
        <v>1</v>
      </c>
      <c r="F160" s="11" t="s">
        <v>420</v>
      </c>
      <c r="G160" s="11" t="s">
        <v>421</v>
      </c>
      <c r="H160" s="15" t="s">
        <v>255</v>
      </c>
      <c r="I160" s="12" t="s">
        <v>422</v>
      </c>
      <c r="J160" s="11" t="s">
        <v>423</v>
      </c>
      <c r="K160" s="11" t="s">
        <v>25</v>
      </c>
      <c r="L160" s="11" t="s">
        <v>38</v>
      </c>
      <c r="M160" s="11" t="s">
        <v>19</v>
      </c>
      <c r="N160" s="10"/>
      <c r="O160" s="11" t="s">
        <v>20</v>
      </c>
      <c r="P160" s="10"/>
      <c r="Q160" s="136"/>
      <c r="R160" s="136"/>
      <c r="S160" s="136"/>
      <c r="T160" s="136"/>
      <c r="U160" s="136"/>
    </row>
    <row r="161" spans="1:21" ht="18.899999999999999" customHeight="1">
      <c r="A161" s="2">
        <v>1</v>
      </c>
      <c r="B161" s="4" t="s">
        <v>420</v>
      </c>
      <c r="C161" s="4" t="s">
        <v>424</v>
      </c>
      <c r="D161" s="134" t="s">
        <v>259</v>
      </c>
      <c r="E161" s="9">
        <v>1</v>
      </c>
      <c r="F161" s="11" t="s">
        <v>420</v>
      </c>
      <c r="G161" s="11" t="s">
        <v>424</v>
      </c>
      <c r="H161" s="12" t="s">
        <v>259</v>
      </c>
      <c r="I161" s="12" t="s">
        <v>425</v>
      </c>
      <c r="J161" s="11" t="s">
        <v>423</v>
      </c>
      <c r="K161" s="11" t="s">
        <v>25</v>
      </c>
      <c r="L161" s="11" t="s">
        <v>261</v>
      </c>
      <c r="M161" s="11" t="s">
        <v>19</v>
      </c>
      <c r="N161" s="10"/>
      <c r="O161" s="11" t="s">
        <v>20</v>
      </c>
      <c r="P161" s="10"/>
      <c r="Q161" s="11" t="s">
        <v>262</v>
      </c>
      <c r="R161" s="136">
        <v>10</v>
      </c>
      <c r="S161" s="136"/>
      <c r="T161" s="136"/>
      <c r="U161" s="136"/>
    </row>
    <row r="162" spans="1:21" ht="18.899999999999999" customHeight="1">
      <c r="A162" s="2">
        <v>3</v>
      </c>
      <c r="B162" s="4" t="s">
        <v>426</v>
      </c>
      <c r="C162" s="4" t="s">
        <v>427</v>
      </c>
      <c r="D162" s="134" t="s">
        <v>70</v>
      </c>
      <c r="E162" s="9">
        <v>3</v>
      </c>
      <c r="F162" s="11" t="s">
        <v>426</v>
      </c>
      <c r="G162" s="11" t="s">
        <v>427</v>
      </c>
      <c r="H162" s="12" t="s">
        <v>70</v>
      </c>
      <c r="I162" s="12" t="s">
        <v>428</v>
      </c>
      <c r="J162" s="11" t="s">
        <v>423</v>
      </c>
      <c r="K162" s="11" t="s">
        <v>272</v>
      </c>
      <c r="L162" s="11" t="s">
        <v>73</v>
      </c>
      <c r="M162" s="11" t="s">
        <v>19</v>
      </c>
      <c r="N162" s="10"/>
      <c r="O162" s="11" t="s">
        <v>20</v>
      </c>
      <c r="P162" s="10"/>
      <c r="Q162" s="11" t="s">
        <v>74</v>
      </c>
      <c r="R162" s="136">
        <v>10</v>
      </c>
      <c r="S162" s="136"/>
      <c r="T162" s="136"/>
      <c r="U162" s="136"/>
    </row>
    <row r="163" spans="1:21" ht="18.899999999999999" customHeight="1">
      <c r="A163" s="2">
        <v>3</v>
      </c>
      <c r="B163" s="4" t="s">
        <v>426</v>
      </c>
      <c r="C163" s="4" t="s">
        <v>429</v>
      </c>
      <c r="D163" s="134" t="s">
        <v>76</v>
      </c>
      <c r="E163" s="9">
        <v>3</v>
      </c>
      <c r="F163" s="11" t="s">
        <v>426</v>
      </c>
      <c r="G163" s="11" t="s">
        <v>429</v>
      </c>
      <c r="H163" s="12" t="s">
        <v>76</v>
      </c>
      <c r="I163" s="12" t="s">
        <v>428</v>
      </c>
      <c r="J163" s="11" t="s">
        <v>423</v>
      </c>
      <c r="K163" s="11" t="s">
        <v>272</v>
      </c>
      <c r="L163" s="11" t="s">
        <v>73</v>
      </c>
      <c r="M163" s="11" t="s">
        <v>19</v>
      </c>
      <c r="N163" s="10"/>
      <c r="O163" s="11" t="s">
        <v>20</v>
      </c>
      <c r="P163" s="10"/>
      <c r="Q163" s="11" t="s">
        <v>74</v>
      </c>
      <c r="R163" s="136">
        <v>10</v>
      </c>
      <c r="S163" s="136"/>
      <c r="T163" s="136"/>
      <c r="U163" s="136"/>
    </row>
    <row r="164" spans="1:21" ht="18.899999999999999" customHeight="1">
      <c r="A164" s="2">
        <v>3</v>
      </c>
      <c r="B164" s="4" t="s">
        <v>430</v>
      </c>
      <c r="C164" s="4" t="s">
        <v>431</v>
      </c>
      <c r="D164" s="134" t="s">
        <v>70</v>
      </c>
      <c r="E164" s="9">
        <v>3</v>
      </c>
      <c r="F164" s="11" t="s">
        <v>430</v>
      </c>
      <c r="G164" s="11" t="s">
        <v>431</v>
      </c>
      <c r="H164" s="12" t="s">
        <v>70</v>
      </c>
      <c r="I164" s="12" t="s">
        <v>432</v>
      </c>
      <c r="J164" s="11" t="s">
        <v>423</v>
      </c>
      <c r="K164" s="11" t="s">
        <v>272</v>
      </c>
      <c r="L164" s="11" t="s">
        <v>73</v>
      </c>
      <c r="M164" s="11" t="s">
        <v>19</v>
      </c>
      <c r="N164" s="10"/>
      <c r="O164" s="11" t="s">
        <v>20</v>
      </c>
      <c r="P164" s="10"/>
      <c r="Q164" s="11" t="s">
        <v>74</v>
      </c>
      <c r="R164" s="136">
        <v>10</v>
      </c>
      <c r="S164" s="136"/>
      <c r="T164" s="136"/>
      <c r="U164" s="136"/>
    </row>
    <row r="165" spans="1:21" ht="18.899999999999999" customHeight="1">
      <c r="A165" s="2">
        <v>3</v>
      </c>
      <c r="B165" s="4" t="s">
        <v>430</v>
      </c>
      <c r="C165" s="4" t="s">
        <v>433</v>
      </c>
      <c r="D165" s="134" t="s">
        <v>76</v>
      </c>
      <c r="E165" s="9">
        <v>3</v>
      </c>
      <c r="F165" s="11" t="s">
        <v>430</v>
      </c>
      <c r="G165" s="11" t="s">
        <v>433</v>
      </c>
      <c r="H165" s="12" t="s">
        <v>76</v>
      </c>
      <c r="I165" s="12" t="s">
        <v>432</v>
      </c>
      <c r="J165" s="11" t="s">
        <v>423</v>
      </c>
      <c r="K165" s="11" t="s">
        <v>272</v>
      </c>
      <c r="L165" s="11" t="s">
        <v>73</v>
      </c>
      <c r="M165" s="11" t="s">
        <v>19</v>
      </c>
      <c r="N165" s="10"/>
      <c r="O165" s="11" t="s">
        <v>20</v>
      </c>
      <c r="P165" s="10"/>
      <c r="Q165" s="11" t="s">
        <v>74</v>
      </c>
      <c r="R165" s="136">
        <v>10</v>
      </c>
      <c r="S165" s="136"/>
      <c r="T165" s="136"/>
      <c r="U165" s="136"/>
    </row>
    <row r="166" spans="1:21" ht="18.899999999999999" customHeight="1">
      <c r="A166" s="2">
        <v>1</v>
      </c>
      <c r="B166" s="4" t="s">
        <v>434</v>
      </c>
      <c r="C166" s="4" t="s">
        <v>435</v>
      </c>
      <c r="D166" s="134" t="s">
        <v>36</v>
      </c>
      <c r="E166" s="143">
        <v>1</v>
      </c>
      <c r="F166" s="138" t="s">
        <v>1880</v>
      </c>
      <c r="G166" s="138" t="s">
        <v>1503</v>
      </c>
      <c r="H166" s="139" t="s">
        <v>1881</v>
      </c>
      <c r="I166" s="139" t="s">
        <v>1873</v>
      </c>
      <c r="J166" s="138" t="s">
        <v>1878</v>
      </c>
      <c r="K166" s="138" t="s">
        <v>1882</v>
      </c>
      <c r="L166" s="138" t="s">
        <v>1883</v>
      </c>
      <c r="M166" s="138" t="s">
        <v>1884</v>
      </c>
      <c r="N166" s="140"/>
      <c r="O166" s="138" t="s">
        <v>1885</v>
      </c>
      <c r="P166" s="138"/>
      <c r="Q166" s="139"/>
      <c r="R166" s="139"/>
      <c r="S166" s="138" t="s">
        <v>1879</v>
      </c>
      <c r="T166" s="144" t="s">
        <v>1874</v>
      </c>
      <c r="U166" s="138" t="s">
        <v>908</v>
      </c>
    </row>
    <row r="167" spans="1:21" ht="18.899999999999999" customHeight="1">
      <c r="A167" s="2">
        <v>2</v>
      </c>
      <c r="B167" s="4" t="s">
        <v>436</v>
      </c>
      <c r="C167" s="4" t="s">
        <v>437</v>
      </c>
      <c r="D167" s="134" t="s">
        <v>36</v>
      </c>
      <c r="E167" s="9">
        <v>2</v>
      </c>
      <c r="F167" s="138" t="s">
        <v>436</v>
      </c>
      <c r="G167" s="138" t="s">
        <v>437</v>
      </c>
      <c r="H167" s="139" t="s">
        <v>36</v>
      </c>
      <c r="I167" s="139" t="s">
        <v>438</v>
      </c>
      <c r="J167" s="138" t="s">
        <v>423</v>
      </c>
      <c r="K167" s="138" t="s">
        <v>25</v>
      </c>
      <c r="L167" s="138" t="s">
        <v>38</v>
      </c>
      <c r="M167" s="138" t="s">
        <v>19</v>
      </c>
      <c r="N167" s="140"/>
      <c r="O167" s="138" t="s">
        <v>20</v>
      </c>
      <c r="P167" s="140"/>
      <c r="Q167" s="141"/>
      <c r="R167" s="141"/>
      <c r="S167" s="138" t="s">
        <v>1879</v>
      </c>
      <c r="T167" s="144" t="s">
        <v>1874</v>
      </c>
      <c r="U167" s="138" t="s">
        <v>908</v>
      </c>
    </row>
    <row r="168" spans="1:21" ht="18.899999999999999" customHeight="1">
      <c r="A168" s="2">
        <v>1</v>
      </c>
      <c r="B168" s="4" t="s">
        <v>439</v>
      </c>
      <c r="C168" s="4" t="s">
        <v>440</v>
      </c>
      <c r="D168" s="134" t="s">
        <v>36</v>
      </c>
      <c r="E168" s="9">
        <v>1</v>
      </c>
      <c r="F168" s="138" t="s">
        <v>439</v>
      </c>
      <c r="G168" s="138" t="s">
        <v>440</v>
      </c>
      <c r="H168" s="139" t="s">
        <v>36</v>
      </c>
      <c r="I168" s="139" t="s">
        <v>441</v>
      </c>
      <c r="J168" s="138" t="s">
        <v>423</v>
      </c>
      <c r="K168" s="138" t="s">
        <v>25</v>
      </c>
      <c r="L168" s="138" t="s">
        <v>38</v>
      </c>
      <c r="M168" s="138" t="s">
        <v>19</v>
      </c>
      <c r="N168" s="140"/>
      <c r="O168" s="138" t="s">
        <v>20</v>
      </c>
      <c r="P168" s="140"/>
      <c r="Q168" s="141"/>
      <c r="R168" s="141"/>
      <c r="S168" s="138" t="s">
        <v>1879</v>
      </c>
      <c r="T168" s="144" t="s">
        <v>1874</v>
      </c>
      <c r="U168" s="138" t="s">
        <v>908</v>
      </c>
    </row>
    <row r="169" spans="1:21" ht="18.899999999999999" customHeight="1">
      <c r="A169" s="2">
        <v>2</v>
      </c>
      <c r="B169" s="4" t="s">
        <v>442</v>
      </c>
      <c r="C169" s="4" t="s">
        <v>443</v>
      </c>
      <c r="D169" s="134" t="s">
        <v>112</v>
      </c>
      <c r="E169" s="9">
        <v>2</v>
      </c>
      <c r="F169" s="11" t="s">
        <v>442</v>
      </c>
      <c r="G169" s="11" t="s">
        <v>443</v>
      </c>
      <c r="H169" s="12" t="s">
        <v>112</v>
      </c>
      <c r="I169" s="12" t="s">
        <v>444</v>
      </c>
      <c r="J169" s="11" t="s">
        <v>445</v>
      </c>
      <c r="K169" s="11" t="s">
        <v>25</v>
      </c>
      <c r="L169" s="11" t="s">
        <v>38</v>
      </c>
      <c r="M169" s="11" t="s">
        <v>19</v>
      </c>
      <c r="N169" s="10"/>
      <c r="O169" s="11" t="s">
        <v>20</v>
      </c>
      <c r="P169" s="10"/>
      <c r="Q169" s="136"/>
      <c r="R169" s="136"/>
      <c r="S169" s="136"/>
      <c r="T169" s="136"/>
      <c r="U169" s="136"/>
    </row>
    <row r="170" spans="1:21" ht="18.899999999999999" customHeight="1">
      <c r="A170" s="2">
        <v>2</v>
      </c>
      <c r="B170" s="4" t="s">
        <v>446</v>
      </c>
      <c r="C170" s="4" t="s">
        <v>447</v>
      </c>
      <c r="D170" s="134" t="s">
        <v>36</v>
      </c>
      <c r="E170" s="9">
        <v>2</v>
      </c>
      <c r="F170" s="11" t="s">
        <v>446</v>
      </c>
      <c r="G170" s="11" t="s">
        <v>447</v>
      </c>
      <c r="H170" s="12" t="s">
        <v>36</v>
      </c>
      <c r="I170" s="12" t="s">
        <v>444</v>
      </c>
      <c r="J170" s="11" t="s">
        <v>445</v>
      </c>
      <c r="K170" s="11" t="s">
        <v>25</v>
      </c>
      <c r="L170" s="11" t="s">
        <v>38</v>
      </c>
      <c r="M170" s="11" t="s">
        <v>19</v>
      </c>
      <c r="N170" s="10"/>
      <c r="O170" s="11" t="s">
        <v>20</v>
      </c>
      <c r="P170" s="10"/>
      <c r="Q170" s="136"/>
      <c r="R170" s="136"/>
      <c r="S170" s="136"/>
      <c r="T170" s="136"/>
      <c r="U170" s="136"/>
    </row>
    <row r="171" spans="1:21">
      <c r="R171">
        <f>SUM(R2:R169)</f>
        <v>3257.5</v>
      </c>
    </row>
  </sheetData>
  <autoFilter ref="E1:Q171" xr:uid="{00000000-0009-0000-0000-000008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N212"/>
  <sheetViews>
    <sheetView workbookViewId="0">
      <pane xSplit="5" ySplit="1" topLeftCell="F61" activePane="bottomRight" state="frozen"/>
      <selection activeCell="I41" sqref="I41"/>
      <selection pane="topRight" activeCell="I41" sqref="I41"/>
      <selection pane="bottomLeft" activeCell="I41" sqref="I41"/>
      <selection pane="bottomRight" activeCell="I41" sqref="I41"/>
    </sheetView>
  </sheetViews>
  <sheetFormatPr defaultRowHeight="14.4"/>
  <cols>
    <col min="1" max="1" width="5.21875" customWidth="1"/>
    <col min="3" max="3" width="16.77734375" customWidth="1"/>
    <col min="4" max="4" width="25.109375" customWidth="1"/>
    <col min="5" max="5" width="36" customWidth="1"/>
    <col min="6" max="6" width="14.77734375" customWidth="1"/>
    <col min="7" max="7" width="34.33203125" customWidth="1"/>
    <col min="11" max="11" width="12.88671875" customWidth="1"/>
    <col min="12" max="12" width="32.109375" customWidth="1"/>
  </cols>
  <sheetData>
    <row r="1" spans="1:14" ht="30.6" customHeight="1">
      <c r="A1" s="6" t="s">
        <v>0</v>
      </c>
      <c r="B1" s="6" t="s">
        <v>1</v>
      </c>
      <c r="C1" s="6" t="s">
        <v>2</v>
      </c>
      <c r="D1" s="7" t="s">
        <v>3</v>
      </c>
      <c r="E1" s="6" t="s">
        <v>4</v>
      </c>
      <c r="F1" s="6" t="s">
        <v>5</v>
      </c>
      <c r="G1" s="6" t="s">
        <v>6</v>
      </c>
      <c r="H1" s="6" t="s">
        <v>7</v>
      </c>
      <c r="I1" s="6" t="s">
        <v>8</v>
      </c>
      <c r="J1" s="6" t="s">
        <v>9</v>
      </c>
      <c r="K1" s="6" t="s">
        <v>10</v>
      </c>
      <c r="L1" s="8" t="s">
        <v>11</v>
      </c>
      <c r="M1" s="6" t="s">
        <v>12</v>
      </c>
      <c r="N1" s="6" t="s">
        <v>448</v>
      </c>
    </row>
    <row r="2" spans="1:14" s="14" customFormat="1" ht="15" customHeight="1">
      <c r="A2" s="9">
        <v>1</v>
      </c>
      <c r="B2" s="10"/>
      <c r="C2" s="11" t="s">
        <v>449</v>
      </c>
      <c r="D2" s="12" t="s">
        <v>450</v>
      </c>
      <c r="E2" s="12" t="s">
        <v>451</v>
      </c>
      <c r="F2" s="11" t="s">
        <v>16</v>
      </c>
      <c r="G2" s="11" t="s">
        <v>452</v>
      </c>
      <c r="H2" s="11" t="s">
        <v>261</v>
      </c>
      <c r="I2" s="11" t="s">
        <v>453</v>
      </c>
      <c r="J2" s="10"/>
      <c r="K2" s="11" t="s">
        <v>20</v>
      </c>
      <c r="L2" s="10"/>
      <c r="M2" s="13" t="s">
        <v>454</v>
      </c>
      <c r="N2" s="13">
        <v>25</v>
      </c>
    </row>
    <row r="3" spans="1:14" s="14" customFormat="1" ht="15" customHeight="1">
      <c r="A3" s="9">
        <v>1</v>
      </c>
      <c r="B3" s="10"/>
      <c r="C3" s="11" t="s">
        <v>455</v>
      </c>
      <c r="D3" s="12" t="s">
        <v>456</v>
      </c>
      <c r="E3" s="12" t="s">
        <v>457</v>
      </c>
      <c r="F3" s="11" t="s">
        <v>16</v>
      </c>
      <c r="G3" s="11" t="s">
        <v>452</v>
      </c>
      <c r="H3" s="11" t="s">
        <v>261</v>
      </c>
      <c r="I3" s="11" t="s">
        <v>453</v>
      </c>
      <c r="J3" s="10"/>
      <c r="K3" s="11" t="s">
        <v>20</v>
      </c>
      <c r="L3" s="10"/>
      <c r="M3" s="13" t="s">
        <v>454</v>
      </c>
      <c r="N3" s="13">
        <v>25</v>
      </c>
    </row>
    <row r="4" spans="1:14" s="14" customFormat="1" ht="15" customHeight="1">
      <c r="A4" s="9">
        <v>1</v>
      </c>
      <c r="B4" s="10"/>
      <c r="C4" s="11" t="s">
        <v>458</v>
      </c>
      <c r="D4" s="12" t="s">
        <v>459</v>
      </c>
      <c r="E4" s="12" t="s">
        <v>460</v>
      </c>
      <c r="F4" s="11" t="s">
        <v>16</v>
      </c>
      <c r="G4" s="11" t="s">
        <v>452</v>
      </c>
      <c r="H4" s="11" t="s">
        <v>261</v>
      </c>
      <c r="I4" s="11" t="s">
        <v>453</v>
      </c>
      <c r="J4" s="10"/>
      <c r="K4" s="11" t="s">
        <v>20</v>
      </c>
      <c r="L4" s="10"/>
      <c r="M4" s="13" t="s">
        <v>454</v>
      </c>
      <c r="N4" s="13">
        <v>25</v>
      </c>
    </row>
    <row r="5" spans="1:14" s="14" customFormat="1" ht="15" customHeight="1">
      <c r="A5" s="9">
        <v>1</v>
      </c>
      <c r="B5" s="10"/>
      <c r="C5" s="11" t="s">
        <v>461</v>
      </c>
      <c r="D5" s="12" t="s">
        <v>462</v>
      </c>
      <c r="E5" s="12" t="s">
        <v>463</v>
      </c>
      <c r="F5" s="11" t="s">
        <v>16</v>
      </c>
      <c r="G5" s="11" t="s">
        <v>452</v>
      </c>
      <c r="H5" s="11" t="s">
        <v>261</v>
      </c>
      <c r="I5" s="11" t="s">
        <v>453</v>
      </c>
      <c r="J5" s="10"/>
      <c r="K5" s="11" t="s">
        <v>20</v>
      </c>
      <c r="L5" s="10"/>
      <c r="M5" s="13" t="s">
        <v>454</v>
      </c>
      <c r="N5" s="13">
        <v>25</v>
      </c>
    </row>
    <row r="6" spans="1:14" s="14" customFormat="1" ht="15" customHeight="1">
      <c r="A6" s="9">
        <v>1</v>
      </c>
      <c r="B6" s="10"/>
      <c r="C6" s="11" t="s">
        <v>464</v>
      </c>
      <c r="D6" s="12" t="s">
        <v>465</v>
      </c>
      <c r="E6" s="12" t="s">
        <v>466</v>
      </c>
      <c r="F6" s="11" t="s">
        <v>16</v>
      </c>
      <c r="G6" s="11" t="s">
        <v>452</v>
      </c>
      <c r="H6" s="11" t="s">
        <v>261</v>
      </c>
      <c r="I6" s="11" t="s">
        <v>453</v>
      </c>
      <c r="J6" s="10"/>
      <c r="K6" s="11" t="s">
        <v>20</v>
      </c>
      <c r="L6" s="10"/>
      <c r="M6" s="13" t="s">
        <v>454</v>
      </c>
      <c r="N6" s="13">
        <v>25</v>
      </c>
    </row>
    <row r="7" spans="1:14" s="14" customFormat="1" ht="15" customHeight="1">
      <c r="A7" s="9">
        <v>1</v>
      </c>
      <c r="B7" s="10"/>
      <c r="C7" s="11" t="s">
        <v>467</v>
      </c>
      <c r="D7" s="12" t="s">
        <v>468</v>
      </c>
      <c r="E7" s="12" t="s">
        <v>469</v>
      </c>
      <c r="F7" s="11" t="s">
        <v>16</v>
      </c>
      <c r="G7" s="11" t="s">
        <v>452</v>
      </c>
      <c r="H7" s="11" t="s">
        <v>261</v>
      </c>
      <c r="I7" s="11" t="s">
        <v>453</v>
      </c>
      <c r="J7" s="10"/>
      <c r="K7" s="11" t="s">
        <v>20</v>
      </c>
      <c r="L7" s="10"/>
      <c r="M7" s="13" t="s">
        <v>454</v>
      </c>
      <c r="N7" s="13">
        <v>25</v>
      </c>
    </row>
    <row r="8" spans="1:14" s="14" customFormat="1" ht="15" customHeight="1">
      <c r="A8" s="9">
        <v>1</v>
      </c>
      <c r="B8" s="10"/>
      <c r="C8" s="11" t="s">
        <v>470</v>
      </c>
      <c r="D8" s="12" t="s">
        <v>468</v>
      </c>
      <c r="E8" s="12" t="s">
        <v>469</v>
      </c>
      <c r="F8" s="11" t="s">
        <v>16</v>
      </c>
      <c r="G8" s="11" t="s">
        <v>452</v>
      </c>
      <c r="H8" s="11" t="s">
        <v>261</v>
      </c>
      <c r="I8" s="11" t="s">
        <v>453</v>
      </c>
      <c r="J8" s="10"/>
      <c r="K8" s="11" t="s">
        <v>20</v>
      </c>
      <c r="L8" s="10"/>
      <c r="M8" s="13" t="s">
        <v>454</v>
      </c>
      <c r="N8" s="13">
        <v>25</v>
      </c>
    </row>
    <row r="9" spans="1:14" s="14" customFormat="1" ht="15" customHeight="1">
      <c r="A9" s="9">
        <v>1</v>
      </c>
      <c r="B9" s="10"/>
      <c r="C9" s="11" t="s">
        <v>471</v>
      </c>
      <c r="D9" s="12" t="s">
        <v>472</v>
      </c>
      <c r="E9" s="12" t="s">
        <v>473</v>
      </c>
      <c r="F9" s="11" t="s">
        <v>16</v>
      </c>
      <c r="G9" s="11" t="s">
        <v>452</v>
      </c>
      <c r="H9" s="11" t="s">
        <v>261</v>
      </c>
      <c r="I9" s="11" t="s">
        <v>453</v>
      </c>
      <c r="J9" s="10"/>
      <c r="K9" s="11" t="s">
        <v>20</v>
      </c>
      <c r="L9" s="10"/>
      <c r="M9" s="13" t="s">
        <v>454</v>
      </c>
      <c r="N9" s="13">
        <v>25</v>
      </c>
    </row>
    <row r="10" spans="1:14" s="14" customFormat="1" ht="15" customHeight="1">
      <c r="A10" s="9">
        <v>1</v>
      </c>
      <c r="B10" s="10"/>
      <c r="C10" s="11" t="s">
        <v>474</v>
      </c>
      <c r="D10" s="15" t="s">
        <v>475</v>
      </c>
      <c r="E10" s="15" t="s">
        <v>476</v>
      </c>
      <c r="F10" s="11" t="s">
        <v>16</v>
      </c>
      <c r="G10" s="11" t="s">
        <v>452</v>
      </c>
      <c r="H10" s="11" t="s">
        <v>261</v>
      </c>
      <c r="I10" s="11" t="s">
        <v>453</v>
      </c>
      <c r="J10" s="10"/>
      <c r="K10" s="11" t="s">
        <v>20</v>
      </c>
      <c r="L10" s="10"/>
      <c r="M10" s="13" t="s">
        <v>454</v>
      </c>
      <c r="N10" s="13">
        <v>25</v>
      </c>
    </row>
    <row r="11" spans="1:14" s="14" customFormat="1" ht="15" customHeight="1">
      <c r="A11" s="9">
        <v>1</v>
      </c>
      <c r="B11" s="10"/>
      <c r="C11" s="11" t="s">
        <v>477</v>
      </c>
      <c r="D11" s="12" t="s">
        <v>468</v>
      </c>
      <c r="E11" s="12" t="s">
        <v>469</v>
      </c>
      <c r="F11" s="11" t="s">
        <v>16</v>
      </c>
      <c r="G11" s="11" t="s">
        <v>452</v>
      </c>
      <c r="H11" s="11" t="s">
        <v>261</v>
      </c>
      <c r="I11" s="11" t="s">
        <v>453</v>
      </c>
      <c r="J11" s="10"/>
      <c r="K11" s="11" t="s">
        <v>20</v>
      </c>
      <c r="L11" s="10"/>
      <c r="M11" s="13" t="s">
        <v>454</v>
      </c>
      <c r="N11" s="13">
        <v>25</v>
      </c>
    </row>
    <row r="12" spans="1:14" s="14" customFormat="1" ht="15" customHeight="1">
      <c r="A12" s="9">
        <v>1</v>
      </c>
      <c r="B12" s="10"/>
      <c r="C12" s="11" t="s">
        <v>478</v>
      </c>
      <c r="D12" s="12" t="s">
        <v>468</v>
      </c>
      <c r="E12" s="12" t="s">
        <v>469</v>
      </c>
      <c r="F12" s="11" t="s">
        <v>16</v>
      </c>
      <c r="G12" s="11" t="s">
        <v>452</v>
      </c>
      <c r="H12" s="11" t="s">
        <v>261</v>
      </c>
      <c r="I12" s="11" t="s">
        <v>453</v>
      </c>
      <c r="J12" s="10"/>
      <c r="K12" s="11" t="s">
        <v>20</v>
      </c>
      <c r="L12" s="10"/>
      <c r="M12" s="13" t="s">
        <v>454</v>
      </c>
      <c r="N12" s="13">
        <v>25</v>
      </c>
    </row>
    <row r="13" spans="1:14" s="14" customFormat="1" ht="15" customHeight="1">
      <c r="A13" s="9">
        <v>1</v>
      </c>
      <c r="B13" s="10"/>
      <c r="C13" s="11" t="s">
        <v>479</v>
      </c>
      <c r="D13" s="12" t="s">
        <v>468</v>
      </c>
      <c r="E13" s="12" t="s">
        <v>469</v>
      </c>
      <c r="F13" s="11" t="s">
        <v>16</v>
      </c>
      <c r="G13" s="11" t="s">
        <v>452</v>
      </c>
      <c r="H13" s="11" t="s">
        <v>261</v>
      </c>
      <c r="I13" s="11" t="s">
        <v>453</v>
      </c>
      <c r="J13" s="10"/>
      <c r="K13" s="11" t="s">
        <v>20</v>
      </c>
      <c r="L13" s="10"/>
      <c r="M13" s="13" t="s">
        <v>454</v>
      </c>
      <c r="N13" s="13">
        <v>25</v>
      </c>
    </row>
    <row r="14" spans="1:14" s="14" customFormat="1" ht="15" customHeight="1">
      <c r="A14" s="9">
        <v>1</v>
      </c>
      <c r="B14" s="10"/>
      <c r="C14" s="11" t="s">
        <v>480</v>
      </c>
      <c r="D14" s="12" t="s">
        <v>468</v>
      </c>
      <c r="E14" s="12" t="s">
        <v>469</v>
      </c>
      <c r="F14" s="11" t="s">
        <v>16</v>
      </c>
      <c r="G14" s="11" t="s">
        <v>452</v>
      </c>
      <c r="H14" s="11" t="s">
        <v>261</v>
      </c>
      <c r="I14" s="11" t="s">
        <v>453</v>
      </c>
      <c r="J14" s="10"/>
      <c r="K14" s="11" t="s">
        <v>20</v>
      </c>
      <c r="L14" s="10"/>
      <c r="M14" s="13" t="s">
        <v>454</v>
      </c>
      <c r="N14" s="13">
        <v>25</v>
      </c>
    </row>
    <row r="15" spans="1:14" s="14" customFormat="1" ht="15" customHeight="1">
      <c r="A15" s="9">
        <v>1</v>
      </c>
      <c r="B15" s="10"/>
      <c r="C15" s="11" t="s">
        <v>481</v>
      </c>
      <c r="D15" s="15" t="s">
        <v>482</v>
      </c>
      <c r="E15" s="12" t="s">
        <v>483</v>
      </c>
      <c r="F15" s="11" t="s">
        <v>16</v>
      </c>
      <c r="G15" s="11" t="s">
        <v>452</v>
      </c>
      <c r="H15" s="11" t="s">
        <v>18</v>
      </c>
      <c r="I15" s="11" t="s">
        <v>453</v>
      </c>
      <c r="J15" s="10"/>
      <c r="K15" s="11" t="s">
        <v>20</v>
      </c>
      <c r="L15" s="10"/>
      <c r="M15" s="13" t="s">
        <v>484</v>
      </c>
      <c r="N15" s="13">
        <v>3.5</v>
      </c>
    </row>
    <row r="16" spans="1:14" s="14" customFormat="1" ht="15" customHeight="1">
      <c r="A16" s="9">
        <v>1</v>
      </c>
      <c r="B16" s="10"/>
      <c r="C16" s="11" t="s">
        <v>485</v>
      </c>
      <c r="D16" s="12" t="s">
        <v>486</v>
      </c>
      <c r="E16" s="12" t="s">
        <v>487</v>
      </c>
      <c r="F16" s="11" t="s">
        <v>16</v>
      </c>
      <c r="G16" s="11" t="s">
        <v>452</v>
      </c>
      <c r="H16" s="11" t="s">
        <v>18</v>
      </c>
      <c r="I16" s="11" t="s">
        <v>453</v>
      </c>
      <c r="J16" s="10"/>
      <c r="K16" s="11" t="s">
        <v>20</v>
      </c>
      <c r="L16" s="10"/>
      <c r="M16" s="13" t="s">
        <v>484</v>
      </c>
      <c r="N16" s="13">
        <v>3.5</v>
      </c>
    </row>
    <row r="17" spans="1:14" s="14" customFormat="1" ht="15" customHeight="1">
      <c r="A17" s="9">
        <v>1</v>
      </c>
      <c r="B17" s="10"/>
      <c r="C17" s="11" t="s">
        <v>488</v>
      </c>
      <c r="D17" s="12" t="s">
        <v>489</v>
      </c>
      <c r="E17" s="12" t="s">
        <v>490</v>
      </c>
      <c r="F17" s="11" t="s">
        <v>16</v>
      </c>
      <c r="G17" s="11" t="s">
        <v>452</v>
      </c>
      <c r="H17" s="11" t="s">
        <v>18</v>
      </c>
      <c r="I17" s="11" t="s">
        <v>453</v>
      </c>
      <c r="J17" s="10"/>
      <c r="K17" s="11" t="s">
        <v>20</v>
      </c>
      <c r="L17" s="10"/>
      <c r="M17" s="13" t="s">
        <v>484</v>
      </c>
      <c r="N17" s="13">
        <v>3.5</v>
      </c>
    </row>
    <row r="18" spans="1:14" s="14" customFormat="1" ht="15" customHeight="1">
      <c r="A18" s="9">
        <v>1</v>
      </c>
      <c r="B18" s="10"/>
      <c r="C18" s="11" t="s">
        <v>491</v>
      </c>
      <c r="D18" s="12" t="s">
        <v>492</v>
      </c>
      <c r="E18" s="12" t="s">
        <v>493</v>
      </c>
      <c r="F18" s="11" t="s">
        <v>16</v>
      </c>
      <c r="G18" s="11" t="s">
        <v>452</v>
      </c>
      <c r="H18" s="11" t="s">
        <v>18</v>
      </c>
      <c r="I18" s="11" t="s">
        <v>453</v>
      </c>
      <c r="J18" s="10"/>
      <c r="K18" s="11" t="s">
        <v>20</v>
      </c>
      <c r="L18" s="10"/>
      <c r="M18" s="13" t="s">
        <v>484</v>
      </c>
      <c r="N18" s="13">
        <v>3.5</v>
      </c>
    </row>
    <row r="19" spans="1:14" s="14" customFormat="1" ht="15" customHeight="1">
      <c r="A19" s="9">
        <v>1</v>
      </c>
      <c r="B19" s="10"/>
      <c r="C19" s="11" t="s">
        <v>494</v>
      </c>
      <c r="D19" s="12" t="s">
        <v>495</v>
      </c>
      <c r="E19" s="12" t="s">
        <v>496</v>
      </c>
      <c r="F19" s="11" t="s">
        <v>16</v>
      </c>
      <c r="G19" s="11" t="s">
        <v>452</v>
      </c>
      <c r="H19" s="11" t="s">
        <v>18</v>
      </c>
      <c r="I19" s="11" t="s">
        <v>453</v>
      </c>
      <c r="J19" s="10"/>
      <c r="K19" s="11" t="s">
        <v>20</v>
      </c>
      <c r="L19" s="10"/>
      <c r="M19" s="13" t="s">
        <v>484</v>
      </c>
      <c r="N19" s="13">
        <v>3.5</v>
      </c>
    </row>
    <row r="20" spans="1:14" s="14" customFormat="1" ht="15" customHeight="1">
      <c r="A20" s="9">
        <v>1</v>
      </c>
      <c r="B20" s="10"/>
      <c r="C20" s="11" t="s">
        <v>497</v>
      </c>
      <c r="D20" s="15" t="s">
        <v>498</v>
      </c>
      <c r="E20" s="15" t="s">
        <v>499</v>
      </c>
      <c r="F20" s="11" t="s">
        <v>16</v>
      </c>
      <c r="G20" s="11" t="s">
        <v>452</v>
      </c>
      <c r="H20" s="11" t="s">
        <v>18</v>
      </c>
      <c r="I20" s="11" t="s">
        <v>453</v>
      </c>
      <c r="J20" s="10"/>
      <c r="K20" s="11" t="s">
        <v>20</v>
      </c>
      <c r="L20" s="10"/>
      <c r="M20" s="13" t="s">
        <v>484</v>
      </c>
      <c r="N20" s="13">
        <v>3.5</v>
      </c>
    </row>
    <row r="21" spans="1:14" s="14" customFormat="1" ht="15" customHeight="1">
      <c r="A21" s="9">
        <v>1</v>
      </c>
      <c r="B21" s="10"/>
      <c r="C21" s="11" t="s">
        <v>500</v>
      </c>
      <c r="D21" s="12" t="s">
        <v>501</v>
      </c>
      <c r="E21" s="12" t="s">
        <v>502</v>
      </c>
      <c r="F21" s="11" t="s">
        <v>16</v>
      </c>
      <c r="G21" s="11" t="s">
        <v>452</v>
      </c>
      <c r="H21" s="11" t="s">
        <v>18</v>
      </c>
      <c r="I21" s="11" t="s">
        <v>453</v>
      </c>
      <c r="J21" s="10"/>
      <c r="K21" s="11" t="s">
        <v>20</v>
      </c>
      <c r="L21" s="10"/>
      <c r="M21" s="13" t="s">
        <v>484</v>
      </c>
      <c r="N21" s="13">
        <v>3.5</v>
      </c>
    </row>
    <row r="22" spans="1:14" s="14" customFormat="1" ht="15" customHeight="1">
      <c r="A22" s="9">
        <v>1</v>
      </c>
      <c r="B22" s="10"/>
      <c r="C22" s="11" t="s">
        <v>503</v>
      </c>
      <c r="D22" s="12" t="s">
        <v>504</v>
      </c>
      <c r="E22" s="12" t="s">
        <v>505</v>
      </c>
      <c r="F22" s="11" t="s">
        <v>16</v>
      </c>
      <c r="G22" s="11" t="s">
        <v>452</v>
      </c>
      <c r="H22" s="11" t="s">
        <v>18</v>
      </c>
      <c r="I22" s="11" t="s">
        <v>453</v>
      </c>
      <c r="J22" s="10"/>
      <c r="K22" s="11" t="s">
        <v>20</v>
      </c>
      <c r="L22" s="10"/>
      <c r="M22" s="13" t="s">
        <v>484</v>
      </c>
      <c r="N22" s="13">
        <v>3.5</v>
      </c>
    </row>
    <row r="23" spans="1:14" s="14" customFormat="1" ht="15" customHeight="1">
      <c r="A23" s="9">
        <v>1</v>
      </c>
      <c r="B23" s="10"/>
      <c r="C23" s="11" t="s">
        <v>506</v>
      </c>
      <c r="D23" s="12" t="s">
        <v>507</v>
      </c>
      <c r="E23" s="12" t="s">
        <v>508</v>
      </c>
      <c r="F23" s="11" t="s">
        <v>16</v>
      </c>
      <c r="G23" s="11" t="s">
        <v>452</v>
      </c>
      <c r="H23" s="11" t="s">
        <v>18</v>
      </c>
      <c r="I23" s="11" t="s">
        <v>453</v>
      </c>
      <c r="J23" s="10"/>
      <c r="K23" s="11" t="s">
        <v>20</v>
      </c>
      <c r="L23" s="10"/>
      <c r="M23" s="13" t="s">
        <v>484</v>
      </c>
      <c r="N23" s="13">
        <v>3.5</v>
      </c>
    </row>
    <row r="24" spans="1:14" s="14" customFormat="1" ht="15" customHeight="1">
      <c r="A24" s="9">
        <v>3</v>
      </c>
      <c r="B24" s="10"/>
      <c r="C24" s="11" t="s">
        <v>509</v>
      </c>
      <c r="D24" s="12" t="s">
        <v>510</v>
      </c>
      <c r="E24" s="12" t="s">
        <v>511</v>
      </c>
      <c r="F24" s="11" t="s">
        <v>16</v>
      </c>
      <c r="G24" s="11" t="s">
        <v>452</v>
      </c>
      <c r="H24" s="11" t="s">
        <v>18</v>
      </c>
      <c r="I24" s="11" t="s">
        <v>453</v>
      </c>
      <c r="J24" s="10"/>
      <c r="K24" s="11" t="s">
        <v>20</v>
      </c>
      <c r="L24" s="10"/>
      <c r="M24" s="13" t="s">
        <v>484</v>
      </c>
      <c r="N24" s="13">
        <v>3.5</v>
      </c>
    </row>
    <row r="25" spans="1:14" s="14" customFormat="1" ht="15" customHeight="1">
      <c r="A25" s="9">
        <v>1</v>
      </c>
      <c r="B25" s="10"/>
      <c r="C25" s="11" t="s">
        <v>512</v>
      </c>
      <c r="D25" s="12" t="s">
        <v>513</v>
      </c>
      <c r="E25" s="12" t="s">
        <v>514</v>
      </c>
      <c r="F25" s="11" t="s">
        <v>16</v>
      </c>
      <c r="G25" s="11" t="s">
        <v>452</v>
      </c>
      <c r="H25" s="11" t="s">
        <v>18</v>
      </c>
      <c r="I25" s="11" t="s">
        <v>453</v>
      </c>
      <c r="J25" s="10"/>
      <c r="K25" s="11" t="s">
        <v>20</v>
      </c>
      <c r="L25" s="10"/>
      <c r="M25" s="13" t="s">
        <v>484</v>
      </c>
      <c r="N25" s="13">
        <v>3.5</v>
      </c>
    </row>
    <row r="26" spans="1:14" s="14" customFormat="1" ht="15" customHeight="1">
      <c r="A26" s="9">
        <v>1</v>
      </c>
      <c r="B26" s="10"/>
      <c r="C26" s="11" t="s">
        <v>515</v>
      </c>
      <c r="D26" s="12" t="s">
        <v>513</v>
      </c>
      <c r="E26" s="12" t="s">
        <v>514</v>
      </c>
      <c r="F26" s="11" t="s">
        <v>16</v>
      </c>
      <c r="G26" s="11" t="s">
        <v>452</v>
      </c>
      <c r="H26" s="11" t="s">
        <v>18</v>
      </c>
      <c r="I26" s="11" t="s">
        <v>453</v>
      </c>
      <c r="J26" s="10"/>
      <c r="K26" s="11" t="s">
        <v>20</v>
      </c>
      <c r="L26" s="10"/>
      <c r="M26" s="13" t="s">
        <v>484</v>
      </c>
      <c r="N26" s="13">
        <v>3.5</v>
      </c>
    </row>
    <row r="27" spans="1:14" s="14" customFormat="1" ht="15" customHeight="1">
      <c r="A27" s="9">
        <v>1</v>
      </c>
      <c r="B27" s="10"/>
      <c r="C27" s="11" t="s">
        <v>516</v>
      </c>
      <c r="D27" s="12" t="s">
        <v>513</v>
      </c>
      <c r="E27" s="12" t="s">
        <v>514</v>
      </c>
      <c r="F27" s="11" t="s">
        <v>16</v>
      </c>
      <c r="G27" s="11" t="s">
        <v>452</v>
      </c>
      <c r="H27" s="11" t="s">
        <v>18</v>
      </c>
      <c r="I27" s="11" t="s">
        <v>453</v>
      </c>
      <c r="J27" s="10"/>
      <c r="K27" s="11" t="s">
        <v>20</v>
      </c>
      <c r="L27" s="10"/>
      <c r="M27" s="13" t="s">
        <v>484</v>
      </c>
      <c r="N27" s="13">
        <v>3.5</v>
      </c>
    </row>
    <row r="28" spans="1:14" s="14" customFormat="1" ht="15" customHeight="1">
      <c r="A28" s="9">
        <v>1</v>
      </c>
      <c r="B28" s="10"/>
      <c r="C28" s="11" t="s">
        <v>517</v>
      </c>
      <c r="D28" s="12" t="s">
        <v>513</v>
      </c>
      <c r="E28" s="12" t="s">
        <v>514</v>
      </c>
      <c r="F28" s="11" t="s">
        <v>16</v>
      </c>
      <c r="G28" s="11" t="s">
        <v>452</v>
      </c>
      <c r="H28" s="11" t="s">
        <v>18</v>
      </c>
      <c r="I28" s="11" t="s">
        <v>453</v>
      </c>
      <c r="J28" s="10"/>
      <c r="K28" s="11" t="s">
        <v>20</v>
      </c>
      <c r="L28" s="10"/>
      <c r="M28" s="13" t="s">
        <v>484</v>
      </c>
      <c r="N28" s="13">
        <v>3.5</v>
      </c>
    </row>
    <row r="29" spans="1:14" s="14" customFormat="1" ht="15" customHeight="1">
      <c r="A29" s="9">
        <v>1</v>
      </c>
      <c r="B29" s="10"/>
      <c r="C29" s="11" t="s">
        <v>518</v>
      </c>
      <c r="D29" s="12" t="s">
        <v>519</v>
      </c>
      <c r="E29" s="12" t="s">
        <v>520</v>
      </c>
      <c r="F29" s="11" t="s">
        <v>16</v>
      </c>
      <c r="G29" s="11" t="s">
        <v>452</v>
      </c>
      <c r="H29" s="11" t="s">
        <v>18</v>
      </c>
      <c r="I29" s="11" t="s">
        <v>453</v>
      </c>
      <c r="J29" s="10"/>
      <c r="K29" s="11" t="s">
        <v>20</v>
      </c>
      <c r="L29" s="10"/>
      <c r="M29" s="13" t="s">
        <v>484</v>
      </c>
      <c r="N29" s="13">
        <v>3.5</v>
      </c>
    </row>
    <row r="30" spans="1:14" s="14" customFormat="1" ht="15" customHeight="1">
      <c r="A30" s="9">
        <v>1</v>
      </c>
      <c r="B30" s="10"/>
      <c r="C30" s="11" t="s">
        <v>521</v>
      </c>
      <c r="D30" s="12" t="s">
        <v>519</v>
      </c>
      <c r="E30" s="12" t="s">
        <v>520</v>
      </c>
      <c r="F30" s="11" t="s">
        <v>16</v>
      </c>
      <c r="G30" s="11" t="s">
        <v>452</v>
      </c>
      <c r="H30" s="11" t="s">
        <v>18</v>
      </c>
      <c r="I30" s="11" t="s">
        <v>453</v>
      </c>
      <c r="J30" s="10"/>
      <c r="K30" s="11" t="s">
        <v>20</v>
      </c>
      <c r="L30" s="10"/>
      <c r="M30" s="13" t="s">
        <v>484</v>
      </c>
      <c r="N30" s="13">
        <v>3.5</v>
      </c>
    </row>
    <row r="31" spans="1:14" s="14" customFormat="1" ht="15" customHeight="1">
      <c r="A31" s="9">
        <v>2</v>
      </c>
      <c r="B31" s="10"/>
      <c r="C31" s="11" t="s">
        <v>522</v>
      </c>
      <c r="D31" s="12" t="s">
        <v>489</v>
      </c>
      <c r="E31" s="12" t="s">
        <v>523</v>
      </c>
      <c r="F31" s="11" t="s">
        <v>16</v>
      </c>
      <c r="G31" s="11" t="s">
        <v>25</v>
      </c>
      <c r="H31" s="11" t="s">
        <v>18</v>
      </c>
      <c r="I31" s="11" t="s">
        <v>453</v>
      </c>
      <c r="J31" s="10"/>
      <c r="K31" s="11" t="s">
        <v>20</v>
      </c>
      <c r="L31" s="10"/>
      <c r="M31" s="13" t="s">
        <v>484</v>
      </c>
      <c r="N31" s="13">
        <v>3.5</v>
      </c>
    </row>
    <row r="32" spans="1:14" s="14" customFormat="1" ht="15" customHeight="1">
      <c r="A32" s="9">
        <v>2</v>
      </c>
      <c r="B32" s="10"/>
      <c r="C32" s="11" t="s">
        <v>524</v>
      </c>
      <c r="D32" s="12" t="s">
        <v>489</v>
      </c>
      <c r="E32" s="12" t="s">
        <v>523</v>
      </c>
      <c r="F32" s="11" t="s">
        <v>16</v>
      </c>
      <c r="G32" s="11" t="s">
        <v>25</v>
      </c>
      <c r="H32" s="11" t="s">
        <v>18</v>
      </c>
      <c r="I32" s="11" t="s">
        <v>453</v>
      </c>
      <c r="J32" s="10"/>
      <c r="K32" s="11" t="s">
        <v>20</v>
      </c>
      <c r="L32" s="10"/>
      <c r="M32" s="13" t="s">
        <v>484</v>
      </c>
      <c r="N32" s="13">
        <v>3.5</v>
      </c>
    </row>
    <row r="33" spans="1:14" s="14" customFormat="1" ht="15" customHeight="1">
      <c r="A33" s="9">
        <v>2</v>
      </c>
      <c r="B33" s="10"/>
      <c r="C33" s="11" t="s">
        <v>525</v>
      </c>
      <c r="D33" s="12" t="s">
        <v>489</v>
      </c>
      <c r="E33" s="12" t="s">
        <v>523</v>
      </c>
      <c r="F33" s="11" t="s">
        <v>16</v>
      </c>
      <c r="G33" s="11" t="s">
        <v>25</v>
      </c>
      <c r="H33" s="11" t="s">
        <v>18</v>
      </c>
      <c r="I33" s="11" t="s">
        <v>453</v>
      </c>
      <c r="J33" s="10"/>
      <c r="K33" s="11" t="s">
        <v>20</v>
      </c>
      <c r="L33" s="10"/>
      <c r="M33" s="13" t="s">
        <v>484</v>
      </c>
      <c r="N33" s="13">
        <v>3.5</v>
      </c>
    </row>
    <row r="34" spans="1:14" s="14" customFormat="1" ht="15" customHeight="1">
      <c r="A34" s="9">
        <v>2</v>
      </c>
      <c r="B34" s="10"/>
      <c r="C34" s="11" t="s">
        <v>526</v>
      </c>
      <c r="D34" s="12" t="s">
        <v>489</v>
      </c>
      <c r="E34" s="12" t="s">
        <v>523</v>
      </c>
      <c r="F34" s="11" t="s">
        <v>16</v>
      </c>
      <c r="G34" s="11" t="s">
        <v>25</v>
      </c>
      <c r="H34" s="11" t="s">
        <v>18</v>
      </c>
      <c r="I34" s="11" t="s">
        <v>453</v>
      </c>
      <c r="J34" s="10"/>
      <c r="K34" s="11" t="s">
        <v>20</v>
      </c>
      <c r="L34" s="10"/>
      <c r="M34" s="13" t="s">
        <v>484</v>
      </c>
      <c r="N34" s="13">
        <v>3.5</v>
      </c>
    </row>
    <row r="35" spans="1:14" s="14" customFormat="1" ht="15" customHeight="1">
      <c r="A35" s="9">
        <v>2</v>
      </c>
      <c r="B35" s="10"/>
      <c r="C35" s="11" t="s">
        <v>527</v>
      </c>
      <c r="D35" s="12" t="s">
        <v>489</v>
      </c>
      <c r="E35" s="12" t="s">
        <v>523</v>
      </c>
      <c r="F35" s="11" t="s">
        <v>16</v>
      </c>
      <c r="G35" s="11" t="s">
        <v>25</v>
      </c>
      <c r="H35" s="11" t="s">
        <v>18</v>
      </c>
      <c r="I35" s="11" t="s">
        <v>453</v>
      </c>
      <c r="J35" s="10"/>
      <c r="K35" s="11" t="s">
        <v>20</v>
      </c>
      <c r="L35" s="10"/>
      <c r="M35" s="13" t="s">
        <v>484</v>
      </c>
      <c r="N35" s="13">
        <v>3.5</v>
      </c>
    </row>
    <row r="36" spans="1:14" s="14" customFormat="1" ht="15" customHeight="1">
      <c r="A36" s="9">
        <v>2</v>
      </c>
      <c r="B36" s="10"/>
      <c r="C36" s="11" t="s">
        <v>528</v>
      </c>
      <c r="D36" s="12" t="s">
        <v>489</v>
      </c>
      <c r="E36" s="12" t="s">
        <v>523</v>
      </c>
      <c r="F36" s="11" t="s">
        <v>16</v>
      </c>
      <c r="G36" s="11" t="s">
        <v>25</v>
      </c>
      <c r="H36" s="11" t="s">
        <v>18</v>
      </c>
      <c r="I36" s="11" t="s">
        <v>453</v>
      </c>
      <c r="J36" s="10"/>
      <c r="K36" s="11" t="s">
        <v>20</v>
      </c>
      <c r="L36" s="10"/>
      <c r="M36" s="13" t="s">
        <v>484</v>
      </c>
      <c r="N36" s="13">
        <v>3.5</v>
      </c>
    </row>
    <row r="37" spans="1:14" s="14" customFormat="1" ht="15" customHeight="1">
      <c r="A37" s="9">
        <v>3</v>
      </c>
      <c r="B37" s="10"/>
      <c r="C37" s="11" t="s">
        <v>529</v>
      </c>
      <c r="D37" s="12" t="s">
        <v>530</v>
      </c>
      <c r="E37" s="12" t="s">
        <v>530</v>
      </c>
      <c r="F37" s="11" t="s">
        <v>16</v>
      </c>
      <c r="G37" s="11" t="s">
        <v>531</v>
      </c>
      <c r="H37" s="11" t="s">
        <v>532</v>
      </c>
      <c r="I37" s="11" t="s">
        <v>453</v>
      </c>
      <c r="J37" s="10"/>
      <c r="K37" s="11" t="s">
        <v>20</v>
      </c>
      <c r="L37" s="10"/>
      <c r="M37" s="13"/>
      <c r="N37" s="13">
        <v>25</v>
      </c>
    </row>
    <row r="38" spans="1:14" s="14" customFormat="1" ht="15" customHeight="1">
      <c r="A38" s="9">
        <v>3</v>
      </c>
      <c r="B38" s="10"/>
      <c r="C38" s="11" t="s">
        <v>533</v>
      </c>
      <c r="D38" s="12" t="s">
        <v>465</v>
      </c>
      <c r="E38" s="12" t="s">
        <v>534</v>
      </c>
      <c r="F38" s="11" t="s">
        <v>16</v>
      </c>
      <c r="G38" s="11" t="s">
        <v>272</v>
      </c>
      <c r="H38" s="11" t="s">
        <v>18</v>
      </c>
      <c r="I38" s="11" t="s">
        <v>453</v>
      </c>
      <c r="J38" s="10"/>
      <c r="K38" s="11" t="s">
        <v>20</v>
      </c>
      <c r="L38" s="10"/>
      <c r="M38" s="13" t="s">
        <v>484</v>
      </c>
      <c r="N38" s="13">
        <v>3.5</v>
      </c>
    </row>
    <row r="39" spans="1:14" s="14" customFormat="1" ht="15" customHeight="1">
      <c r="A39" s="9">
        <v>3</v>
      </c>
      <c r="B39" s="10"/>
      <c r="C39" s="11" t="s">
        <v>535</v>
      </c>
      <c r="D39" s="12" t="s">
        <v>465</v>
      </c>
      <c r="E39" s="12" t="s">
        <v>536</v>
      </c>
      <c r="F39" s="11" t="s">
        <v>16</v>
      </c>
      <c r="G39" s="11" t="s">
        <v>537</v>
      </c>
      <c r="H39" s="11" t="s">
        <v>18</v>
      </c>
      <c r="I39" s="11" t="s">
        <v>453</v>
      </c>
      <c r="J39" s="10"/>
      <c r="K39" s="11" t="s">
        <v>20</v>
      </c>
      <c r="L39" s="10"/>
      <c r="M39" s="13" t="s">
        <v>484</v>
      </c>
      <c r="N39" s="13">
        <v>3.5</v>
      </c>
    </row>
    <row r="40" spans="1:14" s="14" customFormat="1" ht="15" customHeight="1">
      <c r="A40" s="9">
        <v>3</v>
      </c>
      <c r="B40" s="10"/>
      <c r="C40" s="11" t="s">
        <v>538</v>
      </c>
      <c r="D40" s="12" t="s">
        <v>489</v>
      </c>
      <c r="E40" s="12" t="s">
        <v>523</v>
      </c>
      <c r="F40" s="11" t="s">
        <v>16</v>
      </c>
      <c r="G40" s="11" t="s">
        <v>25</v>
      </c>
      <c r="H40" s="11" t="s">
        <v>18</v>
      </c>
      <c r="I40" s="11" t="s">
        <v>453</v>
      </c>
      <c r="J40" s="10"/>
      <c r="K40" s="11" t="s">
        <v>20</v>
      </c>
      <c r="L40" s="10"/>
      <c r="M40" s="13" t="s">
        <v>484</v>
      </c>
      <c r="N40" s="13">
        <v>3.5</v>
      </c>
    </row>
    <row r="41" spans="1:14" s="14" customFormat="1" ht="15" customHeight="1">
      <c r="A41" s="9">
        <v>3</v>
      </c>
      <c r="B41" s="10"/>
      <c r="C41" s="11" t="s">
        <v>539</v>
      </c>
      <c r="D41" s="12" t="s">
        <v>489</v>
      </c>
      <c r="E41" s="12" t="s">
        <v>523</v>
      </c>
      <c r="F41" s="11" t="s">
        <v>16</v>
      </c>
      <c r="G41" s="11" t="s">
        <v>25</v>
      </c>
      <c r="H41" s="11" t="s">
        <v>18</v>
      </c>
      <c r="I41" s="11" t="s">
        <v>453</v>
      </c>
      <c r="J41" s="10"/>
      <c r="K41" s="11" t="s">
        <v>20</v>
      </c>
      <c r="L41" s="10"/>
      <c r="M41" s="13" t="s">
        <v>484</v>
      </c>
      <c r="N41" s="13">
        <v>3.5</v>
      </c>
    </row>
    <row r="42" spans="1:14" s="14" customFormat="1" ht="15" customHeight="1">
      <c r="A42" s="9">
        <v>3</v>
      </c>
      <c r="B42" s="10"/>
      <c r="C42" s="11" t="s">
        <v>540</v>
      </c>
      <c r="D42" s="12" t="s">
        <v>121</v>
      </c>
      <c r="E42" s="12" t="s">
        <v>541</v>
      </c>
      <c r="F42" s="11" t="s">
        <v>24</v>
      </c>
      <c r="G42" s="11" t="s">
        <v>25</v>
      </c>
      <c r="H42" s="11" t="s">
        <v>532</v>
      </c>
      <c r="I42" s="11" t="s">
        <v>453</v>
      </c>
      <c r="J42" s="16" t="s">
        <v>26</v>
      </c>
      <c r="K42" s="11" t="s">
        <v>20</v>
      </c>
      <c r="L42" s="10"/>
      <c r="M42" s="13" t="s">
        <v>74</v>
      </c>
      <c r="N42" s="13">
        <v>330</v>
      </c>
    </row>
    <row r="43" spans="1:14" s="14" customFormat="1" ht="10.95" customHeight="1">
      <c r="A43" s="9">
        <v>1</v>
      </c>
      <c r="B43" s="11" t="s">
        <v>542</v>
      </c>
      <c r="C43" s="11" t="s">
        <v>543</v>
      </c>
      <c r="D43" s="12" t="s">
        <v>544</v>
      </c>
      <c r="E43" s="12" t="s">
        <v>545</v>
      </c>
      <c r="F43" s="11" t="s">
        <v>546</v>
      </c>
      <c r="G43" s="11" t="s">
        <v>48</v>
      </c>
      <c r="H43" s="11" t="s">
        <v>38</v>
      </c>
      <c r="I43" s="11" t="s">
        <v>453</v>
      </c>
      <c r="J43" s="11" t="s">
        <v>49</v>
      </c>
      <c r="K43" s="11" t="s">
        <v>20</v>
      </c>
      <c r="L43" s="10"/>
      <c r="M43" s="13"/>
      <c r="N43" s="13"/>
    </row>
    <row r="44" spans="1:14" s="14" customFormat="1" ht="10.95" customHeight="1">
      <c r="A44" s="9">
        <v>1</v>
      </c>
      <c r="B44" s="11" t="s">
        <v>253</v>
      </c>
      <c r="C44" s="11" t="s">
        <v>547</v>
      </c>
      <c r="D44" s="12" t="s">
        <v>544</v>
      </c>
      <c r="E44" s="12" t="s">
        <v>548</v>
      </c>
      <c r="F44" s="11" t="s">
        <v>546</v>
      </c>
      <c r="G44" s="11" t="s">
        <v>48</v>
      </c>
      <c r="H44" s="11" t="s">
        <v>38</v>
      </c>
      <c r="I44" s="11" t="s">
        <v>453</v>
      </c>
      <c r="J44" s="11" t="s">
        <v>49</v>
      </c>
      <c r="K44" s="11" t="s">
        <v>20</v>
      </c>
      <c r="L44" s="10"/>
      <c r="M44" s="13"/>
      <c r="N44" s="13"/>
    </row>
    <row r="45" spans="1:14" s="14" customFormat="1" ht="10.95" customHeight="1">
      <c r="A45" s="9">
        <v>1</v>
      </c>
      <c r="B45" s="11" t="s">
        <v>549</v>
      </c>
      <c r="C45" s="11" t="s">
        <v>550</v>
      </c>
      <c r="D45" s="15" t="s">
        <v>551</v>
      </c>
      <c r="E45" s="12" t="s">
        <v>55</v>
      </c>
      <c r="F45" s="11" t="s">
        <v>546</v>
      </c>
      <c r="G45" s="11" t="s">
        <v>48</v>
      </c>
      <c r="H45" s="11" t="s">
        <v>38</v>
      </c>
      <c r="I45" s="11" t="s">
        <v>453</v>
      </c>
      <c r="J45" s="11" t="s">
        <v>49</v>
      </c>
      <c r="K45" s="11" t="s">
        <v>20</v>
      </c>
      <c r="L45" s="10"/>
      <c r="M45" s="13"/>
      <c r="N45" s="13"/>
    </row>
    <row r="46" spans="1:14" s="14" customFormat="1" ht="10.95" customHeight="1">
      <c r="A46" s="9">
        <v>1</v>
      </c>
      <c r="B46" s="11" t="s">
        <v>552</v>
      </c>
      <c r="C46" s="11" t="s">
        <v>553</v>
      </c>
      <c r="D46" s="15" t="s">
        <v>551</v>
      </c>
      <c r="E46" s="12" t="s">
        <v>58</v>
      </c>
      <c r="F46" s="11" t="s">
        <v>546</v>
      </c>
      <c r="G46" s="11" t="s">
        <v>48</v>
      </c>
      <c r="H46" s="11" t="s">
        <v>38</v>
      </c>
      <c r="I46" s="11" t="s">
        <v>453</v>
      </c>
      <c r="J46" s="11" t="s">
        <v>49</v>
      </c>
      <c r="K46" s="11" t="s">
        <v>20</v>
      </c>
      <c r="L46" s="10"/>
      <c r="M46" s="13"/>
      <c r="N46" s="13"/>
    </row>
    <row r="47" spans="1:14" s="14" customFormat="1" ht="10.95" customHeight="1">
      <c r="A47" s="9">
        <v>3</v>
      </c>
      <c r="B47" s="11" t="s">
        <v>554</v>
      </c>
      <c r="C47" s="11" t="s">
        <v>555</v>
      </c>
      <c r="D47" s="15" t="s">
        <v>551</v>
      </c>
      <c r="E47" s="12" t="s">
        <v>55</v>
      </c>
      <c r="F47" s="11" t="s">
        <v>546</v>
      </c>
      <c r="G47" s="11" t="s">
        <v>48</v>
      </c>
      <c r="H47" s="11" t="s">
        <v>38</v>
      </c>
      <c r="I47" s="11" t="s">
        <v>453</v>
      </c>
      <c r="J47" s="11" t="s">
        <v>49</v>
      </c>
      <c r="K47" s="11" t="s">
        <v>20</v>
      </c>
      <c r="L47" s="10"/>
      <c r="M47" s="13"/>
      <c r="N47" s="13"/>
    </row>
    <row r="48" spans="1:14" s="14" customFormat="1" ht="10.95" customHeight="1">
      <c r="A48" s="9">
        <v>3</v>
      </c>
      <c r="B48" s="11" t="s">
        <v>556</v>
      </c>
      <c r="C48" s="11" t="s">
        <v>557</v>
      </c>
      <c r="D48" s="15" t="s">
        <v>551</v>
      </c>
      <c r="E48" s="12" t="s">
        <v>58</v>
      </c>
      <c r="F48" s="11" t="s">
        <v>546</v>
      </c>
      <c r="G48" s="11" t="s">
        <v>48</v>
      </c>
      <c r="H48" s="11" t="s">
        <v>38</v>
      </c>
      <c r="I48" s="11" t="s">
        <v>453</v>
      </c>
      <c r="J48" s="11" t="s">
        <v>49</v>
      </c>
      <c r="K48" s="11" t="s">
        <v>20</v>
      </c>
      <c r="L48" s="10"/>
      <c r="M48" s="13"/>
      <c r="N48" s="13"/>
    </row>
    <row r="49" spans="1:14" s="14" customFormat="1" ht="10.95" customHeight="1">
      <c r="A49" s="9">
        <v>1</v>
      </c>
      <c r="B49" s="11" t="s">
        <v>558</v>
      </c>
      <c r="C49" s="11" t="s">
        <v>559</v>
      </c>
      <c r="D49" s="15" t="s">
        <v>551</v>
      </c>
      <c r="E49" s="12" t="s">
        <v>560</v>
      </c>
      <c r="F49" s="11" t="s">
        <v>546</v>
      </c>
      <c r="G49" s="11" t="s">
        <v>48</v>
      </c>
      <c r="H49" s="11" t="s">
        <v>38</v>
      </c>
      <c r="I49" s="11" t="s">
        <v>453</v>
      </c>
      <c r="J49" s="11" t="s">
        <v>49</v>
      </c>
      <c r="K49" s="11" t="s">
        <v>20</v>
      </c>
      <c r="L49" s="10"/>
      <c r="M49" s="13"/>
      <c r="N49" s="13"/>
    </row>
    <row r="50" spans="1:14" s="14" customFormat="1" ht="10.95" customHeight="1">
      <c r="A50" s="9">
        <v>1</v>
      </c>
      <c r="B50" s="11" t="s">
        <v>561</v>
      </c>
      <c r="C50" s="11" t="s">
        <v>562</v>
      </c>
      <c r="D50" s="15" t="s">
        <v>551</v>
      </c>
      <c r="E50" s="12" t="s">
        <v>560</v>
      </c>
      <c r="F50" s="11" t="s">
        <v>546</v>
      </c>
      <c r="G50" s="11" t="s">
        <v>48</v>
      </c>
      <c r="H50" s="11" t="s">
        <v>38</v>
      </c>
      <c r="I50" s="11" t="s">
        <v>453</v>
      </c>
      <c r="J50" s="11" t="s">
        <v>49</v>
      </c>
      <c r="K50" s="11" t="s">
        <v>20</v>
      </c>
      <c r="L50" s="10"/>
      <c r="M50" s="13"/>
      <c r="N50" s="13"/>
    </row>
    <row r="51" spans="1:14" s="14" customFormat="1" ht="15" customHeight="1">
      <c r="A51" s="9">
        <v>3</v>
      </c>
      <c r="B51" s="11" t="s">
        <v>68</v>
      </c>
      <c r="C51" s="11" t="s">
        <v>563</v>
      </c>
      <c r="D51" s="12" t="s">
        <v>564</v>
      </c>
      <c r="E51" s="12" t="s">
        <v>71</v>
      </c>
      <c r="F51" s="11" t="s">
        <v>546</v>
      </c>
      <c r="G51" s="16" t="s">
        <v>72</v>
      </c>
      <c r="H51" s="11" t="s">
        <v>532</v>
      </c>
      <c r="I51" s="11" t="s">
        <v>453</v>
      </c>
      <c r="J51" s="10"/>
      <c r="K51" s="11" t="s">
        <v>20</v>
      </c>
      <c r="L51" s="10"/>
      <c r="M51" s="13" t="s">
        <v>74</v>
      </c>
      <c r="N51" s="13">
        <v>10</v>
      </c>
    </row>
    <row r="52" spans="1:14" s="14" customFormat="1" ht="15" customHeight="1">
      <c r="A52" s="9">
        <v>3</v>
      </c>
      <c r="B52" s="11" t="s">
        <v>77</v>
      </c>
      <c r="C52" s="11" t="s">
        <v>565</v>
      </c>
      <c r="D52" s="12" t="s">
        <v>564</v>
      </c>
      <c r="E52" s="12" t="s">
        <v>79</v>
      </c>
      <c r="F52" s="11" t="s">
        <v>546</v>
      </c>
      <c r="G52" s="16" t="s">
        <v>72</v>
      </c>
      <c r="H52" s="11" t="s">
        <v>532</v>
      </c>
      <c r="I52" s="11" t="s">
        <v>453</v>
      </c>
      <c r="J52" s="10"/>
      <c r="K52" s="11" t="s">
        <v>20</v>
      </c>
      <c r="L52" s="10"/>
      <c r="M52" s="13" t="s">
        <v>74</v>
      </c>
      <c r="N52" s="13">
        <v>10</v>
      </c>
    </row>
    <row r="53" spans="1:14" s="14" customFormat="1" ht="15" customHeight="1">
      <c r="A53" s="9">
        <v>3</v>
      </c>
      <c r="B53" s="11" t="s">
        <v>81</v>
      </c>
      <c r="C53" s="11" t="s">
        <v>566</v>
      </c>
      <c r="D53" s="12" t="s">
        <v>564</v>
      </c>
      <c r="E53" s="12" t="s">
        <v>83</v>
      </c>
      <c r="F53" s="11" t="s">
        <v>546</v>
      </c>
      <c r="G53" s="16" t="s">
        <v>84</v>
      </c>
      <c r="H53" s="11" t="s">
        <v>532</v>
      </c>
      <c r="I53" s="11" t="s">
        <v>453</v>
      </c>
      <c r="J53" s="10"/>
      <c r="K53" s="11" t="s">
        <v>20</v>
      </c>
      <c r="L53" s="10"/>
      <c r="M53" s="13" t="s">
        <v>74</v>
      </c>
      <c r="N53" s="13">
        <v>10</v>
      </c>
    </row>
    <row r="54" spans="1:14" s="14" customFormat="1" ht="15" customHeight="1">
      <c r="A54" s="9">
        <v>3</v>
      </c>
      <c r="B54" s="11" t="s">
        <v>86</v>
      </c>
      <c r="C54" s="11" t="s">
        <v>567</v>
      </c>
      <c r="D54" s="12" t="s">
        <v>564</v>
      </c>
      <c r="E54" s="12" t="s">
        <v>88</v>
      </c>
      <c r="F54" s="11" t="s">
        <v>546</v>
      </c>
      <c r="G54" s="16" t="s">
        <v>84</v>
      </c>
      <c r="H54" s="11" t="s">
        <v>532</v>
      </c>
      <c r="I54" s="11" t="s">
        <v>453</v>
      </c>
      <c r="J54" s="10"/>
      <c r="K54" s="11" t="s">
        <v>20</v>
      </c>
      <c r="L54" s="10"/>
      <c r="M54" s="13" t="s">
        <v>74</v>
      </c>
      <c r="N54" s="13">
        <v>10</v>
      </c>
    </row>
    <row r="55" spans="1:14" s="14" customFormat="1" ht="15" customHeight="1">
      <c r="A55" s="9">
        <v>3</v>
      </c>
      <c r="B55" s="11" t="s">
        <v>568</v>
      </c>
      <c r="C55" s="11" t="s">
        <v>569</v>
      </c>
      <c r="D55" s="12" t="s">
        <v>121</v>
      </c>
      <c r="E55" s="12" t="s">
        <v>570</v>
      </c>
      <c r="F55" s="11" t="s">
        <v>546</v>
      </c>
      <c r="G55" s="11" t="s">
        <v>48</v>
      </c>
      <c r="H55" s="11" t="s">
        <v>532</v>
      </c>
      <c r="I55" s="11" t="s">
        <v>453</v>
      </c>
      <c r="J55" s="11" t="s">
        <v>49</v>
      </c>
      <c r="K55" s="11" t="s">
        <v>20</v>
      </c>
      <c r="L55" s="10"/>
      <c r="M55" s="13" t="s">
        <v>571</v>
      </c>
      <c r="N55" s="13">
        <v>330</v>
      </c>
    </row>
    <row r="56" spans="1:14" s="14" customFormat="1" ht="15" customHeight="1">
      <c r="A56" s="9">
        <v>3</v>
      </c>
      <c r="B56" s="11" t="s">
        <v>572</v>
      </c>
      <c r="C56" s="11" t="s">
        <v>573</v>
      </c>
      <c r="D56" s="12" t="s">
        <v>121</v>
      </c>
      <c r="E56" s="12" t="s">
        <v>570</v>
      </c>
      <c r="F56" s="11" t="s">
        <v>546</v>
      </c>
      <c r="G56" s="11" t="s">
        <v>48</v>
      </c>
      <c r="H56" s="11" t="s">
        <v>532</v>
      </c>
      <c r="I56" s="11" t="s">
        <v>453</v>
      </c>
      <c r="J56" s="11" t="s">
        <v>49</v>
      </c>
      <c r="K56" s="11" t="s">
        <v>20</v>
      </c>
      <c r="L56" s="10"/>
      <c r="M56" s="13" t="s">
        <v>571</v>
      </c>
      <c r="N56" s="13">
        <v>330</v>
      </c>
    </row>
    <row r="57" spans="1:14" s="14" customFormat="1" ht="15" customHeight="1">
      <c r="A57" s="9">
        <v>3</v>
      </c>
      <c r="B57" s="11" t="s">
        <v>574</v>
      </c>
      <c r="C57" s="11" t="s">
        <v>575</v>
      </c>
      <c r="D57" s="12" t="s">
        <v>121</v>
      </c>
      <c r="E57" s="12" t="s">
        <v>576</v>
      </c>
      <c r="F57" s="11" t="s">
        <v>546</v>
      </c>
      <c r="G57" s="11" t="s">
        <v>48</v>
      </c>
      <c r="H57" s="11" t="s">
        <v>532</v>
      </c>
      <c r="I57" s="11" t="s">
        <v>453</v>
      </c>
      <c r="J57" s="11" t="s">
        <v>49</v>
      </c>
      <c r="K57" s="11" t="s">
        <v>20</v>
      </c>
      <c r="L57" s="10"/>
      <c r="M57" s="13" t="s">
        <v>571</v>
      </c>
      <c r="N57" s="13">
        <v>330</v>
      </c>
    </row>
    <row r="58" spans="1:14" s="14" customFormat="1" ht="15" customHeight="1">
      <c r="A58" s="9">
        <v>3</v>
      </c>
      <c r="B58" s="11" t="s">
        <v>577</v>
      </c>
      <c r="C58" s="11" t="s">
        <v>578</v>
      </c>
      <c r="D58" s="12" t="s">
        <v>121</v>
      </c>
      <c r="E58" s="12" t="s">
        <v>576</v>
      </c>
      <c r="F58" s="11" t="s">
        <v>546</v>
      </c>
      <c r="G58" s="11" t="s">
        <v>48</v>
      </c>
      <c r="H58" s="11" t="s">
        <v>532</v>
      </c>
      <c r="I58" s="11" t="s">
        <v>453</v>
      </c>
      <c r="J58" s="11" t="s">
        <v>49</v>
      </c>
      <c r="K58" s="11" t="s">
        <v>20</v>
      </c>
      <c r="L58" s="10"/>
      <c r="M58" s="13" t="s">
        <v>571</v>
      </c>
      <c r="N58" s="13">
        <v>330</v>
      </c>
    </row>
    <row r="59" spans="1:14" s="14" customFormat="1" ht="10.95" customHeight="1">
      <c r="A59" s="9">
        <v>3</v>
      </c>
      <c r="B59" s="11" t="s">
        <v>579</v>
      </c>
      <c r="C59" s="11" t="s">
        <v>580</v>
      </c>
      <c r="D59" s="15" t="s">
        <v>551</v>
      </c>
      <c r="E59" s="12" t="s">
        <v>581</v>
      </c>
      <c r="F59" s="11" t="s">
        <v>546</v>
      </c>
      <c r="G59" s="11" t="s">
        <v>48</v>
      </c>
      <c r="H59" s="11" t="s">
        <v>38</v>
      </c>
      <c r="I59" s="11" t="s">
        <v>453</v>
      </c>
      <c r="J59" s="11" t="s">
        <v>49</v>
      </c>
      <c r="K59" s="11" t="s">
        <v>20</v>
      </c>
      <c r="L59" s="10"/>
      <c r="M59" s="13"/>
      <c r="N59" s="13"/>
    </row>
    <row r="60" spans="1:14" s="14" customFormat="1" ht="10.95" customHeight="1">
      <c r="A60" s="9">
        <v>3</v>
      </c>
      <c r="B60" s="11" t="s">
        <v>582</v>
      </c>
      <c r="C60" s="11" t="s">
        <v>583</v>
      </c>
      <c r="D60" s="15" t="s">
        <v>551</v>
      </c>
      <c r="E60" s="12" t="s">
        <v>584</v>
      </c>
      <c r="F60" s="11" t="s">
        <v>546</v>
      </c>
      <c r="G60" s="11" t="s">
        <v>48</v>
      </c>
      <c r="H60" s="11" t="s">
        <v>38</v>
      </c>
      <c r="I60" s="11" t="s">
        <v>453</v>
      </c>
      <c r="J60" s="11" t="s">
        <v>49</v>
      </c>
      <c r="K60" s="11" t="s">
        <v>20</v>
      </c>
      <c r="L60" s="10"/>
      <c r="M60" s="13"/>
      <c r="N60" s="13"/>
    </row>
    <row r="61" spans="1:14" s="14" customFormat="1" ht="15" customHeight="1">
      <c r="A61" s="9">
        <v>3</v>
      </c>
      <c r="B61" s="11" t="s">
        <v>216</v>
      </c>
      <c r="C61" s="11" t="s">
        <v>585</v>
      </c>
      <c r="D61" s="12" t="s">
        <v>121</v>
      </c>
      <c r="E61" s="135" t="s">
        <v>2911</v>
      </c>
      <c r="F61" s="11" t="s">
        <v>105</v>
      </c>
      <c r="G61" s="11" t="s">
        <v>48</v>
      </c>
      <c r="H61" s="11" t="s">
        <v>532</v>
      </c>
      <c r="I61" s="11" t="s">
        <v>453</v>
      </c>
      <c r="J61" s="11" t="s">
        <v>49</v>
      </c>
      <c r="K61" s="11" t="s">
        <v>20</v>
      </c>
      <c r="L61" s="10"/>
      <c r="M61" s="13" t="s">
        <v>571</v>
      </c>
      <c r="N61" s="13">
        <v>330</v>
      </c>
    </row>
    <row r="62" spans="1:14" s="14" customFormat="1" ht="15" customHeight="1">
      <c r="A62" s="9">
        <v>1</v>
      </c>
      <c r="B62" s="11" t="s">
        <v>586</v>
      </c>
      <c r="C62" s="11" t="s">
        <v>587</v>
      </c>
      <c r="D62" s="12" t="s">
        <v>121</v>
      </c>
      <c r="E62" s="12" t="s">
        <v>588</v>
      </c>
      <c r="F62" s="11" t="s">
        <v>105</v>
      </c>
      <c r="G62" s="11" t="s">
        <v>48</v>
      </c>
      <c r="H62" s="11" t="s">
        <v>532</v>
      </c>
      <c r="I62" s="11" t="s">
        <v>453</v>
      </c>
      <c r="J62" s="11" t="s">
        <v>49</v>
      </c>
      <c r="K62" s="11" t="s">
        <v>20</v>
      </c>
      <c r="L62" s="10"/>
      <c r="M62" s="13" t="s">
        <v>571</v>
      </c>
      <c r="N62" s="13">
        <v>330</v>
      </c>
    </row>
    <row r="63" spans="1:14" s="14" customFormat="1" ht="15" customHeight="1">
      <c r="A63" s="9">
        <v>1</v>
      </c>
      <c r="B63" s="11" t="s">
        <v>589</v>
      </c>
      <c r="C63" s="11" t="s">
        <v>590</v>
      </c>
      <c r="D63" s="12" t="s">
        <v>121</v>
      </c>
      <c r="E63" s="12" t="s">
        <v>591</v>
      </c>
      <c r="F63" s="11" t="s">
        <v>105</v>
      </c>
      <c r="G63" s="11" t="s">
        <v>48</v>
      </c>
      <c r="H63" s="11" t="s">
        <v>532</v>
      </c>
      <c r="I63" s="11" t="s">
        <v>453</v>
      </c>
      <c r="J63" s="11" t="s">
        <v>49</v>
      </c>
      <c r="K63" s="11" t="s">
        <v>20</v>
      </c>
      <c r="L63" s="10"/>
      <c r="M63" s="13" t="s">
        <v>571</v>
      </c>
      <c r="N63" s="13">
        <v>330</v>
      </c>
    </row>
    <row r="64" spans="1:14" s="14" customFormat="1" ht="10.95" customHeight="1">
      <c r="A64" s="9">
        <v>1</v>
      </c>
      <c r="B64" s="11" t="s">
        <v>592</v>
      </c>
      <c r="C64" s="11" t="s">
        <v>593</v>
      </c>
      <c r="D64" s="15" t="s">
        <v>551</v>
      </c>
      <c r="E64" s="12" t="s">
        <v>594</v>
      </c>
      <c r="F64" s="11" t="s">
        <v>105</v>
      </c>
      <c r="G64" s="11" t="s">
        <v>48</v>
      </c>
      <c r="H64" s="11" t="s">
        <v>38</v>
      </c>
      <c r="I64" s="11" t="s">
        <v>453</v>
      </c>
      <c r="J64" s="11" t="s">
        <v>49</v>
      </c>
      <c r="K64" s="11" t="s">
        <v>20</v>
      </c>
      <c r="L64" s="10"/>
      <c r="M64" s="13"/>
      <c r="N64" s="13"/>
    </row>
    <row r="65" spans="1:14" s="14" customFormat="1" ht="10.95" customHeight="1">
      <c r="A65" s="9">
        <v>1</v>
      </c>
      <c r="B65" s="11" t="s">
        <v>595</v>
      </c>
      <c r="C65" s="11" t="s">
        <v>596</v>
      </c>
      <c r="D65" s="15" t="s">
        <v>551</v>
      </c>
      <c r="E65" s="12" t="s">
        <v>597</v>
      </c>
      <c r="F65" s="11" t="s">
        <v>105</v>
      </c>
      <c r="G65" s="11" t="s">
        <v>48</v>
      </c>
      <c r="H65" s="11" t="s">
        <v>38</v>
      </c>
      <c r="I65" s="11" t="s">
        <v>453</v>
      </c>
      <c r="J65" s="11" t="s">
        <v>49</v>
      </c>
      <c r="K65" s="11" t="s">
        <v>20</v>
      </c>
      <c r="L65" s="10"/>
      <c r="M65" s="13"/>
      <c r="N65" s="13"/>
    </row>
    <row r="66" spans="1:14" s="14" customFormat="1" ht="10.95" customHeight="1">
      <c r="A66" s="9">
        <v>1</v>
      </c>
      <c r="B66" s="11" t="s">
        <v>598</v>
      </c>
      <c r="C66" s="11" t="s">
        <v>599</v>
      </c>
      <c r="D66" s="15" t="s">
        <v>551</v>
      </c>
      <c r="E66" s="12" t="s">
        <v>600</v>
      </c>
      <c r="F66" s="11" t="s">
        <v>105</v>
      </c>
      <c r="G66" s="11" t="s">
        <v>48</v>
      </c>
      <c r="H66" s="11" t="s">
        <v>38</v>
      </c>
      <c r="I66" s="11" t="s">
        <v>453</v>
      </c>
      <c r="J66" s="11" t="s">
        <v>49</v>
      </c>
      <c r="K66" s="11" t="s">
        <v>20</v>
      </c>
      <c r="L66" s="10"/>
      <c r="M66" s="13"/>
      <c r="N66" s="13"/>
    </row>
    <row r="67" spans="1:14" s="14" customFormat="1" ht="10.95" customHeight="1">
      <c r="A67" s="9">
        <v>2</v>
      </c>
      <c r="B67" s="11" t="s">
        <v>601</v>
      </c>
      <c r="C67" s="11" t="s">
        <v>602</v>
      </c>
      <c r="D67" s="15" t="s">
        <v>551</v>
      </c>
      <c r="E67" s="12" t="s">
        <v>603</v>
      </c>
      <c r="F67" s="11" t="s">
        <v>105</v>
      </c>
      <c r="G67" s="11" t="s">
        <v>25</v>
      </c>
      <c r="H67" s="11" t="s">
        <v>38</v>
      </c>
      <c r="I67" s="11" t="s">
        <v>453</v>
      </c>
      <c r="J67" s="10"/>
      <c r="K67" s="11" t="s">
        <v>20</v>
      </c>
      <c r="L67" s="10"/>
      <c r="M67" s="13"/>
      <c r="N67" s="13"/>
    </row>
    <row r="68" spans="1:14" s="14" customFormat="1" ht="10.95" customHeight="1">
      <c r="A68" s="9">
        <v>3</v>
      </c>
      <c r="B68" s="11" t="s">
        <v>604</v>
      </c>
      <c r="C68" s="11" t="s">
        <v>605</v>
      </c>
      <c r="D68" s="15" t="s">
        <v>551</v>
      </c>
      <c r="E68" s="12" t="s">
        <v>603</v>
      </c>
      <c r="F68" s="11" t="s">
        <v>105</v>
      </c>
      <c r="G68" s="11" t="s">
        <v>25</v>
      </c>
      <c r="H68" s="11" t="s">
        <v>38</v>
      </c>
      <c r="I68" s="11" t="s">
        <v>453</v>
      </c>
      <c r="J68" s="10"/>
      <c r="K68" s="11" t="s">
        <v>20</v>
      </c>
      <c r="L68" s="10"/>
      <c r="M68" s="13"/>
      <c r="N68" s="13"/>
    </row>
    <row r="69" spans="1:14" s="14" customFormat="1" ht="15" customHeight="1">
      <c r="A69" s="9">
        <v>3</v>
      </c>
      <c r="B69" s="11" t="s">
        <v>226</v>
      </c>
      <c r="C69" s="11" t="s">
        <v>606</v>
      </c>
      <c r="D69" s="12" t="s">
        <v>121</v>
      </c>
      <c r="E69" s="12" t="s">
        <v>607</v>
      </c>
      <c r="F69" s="11" t="s">
        <v>138</v>
      </c>
      <c r="G69" s="11" t="s">
        <v>48</v>
      </c>
      <c r="H69" s="11" t="s">
        <v>532</v>
      </c>
      <c r="I69" s="11" t="s">
        <v>453</v>
      </c>
      <c r="J69" s="11" t="s">
        <v>49</v>
      </c>
      <c r="K69" s="11" t="s">
        <v>20</v>
      </c>
      <c r="L69" s="10"/>
      <c r="M69" s="13" t="s">
        <v>571</v>
      </c>
      <c r="N69" s="13">
        <v>330</v>
      </c>
    </row>
    <row r="70" spans="1:14" s="14" customFormat="1" ht="15" customHeight="1">
      <c r="A70" s="9">
        <v>1</v>
      </c>
      <c r="B70" s="11" t="s">
        <v>608</v>
      </c>
      <c r="C70" s="11" t="s">
        <v>609</v>
      </c>
      <c r="D70" s="12" t="s">
        <v>121</v>
      </c>
      <c r="E70" s="12" t="s">
        <v>610</v>
      </c>
      <c r="F70" s="11" t="s">
        <v>138</v>
      </c>
      <c r="G70" s="11" t="s">
        <v>48</v>
      </c>
      <c r="H70" s="11" t="s">
        <v>532</v>
      </c>
      <c r="I70" s="11" t="s">
        <v>453</v>
      </c>
      <c r="J70" s="11" t="s">
        <v>49</v>
      </c>
      <c r="K70" s="11" t="s">
        <v>20</v>
      </c>
      <c r="L70" s="10"/>
      <c r="M70" s="13" t="s">
        <v>571</v>
      </c>
      <c r="N70" s="13">
        <v>330</v>
      </c>
    </row>
    <row r="71" spans="1:14" s="14" customFormat="1" ht="15" customHeight="1">
      <c r="A71" s="9">
        <v>1</v>
      </c>
      <c r="B71" s="11" t="s">
        <v>611</v>
      </c>
      <c r="C71" s="11" t="s">
        <v>612</v>
      </c>
      <c r="D71" s="12" t="s">
        <v>121</v>
      </c>
      <c r="E71" s="12" t="s">
        <v>613</v>
      </c>
      <c r="F71" s="11" t="s">
        <v>138</v>
      </c>
      <c r="G71" s="11" t="s">
        <v>48</v>
      </c>
      <c r="H71" s="11" t="s">
        <v>532</v>
      </c>
      <c r="I71" s="11" t="s">
        <v>453</v>
      </c>
      <c r="J71" s="11" t="s">
        <v>49</v>
      </c>
      <c r="K71" s="11" t="s">
        <v>20</v>
      </c>
      <c r="L71" s="10"/>
      <c r="M71" s="13" t="s">
        <v>571</v>
      </c>
      <c r="N71" s="13">
        <v>330</v>
      </c>
    </row>
    <row r="72" spans="1:14" s="14" customFormat="1" ht="10.95" customHeight="1">
      <c r="A72" s="9">
        <v>1</v>
      </c>
      <c r="B72" s="11" t="s">
        <v>614</v>
      </c>
      <c r="C72" s="11" t="s">
        <v>615</v>
      </c>
      <c r="D72" s="15" t="s">
        <v>551</v>
      </c>
      <c r="E72" s="12" t="s">
        <v>616</v>
      </c>
      <c r="F72" s="11" t="s">
        <v>138</v>
      </c>
      <c r="G72" s="11" t="s">
        <v>48</v>
      </c>
      <c r="H72" s="11" t="s">
        <v>38</v>
      </c>
      <c r="I72" s="11" t="s">
        <v>453</v>
      </c>
      <c r="J72" s="11" t="s">
        <v>49</v>
      </c>
      <c r="K72" s="11" t="s">
        <v>20</v>
      </c>
      <c r="L72" s="10"/>
      <c r="M72" s="13"/>
      <c r="N72" s="13"/>
    </row>
    <row r="73" spans="1:14" s="14" customFormat="1" ht="10.95" customHeight="1">
      <c r="A73" s="9">
        <v>1</v>
      </c>
      <c r="B73" s="11" t="s">
        <v>617</v>
      </c>
      <c r="C73" s="11" t="s">
        <v>618</v>
      </c>
      <c r="D73" s="15" t="s">
        <v>551</v>
      </c>
      <c r="E73" s="12" t="s">
        <v>619</v>
      </c>
      <c r="F73" s="11" t="s">
        <v>138</v>
      </c>
      <c r="G73" s="11" t="s">
        <v>48</v>
      </c>
      <c r="H73" s="11" t="s">
        <v>38</v>
      </c>
      <c r="I73" s="11" t="s">
        <v>453</v>
      </c>
      <c r="J73" s="11" t="s">
        <v>49</v>
      </c>
      <c r="K73" s="11" t="s">
        <v>20</v>
      </c>
      <c r="L73" s="10"/>
      <c r="M73" s="13"/>
      <c r="N73" s="13"/>
    </row>
    <row r="74" spans="1:14" s="14" customFormat="1" ht="10.95" customHeight="1">
      <c r="A74" s="9">
        <v>1</v>
      </c>
      <c r="B74" s="11" t="s">
        <v>620</v>
      </c>
      <c r="C74" s="11" t="s">
        <v>621</v>
      </c>
      <c r="D74" s="15" t="s">
        <v>551</v>
      </c>
      <c r="E74" s="12" t="s">
        <v>622</v>
      </c>
      <c r="F74" s="11" t="s">
        <v>138</v>
      </c>
      <c r="G74" s="11" t="s">
        <v>48</v>
      </c>
      <c r="H74" s="11" t="s">
        <v>38</v>
      </c>
      <c r="I74" s="11" t="s">
        <v>453</v>
      </c>
      <c r="J74" s="11" t="s">
        <v>49</v>
      </c>
      <c r="K74" s="11" t="s">
        <v>20</v>
      </c>
      <c r="L74" s="10"/>
      <c r="M74" s="13"/>
      <c r="N74" s="13"/>
    </row>
    <row r="75" spans="1:14" s="14" customFormat="1" ht="10.95" customHeight="1">
      <c r="A75" s="9">
        <v>2</v>
      </c>
      <c r="B75" s="11" t="s">
        <v>623</v>
      </c>
      <c r="C75" s="11" t="s">
        <v>624</v>
      </c>
      <c r="D75" s="15" t="s">
        <v>551</v>
      </c>
      <c r="E75" s="12" t="s">
        <v>603</v>
      </c>
      <c r="F75" s="11" t="s">
        <v>138</v>
      </c>
      <c r="G75" s="11" t="s">
        <v>25</v>
      </c>
      <c r="H75" s="11" t="s">
        <v>38</v>
      </c>
      <c r="I75" s="11" t="s">
        <v>453</v>
      </c>
      <c r="J75" s="10"/>
      <c r="K75" s="11" t="s">
        <v>20</v>
      </c>
      <c r="L75" s="10"/>
      <c r="M75" s="13"/>
      <c r="N75" s="13"/>
    </row>
    <row r="76" spans="1:14" s="14" customFormat="1" ht="10.95" customHeight="1">
      <c r="A76" s="9">
        <v>3</v>
      </c>
      <c r="B76" s="11" t="s">
        <v>625</v>
      </c>
      <c r="C76" s="11" t="s">
        <v>626</v>
      </c>
      <c r="D76" s="15" t="s">
        <v>551</v>
      </c>
      <c r="E76" s="12" t="s">
        <v>603</v>
      </c>
      <c r="F76" s="11" t="s">
        <v>138</v>
      </c>
      <c r="G76" s="11" t="s">
        <v>25</v>
      </c>
      <c r="H76" s="11" t="s">
        <v>38</v>
      </c>
      <c r="I76" s="11" t="s">
        <v>453</v>
      </c>
      <c r="J76" s="10"/>
      <c r="K76" s="11" t="s">
        <v>20</v>
      </c>
      <c r="L76" s="10"/>
      <c r="M76" s="13"/>
      <c r="N76" s="13"/>
    </row>
    <row r="77" spans="1:14" s="14" customFormat="1" ht="15" customHeight="1">
      <c r="A77" s="9">
        <v>3</v>
      </c>
      <c r="B77" s="11" t="s">
        <v>233</v>
      </c>
      <c r="C77" s="11" t="s">
        <v>627</v>
      </c>
      <c r="D77" s="12" t="s">
        <v>121</v>
      </c>
      <c r="E77" s="12" t="s">
        <v>628</v>
      </c>
      <c r="F77" s="11" t="s">
        <v>165</v>
      </c>
      <c r="G77" s="11" t="s">
        <v>48</v>
      </c>
      <c r="H77" s="11" t="s">
        <v>532</v>
      </c>
      <c r="I77" s="11" t="s">
        <v>453</v>
      </c>
      <c r="J77" s="11" t="s">
        <v>49</v>
      </c>
      <c r="K77" s="11" t="s">
        <v>20</v>
      </c>
      <c r="L77" s="10"/>
      <c r="M77" s="13" t="s">
        <v>571</v>
      </c>
      <c r="N77" s="13">
        <v>330</v>
      </c>
    </row>
    <row r="78" spans="1:14" s="14" customFormat="1" ht="15" customHeight="1">
      <c r="A78" s="9">
        <v>1</v>
      </c>
      <c r="B78" s="11" t="s">
        <v>629</v>
      </c>
      <c r="C78" s="11" t="s">
        <v>630</v>
      </c>
      <c r="D78" s="12" t="s">
        <v>121</v>
      </c>
      <c r="E78" s="12" t="s">
        <v>631</v>
      </c>
      <c r="F78" s="11" t="s">
        <v>165</v>
      </c>
      <c r="G78" s="11" t="s">
        <v>48</v>
      </c>
      <c r="H78" s="11" t="s">
        <v>532</v>
      </c>
      <c r="I78" s="11" t="s">
        <v>453</v>
      </c>
      <c r="J78" s="11" t="s">
        <v>49</v>
      </c>
      <c r="K78" s="11" t="s">
        <v>20</v>
      </c>
      <c r="L78" s="10"/>
      <c r="M78" s="13" t="s">
        <v>571</v>
      </c>
      <c r="N78" s="13">
        <v>330</v>
      </c>
    </row>
    <row r="79" spans="1:14" s="14" customFormat="1" ht="15" customHeight="1">
      <c r="A79" s="9">
        <v>1</v>
      </c>
      <c r="B79" s="11" t="s">
        <v>632</v>
      </c>
      <c r="C79" s="11" t="s">
        <v>633</v>
      </c>
      <c r="D79" s="12" t="s">
        <v>121</v>
      </c>
      <c r="E79" s="12" t="s">
        <v>634</v>
      </c>
      <c r="F79" s="11" t="s">
        <v>165</v>
      </c>
      <c r="G79" s="11" t="s">
        <v>48</v>
      </c>
      <c r="H79" s="11" t="s">
        <v>532</v>
      </c>
      <c r="I79" s="11" t="s">
        <v>453</v>
      </c>
      <c r="J79" s="11" t="s">
        <v>49</v>
      </c>
      <c r="K79" s="11" t="s">
        <v>20</v>
      </c>
      <c r="L79" s="10"/>
      <c r="M79" s="13" t="s">
        <v>571</v>
      </c>
      <c r="N79" s="13">
        <v>330</v>
      </c>
    </row>
    <row r="80" spans="1:14" s="14" customFormat="1" ht="10.95" customHeight="1">
      <c r="A80" s="9">
        <v>1</v>
      </c>
      <c r="B80" s="11" t="s">
        <v>635</v>
      </c>
      <c r="C80" s="11" t="s">
        <v>636</v>
      </c>
      <c r="D80" s="15" t="s">
        <v>551</v>
      </c>
      <c r="E80" s="12" t="s">
        <v>637</v>
      </c>
      <c r="F80" s="11" t="s">
        <v>165</v>
      </c>
      <c r="G80" s="11" t="s">
        <v>48</v>
      </c>
      <c r="H80" s="11" t="s">
        <v>38</v>
      </c>
      <c r="I80" s="11" t="s">
        <v>453</v>
      </c>
      <c r="J80" s="11" t="s">
        <v>49</v>
      </c>
      <c r="K80" s="11" t="s">
        <v>20</v>
      </c>
      <c r="L80" s="10"/>
      <c r="M80" s="13"/>
      <c r="N80" s="13"/>
    </row>
    <row r="81" spans="1:14" s="14" customFormat="1" ht="10.95" customHeight="1">
      <c r="A81" s="9">
        <v>1</v>
      </c>
      <c r="B81" s="11" t="s">
        <v>638</v>
      </c>
      <c r="C81" s="11" t="s">
        <v>639</v>
      </c>
      <c r="D81" s="15" t="s">
        <v>551</v>
      </c>
      <c r="E81" s="12" t="s">
        <v>640</v>
      </c>
      <c r="F81" s="11" t="s">
        <v>165</v>
      </c>
      <c r="G81" s="11" t="s">
        <v>48</v>
      </c>
      <c r="H81" s="11" t="s">
        <v>38</v>
      </c>
      <c r="I81" s="11" t="s">
        <v>453</v>
      </c>
      <c r="J81" s="11" t="s">
        <v>49</v>
      </c>
      <c r="K81" s="11" t="s">
        <v>20</v>
      </c>
      <c r="L81" s="10"/>
      <c r="M81" s="13"/>
      <c r="N81" s="13"/>
    </row>
    <row r="82" spans="1:14" s="14" customFormat="1" ht="10.95" customHeight="1">
      <c r="A82" s="9">
        <v>1</v>
      </c>
      <c r="B82" s="11" t="s">
        <v>641</v>
      </c>
      <c r="C82" s="11" t="s">
        <v>642</v>
      </c>
      <c r="D82" s="15" t="s">
        <v>551</v>
      </c>
      <c r="E82" s="12" t="s">
        <v>643</v>
      </c>
      <c r="F82" s="11" t="s">
        <v>165</v>
      </c>
      <c r="G82" s="11" t="s">
        <v>48</v>
      </c>
      <c r="H82" s="11" t="s">
        <v>38</v>
      </c>
      <c r="I82" s="11" t="s">
        <v>453</v>
      </c>
      <c r="J82" s="11" t="s">
        <v>49</v>
      </c>
      <c r="K82" s="11" t="s">
        <v>20</v>
      </c>
      <c r="L82" s="10"/>
      <c r="M82" s="13"/>
      <c r="N82" s="13"/>
    </row>
    <row r="83" spans="1:14" s="14" customFormat="1" ht="10.95" customHeight="1">
      <c r="A83" s="9">
        <v>1</v>
      </c>
      <c r="B83" s="11" t="s">
        <v>644</v>
      </c>
      <c r="C83" s="11" t="s">
        <v>645</v>
      </c>
      <c r="D83" s="15" t="s">
        <v>551</v>
      </c>
      <c r="E83" s="12" t="s">
        <v>603</v>
      </c>
      <c r="F83" s="11" t="s">
        <v>165</v>
      </c>
      <c r="G83" s="11" t="s">
        <v>25</v>
      </c>
      <c r="H83" s="11" t="s">
        <v>38</v>
      </c>
      <c r="I83" s="11" t="s">
        <v>453</v>
      </c>
      <c r="J83" s="10"/>
      <c r="K83" s="11" t="s">
        <v>20</v>
      </c>
      <c r="L83" s="10"/>
      <c r="M83" s="13"/>
      <c r="N83" s="13"/>
    </row>
    <row r="84" spans="1:14" s="14" customFormat="1" ht="10.95" customHeight="1">
      <c r="A84" s="9">
        <v>3</v>
      </c>
      <c r="B84" s="11" t="s">
        <v>646</v>
      </c>
      <c r="C84" s="11" t="s">
        <v>647</v>
      </c>
      <c r="D84" s="15" t="s">
        <v>551</v>
      </c>
      <c r="E84" s="12" t="s">
        <v>603</v>
      </c>
      <c r="F84" s="11" t="s">
        <v>165</v>
      </c>
      <c r="G84" s="11" t="s">
        <v>25</v>
      </c>
      <c r="H84" s="11" t="s">
        <v>38</v>
      </c>
      <c r="I84" s="11" t="s">
        <v>453</v>
      </c>
      <c r="J84" s="10"/>
      <c r="K84" s="11" t="s">
        <v>20</v>
      </c>
      <c r="L84" s="10"/>
      <c r="M84" s="13"/>
      <c r="N84" s="13"/>
    </row>
    <row r="85" spans="1:14" s="14" customFormat="1" ht="15" customHeight="1">
      <c r="A85" s="9">
        <v>3</v>
      </c>
      <c r="B85" s="11" t="s">
        <v>240</v>
      </c>
      <c r="C85" s="11" t="s">
        <v>648</v>
      </c>
      <c r="D85" s="12" t="s">
        <v>121</v>
      </c>
      <c r="E85" s="12" t="s">
        <v>649</v>
      </c>
      <c r="F85" s="11" t="s">
        <v>192</v>
      </c>
      <c r="G85" s="11" t="s">
        <v>48</v>
      </c>
      <c r="H85" s="11" t="s">
        <v>532</v>
      </c>
      <c r="I85" s="11" t="s">
        <v>453</v>
      </c>
      <c r="J85" s="11" t="s">
        <v>49</v>
      </c>
      <c r="K85" s="11" t="s">
        <v>20</v>
      </c>
      <c r="L85" s="10"/>
      <c r="M85" s="13" t="s">
        <v>571</v>
      </c>
      <c r="N85" s="13">
        <v>330</v>
      </c>
    </row>
    <row r="86" spans="1:14" s="14" customFormat="1" ht="15" customHeight="1">
      <c r="A86" s="9">
        <v>1</v>
      </c>
      <c r="B86" s="11" t="s">
        <v>650</v>
      </c>
      <c r="C86" s="11" t="s">
        <v>651</v>
      </c>
      <c r="D86" s="12" t="s">
        <v>121</v>
      </c>
      <c r="E86" s="12" t="s">
        <v>652</v>
      </c>
      <c r="F86" s="11" t="s">
        <v>192</v>
      </c>
      <c r="G86" s="11" t="s">
        <v>48</v>
      </c>
      <c r="H86" s="11" t="s">
        <v>532</v>
      </c>
      <c r="I86" s="11" t="s">
        <v>453</v>
      </c>
      <c r="J86" s="11" t="s">
        <v>49</v>
      </c>
      <c r="K86" s="11" t="s">
        <v>20</v>
      </c>
      <c r="L86" s="10"/>
      <c r="M86" s="13" t="s">
        <v>571</v>
      </c>
      <c r="N86" s="13">
        <v>330</v>
      </c>
    </row>
    <row r="87" spans="1:14" s="14" customFormat="1" ht="15" customHeight="1">
      <c r="A87" s="9">
        <v>1</v>
      </c>
      <c r="B87" s="11" t="s">
        <v>653</v>
      </c>
      <c r="C87" s="11" t="s">
        <v>654</v>
      </c>
      <c r="D87" s="12" t="s">
        <v>121</v>
      </c>
      <c r="E87" s="12" t="s">
        <v>655</v>
      </c>
      <c r="F87" s="11" t="s">
        <v>192</v>
      </c>
      <c r="G87" s="11" t="s">
        <v>48</v>
      </c>
      <c r="H87" s="11" t="s">
        <v>532</v>
      </c>
      <c r="I87" s="11" t="s">
        <v>453</v>
      </c>
      <c r="J87" s="11" t="s">
        <v>49</v>
      </c>
      <c r="K87" s="11" t="s">
        <v>20</v>
      </c>
      <c r="L87" s="10"/>
      <c r="M87" s="13" t="s">
        <v>571</v>
      </c>
      <c r="N87" s="13">
        <v>330</v>
      </c>
    </row>
    <row r="88" spans="1:14" s="14" customFormat="1" ht="10.95" customHeight="1">
      <c r="A88" s="9">
        <v>1</v>
      </c>
      <c r="B88" s="11" t="s">
        <v>656</v>
      </c>
      <c r="C88" s="11" t="s">
        <v>657</v>
      </c>
      <c r="D88" s="15" t="s">
        <v>551</v>
      </c>
      <c r="E88" s="12" t="s">
        <v>658</v>
      </c>
      <c r="F88" s="11" t="s">
        <v>192</v>
      </c>
      <c r="G88" s="11" t="s">
        <v>48</v>
      </c>
      <c r="H88" s="11" t="s">
        <v>38</v>
      </c>
      <c r="I88" s="11" t="s">
        <v>453</v>
      </c>
      <c r="J88" s="11" t="s">
        <v>49</v>
      </c>
      <c r="K88" s="11" t="s">
        <v>20</v>
      </c>
      <c r="L88" s="10"/>
      <c r="M88" s="13"/>
      <c r="N88" s="13"/>
    </row>
    <row r="89" spans="1:14" s="14" customFormat="1" ht="10.95" customHeight="1">
      <c r="A89" s="9">
        <v>1</v>
      </c>
      <c r="B89" s="11" t="s">
        <v>659</v>
      </c>
      <c r="C89" s="11" t="s">
        <v>660</v>
      </c>
      <c r="D89" s="15" t="s">
        <v>551</v>
      </c>
      <c r="E89" s="12" t="s">
        <v>661</v>
      </c>
      <c r="F89" s="11" t="s">
        <v>192</v>
      </c>
      <c r="G89" s="11" t="s">
        <v>48</v>
      </c>
      <c r="H89" s="11" t="s">
        <v>38</v>
      </c>
      <c r="I89" s="11" t="s">
        <v>453</v>
      </c>
      <c r="J89" s="11" t="s">
        <v>49</v>
      </c>
      <c r="K89" s="11" t="s">
        <v>20</v>
      </c>
      <c r="L89" s="10"/>
      <c r="M89" s="13"/>
      <c r="N89" s="13"/>
    </row>
    <row r="90" spans="1:14" s="14" customFormat="1" ht="10.95" customHeight="1">
      <c r="A90" s="9">
        <v>1</v>
      </c>
      <c r="B90" s="11" t="s">
        <v>662</v>
      </c>
      <c r="C90" s="11" t="s">
        <v>663</v>
      </c>
      <c r="D90" s="15" t="s">
        <v>551</v>
      </c>
      <c r="E90" s="12" t="s">
        <v>664</v>
      </c>
      <c r="F90" s="11" t="s">
        <v>192</v>
      </c>
      <c r="G90" s="11" t="s">
        <v>48</v>
      </c>
      <c r="H90" s="11" t="s">
        <v>38</v>
      </c>
      <c r="I90" s="11" t="s">
        <v>453</v>
      </c>
      <c r="J90" s="11" t="s">
        <v>49</v>
      </c>
      <c r="K90" s="11" t="s">
        <v>20</v>
      </c>
      <c r="L90" s="10"/>
      <c r="M90" s="13"/>
      <c r="N90" s="13"/>
    </row>
    <row r="91" spans="1:14" s="14" customFormat="1" ht="10.95" customHeight="1">
      <c r="A91" s="9">
        <v>2</v>
      </c>
      <c r="B91" s="11" t="s">
        <v>665</v>
      </c>
      <c r="C91" s="11" t="s">
        <v>666</v>
      </c>
      <c r="D91" s="15" t="s">
        <v>551</v>
      </c>
      <c r="E91" s="12" t="s">
        <v>603</v>
      </c>
      <c r="F91" s="11" t="s">
        <v>192</v>
      </c>
      <c r="G91" s="11" t="s">
        <v>25</v>
      </c>
      <c r="H91" s="11" t="s">
        <v>38</v>
      </c>
      <c r="I91" s="11" t="s">
        <v>453</v>
      </c>
      <c r="J91" s="10"/>
      <c r="K91" s="11" t="s">
        <v>20</v>
      </c>
      <c r="L91" s="10"/>
      <c r="M91" s="13"/>
      <c r="N91" s="13"/>
    </row>
    <row r="92" spans="1:14" s="14" customFormat="1" ht="10.95" customHeight="1">
      <c r="A92" s="9">
        <v>3</v>
      </c>
      <c r="B92" s="11" t="s">
        <v>667</v>
      </c>
      <c r="C92" s="11" t="s">
        <v>668</v>
      </c>
      <c r="D92" s="15" t="s">
        <v>551</v>
      </c>
      <c r="E92" s="12" t="s">
        <v>603</v>
      </c>
      <c r="F92" s="11" t="s">
        <v>192</v>
      </c>
      <c r="G92" s="11" t="s">
        <v>25</v>
      </c>
      <c r="H92" s="11" t="s">
        <v>38</v>
      </c>
      <c r="I92" s="11" t="s">
        <v>453</v>
      </c>
      <c r="J92" s="10"/>
      <c r="K92" s="11" t="s">
        <v>20</v>
      </c>
      <c r="L92" s="10"/>
      <c r="M92" s="13"/>
      <c r="N92" s="13"/>
    </row>
    <row r="93" spans="1:14" s="14" customFormat="1" ht="10.95" customHeight="1">
      <c r="A93" s="9">
        <v>1</v>
      </c>
      <c r="B93" s="11" t="s">
        <v>669</v>
      </c>
      <c r="C93" s="11" t="s">
        <v>670</v>
      </c>
      <c r="D93" s="12" t="s">
        <v>671</v>
      </c>
      <c r="E93" s="12" t="s">
        <v>672</v>
      </c>
      <c r="F93" s="11" t="s">
        <v>220</v>
      </c>
      <c r="G93" s="11" t="s">
        <v>25</v>
      </c>
      <c r="H93" s="11" t="s">
        <v>38</v>
      </c>
      <c r="I93" s="11" t="s">
        <v>453</v>
      </c>
      <c r="J93" s="10"/>
      <c r="K93" s="11" t="s">
        <v>20</v>
      </c>
      <c r="L93" s="10"/>
      <c r="M93" s="13"/>
      <c r="N93" s="13"/>
    </row>
    <row r="94" spans="1:14" s="14" customFormat="1" ht="15" customHeight="1">
      <c r="A94" s="9">
        <v>1</v>
      </c>
      <c r="B94" s="11" t="s">
        <v>669</v>
      </c>
      <c r="C94" s="11" t="s">
        <v>673</v>
      </c>
      <c r="D94" s="12" t="s">
        <v>121</v>
      </c>
      <c r="E94" s="12" t="s">
        <v>672</v>
      </c>
      <c r="F94" s="11" t="s">
        <v>220</v>
      </c>
      <c r="G94" s="11" t="s">
        <v>25</v>
      </c>
      <c r="H94" s="11" t="s">
        <v>532</v>
      </c>
      <c r="I94" s="11" t="s">
        <v>453</v>
      </c>
      <c r="J94" s="10"/>
      <c r="K94" s="11" t="s">
        <v>20</v>
      </c>
      <c r="L94" s="10"/>
      <c r="M94" s="13" t="s">
        <v>571</v>
      </c>
      <c r="N94" s="13">
        <v>330</v>
      </c>
    </row>
    <row r="95" spans="1:14" s="14" customFormat="1" ht="10.95" customHeight="1">
      <c r="A95" s="9">
        <v>1</v>
      </c>
      <c r="B95" s="11" t="s">
        <v>674</v>
      </c>
      <c r="C95" s="11" t="s">
        <v>675</v>
      </c>
      <c r="D95" s="12" t="s">
        <v>671</v>
      </c>
      <c r="E95" s="12" t="s">
        <v>676</v>
      </c>
      <c r="F95" s="11" t="s">
        <v>250</v>
      </c>
      <c r="G95" s="11" t="s">
        <v>25</v>
      </c>
      <c r="H95" s="11" t="s">
        <v>38</v>
      </c>
      <c r="I95" s="11" t="s">
        <v>453</v>
      </c>
      <c r="J95" s="10"/>
      <c r="K95" s="11" t="s">
        <v>20</v>
      </c>
      <c r="L95" s="10"/>
      <c r="M95" s="13"/>
      <c r="N95" s="13"/>
    </row>
    <row r="96" spans="1:14" s="14" customFormat="1" ht="15" customHeight="1">
      <c r="A96" s="9">
        <v>1</v>
      </c>
      <c r="B96" s="11" t="s">
        <v>674</v>
      </c>
      <c r="C96" s="11" t="s">
        <v>677</v>
      </c>
      <c r="D96" s="12" t="s">
        <v>121</v>
      </c>
      <c r="E96" s="12" t="s">
        <v>678</v>
      </c>
      <c r="F96" s="11" t="s">
        <v>250</v>
      </c>
      <c r="G96" s="11" t="s">
        <v>25</v>
      </c>
      <c r="H96" s="11" t="s">
        <v>532</v>
      </c>
      <c r="I96" s="11" t="s">
        <v>453</v>
      </c>
      <c r="J96" s="10"/>
      <c r="K96" s="11" t="s">
        <v>20</v>
      </c>
      <c r="L96" s="10"/>
      <c r="M96" s="13" t="s">
        <v>571</v>
      </c>
      <c r="N96" s="13">
        <v>330</v>
      </c>
    </row>
    <row r="97" spans="1:14" s="14" customFormat="1" ht="15" customHeight="1">
      <c r="A97" s="9">
        <v>1</v>
      </c>
      <c r="B97" s="11" t="s">
        <v>674</v>
      </c>
      <c r="C97" s="11" t="s">
        <v>679</v>
      </c>
      <c r="D97" s="12" t="s">
        <v>121</v>
      </c>
      <c r="E97" s="12" t="s">
        <v>678</v>
      </c>
      <c r="F97" s="11" t="s">
        <v>250</v>
      </c>
      <c r="G97" s="11" t="s">
        <v>25</v>
      </c>
      <c r="H97" s="11" t="s">
        <v>532</v>
      </c>
      <c r="I97" s="11" t="s">
        <v>453</v>
      </c>
      <c r="J97" s="10"/>
      <c r="K97" s="11" t="s">
        <v>20</v>
      </c>
      <c r="L97" s="10"/>
      <c r="M97" s="13" t="s">
        <v>571</v>
      </c>
      <c r="N97" s="13">
        <v>330</v>
      </c>
    </row>
    <row r="98" spans="1:14" s="14" customFormat="1" ht="10.95" customHeight="1">
      <c r="A98" s="9">
        <v>1</v>
      </c>
      <c r="B98" s="11" t="s">
        <v>680</v>
      </c>
      <c r="C98" s="11" t="s">
        <v>681</v>
      </c>
      <c r="D98" s="15" t="s">
        <v>551</v>
      </c>
      <c r="E98" s="12" t="s">
        <v>682</v>
      </c>
      <c r="F98" s="11" t="s">
        <v>250</v>
      </c>
      <c r="G98" s="11" t="s">
        <v>25</v>
      </c>
      <c r="H98" s="11" t="s">
        <v>38</v>
      </c>
      <c r="I98" s="11" t="s">
        <v>453</v>
      </c>
      <c r="J98" s="10"/>
      <c r="K98" s="11" t="s">
        <v>20</v>
      </c>
      <c r="L98" s="10"/>
      <c r="M98" s="13"/>
      <c r="N98" s="13"/>
    </row>
    <row r="99" spans="1:14" s="14" customFormat="1" ht="10.95" customHeight="1">
      <c r="A99" s="9">
        <v>1</v>
      </c>
      <c r="B99" s="11" t="s">
        <v>680</v>
      </c>
      <c r="C99" s="11" t="s">
        <v>683</v>
      </c>
      <c r="D99" s="15" t="s">
        <v>551</v>
      </c>
      <c r="E99" s="12" t="s">
        <v>682</v>
      </c>
      <c r="F99" s="11" t="s">
        <v>250</v>
      </c>
      <c r="G99" s="11" t="s">
        <v>25</v>
      </c>
      <c r="H99" s="11" t="s">
        <v>38</v>
      </c>
      <c r="I99" s="11" t="s">
        <v>453</v>
      </c>
      <c r="J99" s="10"/>
      <c r="K99" s="11" t="s">
        <v>20</v>
      </c>
      <c r="L99" s="10"/>
      <c r="M99" s="13"/>
      <c r="N99" s="13"/>
    </row>
    <row r="100" spans="1:14" s="14" customFormat="1" ht="10.95" customHeight="1">
      <c r="A100" s="9">
        <v>1</v>
      </c>
      <c r="B100" s="11" t="s">
        <v>50</v>
      </c>
      <c r="C100" s="11" t="s">
        <v>684</v>
      </c>
      <c r="D100" s="15" t="s">
        <v>685</v>
      </c>
      <c r="E100" s="12" t="s">
        <v>256</v>
      </c>
      <c r="F100" s="11" t="s">
        <v>257</v>
      </c>
      <c r="G100" s="11" t="s">
        <v>25</v>
      </c>
      <c r="H100" s="11" t="s">
        <v>38</v>
      </c>
      <c r="I100" s="11" t="s">
        <v>453</v>
      </c>
      <c r="J100" s="10"/>
      <c r="K100" s="11" t="s">
        <v>20</v>
      </c>
      <c r="L100" s="10"/>
      <c r="M100" s="13"/>
      <c r="N100" s="13"/>
    </row>
    <row r="101" spans="1:14" s="14" customFormat="1" ht="15" customHeight="1">
      <c r="A101" s="9">
        <v>3</v>
      </c>
      <c r="B101" s="11" t="s">
        <v>269</v>
      </c>
      <c r="C101" s="11" t="s">
        <v>686</v>
      </c>
      <c r="D101" s="12" t="s">
        <v>564</v>
      </c>
      <c r="E101" s="12" t="s">
        <v>687</v>
      </c>
      <c r="F101" s="11" t="s">
        <v>257</v>
      </c>
      <c r="G101" s="11" t="s">
        <v>272</v>
      </c>
      <c r="H101" s="11" t="s">
        <v>532</v>
      </c>
      <c r="I101" s="11" t="s">
        <v>453</v>
      </c>
      <c r="J101" s="10"/>
      <c r="K101" s="11" t="s">
        <v>20</v>
      </c>
      <c r="L101" s="10"/>
      <c r="M101" s="13" t="s">
        <v>74</v>
      </c>
      <c r="N101" s="13">
        <v>10</v>
      </c>
    </row>
    <row r="102" spans="1:14" s="14" customFormat="1" ht="15" customHeight="1">
      <c r="A102" s="9">
        <v>3</v>
      </c>
      <c r="B102" s="11" t="s">
        <v>274</v>
      </c>
      <c r="C102" s="11" t="s">
        <v>688</v>
      </c>
      <c r="D102" s="12" t="s">
        <v>564</v>
      </c>
      <c r="E102" s="12" t="s">
        <v>689</v>
      </c>
      <c r="F102" s="11" t="s">
        <v>257</v>
      </c>
      <c r="G102" s="11" t="s">
        <v>272</v>
      </c>
      <c r="H102" s="11" t="s">
        <v>532</v>
      </c>
      <c r="I102" s="11" t="s">
        <v>453</v>
      </c>
      <c r="J102" s="10"/>
      <c r="K102" s="11" t="s">
        <v>20</v>
      </c>
      <c r="L102" s="10"/>
      <c r="M102" s="13" t="s">
        <v>74</v>
      </c>
      <c r="N102" s="13">
        <v>10</v>
      </c>
    </row>
    <row r="103" spans="1:14" s="14" customFormat="1" ht="10.95" customHeight="1">
      <c r="A103" s="9">
        <v>1</v>
      </c>
      <c r="B103" s="11" t="s">
        <v>690</v>
      </c>
      <c r="C103" s="11" t="s">
        <v>691</v>
      </c>
      <c r="D103" s="12" t="s">
        <v>692</v>
      </c>
      <c r="E103" s="12" t="s">
        <v>693</v>
      </c>
      <c r="F103" s="11" t="s">
        <v>257</v>
      </c>
      <c r="G103" s="11" t="s">
        <v>25</v>
      </c>
      <c r="H103" s="11" t="s">
        <v>38</v>
      </c>
      <c r="I103" s="11" t="s">
        <v>453</v>
      </c>
      <c r="J103" s="10"/>
      <c r="K103" s="11" t="s">
        <v>20</v>
      </c>
      <c r="L103" s="10"/>
      <c r="M103" s="13"/>
      <c r="N103" s="13"/>
    </row>
    <row r="104" spans="1:14" s="14" customFormat="1" ht="15" customHeight="1">
      <c r="A104" s="9">
        <v>3</v>
      </c>
      <c r="B104" s="11" t="s">
        <v>284</v>
      </c>
      <c r="C104" s="11" t="s">
        <v>694</v>
      </c>
      <c r="D104" s="12" t="s">
        <v>564</v>
      </c>
      <c r="E104" s="12" t="s">
        <v>293</v>
      </c>
      <c r="F104" s="11" t="s">
        <v>257</v>
      </c>
      <c r="G104" s="16" t="s">
        <v>288</v>
      </c>
      <c r="H104" s="11" t="s">
        <v>532</v>
      </c>
      <c r="I104" s="11" t="s">
        <v>453</v>
      </c>
      <c r="J104" s="10"/>
      <c r="K104" s="11" t="s">
        <v>20</v>
      </c>
      <c r="L104" s="10"/>
      <c r="M104" s="13" t="s">
        <v>74</v>
      </c>
      <c r="N104" s="13">
        <v>10</v>
      </c>
    </row>
    <row r="105" spans="1:14" s="14" customFormat="1" ht="15" customHeight="1">
      <c r="A105" s="9">
        <v>3</v>
      </c>
      <c r="B105" s="11" t="s">
        <v>296</v>
      </c>
      <c r="C105" s="11" t="s">
        <v>695</v>
      </c>
      <c r="D105" s="12" t="s">
        <v>564</v>
      </c>
      <c r="E105" s="12" t="s">
        <v>301</v>
      </c>
      <c r="F105" s="11" t="s">
        <v>257</v>
      </c>
      <c r="G105" s="16" t="s">
        <v>288</v>
      </c>
      <c r="H105" s="11" t="s">
        <v>532</v>
      </c>
      <c r="I105" s="11" t="s">
        <v>453</v>
      </c>
      <c r="J105" s="10"/>
      <c r="K105" s="11" t="s">
        <v>20</v>
      </c>
      <c r="L105" s="10"/>
      <c r="M105" s="13" t="s">
        <v>74</v>
      </c>
      <c r="N105" s="13">
        <v>10</v>
      </c>
    </row>
    <row r="106" spans="1:14" s="14" customFormat="1" ht="10.95" customHeight="1">
      <c r="A106" s="9">
        <v>1</v>
      </c>
      <c r="B106" s="11" t="s">
        <v>696</v>
      </c>
      <c r="C106" s="11" t="s">
        <v>697</v>
      </c>
      <c r="D106" s="15" t="s">
        <v>698</v>
      </c>
      <c r="E106" s="15" t="s">
        <v>311</v>
      </c>
      <c r="F106" s="11" t="s">
        <v>306</v>
      </c>
      <c r="G106" s="11" t="s">
        <v>25</v>
      </c>
      <c r="H106" s="11" t="s">
        <v>38</v>
      </c>
      <c r="I106" s="11" t="s">
        <v>453</v>
      </c>
      <c r="J106" s="10"/>
      <c r="K106" s="11" t="s">
        <v>20</v>
      </c>
      <c r="L106" s="10"/>
      <c r="M106" s="13"/>
      <c r="N106" s="13"/>
    </row>
    <row r="107" spans="1:14" s="14" customFormat="1" ht="10.95" customHeight="1">
      <c r="A107" s="9">
        <v>1</v>
      </c>
      <c r="B107" s="11" t="s">
        <v>696</v>
      </c>
      <c r="C107" s="11" t="s">
        <v>699</v>
      </c>
      <c r="D107" s="15" t="s">
        <v>698</v>
      </c>
      <c r="E107" s="15" t="s">
        <v>311</v>
      </c>
      <c r="F107" s="11" t="s">
        <v>306</v>
      </c>
      <c r="G107" s="11" t="s">
        <v>25</v>
      </c>
      <c r="H107" s="11" t="s">
        <v>38</v>
      </c>
      <c r="I107" s="11" t="s">
        <v>453</v>
      </c>
      <c r="J107" s="10"/>
      <c r="K107" s="11" t="s">
        <v>20</v>
      </c>
      <c r="L107" s="10"/>
      <c r="M107" s="13"/>
      <c r="N107" s="13"/>
    </row>
    <row r="108" spans="1:14" s="14" customFormat="1" ht="10.95" customHeight="1">
      <c r="A108" s="9">
        <v>1</v>
      </c>
      <c r="B108" s="11" t="s">
        <v>696</v>
      </c>
      <c r="C108" s="11" t="s">
        <v>700</v>
      </c>
      <c r="D108" s="15" t="s">
        <v>698</v>
      </c>
      <c r="E108" s="15" t="s">
        <v>311</v>
      </c>
      <c r="F108" s="11" t="s">
        <v>306</v>
      </c>
      <c r="G108" s="11" t="s">
        <v>25</v>
      </c>
      <c r="H108" s="11" t="s">
        <v>38</v>
      </c>
      <c r="I108" s="11" t="s">
        <v>453</v>
      </c>
      <c r="J108" s="10"/>
      <c r="K108" s="11" t="s">
        <v>20</v>
      </c>
      <c r="L108" s="10"/>
      <c r="M108" s="13"/>
      <c r="N108" s="13"/>
    </row>
    <row r="109" spans="1:14" s="14" customFormat="1" ht="15" customHeight="1">
      <c r="A109" s="9">
        <v>3</v>
      </c>
      <c r="B109" s="11" t="s">
        <v>331</v>
      </c>
      <c r="C109" s="11" t="s">
        <v>701</v>
      </c>
      <c r="D109" s="12" t="s">
        <v>564</v>
      </c>
      <c r="E109" s="12" t="s">
        <v>702</v>
      </c>
      <c r="F109" s="11" t="s">
        <v>323</v>
      </c>
      <c r="G109" s="16" t="s">
        <v>703</v>
      </c>
      <c r="H109" s="11" t="s">
        <v>532</v>
      </c>
      <c r="I109" s="11" t="s">
        <v>453</v>
      </c>
      <c r="J109" s="10"/>
      <c r="K109" s="11" t="s">
        <v>20</v>
      </c>
      <c r="L109" s="10"/>
      <c r="M109" s="13" t="s">
        <v>74</v>
      </c>
      <c r="N109" s="13">
        <v>10</v>
      </c>
    </row>
    <row r="110" spans="1:14" s="14" customFormat="1" ht="10.95" customHeight="1">
      <c r="A110" s="9">
        <v>3</v>
      </c>
      <c r="B110" s="11" t="s">
        <v>704</v>
      </c>
      <c r="C110" s="11" t="s">
        <v>705</v>
      </c>
      <c r="D110" s="12" t="s">
        <v>544</v>
      </c>
      <c r="E110" s="12" t="s">
        <v>322</v>
      </c>
      <c r="F110" s="11" t="s">
        <v>323</v>
      </c>
      <c r="G110" s="11" t="s">
        <v>25</v>
      </c>
      <c r="H110" s="11" t="s">
        <v>38</v>
      </c>
      <c r="I110" s="11" t="s">
        <v>453</v>
      </c>
      <c r="J110" s="15" t="s">
        <v>324</v>
      </c>
      <c r="K110" s="11" t="s">
        <v>20</v>
      </c>
      <c r="L110" s="10"/>
      <c r="M110" s="13"/>
      <c r="N110" s="13"/>
    </row>
    <row r="111" spans="1:14" s="14" customFormat="1" ht="10.95" customHeight="1">
      <c r="A111" s="9">
        <v>3</v>
      </c>
      <c r="B111" s="11" t="s">
        <v>706</v>
      </c>
      <c r="C111" s="11" t="s">
        <v>707</v>
      </c>
      <c r="D111" s="15" t="s">
        <v>551</v>
      </c>
      <c r="E111" s="15" t="s">
        <v>327</v>
      </c>
      <c r="F111" s="11" t="s">
        <v>323</v>
      </c>
      <c r="G111" s="11" t="s">
        <v>25</v>
      </c>
      <c r="H111" s="11" t="s">
        <v>38</v>
      </c>
      <c r="I111" s="11" t="s">
        <v>453</v>
      </c>
      <c r="J111" s="15" t="s">
        <v>324</v>
      </c>
      <c r="K111" s="11" t="s">
        <v>20</v>
      </c>
      <c r="L111" s="10"/>
      <c r="M111" s="13"/>
      <c r="N111" s="13"/>
    </row>
    <row r="112" spans="1:14" s="14" customFormat="1" ht="10.95" customHeight="1">
      <c r="A112" s="9">
        <v>3</v>
      </c>
      <c r="B112" s="11" t="s">
        <v>708</v>
      </c>
      <c r="C112" s="11" t="s">
        <v>709</v>
      </c>
      <c r="D112" s="15" t="s">
        <v>551</v>
      </c>
      <c r="E112" s="15" t="s">
        <v>330</v>
      </c>
      <c r="F112" s="11" t="s">
        <v>323</v>
      </c>
      <c r="G112" s="11" t="s">
        <v>25</v>
      </c>
      <c r="H112" s="11" t="s">
        <v>38</v>
      </c>
      <c r="I112" s="11" t="s">
        <v>453</v>
      </c>
      <c r="J112" s="15" t="s">
        <v>324</v>
      </c>
      <c r="K112" s="11" t="s">
        <v>20</v>
      </c>
      <c r="L112" s="10"/>
      <c r="M112" s="13"/>
      <c r="N112" s="13"/>
    </row>
    <row r="113" spans="1:14" s="14" customFormat="1" ht="15" customHeight="1">
      <c r="A113" s="9">
        <v>1</v>
      </c>
      <c r="B113" s="11" t="s">
        <v>336</v>
      </c>
      <c r="C113" s="11" t="s">
        <v>710</v>
      </c>
      <c r="D113" s="12" t="s">
        <v>564</v>
      </c>
      <c r="E113" s="12" t="s">
        <v>338</v>
      </c>
      <c r="F113" s="11" t="s">
        <v>323</v>
      </c>
      <c r="G113" s="16" t="s">
        <v>334</v>
      </c>
      <c r="H113" s="11" t="s">
        <v>532</v>
      </c>
      <c r="I113" s="11" t="s">
        <v>453</v>
      </c>
      <c r="J113" s="10"/>
      <c r="K113" s="11" t="s">
        <v>20</v>
      </c>
      <c r="L113" s="10"/>
      <c r="M113" s="13" t="s">
        <v>74</v>
      </c>
      <c r="N113" s="13">
        <v>10</v>
      </c>
    </row>
    <row r="114" spans="1:14" s="14" customFormat="1" ht="15" customHeight="1">
      <c r="A114" s="9">
        <v>1</v>
      </c>
      <c r="B114" s="11" t="s">
        <v>340</v>
      </c>
      <c r="C114" s="11" t="s">
        <v>711</v>
      </c>
      <c r="D114" s="12" t="s">
        <v>564</v>
      </c>
      <c r="E114" s="12" t="s">
        <v>342</v>
      </c>
      <c r="F114" s="11" t="s">
        <v>323</v>
      </c>
      <c r="G114" s="16" t="s">
        <v>334</v>
      </c>
      <c r="H114" s="11" t="s">
        <v>532</v>
      </c>
      <c r="I114" s="11" t="s">
        <v>453</v>
      </c>
      <c r="J114" s="10"/>
      <c r="K114" s="11" t="s">
        <v>20</v>
      </c>
      <c r="L114" s="10"/>
      <c r="M114" s="13" t="s">
        <v>74</v>
      </c>
      <c r="N114" s="13">
        <v>10</v>
      </c>
    </row>
    <row r="115" spans="1:14" s="14" customFormat="1" ht="15" customHeight="1">
      <c r="A115" s="9">
        <v>3</v>
      </c>
      <c r="B115" s="11" t="s">
        <v>712</v>
      </c>
      <c r="C115" s="11" t="s">
        <v>713</v>
      </c>
      <c r="D115" s="12" t="s">
        <v>121</v>
      </c>
      <c r="E115" s="15" t="s">
        <v>714</v>
      </c>
      <c r="F115" s="11" t="s">
        <v>323</v>
      </c>
      <c r="G115" s="11" t="s">
        <v>25</v>
      </c>
      <c r="H115" s="11" t="s">
        <v>532</v>
      </c>
      <c r="I115" s="11" t="s">
        <v>453</v>
      </c>
      <c r="J115" s="10"/>
      <c r="K115" s="11" t="s">
        <v>20</v>
      </c>
      <c r="L115" s="10"/>
      <c r="M115" s="13" t="s">
        <v>74</v>
      </c>
      <c r="N115" s="13">
        <v>10</v>
      </c>
    </row>
    <row r="116" spans="1:14" s="14" customFormat="1" ht="15" customHeight="1">
      <c r="A116" s="9">
        <v>3</v>
      </c>
      <c r="B116" s="11" t="s">
        <v>712</v>
      </c>
      <c r="C116" s="11" t="s">
        <v>715</v>
      </c>
      <c r="D116" s="12" t="s">
        <v>121</v>
      </c>
      <c r="E116" s="15" t="s">
        <v>716</v>
      </c>
      <c r="F116" s="11" t="s">
        <v>323</v>
      </c>
      <c r="G116" s="11" t="s">
        <v>25</v>
      </c>
      <c r="H116" s="11" t="s">
        <v>532</v>
      </c>
      <c r="I116" s="11" t="s">
        <v>453</v>
      </c>
      <c r="J116" s="10"/>
      <c r="K116" s="11" t="s">
        <v>20</v>
      </c>
      <c r="L116" s="10"/>
      <c r="M116" s="13" t="s">
        <v>74</v>
      </c>
      <c r="N116" s="13">
        <v>10</v>
      </c>
    </row>
    <row r="117" spans="1:14" s="14" customFormat="1" ht="15" customHeight="1">
      <c r="A117" s="9">
        <v>3</v>
      </c>
      <c r="B117" s="11" t="s">
        <v>712</v>
      </c>
      <c r="C117" s="11" t="s">
        <v>717</v>
      </c>
      <c r="D117" s="12" t="s">
        <v>121</v>
      </c>
      <c r="E117" s="15" t="s">
        <v>718</v>
      </c>
      <c r="F117" s="11" t="s">
        <v>323</v>
      </c>
      <c r="G117" s="11" t="s">
        <v>25</v>
      </c>
      <c r="H117" s="11" t="s">
        <v>532</v>
      </c>
      <c r="I117" s="11" t="s">
        <v>453</v>
      </c>
      <c r="J117" s="10"/>
      <c r="K117" s="11" t="s">
        <v>20</v>
      </c>
      <c r="L117" s="10"/>
      <c r="M117" s="13" t="s">
        <v>74</v>
      </c>
      <c r="N117" s="13">
        <v>10</v>
      </c>
    </row>
    <row r="118" spans="1:14" s="14" customFormat="1" ht="15" customHeight="1">
      <c r="A118" s="9">
        <v>3</v>
      </c>
      <c r="B118" s="11" t="s">
        <v>712</v>
      </c>
      <c r="C118" s="11" t="s">
        <v>719</v>
      </c>
      <c r="D118" s="12" t="s">
        <v>121</v>
      </c>
      <c r="E118" s="15" t="s">
        <v>720</v>
      </c>
      <c r="F118" s="11" t="s">
        <v>323</v>
      </c>
      <c r="G118" s="11" t="s">
        <v>25</v>
      </c>
      <c r="H118" s="11" t="s">
        <v>532</v>
      </c>
      <c r="I118" s="11" t="s">
        <v>453</v>
      </c>
      <c r="J118" s="10"/>
      <c r="K118" s="11" t="s">
        <v>20</v>
      </c>
      <c r="L118" s="10"/>
      <c r="M118" s="13" t="s">
        <v>74</v>
      </c>
      <c r="N118" s="13">
        <v>10</v>
      </c>
    </row>
    <row r="119" spans="1:14" s="14" customFormat="1" ht="15" customHeight="1">
      <c r="A119" s="9">
        <v>3</v>
      </c>
      <c r="B119" s="11" t="s">
        <v>349</v>
      </c>
      <c r="C119" s="11" t="s">
        <v>721</v>
      </c>
      <c r="D119" s="12" t="s">
        <v>564</v>
      </c>
      <c r="E119" s="12" t="s">
        <v>351</v>
      </c>
      <c r="F119" s="11" t="s">
        <v>347</v>
      </c>
      <c r="G119" s="11" t="s">
        <v>363</v>
      </c>
      <c r="H119" s="11" t="s">
        <v>532</v>
      </c>
      <c r="I119" s="11" t="s">
        <v>453</v>
      </c>
      <c r="J119" s="10"/>
      <c r="K119" s="11" t="s">
        <v>20</v>
      </c>
      <c r="L119" s="10"/>
      <c r="M119" s="13" t="s">
        <v>74</v>
      </c>
      <c r="N119" s="13">
        <v>10</v>
      </c>
    </row>
    <row r="120" spans="1:14" s="14" customFormat="1" ht="10.95" customHeight="1">
      <c r="A120" s="9">
        <v>3</v>
      </c>
      <c r="B120" s="11" t="s">
        <v>722</v>
      </c>
      <c r="C120" s="11" t="s">
        <v>723</v>
      </c>
      <c r="D120" s="12" t="s">
        <v>544</v>
      </c>
      <c r="E120" s="12" t="s">
        <v>346</v>
      </c>
      <c r="F120" s="11" t="s">
        <v>347</v>
      </c>
      <c r="G120" s="11" t="s">
        <v>25</v>
      </c>
      <c r="H120" s="11" t="s">
        <v>38</v>
      </c>
      <c r="I120" s="11" t="s">
        <v>453</v>
      </c>
      <c r="J120" s="16" t="s">
        <v>348</v>
      </c>
      <c r="K120" s="11" t="s">
        <v>20</v>
      </c>
      <c r="L120" s="10"/>
      <c r="M120" s="13"/>
      <c r="N120" s="13"/>
    </row>
    <row r="121" spans="1:14" s="14" customFormat="1" ht="10.95" customHeight="1">
      <c r="A121" s="9">
        <v>2</v>
      </c>
      <c r="B121" s="11" t="s">
        <v>724</v>
      </c>
      <c r="C121" s="11" t="s">
        <v>725</v>
      </c>
      <c r="D121" s="15" t="s">
        <v>551</v>
      </c>
      <c r="E121" s="15" t="s">
        <v>356</v>
      </c>
      <c r="F121" s="11" t="s">
        <v>347</v>
      </c>
      <c r="G121" s="11" t="s">
        <v>25</v>
      </c>
      <c r="H121" s="11" t="s">
        <v>38</v>
      </c>
      <c r="I121" s="11" t="s">
        <v>453</v>
      </c>
      <c r="J121" s="16" t="s">
        <v>348</v>
      </c>
      <c r="K121" s="11" t="s">
        <v>20</v>
      </c>
      <c r="L121" s="10"/>
      <c r="M121" s="13"/>
      <c r="N121" s="13"/>
    </row>
    <row r="122" spans="1:14" s="14" customFormat="1" ht="10.95" customHeight="1">
      <c r="A122" s="9">
        <v>2</v>
      </c>
      <c r="B122" s="11" t="s">
        <v>726</v>
      </c>
      <c r="C122" s="11" t="s">
        <v>727</v>
      </c>
      <c r="D122" s="15" t="s">
        <v>551</v>
      </c>
      <c r="E122" s="15" t="s">
        <v>359</v>
      </c>
      <c r="F122" s="11" t="s">
        <v>347</v>
      </c>
      <c r="G122" s="11" t="s">
        <v>25</v>
      </c>
      <c r="H122" s="11" t="s">
        <v>38</v>
      </c>
      <c r="I122" s="11" t="s">
        <v>453</v>
      </c>
      <c r="J122" s="16" t="s">
        <v>348</v>
      </c>
      <c r="K122" s="11" t="s">
        <v>20</v>
      </c>
      <c r="L122" s="10"/>
      <c r="M122" s="13"/>
      <c r="N122" s="13"/>
    </row>
    <row r="123" spans="1:14" s="14" customFormat="1" ht="15" customHeight="1">
      <c r="A123" s="9">
        <v>3</v>
      </c>
      <c r="B123" s="11" t="s">
        <v>360</v>
      </c>
      <c r="C123" s="11" t="s">
        <v>728</v>
      </c>
      <c r="D123" s="12" t="s">
        <v>564</v>
      </c>
      <c r="E123" s="12" t="s">
        <v>362</v>
      </c>
      <c r="F123" s="11" t="s">
        <v>347</v>
      </c>
      <c r="G123" s="11" t="s">
        <v>363</v>
      </c>
      <c r="H123" s="11" t="s">
        <v>532</v>
      </c>
      <c r="I123" s="11" t="s">
        <v>453</v>
      </c>
      <c r="J123" s="10"/>
      <c r="K123" s="11" t="s">
        <v>20</v>
      </c>
      <c r="L123" s="10"/>
      <c r="M123" s="13" t="s">
        <v>74</v>
      </c>
      <c r="N123" s="13">
        <v>10</v>
      </c>
    </row>
    <row r="124" spans="1:14" s="14" customFormat="1" ht="15" customHeight="1">
      <c r="A124" s="9">
        <v>3</v>
      </c>
      <c r="B124" s="11" t="s">
        <v>365</v>
      </c>
      <c r="C124" s="11" t="s">
        <v>729</v>
      </c>
      <c r="D124" s="12" t="s">
        <v>564</v>
      </c>
      <c r="E124" s="12" t="s">
        <v>367</v>
      </c>
      <c r="F124" s="11" t="s">
        <v>347</v>
      </c>
      <c r="G124" s="11" t="s">
        <v>363</v>
      </c>
      <c r="H124" s="11" t="s">
        <v>532</v>
      </c>
      <c r="I124" s="11" t="s">
        <v>453</v>
      </c>
      <c r="J124" s="10"/>
      <c r="K124" s="11" t="s">
        <v>20</v>
      </c>
      <c r="L124" s="10"/>
      <c r="M124" s="13" t="s">
        <v>74</v>
      </c>
      <c r="N124" s="13">
        <v>10</v>
      </c>
    </row>
    <row r="125" spans="1:14" s="14" customFormat="1" ht="15" customHeight="1">
      <c r="A125" s="9">
        <v>3</v>
      </c>
      <c r="B125" s="11" t="s">
        <v>730</v>
      </c>
      <c r="C125" s="11" t="s">
        <v>731</v>
      </c>
      <c r="D125" s="12" t="s">
        <v>121</v>
      </c>
      <c r="E125" s="12" t="s">
        <v>732</v>
      </c>
      <c r="F125" s="11" t="s">
        <v>347</v>
      </c>
      <c r="G125" s="11" t="s">
        <v>25</v>
      </c>
      <c r="H125" s="11" t="s">
        <v>532</v>
      </c>
      <c r="I125" s="11" t="s">
        <v>453</v>
      </c>
      <c r="J125" s="10"/>
      <c r="K125" s="11" t="s">
        <v>20</v>
      </c>
      <c r="L125" s="10"/>
      <c r="M125" s="13" t="s">
        <v>571</v>
      </c>
      <c r="N125" s="13">
        <v>330</v>
      </c>
    </row>
    <row r="126" spans="1:14" s="14" customFormat="1" ht="15" customHeight="1">
      <c r="A126" s="9">
        <v>3</v>
      </c>
      <c r="B126" s="11" t="s">
        <v>730</v>
      </c>
      <c r="C126" s="11" t="s">
        <v>733</v>
      </c>
      <c r="D126" s="12" t="s">
        <v>121</v>
      </c>
      <c r="E126" s="12" t="s">
        <v>734</v>
      </c>
      <c r="F126" s="11" t="s">
        <v>347</v>
      </c>
      <c r="G126" s="11" t="s">
        <v>25</v>
      </c>
      <c r="H126" s="11" t="s">
        <v>532</v>
      </c>
      <c r="I126" s="11" t="s">
        <v>453</v>
      </c>
      <c r="J126" s="10"/>
      <c r="K126" s="11" t="s">
        <v>20</v>
      </c>
      <c r="L126" s="10"/>
      <c r="M126" s="13" t="s">
        <v>571</v>
      </c>
      <c r="N126" s="13">
        <v>330</v>
      </c>
    </row>
    <row r="127" spans="1:14" s="14" customFormat="1" ht="15" customHeight="1">
      <c r="A127" s="9">
        <v>3</v>
      </c>
      <c r="B127" s="11" t="s">
        <v>730</v>
      </c>
      <c r="C127" s="11" t="s">
        <v>735</v>
      </c>
      <c r="D127" s="12" t="s">
        <v>121</v>
      </c>
      <c r="E127" s="12" t="s">
        <v>736</v>
      </c>
      <c r="F127" s="11" t="s">
        <v>347</v>
      </c>
      <c r="G127" s="11" t="s">
        <v>25</v>
      </c>
      <c r="H127" s="11" t="s">
        <v>532</v>
      </c>
      <c r="I127" s="11" t="s">
        <v>453</v>
      </c>
      <c r="J127" s="10"/>
      <c r="K127" s="11" t="s">
        <v>20</v>
      </c>
      <c r="L127" s="10"/>
      <c r="M127" s="13" t="s">
        <v>571</v>
      </c>
      <c r="N127" s="13">
        <v>330</v>
      </c>
    </row>
    <row r="128" spans="1:14" s="14" customFormat="1" ht="15" customHeight="1">
      <c r="A128" s="9">
        <v>3</v>
      </c>
      <c r="B128" s="11" t="s">
        <v>730</v>
      </c>
      <c r="C128" s="11" t="s">
        <v>737</v>
      </c>
      <c r="D128" s="12" t="s">
        <v>121</v>
      </c>
      <c r="E128" s="12" t="s">
        <v>738</v>
      </c>
      <c r="F128" s="11" t="s">
        <v>347</v>
      </c>
      <c r="G128" s="11" t="s">
        <v>25</v>
      </c>
      <c r="H128" s="11" t="s">
        <v>532</v>
      </c>
      <c r="I128" s="11" t="s">
        <v>453</v>
      </c>
      <c r="J128" s="10"/>
      <c r="K128" s="11" t="s">
        <v>20</v>
      </c>
      <c r="L128" s="10"/>
      <c r="M128" s="13" t="s">
        <v>571</v>
      </c>
      <c r="N128" s="13">
        <v>330</v>
      </c>
    </row>
    <row r="129" spans="1:14" s="14" customFormat="1" ht="10.95" customHeight="1">
      <c r="A129" s="9">
        <v>3</v>
      </c>
      <c r="B129" s="11" t="s">
        <v>739</v>
      </c>
      <c r="C129" s="11" t="s">
        <v>740</v>
      </c>
      <c r="D129" s="12" t="s">
        <v>544</v>
      </c>
      <c r="E129" s="12" t="s">
        <v>376</v>
      </c>
      <c r="F129" s="11" t="s">
        <v>372</v>
      </c>
      <c r="G129" s="11" t="s">
        <v>25</v>
      </c>
      <c r="H129" s="11" t="s">
        <v>38</v>
      </c>
      <c r="I129" s="11" t="s">
        <v>453</v>
      </c>
      <c r="J129" s="16" t="s">
        <v>373</v>
      </c>
      <c r="K129" s="11" t="s">
        <v>20</v>
      </c>
      <c r="L129" s="10"/>
      <c r="M129" s="13"/>
      <c r="N129" s="13"/>
    </row>
    <row r="130" spans="1:14" s="14" customFormat="1" ht="10.95" customHeight="1">
      <c r="A130" s="9">
        <v>2</v>
      </c>
      <c r="B130" s="11" t="s">
        <v>741</v>
      </c>
      <c r="C130" s="11" t="s">
        <v>742</v>
      </c>
      <c r="D130" s="15" t="s">
        <v>551</v>
      </c>
      <c r="E130" s="15" t="s">
        <v>379</v>
      </c>
      <c r="F130" s="11" t="s">
        <v>372</v>
      </c>
      <c r="G130" s="11" t="s">
        <v>25</v>
      </c>
      <c r="H130" s="11" t="s">
        <v>38</v>
      </c>
      <c r="I130" s="11" t="s">
        <v>453</v>
      </c>
      <c r="J130" s="16" t="s">
        <v>373</v>
      </c>
      <c r="K130" s="11" t="s">
        <v>20</v>
      </c>
      <c r="L130" s="10"/>
      <c r="M130" s="13"/>
      <c r="N130" s="13"/>
    </row>
    <row r="131" spans="1:14" s="14" customFormat="1" ht="10.95" customHeight="1">
      <c r="A131" s="9">
        <v>2</v>
      </c>
      <c r="B131" s="11" t="s">
        <v>743</v>
      </c>
      <c r="C131" s="11" t="s">
        <v>744</v>
      </c>
      <c r="D131" s="15" t="s">
        <v>551</v>
      </c>
      <c r="E131" s="15" t="s">
        <v>382</v>
      </c>
      <c r="F131" s="11" t="s">
        <v>372</v>
      </c>
      <c r="G131" s="11" t="s">
        <v>25</v>
      </c>
      <c r="H131" s="11" t="s">
        <v>38</v>
      </c>
      <c r="I131" s="11" t="s">
        <v>453</v>
      </c>
      <c r="J131" s="16" t="s">
        <v>373</v>
      </c>
      <c r="K131" s="11" t="s">
        <v>20</v>
      </c>
      <c r="L131" s="10"/>
      <c r="M131" s="13"/>
      <c r="N131" s="13"/>
    </row>
    <row r="132" spans="1:14" s="14" customFormat="1" ht="15" customHeight="1">
      <c r="A132" s="9">
        <v>3</v>
      </c>
      <c r="B132" s="11" t="s">
        <v>383</v>
      </c>
      <c r="C132" s="11" t="s">
        <v>745</v>
      </c>
      <c r="D132" s="12" t="s">
        <v>564</v>
      </c>
      <c r="E132" s="12" t="s">
        <v>385</v>
      </c>
      <c r="F132" s="11" t="s">
        <v>372</v>
      </c>
      <c r="G132" s="11" t="s">
        <v>746</v>
      </c>
      <c r="H132" s="11" t="s">
        <v>532</v>
      </c>
      <c r="I132" s="11" t="s">
        <v>453</v>
      </c>
      <c r="J132" s="10"/>
      <c r="K132" s="11" t="s">
        <v>20</v>
      </c>
      <c r="L132" s="10"/>
      <c r="M132" s="13" t="s">
        <v>74</v>
      </c>
      <c r="N132" s="13">
        <v>10</v>
      </c>
    </row>
    <row r="133" spans="1:14" s="14" customFormat="1" ht="15" customHeight="1">
      <c r="A133" s="9">
        <v>3</v>
      </c>
      <c r="B133" s="11" t="s">
        <v>388</v>
      </c>
      <c r="C133" s="11" t="s">
        <v>747</v>
      </c>
      <c r="D133" s="12" t="s">
        <v>564</v>
      </c>
      <c r="E133" s="12" t="s">
        <v>390</v>
      </c>
      <c r="F133" s="11" t="s">
        <v>372</v>
      </c>
      <c r="G133" s="11" t="s">
        <v>746</v>
      </c>
      <c r="H133" s="11" t="s">
        <v>532</v>
      </c>
      <c r="I133" s="11" t="s">
        <v>453</v>
      </c>
      <c r="J133" s="10"/>
      <c r="K133" s="11" t="s">
        <v>20</v>
      </c>
      <c r="L133" s="10"/>
      <c r="M133" s="13" t="s">
        <v>74</v>
      </c>
      <c r="N133" s="13">
        <v>10</v>
      </c>
    </row>
    <row r="134" spans="1:14" s="14" customFormat="1" ht="15" customHeight="1">
      <c r="A134" s="9">
        <v>3</v>
      </c>
      <c r="B134" s="11" t="s">
        <v>748</v>
      </c>
      <c r="C134" s="11" t="s">
        <v>749</v>
      </c>
      <c r="D134" s="12" t="s">
        <v>121</v>
      </c>
      <c r="E134" s="12" t="s">
        <v>750</v>
      </c>
      <c r="F134" s="11" t="s">
        <v>372</v>
      </c>
      <c r="G134" s="11" t="s">
        <v>25</v>
      </c>
      <c r="H134" s="11" t="s">
        <v>532</v>
      </c>
      <c r="I134" s="11" t="s">
        <v>453</v>
      </c>
      <c r="J134" s="10"/>
      <c r="K134" s="11" t="s">
        <v>20</v>
      </c>
      <c r="L134" s="10"/>
      <c r="M134" s="13" t="s">
        <v>571</v>
      </c>
      <c r="N134" s="13">
        <v>330</v>
      </c>
    </row>
    <row r="135" spans="1:14" s="14" customFormat="1" ht="15" customHeight="1">
      <c r="A135" s="9">
        <v>3</v>
      </c>
      <c r="B135" s="11" t="s">
        <v>748</v>
      </c>
      <c r="C135" s="11" t="s">
        <v>751</v>
      </c>
      <c r="D135" s="12" t="s">
        <v>121</v>
      </c>
      <c r="E135" s="12" t="s">
        <v>752</v>
      </c>
      <c r="F135" s="11" t="s">
        <v>372</v>
      </c>
      <c r="G135" s="11" t="s">
        <v>25</v>
      </c>
      <c r="H135" s="11" t="s">
        <v>532</v>
      </c>
      <c r="I135" s="11" t="s">
        <v>453</v>
      </c>
      <c r="J135" s="10"/>
      <c r="K135" s="11" t="s">
        <v>20</v>
      </c>
      <c r="L135" s="10"/>
      <c r="M135" s="13" t="s">
        <v>571</v>
      </c>
      <c r="N135" s="13">
        <v>330</v>
      </c>
    </row>
    <row r="136" spans="1:14" s="14" customFormat="1" ht="15" customHeight="1">
      <c r="A136" s="9">
        <v>3</v>
      </c>
      <c r="B136" s="11" t="s">
        <v>748</v>
      </c>
      <c r="C136" s="11" t="s">
        <v>753</v>
      </c>
      <c r="D136" s="12" t="s">
        <v>121</v>
      </c>
      <c r="E136" s="12" t="s">
        <v>754</v>
      </c>
      <c r="F136" s="11" t="s">
        <v>372</v>
      </c>
      <c r="G136" s="11" t="s">
        <v>25</v>
      </c>
      <c r="H136" s="11" t="s">
        <v>532</v>
      </c>
      <c r="I136" s="11" t="s">
        <v>453</v>
      </c>
      <c r="J136" s="10"/>
      <c r="K136" s="11" t="s">
        <v>20</v>
      </c>
      <c r="L136" s="10"/>
      <c r="M136" s="13" t="s">
        <v>571</v>
      </c>
      <c r="N136" s="13">
        <v>330</v>
      </c>
    </row>
    <row r="137" spans="1:14" s="14" customFormat="1" ht="15" customHeight="1">
      <c r="A137" s="9">
        <v>3</v>
      </c>
      <c r="B137" s="11" t="s">
        <v>748</v>
      </c>
      <c r="C137" s="11" t="s">
        <v>755</v>
      </c>
      <c r="D137" s="12" t="s">
        <v>121</v>
      </c>
      <c r="E137" s="12" t="s">
        <v>756</v>
      </c>
      <c r="F137" s="11" t="s">
        <v>372</v>
      </c>
      <c r="G137" s="11" t="s">
        <v>25</v>
      </c>
      <c r="H137" s="11" t="s">
        <v>532</v>
      </c>
      <c r="I137" s="11" t="s">
        <v>453</v>
      </c>
      <c r="J137" s="10"/>
      <c r="K137" s="11" t="s">
        <v>20</v>
      </c>
      <c r="L137" s="10"/>
      <c r="M137" s="13" t="s">
        <v>571</v>
      </c>
      <c r="N137" s="13">
        <v>330</v>
      </c>
    </row>
    <row r="138" spans="1:14" s="14" customFormat="1" ht="15" customHeight="1">
      <c r="A138" s="9">
        <v>3</v>
      </c>
      <c r="B138" s="11" t="s">
        <v>401</v>
      </c>
      <c r="C138" s="11" t="s">
        <v>757</v>
      </c>
      <c r="D138" s="12" t="s">
        <v>564</v>
      </c>
      <c r="E138" s="12" t="s">
        <v>403</v>
      </c>
      <c r="F138" s="11" t="s">
        <v>399</v>
      </c>
      <c r="G138" s="11" t="s">
        <v>404</v>
      </c>
      <c r="H138" s="11" t="s">
        <v>532</v>
      </c>
      <c r="I138" s="11" t="s">
        <v>453</v>
      </c>
      <c r="J138" s="10"/>
      <c r="K138" s="11" t="s">
        <v>20</v>
      </c>
      <c r="L138" s="10"/>
      <c r="M138" s="13" t="s">
        <v>74</v>
      </c>
      <c r="N138" s="13">
        <v>10</v>
      </c>
    </row>
    <row r="139" spans="1:14" s="14" customFormat="1" ht="10.95" customHeight="1">
      <c r="A139" s="9">
        <v>3</v>
      </c>
      <c r="B139" s="11" t="s">
        <v>758</v>
      </c>
      <c r="C139" s="11" t="s">
        <v>759</v>
      </c>
      <c r="D139" s="12" t="s">
        <v>544</v>
      </c>
      <c r="E139" s="12" t="s">
        <v>398</v>
      </c>
      <c r="F139" s="11" t="s">
        <v>399</v>
      </c>
      <c r="G139" s="11" t="s">
        <v>25</v>
      </c>
      <c r="H139" s="11" t="s">
        <v>38</v>
      </c>
      <c r="I139" s="11" t="s">
        <v>453</v>
      </c>
      <c r="J139" s="16" t="s">
        <v>400</v>
      </c>
      <c r="K139" s="11" t="s">
        <v>20</v>
      </c>
      <c r="L139" s="10"/>
      <c r="M139" s="13"/>
      <c r="N139" s="13"/>
    </row>
    <row r="140" spans="1:14" s="14" customFormat="1" ht="10.95" customHeight="1">
      <c r="A140" s="9">
        <v>1</v>
      </c>
      <c r="B140" s="11" t="s">
        <v>760</v>
      </c>
      <c r="C140" s="11" t="s">
        <v>761</v>
      </c>
      <c r="D140" s="15" t="s">
        <v>551</v>
      </c>
      <c r="E140" s="12" t="s">
        <v>762</v>
      </c>
      <c r="F140" s="11" t="s">
        <v>399</v>
      </c>
      <c r="G140" s="11" t="s">
        <v>25</v>
      </c>
      <c r="H140" s="11" t="s">
        <v>38</v>
      </c>
      <c r="I140" s="11" t="s">
        <v>453</v>
      </c>
      <c r="J140" s="16" t="s">
        <v>400</v>
      </c>
      <c r="K140" s="11" t="s">
        <v>20</v>
      </c>
      <c r="L140" s="10"/>
      <c r="M140" s="13"/>
      <c r="N140" s="13"/>
    </row>
    <row r="141" spans="1:14" s="14" customFormat="1" ht="10.95" customHeight="1">
      <c r="A141" s="9">
        <v>1</v>
      </c>
      <c r="B141" s="11" t="s">
        <v>763</v>
      </c>
      <c r="C141" s="11" t="s">
        <v>764</v>
      </c>
      <c r="D141" s="15" t="s">
        <v>551</v>
      </c>
      <c r="E141" s="12" t="s">
        <v>765</v>
      </c>
      <c r="F141" s="11" t="s">
        <v>399</v>
      </c>
      <c r="G141" s="11" t="s">
        <v>25</v>
      </c>
      <c r="H141" s="11" t="s">
        <v>38</v>
      </c>
      <c r="I141" s="11" t="s">
        <v>453</v>
      </c>
      <c r="J141" s="16" t="s">
        <v>400</v>
      </c>
      <c r="K141" s="11" t="s">
        <v>20</v>
      </c>
      <c r="L141" s="10"/>
      <c r="M141" s="13"/>
      <c r="N141" s="13"/>
    </row>
    <row r="142" spans="1:14" s="14" customFormat="1" ht="15" customHeight="1">
      <c r="A142" s="9">
        <v>3</v>
      </c>
      <c r="B142" s="11" t="s">
        <v>412</v>
      </c>
      <c r="C142" s="11" t="s">
        <v>766</v>
      </c>
      <c r="D142" s="12" t="s">
        <v>564</v>
      </c>
      <c r="E142" s="12" t="s">
        <v>414</v>
      </c>
      <c r="F142" s="11" t="s">
        <v>399</v>
      </c>
      <c r="G142" s="11" t="s">
        <v>404</v>
      </c>
      <c r="H142" s="11" t="s">
        <v>532</v>
      </c>
      <c r="I142" s="11" t="s">
        <v>453</v>
      </c>
      <c r="J142" s="10"/>
      <c r="K142" s="11" t="s">
        <v>20</v>
      </c>
      <c r="L142" s="10"/>
      <c r="M142" s="13" t="s">
        <v>74</v>
      </c>
      <c r="N142" s="13">
        <v>10</v>
      </c>
    </row>
    <row r="143" spans="1:14" s="14" customFormat="1" ht="15" customHeight="1">
      <c r="A143" s="9">
        <v>3</v>
      </c>
      <c r="B143" s="11" t="s">
        <v>416</v>
      </c>
      <c r="C143" s="11" t="s">
        <v>767</v>
      </c>
      <c r="D143" s="12" t="s">
        <v>564</v>
      </c>
      <c r="E143" s="12" t="s">
        <v>418</v>
      </c>
      <c r="F143" s="11" t="s">
        <v>399</v>
      </c>
      <c r="G143" s="11" t="s">
        <v>404</v>
      </c>
      <c r="H143" s="11" t="s">
        <v>532</v>
      </c>
      <c r="I143" s="11" t="s">
        <v>453</v>
      </c>
      <c r="J143" s="10"/>
      <c r="K143" s="11" t="s">
        <v>20</v>
      </c>
      <c r="L143" s="10"/>
      <c r="M143" s="13" t="s">
        <v>74</v>
      </c>
      <c r="N143" s="13">
        <v>10</v>
      </c>
    </row>
    <row r="144" spans="1:14" s="14" customFormat="1" ht="15" customHeight="1">
      <c r="A144" s="9">
        <v>3</v>
      </c>
      <c r="B144" s="11" t="s">
        <v>768</v>
      </c>
      <c r="C144" s="11" t="s">
        <v>769</v>
      </c>
      <c r="D144" s="12" t="s">
        <v>121</v>
      </c>
      <c r="E144" s="12" t="s">
        <v>770</v>
      </c>
      <c r="F144" s="11" t="s">
        <v>399</v>
      </c>
      <c r="G144" s="11" t="s">
        <v>25</v>
      </c>
      <c r="H144" s="11" t="s">
        <v>532</v>
      </c>
      <c r="I144" s="11" t="s">
        <v>453</v>
      </c>
      <c r="J144" s="10"/>
      <c r="K144" s="11" t="s">
        <v>20</v>
      </c>
      <c r="L144" s="10"/>
      <c r="M144" s="13" t="s">
        <v>571</v>
      </c>
      <c r="N144" s="13">
        <v>330</v>
      </c>
    </row>
    <row r="145" spans="1:14" s="14" customFormat="1" ht="10.95" customHeight="1">
      <c r="A145" s="9">
        <v>1</v>
      </c>
      <c r="B145" s="11" t="s">
        <v>771</v>
      </c>
      <c r="C145" s="11" t="s">
        <v>772</v>
      </c>
      <c r="D145" s="15" t="s">
        <v>685</v>
      </c>
      <c r="E145" s="12" t="s">
        <v>773</v>
      </c>
      <c r="F145" s="11" t="s">
        <v>423</v>
      </c>
      <c r="G145" s="11" t="s">
        <v>25</v>
      </c>
      <c r="H145" s="11" t="s">
        <v>38</v>
      </c>
      <c r="I145" s="11" t="s">
        <v>453</v>
      </c>
      <c r="J145" s="10"/>
      <c r="K145" s="11" t="s">
        <v>20</v>
      </c>
      <c r="L145" s="10"/>
      <c r="M145" s="13"/>
      <c r="N145" s="13"/>
    </row>
    <row r="146" spans="1:14" s="14" customFormat="1" ht="15" customHeight="1">
      <c r="A146" s="9">
        <v>3</v>
      </c>
      <c r="B146" s="11" t="s">
        <v>426</v>
      </c>
      <c r="C146" s="11" t="s">
        <v>774</v>
      </c>
      <c r="D146" s="12" t="s">
        <v>564</v>
      </c>
      <c r="E146" s="12" t="s">
        <v>428</v>
      </c>
      <c r="F146" s="11" t="s">
        <v>423</v>
      </c>
      <c r="G146" s="11" t="s">
        <v>272</v>
      </c>
      <c r="H146" s="11" t="s">
        <v>532</v>
      </c>
      <c r="I146" s="11" t="s">
        <v>453</v>
      </c>
      <c r="J146" s="10"/>
      <c r="K146" s="11" t="s">
        <v>20</v>
      </c>
      <c r="L146" s="10"/>
      <c r="M146" s="13" t="s">
        <v>74</v>
      </c>
      <c r="N146" s="13">
        <v>10</v>
      </c>
    </row>
    <row r="147" spans="1:14" s="14" customFormat="1" ht="15" customHeight="1">
      <c r="A147" s="9">
        <v>3</v>
      </c>
      <c r="B147" s="11" t="s">
        <v>430</v>
      </c>
      <c r="C147" s="11" t="s">
        <v>775</v>
      </c>
      <c r="D147" s="12" t="s">
        <v>564</v>
      </c>
      <c r="E147" s="12" t="s">
        <v>432</v>
      </c>
      <c r="F147" s="11" t="s">
        <v>423</v>
      </c>
      <c r="G147" s="11" t="s">
        <v>272</v>
      </c>
      <c r="H147" s="11" t="s">
        <v>532</v>
      </c>
      <c r="I147" s="11" t="s">
        <v>453</v>
      </c>
      <c r="J147" s="10"/>
      <c r="K147" s="11" t="s">
        <v>20</v>
      </c>
      <c r="L147" s="10"/>
      <c r="M147" s="13" t="s">
        <v>74</v>
      </c>
      <c r="N147" s="13">
        <v>10</v>
      </c>
    </row>
    <row r="148" spans="1:14" s="14" customFormat="1" ht="10.95" customHeight="1">
      <c r="A148" s="9">
        <v>1</v>
      </c>
      <c r="B148" s="11" t="s">
        <v>776</v>
      </c>
      <c r="C148" s="11" t="s">
        <v>777</v>
      </c>
      <c r="D148" s="12" t="s">
        <v>692</v>
      </c>
      <c r="E148" s="12" t="s">
        <v>778</v>
      </c>
      <c r="F148" s="11" t="s">
        <v>423</v>
      </c>
      <c r="G148" s="11" t="s">
        <v>25</v>
      </c>
      <c r="H148" s="11" t="s">
        <v>38</v>
      </c>
      <c r="I148" s="11" t="s">
        <v>453</v>
      </c>
      <c r="J148" s="10"/>
      <c r="K148" s="11" t="s">
        <v>20</v>
      </c>
      <c r="L148" s="10"/>
      <c r="M148" s="13"/>
      <c r="N148" s="13"/>
    </row>
    <row r="149" spans="1:14" s="14" customFormat="1" ht="10.95" customHeight="1">
      <c r="A149" s="9">
        <v>1</v>
      </c>
      <c r="B149" s="11" t="s">
        <v>779</v>
      </c>
      <c r="C149" s="11" t="s">
        <v>780</v>
      </c>
      <c r="D149" s="15" t="s">
        <v>551</v>
      </c>
      <c r="E149" s="12" t="s">
        <v>781</v>
      </c>
      <c r="F149" s="11" t="s">
        <v>445</v>
      </c>
      <c r="G149" s="11" t="s">
        <v>25</v>
      </c>
      <c r="H149" s="11" t="s">
        <v>38</v>
      </c>
      <c r="I149" s="11" t="s">
        <v>453</v>
      </c>
      <c r="J149" s="10"/>
      <c r="K149" s="11" t="s">
        <v>20</v>
      </c>
      <c r="L149" s="10"/>
      <c r="M149" s="13"/>
      <c r="N149" s="13"/>
    </row>
    <row r="150" spans="1:14" s="14" customFormat="1" ht="10.95" customHeight="1">
      <c r="A150" s="9">
        <v>1</v>
      </c>
      <c r="B150" s="11" t="s">
        <v>779</v>
      </c>
      <c r="C150" s="11" t="s">
        <v>782</v>
      </c>
      <c r="D150" s="15" t="s">
        <v>551</v>
      </c>
      <c r="E150" s="12" t="s">
        <v>781</v>
      </c>
      <c r="F150" s="11" t="s">
        <v>445</v>
      </c>
      <c r="G150" s="11" t="s">
        <v>25</v>
      </c>
      <c r="H150" s="11" t="s">
        <v>38</v>
      </c>
      <c r="I150" s="11" t="s">
        <v>453</v>
      </c>
      <c r="J150" s="10"/>
      <c r="K150" s="11" t="s">
        <v>20</v>
      </c>
      <c r="L150" s="10"/>
      <c r="M150" s="13"/>
      <c r="N150" s="13"/>
    </row>
    <row r="151" spans="1:14" s="14" customFormat="1" ht="10.95" customHeight="1">
      <c r="A151" s="9">
        <v>1</v>
      </c>
      <c r="B151" s="11" t="s">
        <v>783</v>
      </c>
      <c r="C151" s="11" t="s">
        <v>784</v>
      </c>
      <c r="D151" s="12" t="s">
        <v>671</v>
      </c>
      <c r="E151" s="12" t="s">
        <v>785</v>
      </c>
      <c r="F151" s="11" t="s">
        <v>445</v>
      </c>
      <c r="G151" s="11" t="s">
        <v>25</v>
      </c>
      <c r="H151" s="11" t="s">
        <v>38</v>
      </c>
      <c r="I151" s="11" t="s">
        <v>453</v>
      </c>
      <c r="J151" s="10"/>
      <c r="K151" s="11" t="s">
        <v>20</v>
      </c>
      <c r="L151" s="10"/>
      <c r="M151" s="13"/>
      <c r="N151" s="13"/>
    </row>
    <row r="152" spans="1:14" s="14" customFormat="1" ht="15" customHeight="1">
      <c r="A152" s="9">
        <v>1</v>
      </c>
      <c r="B152" s="11" t="s">
        <v>783</v>
      </c>
      <c r="C152" s="11" t="s">
        <v>786</v>
      </c>
      <c r="D152" s="12" t="s">
        <v>121</v>
      </c>
      <c r="E152" s="12" t="s">
        <v>781</v>
      </c>
      <c r="F152" s="11" t="s">
        <v>445</v>
      </c>
      <c r="G152" s="11" t="s">
        <v>25</v>
      </c>
      <c r="H152" s="11" t="s">
        <v>532</v>
      </c>
      <c r="I152" s="11" t="s">
        <v>453</v>
      </c>
      <c r="J152" s="10"/>
      <c r="K152" s="11" t="s">
        <v>20</v>
      </c>
      <c r="L152" s="10"/>
      <c r="M152" s="13" t="s">
        <v>571</v>
      </c>
      <c r="N152" s="13">
        <v>330</v>
      </c>
    </row>
    <row r="153" spans="1:14" s="14" customFormat="1" ht="15" customHeight="1">
      <c r="A153" s="9">
        <v>1</v>
      </c>
      <c r="B153" s="11" t="s">
        <v>783</v>
      </c>
      <c r="C153" s="11" t="s">
        <v>787</v>
      </c>
      <c r="D153" s="12" t="s">
        <v>121</v>
      </c>
      <c r="E153" s="12" t="s">
        <v>781</v>
      </c>
      <c r="F153" s="11" t="s">
        <v>445</v>
      </c>
      <c r="G153" s="11" t="s">
        <v>25</v>
      </c>
      <c r="H153" s="11" t="s">
        <v>532</v>
      </c>
      <c r="I153" s="11" t="s">
        <v>453</v>
      </c>
      <c r="J153" s="10"/>
      <c r="K153" s="11" t="s">
        <v>20</v>
      </c>
      <c r="L153" s="10"/>
      <c r="M153" s="13" t="s">
        <v>571</v>
      </c>
      <c r="N153" s="13">
        <v>330</v>
      </c>
    </row>
    <row r="154" spans="1:14" s="14" customFormat="1" ht="15" customHeight="1">
      <c r="A154" s="9">
        <v>1</v>
      </c>
      <c r="B154" s="10"/>
      <c r="C154" s="11" t="s">
        <v>788</v>
      </c>
      <c r="D154" s="12" t="s">
        <v>789</v>
      </c>
      <c r="E154" s="12" t="s">
        <v>790</v>
      </c>
      <c r="F154" s="11" t="s">
        <v>16</v>
      </c>
      <c r="G154" s="11" t="s">
        <v>531</v>
      </c>
      <c r="H154" s="11" t="s">
        <v>261</v>
      </c>
      <c r="I154" s="11" t="s">
        <v>791</v>
      </c>
      <c r="J154" s="10"/>
      <c r="K154" s="11" t="s">
        <v>20</v>
      </c>
      <c r="L154" s="10"/>
      <c r="M154" s="13" t="s">
        <v>792</v>
      </c>
      <c r="N154" s="13">
        <v>25</v>
      </c>
    </row>
    <row r="155" spans="1:14" s="14" customFormat="1" ht="15" customHeight="1">
      <c r="A155" s="9">
        <v>1</v>
      </c>
      <c r="B155" s="10"/>
      <c r="C155" s="11" t="s">
        <v>793</v>
      </c>
      <c r="D155" s="12" t="s">
        <v>794</v>
      </c>
      <c r="E155" s="12" t="s">
        <v>795</v>
      </c>
      <c r="F155" s="11" t="s">
        <v>16</v>
      </c>
      <c r="G155" s="11" t="s">
        <v>531</v>
      </c>
      <c r="H155" s="11" t="s">
        <v>261</v>
      </c>
      <c r="I155" s="11" t="s">
        <v>791</v>
      </c>
      <c r="J155" s="10"/>
      <c r="K155" s="11" t="s">
        <v>20</v>
      </c>
      <c r="L155" s="10"/>
      <c r="M155" s="13" t="s">
        <v>792</v>
      </c>
      <c r="N155" s="13">
        <v>25</v>
      </c>
    </row>
    <row r="156" spans="1:14" s="14" customFormat="1" ht="15" customHeight="1">
      <c r="A156" s="9">
        <v>3</v>
      </c>
      <c r="B156" s="10"/>
      <c r="C156" s="11" t="s">
        <v>796</v>
      </c>
      <c r="D156" s="12" t="s">
        <v>797</v>
      </c>
      <c r="E156" s="12" t="s">
        <v>798</v>
      </c>
      <c r="F156" s="11" t="s">
        <v>16</v>
      </c>
      <c r="G156" s="11" t="s">
        <v>17</v>
      </c>
      <c r="H156" s="11" t="s">
        <v>261</v>
      </c>
      <c r="I156" s="11" t="s">
        <v>791</v>
      </c>
      <c r="J156" s="10"/>
      <c r="K156" s="11" t="s">
        <v>20</v>
      </c>
      <c r="L156" s="10"/>
      <c r="M156" s="13" t="s">
        <v>792</v>
      </c>
      <c r="N156" s="13">
        <v>25</v>
      </c>
    </row>
    <row r="157" spans="1:14" s="14" customFormat="1" ht="15" customHeight="1">
      <c r="A157" s="9">
        <v>3</v>
      </c>
      <c r="B157" s="10"/>
      <c r="C157" s="11" t="s">
        <v>799</v>
      </c>
      <c r="D157" s="12" t="s">
        <v>800</v>
      </c>
      <c r="E157" s="12" t="s">
        <v>801</v>
      </c>
      <c r="F157" s="11" t="s">
        <v>16</v>
      </c>
      <c r="G157" s="11" t="s">
        <v>25</v>
      </c>
      <c r="H157" s="11" t="s">
        <v>261</v>
      </c>
      <c r="I157" s="11" t="s">
        <v>791</v>
      </c>
      <c r="J157" s="10"/>
      <c r="K157" s="11" t="s">
        <v>20</v>
      </c>
      <c r="L157" s="10"/>
      <c r="M157" s="13" t="s">
        <v>792</v>
      </c>
      <c r="N157" s="13">
        <v>25</v>
      </c>
    </row>
    <row r="158" spans="1:14" s="14" customFormat="1" ht="15" customHeight="1">
      <c r="A158" s="9">
        <v>3</v>
      </c>
      <c r="B158" s="10"/>
      <c r="C158" s="11" t="s">
        <v>802</v>
      </c>
      <c r="D158" s="12" t="s">
        <v>803</v>
      </c>
      <c r="E158" s="12" t="s">
        <v>804</v>
      </c>
      <c r="F158" s="11" t="s">
        <v>16</v>
      </c>
      <c r="G158" s="11" t="s">
        <v>25</v>
      </c>
      <c r="H158" s="11" t="s">
        <v>18</v>
      </c>
      <c r="I158" s="11" t="s">
        <v>791</v>
      </c>
      <c r="J158" s="10"/>
      <c r="K158" s="11" t="s">
        <v>20</v>
      </c>
      <c r="L158" s="10"/>
      <c r="M158" s="13" t="s">
        <v>484</v>
      </c>
      <c r="N158" s="13">
        <v>3.5</v>
      </c>
    </row>
    <row r="159" spans="1:14" s="14" customFormat="1" ht="15" customHeight="1">
      <c r="A159" s="9">
        <v>3</v>
      </c>
      <c r="B159" s="10"/>
      <c r="C159" s="11" t="s">
        <v>805</v>
      </c>
      <c r="D159" s="12" t="s">
        <v>806</v>
      </c>
      <c r="E159" s="12" t="s">
        <v>807</v>
      </c>
      <c r="F159" s="11" t="s">
        <v>16</v>
      </c>
      <c r="G159" s="11" t="s">
        <v>808</v>
      </c>
      <c r="H159" s="11" t="s">
        <v>532</v>
      </c>
      <c r="I159" s="11" t="s">
        <v>791</v>
      </c>
      <c r="J159" s="10"/>
      <c r="K159" s="11" t="s">
        <v>20</v>
      </c>
      <c r="L159" s="10"/>
      <c r="M159" s="13" t="s">
        <v>74</v>
      </c>
      <c r="N159" s="13">
        <v>10</v>
      </c>
    </row>
    <row r="160" spans="1:14" s="14" customFormat="1" ht="15" customHeight="1">
      <c r="A160" s="9">
        <v>3</v>
      </c>
      <c r="B160" s="10"/>
      <c r="C160" s="11" t="s">
        <v>809</v>
      </c>
      <c r="D160" s="12" t="s">
        <v>806</v>
      </c>
      <c r="E160" s="12" t="s">
        <v>810</v>
      </c>
      <c r="F160" s="11" t="s">
        <v>16</v>
      </c>
      <c r="G160" s="11" t="s">
        <v>811</v>
      </c>
      <c r="H160" s="11" t="s">
        <v>532</v>
      </c>
      <c r="I160" s="11" t="s">
        <v>791</v>
      </c>
      <c r="J160" s="10"/>
      <c r="K160" s="11" t="s">
        <v>20</v>
      </c>
      <c r="L160" s="10"/>
      <c r="M160" s="13" t="s">
        <v>74</v>
      </c>
      <c r="N160" s="13">
        <v>10</v>
      </c>
    </row>
    <row r="161" spans="1:14" s="14" customFormat="1" ht="15" customHeight="1">
      <c r="A161" s="9">
        <v>3</v>
      </c>
      <c r="B161" s="10"/>
      <c r="C161" s="11" t="s">
        <v>812</v>
      </c>
      <c r="D161" s="12" t="s">
        <v>813</v>
      </c>
      <c r="E161" s="12" t="s">
        <v>814</v>
      </c>
      <c r="F161" s="11" t="s">
        <v>815</v>
      </c>
      <c r="G161" s="11" t="s">
        <v>25</v>
      </c>
      <c r="H161" s="11" t="s">
        <v>18</v>
      </c>
      <c r="I161" s="11" t="s">
        <v>791</v>
      </c>
      <c r="J161" s="10"/>
      <c r="K161" s="11" t="s">
        <v>20</v>
      </c>
      <c r="L161" s="10"/>
      <c r="M161" s="13" t="s">
        <v>484</v>
      </c>
      <c r="N161" s="13">
        <v>3.5</v>
      </c>
    </row>
    <row r="162" spans="1:14" s="14" customFormat="1" ht="15" customHeight="1">
      <c r="A162" s="9">
        <v>3</v>
      </c>
      <c r="B162" s="10"/>
      <c r="C162" s="11" t="s">
        <v>816</v>
      </c>
      <c r="D162" s="12" t="s">
        <v>813</v>
      </c>
      <c r="E162" s="12" t="s">
        <v>814</v>
      </c>
      <c r="F162" s="11" t="s">
        <v>815</v>
      </c>
      <c r="G162" s="11" t="s">
        <v>25</v>
      </c>
      <c r="H162" s="11" t="s">
        <v>18</v>
      </c>
      <c r="I162" s="11" t="s">
        <v>791</v>
      </c>
      <c r="J162" s="10"/>
      <c r="K162" s="11" t="s">
        <v>20</v>
      </c>
      <c r="L162" s="10"/>
      <c r="M162" s="13" t="s">
        <v>484</v>
      </c>
      <c r="N162" s="13">
        <v>3.5</v>
      </c>
    </row>
    <row r="163" spans="1:14" s="14" customFormat="1" ht="15" customHeight="1">
      <c r="A163" s="9">
        <v>3</v>
      </c>
      <c r="B163" s="10"/>
      <c r="C163" s="11" t="s">
        <v>817</v>
      </c>
      <c r="D163" s="12" t="s">
        <v>818</v>
      </c>
      <c r="E163" s="12" t="s">
        <v>819</v>
      </c>
      <c r="F163" s="11" t="s">
        <v>815</v>
      </c>
      <c r="G163" s="11" t="s">
        <v>25</v>
      </c>
      <c r="H163" s="11" t="s">
        <v>18</v>
      </c>
      <c r="I163" s="11" t="s">
        <v>791</v>
      </c>
      <c r="J163" s="10"/>
      <c r="K163" s="11" t="s">
        <v>20</v>
      </c>
      <c r="L163" s="10"/>
      <c r="M163" s="13" t="s">
        <v>484</v>
      </c>
      <c r="N163" s="13">
        <v>3.5</v>
      </c>
    </row>
    <row r="164" spans="1:14" s="14" customFormat="1" ht="15" customHeight="1">
      <c r="A164" s="9">
        <v>3</v>
      </c>
      <c r="B164" s="10"/>
      <c r="C164" s="11" t="s">
        <v>820</v>
      </c>
      <c r="D164" s="12" t="s">
        <v>818</v>
      </c>
      <c r="E164" s="12" t="s">
        <v>819</v>
      </c>
      <c r="F164" s="11" t="s">
        <v>815</v>
      </c>
      <c r="G164" s="11" t="s">
        <v>25</v>
      </c>
      <c r="H164" s="11" t="s">
        <v>18</v>
      </c>
      <c r="I164" s="11" t="s">
        <v>791</v>
      </c>
      <c r="J164" s="10"/>
      <c r="K164" s="11" t="s">
        <v>20</v>
      </c>
      <c r="L164" s="10"/>
      <c r="M164" s="13" t="s">
        <v>484</v>
      </c>
      <c r="N164" s="13">
        <v>3.5</v>
      </c>
    </row>
    <row r="165" spans="1:14" s="14" customFormat="1" ht="10.95" customHeight="1">
      <c r="A165" s="9">
        <v>3</v>
      </c>
      <c r="B165" s="10"/>
      <c r="C165" s="11" t="s">
        <v>821</v>
      </c>
      <c r="D165" s="12" t="s">
        <v>822</v>
      </c>
      <c r="E165" s="12" t="s">
        <v>823</v>
      </c>
      <c r="F165" s="11" t="s">
        <v>824</v>
      </c>
      <c r="G165" s="11" t="s">
        <v>25</v>
      </c>
      <c r="H165" s="11" t="s">
        <v>38</v>
      </c>
      <c r="I165" s="11" t="s">
        <v>791</v>
      </c>
      <c r="J165" s="10"/>
      <c r="K165" s="11" t="s">
        <v>20</v>
      </c>
      <c r="L165" s="10"/>
      <c r="M165" s="13"/>
      <c r="N165" s="13"/>
    </row>
    <row r="166" spans="1:14" s="14" customFormat="1" ht="10.95" customHeight="1">
      <c r="A166" s="9">
        <v>3</v>
      </c>
      <c r="B166" s="10"/>
      <c r="C166" s="11" t="s">
        <v>825</v>
      </c>
      <c r="D166" s="12" t="s">
        <v>822</v>
      </c>
      <c r="E166" s="12" t="s">
        <v>823</v>
      </c>
      <c r="F166" s="11" t="s">
        <v>824</v>
      </c>
      <c r="G166" s="11" t="s">
        <v>25</v>
      </c>
      <c r="H166" s="11" t="s">
        <v>38</v>
      </c>
      <c r="I166" s="11" t="s">
        <v>791</v>
      </c>
      <c r="J166" s="10"/>
      <c r="K166" s="11" t="s">
        <v>20</v>
      </c>
      <c r="L166" s="10"/>
      <c r="M166" s="13"/>
      <c r="N166" s="13"/>
    </row>
    <row r="167" spans="1:14" s="14" customFormat="1" ht="10.95" customHeight="1">
      <c r="A167" s="9">
        <v>3</v>
      </c>
      <c r="B167" s="10"/>
      <c r="C167" s="11" t="s">
        <v>826</v>
      </c>
      <c r="D167" s="12" t="s">
        <v>827</v>
      </c>
      <c r="E167" s="15" t="s">
        <v>828</v>
      </c>
      <c r="F167" s="11" t="s">
        <v>824</v>
      </c>
      <c r="G167" s="11" t="s">
        <v>25</v>
      </c>
      <c r="H167" s="11" t="s">
        <v>38</v>
      </c>
      <c r="I167" s="11" t="s">
        <v>791</v>
      </c>
      <c r="J167" s="10"/>
      <c r="K167" s="11" t="s">
        <v>20</v>
      </c>
      <c r="L167" s="10"/>
      <c r="M167" s="13"/>
      <c r="N167" s="13"/>
    </row>
    <row r="168" spans="1:14" s="14" customFormat="1" ht="10.95" customHeight="1">
      <c r="A168" s="9">
        <v>3</v>
      </c>
      <c r="B168" s="10"/>
      <c r="C168" s="11" t="s">
        <v>829</v>
      </c>
      <c r="D168" s="12" t="s">
        <v>827</v>
      </c>
      <c r="E168" s="15" t="s">
        <v>828</v>
      </c>
      <c r="F168" s="11" t="s">
        <v>824</v>
      </c>
      <c r="G168" s="11" t="s">
        <v>25</v>
      </c>
      <c r="H168" s="11" t="s">
        <v>38</v>
      </c>
      <c r="I168" s="11" t="s">
        <v>791</v>
      </c>
      <c r="J168" s="10"/>
      <c r="K168" s="11" t="s">
        <v>20</v>
      </c>
      <c r="L168" s="10"/>
      <c r="M168" s="13"/>
      <c r="N168" s="13"/>
    </row>
    <row r="169" spans="1:14" s="14" customFormat="1" ht="10.95" customHeight="1">
      <c r="A169" s="9">
        <v>3</v>
      </c>
      <c r="B169" s="10"/>
      <c r="C169" s="11" t="s">
        <v>830</v>
      </c>
      <c r="D169" s="12" t="s">
        <v>827</v>
      </c>
      <c r="E169" s="12" t="s">
        <v>831</v>
      </c>
      <c r="F169" s="11" t="s">
        <v>824</v>
      </c>
      <c r="G169" s="11" t="s">
        <v>25</v>
      </c>
      <c r="H169" s="11" t="s">
        <v>38</v>
      </c>
      <c r="I169" s="11" t="s">
        <v>791</v>
      </c>
      <c r="J169" s="10"/>
      <c r="K169" s="11" t="s">
        <v>20</v>
      </c>
      <c r="L169" s="10"/>
      <c r="M169" s="13"/>
      <c r="N169" s="13"/>
    </row>
    <row r="170" spans="1:14" s="14" customFormat="1" ht="10.95" customHeight="1">
      <c r="A170" s="9">
        <v>3</v>
      </c>
      <c r="B170" s="10"/>
      <c r="C170" s="11" t="s">
        <v>832</v>
      </c>
      <c r="D170" s="12" t="s">
        <v>833</v>
      </c>
      <c r="E170" s="12" t="s">
        <v>823</v>
      </c>
      <c r="F170" s="11" t="s">
        <v>824</v>
      </c>
      <c r="G170" s="11" t="s">
        <v>25</v>
      </c>
      <c r="H170" s="11" t="s">
        <v>38</v>
      </c>
      <c r="I170" s="11" t="s">
        <v>791</v>
      </c>
      <c r="J170" s="10"/>
      <c r="K170" s="11" t="s">
        <v>20</v>
      </c>
      <c r="L170" s="10"/>
      <c r="M170" s="13"/>
      <c r="N170" s="13"/>
    </row>
    <row r="171" spans="1:14" s="14" customFormat="1" ht="10.95" customHeight="1">
      <c r="A171" s="9">
        <v>3</v>
      </c>
      <c r="B171" s="10"/>
      <c r="C171" s="11" t="s">
        <v>834</v>
      </c>
      <c r="D171" s="12" t="s">
        <v>833</v>
      </c>
      <c r="E171" s="12" t="s">
        <v>823</v>
      </c>
      <c r="F171" s="11" t="s">
        <v>824</v>
      </c>
      <c r="G171" s="11" t="s">
        <v>25</v>
      </c>
      <c r="H171" s="11" t="s">
        <v>38</v>
      </c>
      <c r="I171" s="11" t="s">
        <v>791</v>
      </c>
      <c r="J171" s="10"/>
      <c r="K171" s="11" t="s">
        <v>20</v>
      </c>
      <c r="L171" s="10"/>
      <c r="M171" s="13"/>
      <c r="N171" s="13"/>
    </row>
    <row r="172" spans="1:14" s="14" customFormat="1" ht="15" customHeight="1">
      <c r="A172" s="9">
        <v>3</v>
      </c>
      <c r="B172" s="10"/>
      <c r="C172" s="11" t="s">
        <v>835</v>
      </c>
      <c r="D172" s="12" t="s">
        <v>818</v>
      </c>
      <c r="E172" s="12" t="s">
        <v>823</v>
      </c>
      <c r="F172" s="11" t="s">
        <v>824</v>
      </c>
      <c r="G172" s="11" t="s">
        <v>25</v>
      </c>
      <c r="H172" s="11" t="s">
        <v>18</v>
      </c>
      <c r="I172" s="11" t="s">
        <v>791</v>
      </c>
      <c r="J172" s="10"/>
      <c r="K172" s="11" t="s">
        <v>20</v>
      </c>
      <c r="L172" s="10"/>
      <c r="M172" s="13" t="s">
        <v>484</v>
      </c>
      <c r="N172" s="13">
        <v>3.5</v>
      </c>
    </row>
    <row r="173" spans="1:14" s="14" customFormat="1" ht="15" customHeight="1">
      <c r="A173" s="9">
        <v>3</v>
      </c>
      <c r="B173" s="10"/>
      <c r="C173" s="11" t="s">
        <v>836</v>
      </c>
      <c r="D173" s="12" t="s">
        <v>818</v>
      </c>
      <c r="E173" s="12" t="s">
        <v>823</v>
      </c>
      <c r="F173" s="11" t="s">
        <v>824</v>
      </c>
      <c r="G173" s="11" t="s">
        <v>25</v>
      </c>
      <c r="H173" s="11" t="s">
        <v>18</v>
      </c>
      <c r="I173" s="11" t="s">
        <v>791</v>
      </c>
      <c r="J173" s="10"/>
      <c r="K173" s="11" t="s">
        <v>20</v>
      </c>
      <c r="L173" s="10"/>
      <c r="M173" s="13" t="s">
        <v>484</v>
      </c>
      <c r="N173" s="13">
        <v>3.5</v>
      </c>
    </row>
    <row r="174" spans="1:14" s="14" customFormat="1" ht="15" customHeight="1">
      <c r="A174" s="9">
        <v>3</v>
      </c>
      <c r="B174" s="10"/>
      <c r="C174" s="11" t="s">
        <v>837</v>
      </c>
      <c r="D174" s="12" t="s">
        <v>838</v>
      </c>
      <c r="E174" s="12" t="s">
        <v>839</v>
      </c>
      <c r="F174" s="11" t="s">
        <v>824</v>
      </c>
      <c r="G174" s="11" t="s">
        <v>25</v>
      </c>
      <c r="H174" s="11" t="s">
        <v>18</v>
      </c>
      <c r="I174" s="11" t="s">
        <v>791</v>
      </c>
      <c r="J174" s="10"/>
      <c r="K174" s="11" t="s">
        <v>20</v>
      </c>
      <c r="L174" s="10"/>
      <c r="M174" s="13" t="s">
        <v>484</v>
      </c>
      <c r="N174" s="13">
        <v>3.5</v>
      </c>
    </row>
    <row r="175" spans="1:14" s="14" customFormat="1" ht="15" customHeight="1">
      <c r="A175" s="9">
        <v>3</v>
      </c>
      <c r="B175" s="10"/>
      <c r="C175" s="11" t="s">
        <v>840</v>
      </c>
      <c r="D175" s="12" t="s">
        <v>838</v>
      </c>
      <c r="E175" s="12" t="s">
        <v>839</v>
      </c>
      <c r="F175" s="11" t="s">
        <v>824</v>
      </c>
      <c r="G175" s="11" t="s">
        <v>25</v>
      </c>
      <c r="H175" s="11" t="s">
        <v>18</v>
      </c>
      <c r="I175" s="11" t="s">
        <v>791</v>
      </c>
      <c r="J175" s="10"/>
      <c r="K175" s="11" t="s">
        <v>20</v>
      </c>
      <c r="L175" s="10"/>
      <c r="M175" s="13" t="s">
        <v>484</v>
      </c>
      <c r="N175" s="13">
        <v>3.5</v>
      </c>
    </row>
    <row r="176" spans="1:14" s="14" customFormat="1" ht="15" customHeight="1">
      <c r="A176" s="9">
        <v>3</v>
      </c>
      <c r="B176" s="10"/>
      <c r="C176" s="11" t="s">
        <v>841</v>
      </c>
      <c r="D176" s="12" t="s">
        <v>838</v>
      </c>
      <c r="E176" s="15" t="s">
        <v>842</v>
      </c>
      <c r="F176" s="11" t="s">
        <v>824</v>
      </c>
      <c r="G176" s="11" t="s">
        <v>25</v>
      </c>
      <c r="H176" s="11" t="s">
        <v>18</v>
      </c>
      <c r="I176" s="11" t="s">
        <v>791</v>
      </c>
      <c r="J176" s="10"/>
      <c r="K176" s="11" t="s">
        <v>20</v>
      </c>
      <c r="L176" s="10"/>
      <c r="M176" s="13" t="s">
        <v>484</v>
      </c>
      <c r="N176" s="13">
        <v>3.5</v>
      </c>
    </row>
    <row r="177" spans="1:14" s="14" customFormat="1" ht="15" customHeight="1">
      <c r="A177" s="9">
        <v>3</v>
      </c>
      <c r="B177" s="10"/>
      <c r="C177" s="11" t="s">
        <v>843</v>
      </c>
      <c r="D177" s="12" t="s">
        <v>838</v>
      </c>
      <c r="E177" s="15" t="s">
        <v>842</v>
      </c>
      <c r="F177" s="11" t="s">
        <v>824</v>
      </c>
      <c r="G177" s="11" t="s">
        <v>25</v>
      </c>
      <c r="H177" s="11" t="s">
        <v>18</v>
      </c>
      <c r="I177" s="11" t="s">
        <v>791</v>
      </c>
      <c r="J177" s="10"/>
      <c r="K177" s="11" t="s">
        <v>20</v>
      </c>
      <c r="L177" s="10"/>
      <c r="M177" s="13" t="s">
        <v>484</v>
      </c>
      <c r="N177" s="13">
        <v>3.5</v>
      </c>
    </row>
    <row r="178" spans="1:14" s="14" customFormat="1" ht="15" customHeight="1">
      <c r="A178" s="9">
        <v>3</v>
      </c>
      <c r="B178" s="10"/>
      <c r="C178" s="11" t="s">
        <v>844</v>
      </c>
      <c r="D178" s="12" t="s">
        <v>838</v>
      </c>
      <c r="E178" s="12" t="s">
        <v>845</v>
      </c>
      <c r="F178" s="11" t="s">
        <v>824</v>
      </c>
      <c r="G178" s="11" t="s">
        <v>25</v>
      </c>
      <c r="H178" s="11" t="s">
        <v>18</v>
      </c>
      <c r="I178" s="11" t="s">
        <v>791</v>
      </c>
      <c r="J178" s="10"/>
      <c r="K178" s="11" t="s">
        <v>20</v>
      </c>
      <c r="L178" s="10"/>
      <c r="M178" s="13" t="s">
        <v>484</v>
      </c>
      <c r="N178" s="13">
        <v>3.5</v>
      </c>
    </row>
    <row r="179" spans="1:14" s="14" customFormat="1" ht="15" customHeight="1">
      <c r="A179" s="9">
        <v>3</v>
      </c>
      <c r="B179" s="10"/>
      <c r="C179" s="11" t="s">
        <v>846</v>
      </c>
      <c r="D179" s="12" t="s">
        <v>838</v>
      </c>
      <c r="E179" s="12" t="s">
        <v>845</v>
      </c>
      <c r="F179" s="11" t="s">
        <v>824</v>
      </c>
      <c r="G179" s="11" t="s">
        <v>25</v>
      </c>
      <c r="H179" s="11" t="s">
        <v>18</v>
      </c>
      <c r="I179" s="11" t="s">
        <v>791</v>
      </c>
      <c r="J179" s="10"/>
      <c r="K179" s="11" t="s">
        <v>20</v>
      </c>
      <c r="L179" s="10"/>
      <c r="M179" s="13" t="s">
        <v>484</v>
      </c>
      <c r="N179" s="13">
        <v>3.5</v>
      </c>
    </row>
    <row r="180" spans="1:14" s="14" customFormat="1" ht="15" customHeight="1">
      <c r="A180" s="9">
        <v>3</v>
      </c>
      <c r="B180" s="10"/>
      <c r="C180" s="11" t="s">
        <v>847</v>
      </c>
      <c r="D180" s="12" t="s">
        <v>838</v>
      </c>
      <c r="E180" s="15" t="s">
        <v>848</v>
      </c>
      <c r="F180" s="11" t="s">
        <v>824</v>
      </c>
      <c r="G180" s="11" t="s">
        <v>25</v>
      </c>
      <c r="H180" s="11" t="s">
        <v>18</v>
      </c>
      <c r="I180" s="11" t="s">
        <v>791</v>
      </c>
      <c r="J180" s="11" t="s">
        <v>849</v>
      </c>
      <c r="K180" s="11" t="s">
        <v>20</v>
      </c>
      <c r="L180" s="10"/>
      <c r="M180" s="13" t="s">
        <v>484</v>
      </c>
      <c r="N180" s="13">
        <v>3.5</v>
      </c>
    </row>
    <row r="181" spans="1:14" s="14" customFormat="1" ht="10.95" customHeight="1">
      <c r="A181" s="9">
        <v>3</v>
      </c>
      <c r="B181" s="10"/>
      <c r="C181" s="11" t="s">
        <v>850</v>
      </c>
      <c r="D181" s="12" t="s">
        <v>827</v>
      </c>
      <c r="E181" s="12" t="s">
        <v>851</v>
      </c>
      <c r="F181" s="11" t="s">
        <v>852</v>
      </c>
      <c r="G181" s="11" t="s">
        <v>25</v>
      </c>
      <c r="H181" s="11" t="s">
        <v>38</v>
      </c>
      <c r="I181" s="11" t="s">
        <v>791</v>
      </c>
      <c r="J181" s="10"/>
      <c r="K181" s="11" t="s">
        <v>20</v>
      </c>
      <c r="L181" s="10"/>
      <c r="M181" s="13"/>
      <c r="N181" s="13"/>
    </row>
    <row r="182" spans="1:14" s="14" customFormat="1" ht="10.95" customHeight="1">
      <c r="A182" s="9">
        <v>3</v>
      </c>
      <c r="B182" s="10"/>
      <c r="C182" s="11" t="s">
        <v>853</v>
      </c>
      <c r="D182" s="12" t="s">
        <v>827</v>
      </c>
      <c r="E182" s="12" t="s">
        <v>851</v>
      </c>
      <c r="F182" s="11" t="s">
        <v>852</v>
      </c>
      <c r="G182" s="11" t="s">
        <v>25</v>
      </c>
      <c r="H182" s="11" t="s">
        <v>38</v>
      </c>
      <c r="I182" s="11" t="s">
        <v>791</v>
      </c>
      <c r="J182" s="10"/>
      <c r="K182" s="11" t="s">
        <v>20</v>
      </c>
      <c r="L182" s="10"/>
      <c r="M182" s="13"/>
      <c r="N182" s="13"/>
    </row>
    <row r="183" spans="1:14" s="14" customFormat="1" ht="10.95" customHeight="1">
      <c r="A183" s="9">
        <v>3</v>
      </c>
      <c r="B183" s="10"/>
      <c r="C183" s="11" t="s">
        <v>854</v>
      </c>
      <c r="D183" s="12" t="s">
        <v>827</v>
      </c>
      <c r="E183" s="12" t="s">
        <v>851</v>
      </c>
      <c r="F183" s="11" t="s">
        <v>852</v>
      </c>
      <c r="G183" s="11" t="s">
        <v>25</v>
      </c>
      <c r="H183" s="11" t="s">
        <v>38</v>
      </c>
      <c r="I183" s="11" t="s">
        <v>791</v>
      </c>
      <c r="J183" s="10"/>
      <c r="K183" s="11" t="s">
        <v>20</v>
      </c>
      <c r="L183" s="10"/>
      <c r="M183" s="13"/>
      <c r="N183" s="13"/>
    </row>
    <row r="184" spans="1:14" s="14" customFormat="1" ht="10.95" customHeight="1">
      <c r="A184" s="9">
        <v>3</v>
      </c>
      <c r="B184" s="10"/>
      <c r="C184" s="11" t="s">
        <v>855</v>
      </c>
      <c r="D184" s="12" t="s">
        <v>827</v>
      </c>
      <c r="E184" s="12" t="s">
        <v>851</v>
      </c>
      <c r="F184" s="11" t="s">
        <v>852</v>
      </c>
      <c r="G184" s="11" t="s">
        <v>25</v>
      </c>
      <c r="H184" s="11" t="s">
        <v>38</v>
      </c>
      <c r="I184" s="11" t="s">
        <v>791</v>
      </c>
      <c r="J184" s="10"/>
      <c r="K184" s="11" t="s">
        <v>20</v>
      </c>
      <c r="L184" s="10"/>
      <c r="M184" s="13"/>
      <c r="N184" s="13"/>
    </row>
    <row r="185" spans="1:14" s="14" customFormat="1" ht="10.95" customHeight="1">
      <c r="A185" s="9">
        <v>3</v>
      </c>
      <c r="B185" s="10"/>
      <c r="C185" s="11" t="s">
        <v>856</v>
      </c>
      <c r="D185" s="12" t="s">
        <v>827</v>
      </c>
      <c r="E185" s="12" t="s">
        <v>857</v>
      </c>
      <c r="F185" s="11" t="s">
        <v>852</v>
      </c>
      <c r="G185" s="11" t="s">
        <v>25</v>
      </c>
      <c r="H185" s="11" t="s">
        <v>38</v>
      </c>
      <c r="I185" s="11" t="s">
        <v>791</v>
      </c>
      <c r="J185" s="10"/>
      <c r="K185" s="11" t="s">
        <v>20</v>
      </c>
      <c r="L185" s="10"/>
      <c r="M185" s="13"/>
      <c r="N185" s="13"/>
    </row>
    <row r="186" spans="1:14" s="14" customFormat="1" ht="10.95" customHeight="1">
      <c r="A186" s="9">
        <v>3</v>
      </c>
      <c r="B186" s="10"/>
      <c r="C186" s="11" t="s">
        <v>858</v>
      </c>
      <c r="D186" s="12" t="s">
        <v>833</v>
      </c>
      <c r="E186" s="12" t="s">
        <v>851</v>
      </c>
      <c r="F186" s="11" t="s">
        <v>852</v>
      </c>
      <c r="G186" s="11" t="s">
        <v>25</v>
      </c>
      <c r="H186" s="11" t="s">
        <v>38</v>
      </c>
      <c r="I186" s="11" t="s">
        <v>791</v>
      </c>
      <c r="J186" s="10"/>
      <c r="K186" s="11" t="s">
        <v>20</v>
      </c>
      <c r="L186" s="10"/>
      <c r="M186" s="13"/>
      <c r="N186" s="13"/>
    </row>
    <row r="187" spans="1:14" s="14" customFormat="1" ht="10.95" customHeight="1">
      <c r="A187" s="9">
        <v>3</v>
      </c>
      <c r="B187" s="10"/>
      <c r="C187" s="11" t="s">
        <v>859</v>
      </c>
      <c r="D187" s="12" t="s">
        <v>833</v>
      </c>
      <c r="E187" s="12" t="s">
        <v>851</v>
      </c>
      <c r="F187" s="11" t="s">
        <v>852</v>
      </c>
      <c r="G187" s="11" t="s">
        <v>25</v>
      </c>
      <c r="H187" s="11" t="s">
        <v>38</v>
      </c>
      <c r="I187" s="11" t="s">
        <v>791</v>
      </c>
      <c r="J187" s="10"/>
      <c r="K187" s="11" t="s">
        <v>20</v>
      </c>
      <c r="L187" s="10"/>
      <c r="M187" s="13"/>
      <c r="N187" s="13"/>
    </row>
    <row r="188" spans="1:14" s="14" customFormat="1" ht="15" customHeight="1">
      <c r="A188" s="9">
        <v>3</v>
      </c>
      <c r="B188" s="10"/>
      <c r="C188" s="11" t="s">
        <v>860</v>
      </c>
      <c r="D188" s="12" t="s">
        <v>818</v>
      </c>
      <c r="E188" s="12" t="s">
        <v>851</v>
      </c>
      <c r="F188" s="11" t="s">
        <v>852</v>
      </c>
      <c r="G188" s="11" t="s">
        <v>25</v>
      </c>
      <c r="H188" s="11" t="s">
        <v>18</v>
      </c>
      <c r="I188" s="11" t="s">
        <v>791</v>
      </c>
      <c r="J188" s="10"/>
      <c r="K188" s="11" t="s">
        <v>20</v>
      </c>
      <c r="L188" s="10"/>
      <c r="M188" s="13" t="s">
        <v>484</v>
      </c>
      <c r="N188" s="13">
        <v>3.5</v>
      </c>
    </row>
    <row r="189" spans="1:14" s="14" customFormat="1" ht="15" customHeight="1">
      <c r="A189" s="9">
        <v>3</v>
      </c>
      <c r="B189" s="10"/>
      <c r="C189" s="11" t="s">
        <v>861</v>
      </c>
      <c r="D189" s="12" t="s">
        <v>818</v>
      </c>
      <c r="E189" s="12" t="s">
        <v>851</v>
      </c>
      <c r="F189" s="11" t="s">
        <v>852</v>
      </c>
      <c r="G189" s="11" t="s">
        <v>25</v>
      </c>
      <c r="H189" s="11" t="s">
        <v>18</v>
      </c>
      <c r="I189" s="11" t="s">
        <v>791</v>
      </c>
      <c r="J189" s="10"/>
      <c r="K189" s="11" t="s">
        <v>20</v>
      </c>
      <c r="L189" s="10"/>
      <c r="M189" s="13" t="s">
        <v>484</v>
      </c>
      <c r="N189" s="13">
        <v>3.5</v>
      </c>
    </row>
    <row r="190" spans="1:14" s="14" customFormat="1" ht="10.95" customHeight="1">
      <c r="A190" s="9">
        <v>3</v>
      </c>
      <c r="B190" s="10"/>
      <c r="C190" s="11" t="s">
        <v>862</v>
      </c>
      <c r="D190" s="12" t="s">
        <v>833</v>
      </c>
      <c r="E190" s="12" t="s">
        <v>857</v>
      </c>
      <c r="F190" s="11" t="s">
        <v>863</v>
      </c>
      <c r="G190" s="11" t="s">
        <v>25</v>
      </c>
      <c r="H190" s="11" t="s">
        <v>38</v>
      </c>
      <c r="I190" s="11" t="s">
        <v>791</v>
      </c>
      <c r="J190" s="10"/>
      <c r="K190" s="11" t="s">
        <v>20</v>
      </c>
      <c r="L190" s="10"/>
      <c r="M190" s="13"/>
      <c r="N190" s="13"/>
    </row>
    <row r="191" spans="1:14" s="14" customFormat="1" ht="10.95" customHeight="1">
      <c r="A191" s="9">
        <v>3</v>
      </c>
      <c r="B191" s="10"/>
      <c r="C191" s="11" t="s">
        <v>864</v>
      </c>
      <c r="D191" s="12" t="s">
        <v>833</v>
      </c>
      <c r="E191" s="12" t="s">
        <v>857</v>
      </c>
      <c r="F191" s="11" t="s">
        <v>863</v>
      </c>
      <c r="G191" s="11" t="s">
        <v>25</v>
      </c>
      <c r="H191" s="11" t="s">
        <v>38</v>
      </c>
      <c r="I191" s="11" t="s">
        <v>791</v>
      </c>
      <c r="J191" s="10"/>
      <c r="K191" s="11" t="s">
        <v>20</v>
      </c>
      <c r="L191" s="10"/>
      <c r="M191" s="13"/>
      <c r="N191" s="13"/>
    </row>
    <row r="192" spans="1:14" s="14" customFormat="1" ht="10.95" customHeight="1">
      <c r="A192" s="9">
        <v>3</v>
      </c>
      <c r="B192" s="10"/>
      <c r="C192" s="11" t="s">
        <v>865</v>
      </c>
      <c r="D192" s="12" t="s">
        <v>827</v>
      </c>
      <c r="E192" s="12" t="s">
        <v>857</v>
      </c>
      <c r="F192" s="11" t="s">
        <v>863</v>
      </c>
      <c r="G192" s="11" t="s">
        <v>25</v>
      </c>
      <c r="H192" s="11" t="s">
        <v>38</v>
      </c>
      <c r="I192" s="11" t="s">
        <v>791</v>
      </c>
      <c r="J192" s="10"/>
      <c r="K192" s="11" t="s">
        <v>20</v>
      </c>
      <c r="L192" s="10"/>
      <c r="M192" s="13"/>
      <c r="N192" s="13"/>
    </row>
    <row r="193" spans="1:14" s="14" customFormat="1" ht="10.95" customHeight="1">
      <c r="A193" s="9">
        <v>3</v>
      </c>
      <c r="B193" s="10"/>
      <c r="C193" s="11" t="s">
        <v>866</v>
      </c>
      <c r="D193" s="12" t="s">
        <v>827</v>
      </c>
      <c r="E193" s="12" t="s">
        <v>857</v>
      </c>
      <c r="F193" s="11" t="s">
        <v>863</v>
      </c>
      <c r="G193" s="11" t="s">
        <v>25</v>
      </c>
      <c r="H193" s="11" t="s">
        <v>38</v>
      </c>
      <c r="I193" s="11" t="s">
        <v>791</v>
      </c>
      <c r="J193" s="10"/>
      <c r="K193" s="11" t="s">
        <v>20</v>
      </c>
      <c r="L193" s="10"/>
      <c r="M193" s="13"/>
      <c r="N193" s="13"/>
    </row>
    <row r="194" spans="1:14" s="14" customFormat="1" ht="10.95" customHeight="1">
      <c r="A194" s="9">
        <v>3</v>
      </c>
      <c r="B194" s="10"/>
      <c r="C194" s="11" t="s">
        <v>867</v>
      </c>
      <c r="D194" s="12" t="s">
        <v>827</v>
      </c>
      <c r="E194" s="12" t="s">
        <v>857</v>
      </c>
      <c r="F194" s="11" t="s">
        <v>863</v>
      </c>
      <c r="G194" s="11" t="s">
        <v>25</v>
      </c>
      <c r="H194" s="11" t="s">
        <v>38</v>
      </c>
      <c r="I194" s="11" t="s">
        <v>791</v>
      </c>
      <c r="J194" s="10"/>
      <c r="K194" s="11" t="s">
        <v>20</v>
      </c>
      <c r="L194" s="10"/>
      <c r="M194" s="13"/>
      <c r="N194" s="13"/>
    </row>
    <row r="195" spans="1:14" s="14" customFormat="1" ht="10.95" customHeight="1">
      <c r="A195" s="9">
        <v>3</v>
      </c>
      <c r="B195" s="10"/>
      <c r="C195" s="11" t="s">
        <v>868</v>
      </c>
      <c r="D195" s="12" t="s">
        <v>827</v>
      </c>
      <c r="E195" s="12" t="s">
        <v>857</v>
      </c>
      <c r="F195" s="11" t="s">
        <v>863</v>
      </c>
      <c r="G195" s="11" t="s">
        <v>25</v>
      </c>
      <c r="H195" s="11" t="s">
        <v>38</v>
      </c>
      <c r="I195" s="11" t="s">
        <v>791</v>
      </c>
      <c r="J195" s="10"/>
      <c r="K195" s="11" t="s">
        <v>20</v>
      </c>
      <c r="L195" s="10"/>
      <c r="M195" s="13"/>
      <c r="N195" s="13"/>
    </row>
    <row r="196" spans="1:14" s="14" customFormat="1" ht="10.95" customHeight="1">
      <c r="A196" s="9">
        <v>3</v>
      </c>
      <c r="B196" s="10"/>
      <c r="C196" s="11" t="s">
        <v>869</v>
      </c>
      <c r="D196" s="12" t="s">
        <v>827</v>
      </c>
      <c r="E196" s="12" t="s">
        <v>857</v>
      </c>
      <c r="F196" s="11" t="s">
        <v>863</v>
      </c>
      <c r="G196" s="11" t="s">
        <v>25</v>
      </c>
      <c r="H196" s="11" t="s">
        <v>38</v>
      </c>
      <c r="I196" s="11" t="s">
        <v>791</v>
      </c>
      <c r="J196" s="10"/>
      <c r="K196" s="11" t="s">
        <v>20</v>
      </c>
      <c r="L196" s="10"/>
      <c r="M196" s="13"/>
      <c r="N196" s="13"/>
    </row>
    <row r="197" spans="1:14" s="14" customFormat="1" ht="10.95" customHeight="1">
      <c r="A197" s="9">
        <v>3</v>
      </c>
      <c r="B197" s="10"/>
      <c r="C197" s="11" t="s">
        <v>870</v>
      </c>
      <c r="D197" s="12" t="s">
        <v>827</v>
      </c>
      <c r="E197" s="12" t="s">
        <v>857</v>
      </c>
      <c r="F197" s="11" t="s">
        <v>863</v>
      </c>
      <c r="G197" s="11" t="s">
        <v>25</v>
      </c>
      <c r="H197" s="11" t="s">
        <v>38</v>
      </c>
      <c r="I197" s="11" t="s">
        <v>791</v>
      </c>
      <c r="J197" s="10"/>
      <c r="K197" s="11" t="s">
        <v>20</v>
      </c>
      <c r="L197" s="10"/>
      <c r="M197" s="13"/>
      <c r="N197" s="13"/>
    </row>
    <row r="198" spans="1:14" s="14" customFormat="1" ht="10.95" customHeight="1">
      <c r="A198" s="9">
        <v>3</v>
      </c>
      <c r="B198" s="10"/>
      <c r="C198" s="11" t="s">
        <v>871</v>
      </c>
      <c r="D198" s="12" t="s">
        <v>827</v>
      </c>
      <c r="E198" s="12" t="s">
        <v>857</v>
      </c>
      <c r="F198" s="11" t="s">
        <v>863</v>
      </c>
      <c r="G198" s="11" t="s">
        <v>25</v>
      </c>
      <c r="H198" s="11" t="s">
        <v>38</v>
      </c>
      <c r="I198" s="11" t="s">
        <v>791</v>
      </c>
      <c r="J198" s="10"/>
      <c r="K198" s="11" t="s">
        <v>20</v>
      </c>
      <c r="L198" s="10"/>
      <c r="M198" s="13"/>
      <c r="N198" s="13"/>
    </row>
    <row r="199" spans="1:14" s="14" customFormat="1" ht="10.95" customHeight="1">
      <c r="A199" s="9">
        <v>3</v>
      </c>
      <c r="B199" s="10"/>
      <c r="C199" s="11" t="s">
        <v>872</v>
      </c>
      <c r="D199" s="12" t="s">
        <v>833</v>
      </c>
      <c r="E199" s="12" t="s">
        <v>857</v>
      </c>
      <c r="F199" s="11" t="s">
        <v>863</v>
      </c>
      <c r="G199" s="11" t="s">
        <v>25</v>
      </c>
      <c r="H199" s="11" t="s">
        <v>38</v>
      </c>
      <c r="I199" s="11" t="s">
        <v>791</v>
      </c>
      <c r="J199" s="10"/>
      <c r="K199" s="11" t="s">
        <v>20</v>
      </c>
      <c r="L199" s="10"/>
      <c r="M199" s="13"/>
      <c r="N199" s="13"/>
    </row>
    <row r="200" spans="1:14" s="14" customFormat="1" ht="10.95" customHeight="1">
      <c r="A200" s="9">
        <v>3</v>
      </c>
      <c r="B200" s="10"/>
      <c r="C200" s="11" t="s">
        <v>873</v>
      </c>
      <c r="D200" s="12" t="s">
        <v>833</v>
      </c>
      <c r="E200" s="12" t="s">
        <v>857</v>
      </c>
      <c r="F200" s="11" t="s">
        <v>863</v>
      </c>
      <c r="G200" s="11" t="s">
        <v>25</v>
      </c>
      <c r="H200" s="11" t="s">
        <v>38</v>
      </c>
      <c r="I200" s="11" t="s">
        <v>791</v>
      </c>
      <c r="J200" s="10"/>
      <c r="K200" s="11" t="s">
        <v>20</v>
      </c>
      <c r="L200" s="10"/>
      <c r="M200" s="13"/>
      <c r="N200" s="13"/>
    </row>
    <row r="201" spans="1:14" s="14" customFormat="1" ht="15" customHeight="1">
      <c r="A201" s="9">
        <v>3</v>
      </c>
      <c r="B201" s="10"/>
      <c r="C201" s="11" t="s">
        <v>874</v>
      </c>
      <c r="D201" s="12" t="s">
        <v>818</v>
      </c>
      <c r="E201" s="12" t="s">
        <v>875</v>
      </c>
      <c r="F201" s="11" t="s">
        <v>863</v>
      </c>
      <c r="G201" s="11" t="s">
        <v>25</v>
      </c>
      <c r="H201" s="11" t="s">
        <v>18</v>
      </c>
      <c r="I201" s="11" t="s">
        <v>791</v>
      </c>
      <c r="J201" s="10"/>
      <c r="K201" s="11" t="s">
        <v>20</v>
      </c>
      <c r="L201" s="10"/>
      <c r="M201" s="13" t="s">
        <v>484</v>
      </c>
      <c r="N201" s="13">
        <v>3.5</v>
      </c>
    </row>
    <row r="202" spans="1:14" s="14" customFormat="1" ht="10.95" customHeight="1">
      <c r="A202" s="9">
        <v>3</v>
      </c>
      <c r="B202" s="10"/>
      <c r="C202" s="11" t="s">
        <v>876</v>
      </c>
      <c r="D202" s="12" t="s">
        <v>827</v>
      </c>
      <c r="E202" s="12" t="s">
        <v>877</v>
      </c>
      <c r="F202" s="11" t="s">
        <v>878</v>
      </c>
      <c r="G202" s="11" t="s">
        <v>25</v>
      </c>
      <c r="H202" s="11" t="s">
        <v>38</v>
      </c>
      <c r="I202" s="11" t="s">
        <v>791</v>
      </c>
      <c r="J202" s="10"/>
      <c r="K202" s="11" t="s">
        <v>20</v>
      </c>
      <c r="L202" s="10"/>
      <c r="M202" s="13"/>
      <c r="N202" s="13"/>
    </row>
    <row r="203" spans="1:14" s="14" customFormat="1" ht="10.95" customHeight="1">
      <c r="A203" s="9">
        <v>3</v>
      </c>
      <c r="B203" s="10"/>
      <c r="C203" s="11" t="s">
        <v>879</v>
      </c>
      <c r="D203" s="12" t="s">
        <v>827</v>
      </c>
      <c r="E203" s="12" t="s">
        <v>877</v>
      </c>
      <c r="F203" s="11" t="s">
        <v>878</v>
      </c>
      <c r="G203" s="11" t="s">
        <v>25</v>
      </c>
      <c r="H203" s="11" t="s">
        <v>38</v>
      </c>
      <c r="I203" s="11" t="s">
        <v>791</v>
      </c>
      <c r="J203" s="10"/>
      <c r="K203" s="11" t="s">
        <v>20</v>
      </c>
      <c r="L203" s="10"/>
      <c r="M203" s="13"/>
      <c r="N203" s="13"/>
    </row>
    <row r="204" spans="1:14" s="14" customFormat="1" ht="10.95" customHeight="1">
      <c r="A204" s="9">
        <v>3</v>
      </c>
      <c r="B204" s="10"/>
      <c r="C204" s="11" t="s">
        <v>880</v>
      </c>
      <c r="D204" s="12" t="s">
        <v>833</v>
      </c>
      <c r="E204" s="12" t="s">
        <v>881</v>
      </c>
      <c r="F204" s="11" t="s">
        <v>878</v>
      </c>
      <c r="G204" s="11" t="s">
        <v>25</v>
      </c>
      <c r="H204" s="11" t="s">
        <v>38</v>
      </c>
      <c r="I204" s="11" t="s">
        <v>791</v>
      </c>
      <c r="J204" s="10"/>
      <c r="K204" s="11" t="s">
        <v>20</v>
      </c>
      <c r="L204" s="10"/>
      <c r="M204" s="13"/>
      <c r="N204" s="13"/>
    </row>
    <row r="205" spans="1:14" s="14" customFormat="1" ht="10.95" customHeight="1">
      <c r="A205" s="9">
        <v>3</v>
      </c>
      <c r="B205" s="10"/>
      <c r="C205" s="11" t="s">
        <v>882</v>
      </c>
      <c r="D205" s="12" t="s">
        <v>833</v>
      </c>
      <c r="E205" s="12" t="s">
        <v>881</v>
      </c>
      <c r="F205" s="11" t="s">
        <v>878</v>
      </c>
      <c r="G205" s="11" t="s">
        <v>25</v>
      </c>
      <c r="H205" s="11" t="s">
        <v>38</v>
      </c>
      <c r="I205" s="11" t="s">
        <v>791</v>
      </c>
      <c r="J205" s="10"/>
      <c r="K205" s="11" t="s">
        <v>20</v>
      </c>
      <c r="L205" s="10"/>
      <c r="M205" s="13"/>
      <c r="N205" s="13"/>
    </row>
    <row r="206" spans="1:14" s="14" customFormat="1" ht="15" customHeight="1">
      <c r="A206" s="9">
        <v>3</v>
      </c>
      <c r="B206" s="10"/>
      <c r="C206" s="11" t="s">
        <v>883</v>
      </c>
      <c r="D206" s="12" t="s">
        <v>818</v>
      </c>
      <c r="E206" s="12" t="s">
        <v>884</v>
      </c>
      <c r="F206" s="11" t="s">
        <v>878</v>
      </c>
      <c r="G206" s="11" t="s">
        <v>25</v>
      </c>
      <c r="H206" s="11" t="s">
        <v>18</v>
      </c>
      <c r="I206" s="11" t="s">
        <v>791</v>
      </c>
      <c r="J206" s="10"/>
      <c r="K206" s="11" t="s">
        <v>20</v>
      </c>
      <c r="L206" s="10"/>
      <c r="M206" s="13" t="s">
        <v>484</v>
      </c>
      <c r="N206" s="13">
        <v>3.5</v>
      </c>
    </row>
    <row r="207" spans="1:14" s="14" customFormat="1" ht="15" customHeight="1">
      <c r="A207" s="9">
        <v>3</v>
      </c>
      <c r="B207" s="11" t="s">
        <v>284</v>
      </c>
      <c r="C207" s="11" t="s">
        <v>885</v>
      </c>
      <c r="D207" s="12" t="s">
        <v>886</v>
      </c>
      <c r="E207" s="15" t="s">
        <v>887</v>
      </c>
      <c r="F207" s="11" t="s">
        <v>257</v>
      </c>
      <c r="G207" s="16" t="s">
        <v>288</v>
      </c>
      <c r="H207" s="11" t="s">
        <v>18</v>
      </c>
      <c r="I207" s="11" t="s">
        <v>791</v>
      </c>
      <c r="J207" s="10"/>
      <c r="K207" s="11" t="s">
        <v>20</v>
      </c>
      <c r="L207" s="10"/>
      <c r="M207" s="13" t="s">
        <v>484</v>
      </c>
      <c r="N207" s="13">
        <v>3.5</v>
      </c>
    </row>
    <row r="208" spans="1:14" s="14" customFormat="1" ht="15" customHeight="1">
      <c r="A208" s="9">
        <v>3</v>
      </c>
      <c r="B208" s="11" t="s">
        <v>296</v>
      </c>
      <c r="C208" s="11" t="s">
        <v>888</v>
      </c>
      <c r="D208" s="12" t="s">
        <v>886</v>
      </c>
      <c r="E208" s="15" t="s">
        <v>889</v>
      </c>
      <c r="F208" s="11" t="s">
        <v>257</v>
      </c>
      <c r="G208" s="16" t="s">
        <v>288</v>
      </c>
      <c r="H208" s="11" t="s">
        <v>18</v>
      </c>
      <c r="I208" s="11" t="s">
        <v>791</v>
      </c>
      <c r="J208" s="10"/>
      <c r="K208" s="11" t="s">
        <v>20</v>
      </c>
      <c r="L208" s="10"/>
      <c r="M208" s="13" t="s">
        <v>484</v>
      </c>
      <c r="N208" s="13">
        <v>3.5</v>
      </c>
    </row>
    <row r="209" spans="1:14" s="14" customFormat="1" ht="15" customHeight="1">
      <c r="A209" s="9">
        <v>1</v>
      </c>
      <c r="B209" s="10"/>
      <c r="C209" s="11" t="s">
        <v>890</v>
      </c>
      <c r="D209" s="12" t="s">
        <v>121</v>
      </c>
      <c r="E209" s="12" t="s">
        <v>891</v>
      </c>
      <c r="F209" s="11" t="s">
        <v>306</v>
      </c>
      <c r="G209" s="11" t="s">
        <v>25</v>
      </c>
      <c r="H209" s="11" t="s">
        <v>532</v>
      </c>
      <c r="I209" s="11" t="s">
        <v>791</v>
      </c>
      <c r="J209" s="10"/>
      <c r="K209" s="11" t="s">
        <v>20</v>
      </c>
      <c r="L209" s="10"/>
      <c r="M209" s="13" t="s">
        <v>571</v>
      </c>
      <c r="N209" s="13">
        <v>330</v>
      </c>
    </row>
    <row r="210" spans="1:14" s="14" customFormat="1" ht="10.95" customHeight="1">
      <c r="A210" s="9">
        <v>2</v>
      </c>
      <c r="B210" s="11" t="s">
        <v>892</v>
      </c>
      <c r="C210" s="11" t="s">
        <v>893</v>
      </c>
      <c r="D210" s="12" t="s">
        <v>112</v>
      </c>
      <c r="E210" s="12" t="s">
        <v>894</v>
      </c>
      <c r="F210" s="11" t="s">
        <v>306</v>
      </c>
      <c r="G210" s="11" t="s">
        <v>25</v>
      </c>
      <c r="H210" s="11" t="s">
        <v>38</v>
      </c>
      <c r="I210" s="11" t="s">
        <v>791</v>
      </c>
      <c r="J210" s="11" t="s">
        <v>895</v>
      </c>
      <c r="K210" s="11" t="s">
        <v>20</v>
      </c>
      <c r="L210" s="12" t="s">
        <v>896</v>
      </c>
      <c r="M210" s="13"/>
      <c r="N210" s="13"/>
    </row>
    <row r="211" spans="1:14" s="14" customFormat="1" ht="10.95" customHeight="1">
      <c r="A211" s="9">
        <v>2</v>
      </c>
      <c r="B211" s="11" t="s">
        <v>897</v>
      </c>
      <c r="C211" s="11" t="s">
        <v>898</v>
      </c>
      <c r="D211" s="12" t="s">
        <v>112</v>
      </c>
      <c r="E211" s="12" t="s">
        <v>894</v>
      </c>
      <c r="F211" s="11" t="s">
        <v>306</v>
      </c>
      <c r="G211" s="11" t="s">
        <v>25</v>
      </c>
      <c r="H211" s="11" t="s">
        <v>38</v>
      </c>
      <c r="I211" s="11" t="s">
        <v>791</v>
      </c>
      <c r="J211" s="11" t="s">
        <v>895</v>
      </c>
      <c r="K211" s="11" t="s">
        <v>20</v>
      </c>
      <c r="L211" s="12" t="s">
        <v>896</v>
      </c>
      <c r="M211" s="13"/>
      <c r="N211" s="13"/>
    </row>
    <row r="212" spans="1:14" ht="15" customHeight="1">
      <c r="N212">
        <f>SUBTOTAL(9,N2:N211)</f>
        <v>11441</v>
      </c>
    </row>
  </sheetData>
  <autoFilter ref="A1:N211"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BR62"/>
  <sheetViews>
    <sheetView topLeftCell="C7" zoomScale="160" zoomScaleNormal="160" workbookViewId="0">
      <selection activeCell="D22" sqref="D22"/>
    </sheetView>
  </sheetViews>
  <sheetFormatPr defaultColWidth="9.109375" defaultRowHeight="13.2"/>
  <cols>
    <col min="1" max="1" width="2.77734375" style="20" customWidth="1"/>
    <col min="2" max="2" width="13.21875" style="20" customWidth="1"/>
    <col min="3" max="3" width="20.6640625" style="20" customWidth="1"/>
    <col min="4" max="4" width="9.109375" style="20"/>
    <col min="5" max="5" width="5.21875" style="20" customWidth="1"/>
    <col min="6" max="7" width="2.33203125" style="20" customWidth="1"/>
    <col min="8" max="8" width="1.88671875" style="20" customWidth="1"/>
    <col min="9" max="9" width="2.33203125" style="20" customWidth="1"/>
    <col min="10" max="11" width="1.77734375" style="20" customWidth="1"/>
    <col min="12" max="13" width="2.77734375" style="20" customWidth="1"/>
    <col min="14" max="14" width="2.88671875" style="20" customWidth="1"/>
    <col min="15" max="16" width="2.77734375" style="20" customWidth="1"/>
    <col min="17" max="17" width="2.88671875" style="20" customWidth="1"/>
    <col min="18" max="18" width="2.109375" style="20" customWidth="1"/>
    <col min="19" max="19" width="2.21875" style="20" customWidth="1"/>
    <col min="20" max="20" width="2.88671875" style="20" customWidth="1"/>
    <col min="21" max="21" width="2.77734375" style="20" customWidth="1"/>
    <col min="22" max="22" width="1.88671875" style="20" customWidth="1"/>
    <col min="23" max="23" width="2.33203125" style="20" customWidth="1"/>
    <col min="24" max="25" width="2.77734375" style="20" customWidth="1"/>
    <col min="26" max="26" width="1.88671875" style="20" customWidth="1"/>
    <col min="27" max="27" width="2.109375" style="20" customWidth="1"/>
    <col min="28" max="28" width="1.6640625" style="20" customWidth="1"/>
    <col min="29" max="29" width="1.88671875" style="20" customWidth="1"/>
    <col min="30" max="30" width="2.109375" style="20" customWidth="1"/>
    <col min="31" max="31" width="1.88671875" style="20" customWidth="1"/>
    <col min="32" max="32" width="2.109375" style="20" customWidth="1"/>
    <col min="33" max="34" width="2.77734375" style="20" customWidth="1"/>
    <col min="35" max="35" width="2.88671875" style="20" customWidth="1"/>
    <col min="36" max="37" width="2.77734375" style="20" customWidth="1"/>
    <col min="38" max="38" width="2.109375" style="20" customWidth="1"/>
    <col min="39" max="39" width="1.88671875" style="20" customWidth="1"/>
    <col min="40" max="40" width="2.109375" style="20" customWidth="1"/>
    <col min="41" max="42" width="1.88671875" style="20" customWidth="1"/>
    <col min="43" max="43" width="2.109375" style="20" customWidth="1"/>
    <col min="44" max="44" width="1.88671875" style="20" customWidth="1"/>
    <col min="45" max="47" width="2.33203125" style="20" customWidth="1"/>
    <col min="48" max="48" width="2.21875" style="20" customWidth="1"/>
    <col min="49" max="50" width="2.33203125" style="20" customWidth="1"/>
    <col min="51" max="51" width="2.21875" style="20" customWidth="1"/>
    <col min="52" max="54" width="2.33203125" style="20" customWidth="1"/>
    <col min="55" max="55" width="2.21875" style="20" customWidth="1"/>
    <col min="56" max="57" width="2.33203125" style="20" customWidth="1"/>
    <col min="58" max="58" width="2.21875" style="20" customWidth="1"/>
    <col min="59" max="59" width="2.109375" style="20" customWidth="1"/>
    <col min="60" max="60" width="1.88671875" style="20" customWidth="1"/>
    <col min="61" max="61" width="2.109375" style="20" customWidth="1"/>
    <col min="62" max="62" width="1.88671875" style="20" customWidth="1"/>
    <col min="63" max="63" width="2.88671875" style="20" customWidth="1"/>
    <col min="64" max="64" width="2.109375" style="20" customWidth="1"/>
    <col min="65" max="66" width="1.88671875" style="20" customWidth="1"/>
    <col min="67" max="67" width="2.109375" style="20" customWidth="1"/>
    <col min="68" max="68" width="1.88671875" style="20" customWidth="1"/>
    <col min="69" max="69" width="2.109375" style="20" customWidth="1"/>
    <col min="70" max="70" width="1.88671875" style="20" customWidth="1"/>
    <col min="71" max="16384" width="9.109375" style="20"/>
  </cols>
  <sheetData>
    <row r="1" spans="1:70" ht="88.35" customHeight="1">
      <c r="A1" s="390"/>
      <c r="B1" s="421"/>
      <c r="C1" s="421"/>
      <c r="D1" s="421"/>
      <c r="E1" s="391"/>
      <c r="F1" s="462" t="s">
        <v>910</v>
      </c>
      <c r="G1" s="17" t="s">
        <v>911</v>
      </c>
      <c r="H1" s="18" t="s">
        <v>912</v>
      </c>
      <c r="I1" s="18" t="s">
        <v>913</v>
      </c>
      <c r="J1" s="457" t="s">
        <v>914</v>
      </c>
      <c r="K1" s="458"/>
      <c r="L1" s="18" t="s">
        <v>915</v>
      </c>
      <c r="M1" s="18" t="s">
        <v>916</v>
      </c>
      <c r="N1" s="457" t="s">
        <v>917</v>
      </c>
      <c r="O1" s="458"/>
      <c r="P1" s="18" t="s">
        <v>918</v>
      </c>
      <c r="Q1" s="18" t="s">
        <v>919</v>
      </c>
      <c r="R1" s="457" t="s">
        <v>920</v>
      </c>
      <c r="S1" s="458"/>
      <c r="T1" s="18" t="s">
        <v>921</v>
      </c>
      <c r="U1" s="18" t="s">
        <v>922</v>
      </c>
      <c r="V1" s="457" t="s">
        <v>923</v>
      </c>
      <c r="W1" s="458"/>
      <c r="X1" s="18" t="s">
        <v>924</v>
      </c>
      <c r="Y1" s="18" t="s">
        <v>925</v>
      </c>
      <c r="Z1" s="457" t="s">
        <v>926</v>
      </c>
      <c r="AA1" s="458"/>
      <c r="AB1" s="457" t="s">
        <v>927</v>
      </c>
      <c r="AC1" s="458"/>
      <c r="AD1" s="18" t="s">
        <v>928</v>
      </c>
      <c r="AE1" s="202" t="s">
        <v>929</v>
      </c>
      <c r="AF1" s="202" t="s">
        <v>930</v>
      </c>
      <c r="AG1" s="18" t="s">
        <v>931</v>
      </c>
      <c r="AH1" s="18" t="s">
        <v>932</v>
      </c>
      <c r="AI1" s="202" t="s">
        <v>933</v>
      </c>
      <c r="AJ1" s="202" t="s">
        <v>934</v>
      </c>
      <c r="AK1" s="202" t="s">
        <v>935</v>
      </c>
      <c r="AL1" s="202" t="s">
        <v>936</v>
      </c>
      <c r="AM1" s="202" t="s">
        <v>937</v>
      </c>
      <c r="AN1" s="202" t="s">
        <v>938</v>
      </c>
      <c r="AO1" s="202" t="s">
        <v>939</v>
      </c>
      <c r="AP1" s="202" t="s">
        <v>940</v>
      </c>
      <c r="AQ1" s="202" t="s">
        <v>941</v>
      </c>
      <c r="AR1" s="202" t="s">
        <v>942</v>
      </c>
      <c r="AS1" s="202" t="s">
        <v>943</v>
      </c>
      <c r="AT1" s="18" t="s">
        <v>944</v>
      </c>
      <c r="AU1" s="18" t="s">
        <v>945</v>
      </c>
      <c r="AV1" s="18" t="s">
        <v>946</v>
      </c>
      <c r="AW1" s="18" t="s">
        <v>947</v>
      </c>
      <c r="AX1" s="18" t="s">
        <v>948</v>
      </c>
      <c r="AY1" s="18" t="s">
        <v>949</v>
      </c>
      <c r="AZ1" s="18" t="s">
        <v>950</v>
      </c>
      <c r="BA1" s="18" t="s">
        <v>951</v>
      </c>
      <c r="BB1" s="18" t="s">
        <v>952</v>
      </c>
      <c r="BC1" s="18" t="s">
        <v>953</v>
      </c>
      <c r="BD1" s="18" t="s">
        <v>954</v>
      </c>
      <c r="BE1" s="18" t="s">
        <v>955</v>
      </c>
      <c r="BF1" s="18" t="s">
        <v>956</v>
      </c>
      <c r="BG1" s="18" t="s">
        <v>957</v>
      </c>
      <c r="BH1" s="18" t="s">
        <v>958</v>
      </c>
      <c r="BI1" s="18" t="s">
        <v>959</v>
      </c>
      <c r="BJ1" s="18" t="s">
        <v>960</v>
      </c>
      <c r="BK1" s="18" t="s">
        <v>961</v>
      </c>
      <c r="BL1" s="18" t="s">
        <v>962</v>
      </c>
      <c r="BM1" s="18" t="s">
        <v>963</v>
      </c>
      <c r="BN1" s="18" t="s">
        <v>964</v>
      </c>
      <c r="BO1" s="19"/>
      <c r="BP1" s="19"/>
      <c r="BQ1" s="19"/>
      <c r="BR1" s="19"/>
    </row>
    <row r="2" spans="1:70" ht="44.25" customHeight="1">
      <c r="A2" s="422"/>
      <c r="B2" s="423"/>
      <c r="C2" s="423"/>
      <c r="D2" s="423"/>
      <c r="E2" s="424"/>
      <c r="F2" s="463"/>
      <c r="G2" s="17" t="s">
        <v>965</v>
      </c>
      <c r="H2" s="19"/>
      <c r="I2" s="19"/>
      <c r="J2" s="204" t="s">
        <v>966</v>
      </c>
      <c r="K2" s="19"/>
      <c r="L2" s="202" t="s">
        <v>967</v>
      </c>
      <c r="M2" s="202" t="s">
        <v>968</v>
      </c>
      <c r="N2" s="204" t="s">
        <v>969</v>
      </c>
      <c r="O2" s="19"/>
      <c r="P2" s="202" t="s">
        <v>970</v>
      </c>
      <c r="Q2" s="202" t="s">
        <v>971</v>
      </c>
      <c r="R2" s="204" t="s">
        <v>972</v>
      </c>
      <c r="S2" s="19"/>
      <c r="T2" s="202" t="s">
        <v>973</v>
      </c>
      <c r="U2" s="202" t="s">
        <v>974</v>
      </c>
      <c r="V2" s="211" t="s">
        <v>2914</v>
      </c>
      <c r="W2" s="19"/>
      <c r="X2" s="202" t="s">
        <v>975</v>
      </c>
      <c r="Y2" s="202" t="s">
        <v>976</v>
      </c>
      <c r="Z2" s="196" t="s">
        <v>977</v>
      </c>
      <c r="AA2" s="196" t="s">
        <v>978</v>
      </c>
      <c r="AB2" s="196" t="s">
        <v>979</v>
      </c>
      <c r="AC2" s="196" t="s">
        <v>980</v>
      </c>
      <c r="AD2" s="196" t="s">
        <v>981</v>
      </c>
      <c r="AE2" s="210" t="s">
        <v>2912</v>
      </c>
      <c r="AF2" s="202" t="s">
        <v>982</v>
      </c>
      <c r="AG2" s="202" t="s">
        <v>983</v>
      </c>
      <c r="AH2" s="202" t="s">
        <v>984</v>
      </c>
      <c r="AI2" s="202" t="s">
        <v>985</v>
      </c>
      <c r="AJ2" s="202" t="s">
        <v>986</v>
      </c>
      <c r="AK2" s="202" t="s">
        <v>987</v>
      </c>
      <c r="AL2" s="202" t="s">
        <v>988</v>
      </c>
      <c r="AM2" s="202" t="s">
        <v>989</v>
      </c>
      <c r="AN2" s="202" t="s">
        <v>990</v>
      </c>
      <c r="AO2" s="202" t="s">
        <v>991</v>
      </c>
      <c r="AP2" s="202" t="s">
        <v>992</v>
      </c>
      <c r="AQ2" s="202" t="s">
        <v>993</v>
      </c>
      <c r="AR2" s="202" t="s">
        <v>994</v>
      </c>
      <c r="AS2" s="210" t="s">
        <v>2913</v>
      </c>
      <c r="AT2" s="202" t="s">
        <v>995</v>
      </c>
      <c r="AU2" s="202" t="s">
        <v>996</v>
      </c>
      <c r="AV2" s="202" t="s">
        <v>997</v>
      </c>
      <c r="AW2" s="202" t="s">
        <v>998</v>
      </c>
      <c r="AX2" s="210" t="s">
        <v>2915</v>
      </c>
      <c r="AY2" s="202" t="s">
        <v>999</v>
      </c>
      <c r="AZ2" s="202" t="s">
        <v>1000</v>
      </c>
      <c r="BA2" s="202" t="s">
        <v>1001</v>
      </c>
      <c r="BB2" s="202" t="s">
        <v>1002</v>
      </c>
      <c r="BC2" s="202" t="s">
        <v>1003</v>
      </c>
      <c r="BD2" s="202" t="s">
        <v>1004</v>
      </c>
      <c r="BE2" s="202" t="s">
        <v>1005</v>
      </c>
      <c r="BF2" s="196" t="s">
        <v>1006</v>
      </c>
      <c r="BG2" s="207" t="s">
        <v>1007</v>
      </c>
      <c r="BH2" s="207" t="s">
        <v>1008</v>
      </c>
      <c r="BI2" s="207" t="s">
        <v>1009</v>
      </c>
      <c r="BJ2" s="207" t="s">
        <v>1010</v>
      </c>
      <c r="BK2" s="202" t="s">
        <v>1011</v>
      </c>
      <c r="BL2" s="196" t="s">
        <v>1012</v>
      </c>
      <c r="BM2" s="196" t="s">
        <v>1013</v>
      </c>
      <c r="BN2" s="202" t="s">
        <v>1014</v>
      </c>
      <c r="BO2" s="19"/>
      <c r="BP2" s="19"/>
      <c r="BQ2" s="19"/>
      <c r="BR2" s="19"/>
    </row>
    <row r="3" spans="1:70" ht="31.2" customHeight="1">
      <c r="A3" s="392"/>
      <c r="B3" s="425"/>
      <c r="C3" s="425"/>
      <c r="D3" s="425"/>
      <c r="E3" s="393"/>
      <c r="F3" s="463"/>
      <c r="G3" s="17" t="s">
        <v>1015</v>
      </c>
      <c r="H3" s="19"/>
      <c r="I3" s="19"/>
      <c r="J3" s="18" t="s">
        <v>1016</v>
      </c>
      <c r="K3" s="19"/>
      <c r="L3" s="18" t="s">
        <v>1016</v>
      </c>
      <c r="M3" s="18" t="s">
        <v>1016</v>
      </c>
      <c r="N3" s="18" t="s">
        <v>1016</v>
      </c>
      <c r="O3" s="19"/>
      <c r="P3" s="18" t="s">
        <v>1016</v>
      </c>
      <c r="Q3" s="18" t="s">
        <v>1016</v>
      </c>
      <c r="R3" s="18" t="s">
        <v>1016</v>
      </c>
      <c r="S3" s="19"/>
      <c r="T3" s="18" t="s">
        <v>1016</v>
      </c>
      <c r="U3" s="18" t="s">
        <v>1016</v>
      </c>
      <c r="V3" s="18" t="s">
        <v>1016</v>
      </c>
      <c r="W3" s="19"/>
      <c r="X3" s="18" t="s">
        <v>1016</v>
      </c>
      <c r="Y3" s="18" t="s">
        <v>1016</v>
      </c>
      <c r="Z3" s="18" t="s">
        <v>1016</v>
      </c>
      <c r="AA3" s="18" t="s">
        <v>1016</v>
      </c>
      <c r="AB3" s="18" t="s">
        <v>1016</v>
      </c>
      <c r="AC3" s="18" t="s">
        <v>1016</v>
      </c>
      <c r="AD3" s="18" t="s">
        <v>1017</v>
      </c>
      <c r="AE3" s="18" t="s">
        <v>1018</v>
      </c>
      <c r="AF3" s="18" t="s">
        <v>1018</v>
      </c>
      <c r="AG3" s="18" t="s">
        <v>1018</v>
      </c>
      <c r="AH3" s="18" t="s">
        <v>1018</v>
      </c>
      <c r="AI3" s="18" t="s">
        <v>1018</v>
      </c>
      <c r="AJ3" s="18" t="s">
        <v>1018</v>
      </c>
      <c r="AK3" s="18" t="s">
        <v>1018</v>
      </c>
      <c r="AL3" s="18" t="s">
        <v>1018</v>
      </c>
      <c r="AM3" s="18" t="s">
        <v>1018</v>
      </c>
      <c r="AN3" s="18" t="s">
        <v>1018</v>
      </c>
      <c r="AO3" s="18" t="s">
        <v>1018</v>
      </c>
      <c r="AP3" s="18" t="s">
        <v>1018</v>
      </c>
      <c r="AQ3" s="18" t="s">
        <v>1018</v>
      </c>
      <c r="AR3" s="18" t="s">
        <v>1018</v>
      </c>
      <c r="AS3" s="18" t="s">
        <v>1018</v>
      </c>
      <c r="AT3" s="18" t="s">
        <v>1018</v>
      </c>
      <c r="AU3" s="18" t="s">
        <v>1018</v>
      </c>
      <c r="AV3" s="18" t="s">
        <v>1018</v>
      </c>
      <c r="AW3" s="18" t="s">
        <v>1018</v>
      </c>
      <c r="AX3" s="18" t="s">
        <v>1018</v>
      </c>
      <c r="AY3" s="18" t="s">
        <v>1018</v>
      </c>
      <c r="AZ3" s="18" t="s">
        <v>1018</v>
      </c>
      <c r="BA3" s="18" t="s">
        <v>1018</v>
      </c>
      <c r="BB3" s="18" t="s">
        <v>1018</v>
      </c>
      <c r="BC3" s="18" t="s">
        <v>1018</v>
      </c>
      <c r="BD3" s="18" t="s">
        <v>1018</v>
      </c>
      <c r="BE3" s="18" t="s">
        <v>1018</v>
      </c>
      <c r="BF3" s="18" t="s">
        <v>1018</v>
      </c>
      <c r="BG3" s="18" t="s">
        <v>1018</v>
      </c>
      <c r="BH3" s="18" t="s">
        <v>1018</v>
      </c>
      <c r="BI3" s="18" t="s">
        <v>1018</v>
      </c>
      <c r="BJ3" s="18" t="s">
        <v>1018</v>
      </c>
      <c r="BK3" s="18" t="s">
        <v>1019</v>
      </c>
      <c r="BL3" s="18" t="s">
        <v>1020</v>
      </c>
      <c r="BM3" s="18" t="s">
        <v>1020</v>
      </c>
      <c r="BN3" s="18" t="s">
        <v>1019</v>
      </c>
      <c r="BO3" s="19"/>
      <c r="BP3" s="19"/>
      <c r="BQ3" s="19"/>
      <c r="BR3" s="19"/>
    </row>
    <row r="4" spans="1:70" ht="14.4" customHeight="1">
      <c r="A4" s="459" t="s">
        <v>1021</v>
      </c>
      <c r="B4" s="460"/>
      <c r="C4" s="460"/>
      <c r="D4" s="460"/>
      <c r="E4" s="460"/>
      <c r="F4" s="461"/>
      <c r="G4" s="21" t="s">
        <v>1022</v>
      </c>
      <c r="H4" s="453">
        <v>1</v>
      </c>
      <c r="I4" s="455">
        <v>2</v>
      </c>
      <c r="J4" s="453">
        <v>3</v>
      </c>
      <c r="K4" s="453">
        <v>4</v>
      </c>
      <c r="L4" s="455">
        <v>5</v>
      </c>
      <c r="M4" s="455">
        <v>6</v>
      </c>
      <c r="N4" s="455">
        <v>7</v>
      </c>
      <c r="O4" s="455">
        <v>8</v>
      </c>
      <c r="P4" s="455">
        <v>9</v>
      </c>
      <c r="Q4" s="453">
        <v>10</v>
      </c>
      <c r="R4" s="453">
        <v>11</v>
      </c>
      <c r="S4" s="453">
        <v>12</v>
      </c>
      <c r="T4" s="453">
        <v>13</v>
      </c>
      <c r="U4" s="453">
        <v>14</v>
      </c>
      <c r="V4" s="453">
        <v>15</v>
      </c>
      <c r="W4" s="453">
        <v>16</v>
      </c>
      <c r="X4" s="453">
        <v>17</v>
      </c>
      <c r="Y4" s="453">
        <v>18</v>
      </c>
      <c r="Z4" s="453">
        <v>19</v>
      </c>
      <c r="AA4" s="453">
        <v>20</v>
      </c>
      <c r="AB4" s="453">
        <v>21</v>
      </c>
      <c r="AC4" s="453">
        <v>22</v>
      </c>
      <c r="AD4" s="453">
        <v>23</v>
      </c>
      <c r="AE4" s="453">
        <v>24</v>
      </c>
      <c r="AF4" s="453">
        <v>25</v>
      </c>
      <c r="AG4" s="453">
        <v>26</v>
      </c>
      <c r="AH4" s="453">
        <v>27</v>
      </c>
      <c r="AI4" s="453">
        <v>28</v>
      </c>
      <c r="AJ4" s="453">
        <v>29</v>
      </c>
      <c r="AK4" s="453">
        <v>30</v>
      </c>
      <c r="AL4" s="453">
        <v>31</v>
      </c>
      <c r="AM4" s="453">
        <v>32</v>
      </c>
      <c r="AN4" s="453">
        <v>33</v>
      </c>
      <c r="AO4" s="453">
        <v>34</v>
      </c>
      <c r="AP4" s="453">
        <v>35</v>
      </c>
      <c r="AQ4" s="453">
        <v>36</v>
      </c>
      <c r="AR4" s="453">
        <v>37</v>
      </c>
      <c r="AS4" s="453">
        <v>38</v>
      </c>
      <c r="AT4" s="453">
        <v>39</v>
      </c>
      <c r="AU4" s="453">
        <v>40</v>
      </c>
      <c r="AV4" s="453">
        <v>41</v>
      </c>
      <c r="AW4" s="453">
        <v>42</v>
      </c>
      <c r="AX4" s="453">
        <v>43</v>
      </c>
      <c r="AY4" s="453">
        <v>44</v>
      </c>
      <c r="AZ4" s="453">
        <v>45</v>
      </c>
      <c r="BA4" s="453">
        <v>46</v>
      </c>
      <c r="BB4" s="453">
        <v>47</v>
      </c>
      <c r="BC4" s="453">
        <v>48</v>
      </c>
      <c r="BD4" s="453">
        <v>49</v>
      </c>
      <c r="BE4" s="453">
        <v>50</v>
      </c>
      <c r="BF4" s="453">
        <v>51</v>
      </c>
      <c r="BG4" s="453">
        <v>52</v>
      </c>
      <c r="BH4" s="453">
        <v>53</v>
      </c>
      <c r="BI4" s="453">
        <v>54</v>
      </c>
      <c r="BJ4" s="453">
        <v>55</v>
      </c>
      <c r="BK4" s="453">
        <v>56</v>
      </c>
      <c r="BL4" s="453">
        <v>57</v>
      </c>
      <c r="BM4" s="453">
        <v>58</v>
      </c>
      <c r="BN4" s="449"/>
      <c r="BO4" s="449"/>
      <c r="BP4" s="449"/>
      <c r="BQ4" s="449"/>
      <c r="BR4" s="449"/>
    </row>
    <row r="5" spans="1:70" ht="15" customHeight="1">
      <c r="A5" s="22" t="s">
        <v>1023</v>
      </c>
      <c r="B5" s="22" t="s">
        <v>1024</v>
      </c>
      <c r="C5" s="23" t="s">
        <v>1025</v>
      </c>
      <c r="D5" s="24" t="s">
        <v>1026</v>
      </c>
      <c r="E5" s="22" t="s">
        <v>1027</v>
      </c>
      <c r="F5" s="451" t="s">
        <v>1028</v>
      </c>
      <c r="G5" s="452"/>
      <c r="H5" s="454"/>
      <c r="I5" s="456"/>
      <c r="J5" s="454"/>
      <c r="K5" s="454"/>
      <c r="L5" s="456"/>
      <c r="M5" s="456"/>
      <c r="N5" s="456"/>
      <c r="O5" s="456"/>
      <c r="P5" s="456"/>
      <c r="Q5" s="454"/>
      <c r="R5" s="454"/>
      <c r="S5" s="454"/>
      <c r="T5" s="454"/>
      <c r="U5" s="454"/>
      <c r="V5" s="454"/>
      <c r="W5" s="454"/>
      <c r="X5" s="454"/>
      <c r="Y5" s="454"/>
      <c r="Z5" s="454"/>
      <c r="AA5" s="454"/>
      <c r="AB5" s="454"/>
      <c r="AC5" s="454"/>
      <c r="AD5" s="454"/>
      <c r="AE5" s="454"/>
      <c r="AF5" s="454"/>
      <c r="AG5" s="454"/>
      <c r="AH5" s="454"/>
      <c r="AI5" s="454"/>
      <c r="AJ5" s="454"/>
      <c r="AK5" s="454"/>
      <c r="AL5" s="454"/>
      <c r="AM5" s="454"/>
      <c r="AN5" s="454"/>
      <c r="AO5" s="454"/>
      <c r="AP5" s="454"/>
      <c r="AQ5" s="454"/>
      <c r="AR5" s="454"/>
      <c r="AS5" s="454"/>
      <c r="AT5" s="454"/>
      <c r="AU5" s="454"/>
      <c r="AV5" s="454"/>
      <c r="AW5" s="454"/>
      <c r="AX5" s="454"/>
      <c r="AY5" s="454"/>
      <c r="AZ5" s="454"/>
      <c r="BA5" s="454"/>
      <c r="BB5" s="454"/>
      <c r="BC5" s="454"/>
      <c r="BD5" s="454"/>
      <c r="BE5" s="454"/>
      <c r="BF5" s="454"/>
      <c r="BG5" s="454"/>
      <c r="BH5" s="454"/>
      <c r="BI5" s="454"/>
      <c r="BJ5" s="454"/>
      <c r="BK5" s="454"/>
      <c r="BL5" s="454"/>
      <c r="BM5" s="454"/>
      <c r="BN5" s="450"/>
      <c r="BO5" s="450"/>
      <c r="BP5" s="450"/>
      <c r="BQ5" s="450"/>
      <c r="BR5" s="450"/>
    </row>
    <row r="6" spans="1:70" ht="7.65" customHeight="1">
      <c r="A6" s="25"/>
      <c r="B6" s="415"/>
      <c r="C6" s="416"/>
      <c r="D6" s="417"/>
      <c r="E6" s="25"/>
      <c r="F6" s="415"/>
      <c r="G6" s="417"/>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row>
    <row r="7" spans="1:70" ht="7.65" customHeight="1">
      <c r="A7" s="25"/>
      <c r="B7" s="446" t="s">
        <v>1029</v>
      </c>
      <c r="C7" s="447"/>
      <c r="D7" s="448"/>
      <c r="E7" s="25"/>
      <c r="F7" s="415"/>
      <c r="G7" s="417"/>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c r="BK7" s="25"/>
      <c r="BL7" s="25"/>
      <c r="BM7" s="25"/>
      <c r="BN7" s="25"/>
      <c r="BO7" s="25"/>
      <c r="BP7" s="25"/>
      <c r="BQ7" s="25"/>
      <c r="BR7" s="25"/>
    </row>
    <row r="8" spans="1:70" ht="7.65" customHeight="1">
      <c r="A8" s="26">
        <v>5</v>
      </c>
      <c r="B8" s="27" t="s">
        <v>1030</v>
      </c>
      <c r="C8" s="28" t="s">
        <v>1031</v>
      </c>
      <c r="D8" s="29" t="s">
        <v>1032</v>
      </c>
      <c r="E8" s="30" t="s">
        <v>1033</v>
      </c>
      <c r="F8" s="444">
        <v>1</v>
      </c>
      <c r="G8" s="445"/>
      <c r="H8" s="25"/>
      <c r="I8" s="31" t="s">
        <v>1034</v>
      </c>
      <c r="J8" s="31" t="s">
        <v>1034</v>
      </c>
      <c r="K8" s="25"/>
      <c r="L8" s="31" t="s">
        <v>1034</v>
      </c>
      <c r="M8" s="31" t="s">
        <v>1034</v>
      </c>
      <c r="N8" s="31" t="s">
        <v>1034</v>
      </c>
      <c r="O8" s="25"/>
      <c r="P8" s="31" t="s">
        <v>1034</v>
      </c>
      <c r="Q8" s="31" t="s">
        <v>1034</v>
      </c>
      <c r="R8" s="31" t="s">
        <v>1034</v>
      </c>
      <c r="S8" s="25"/>
      <c r="T8" s="31" t="s">
        <v>1034</v>
      </c>
      <c r="U8" s="31" t="s">
        <v>1034</v>
      </c>
      <c r="V8" s="31" t="s">
        <v>1034</v>
      </c>
      <c r="W8" s="25"/>
      <c r="X8" s="31" t="s">
        <v>1034</v>
      </c>
      <c r="Y8" s="31" t="s">
        <v>1034</v>
      </c>
      <c r="Z8" s="31" t="s">
        <v>1034</v>
      </c>
      <c r="AA8" s="31" t="s">
        <v>1034</v>
      </c>
      <c r="AB8" s="31" t="s">
        <v>1034</v>
      </c>
      <c r="AC8" s="31" t="s">
        <v>1034</v>
      </c>
      <c r="AD8" s="31" t="s">
        <v>1034</v>
      </c>
      <c r="AE8" s="31" t="s">
        <v>1034</v>
      </c>
      <c r="AF8" s="31" t="s">
        <v>1034</v>
      </c>
      <c r="AG8" s="31" t="s">
        <v>1034</v>
      </c>
      <c r="AH8" s="31" t="s">
        <v>1034</v>
      </c>
      <c r="AI8" s="31" t="s">
        <v>1034</v>
      </c>
      <c r="AJ8" s="31" t="s">
        <v>1034</v>
      </c>
      <c r="AK8" s="31" t="s">
        <v>1034</v>
      </c>
      <c r="AL8" s="32" t="s">
        <v>1034</v>
      </c>
      <c r="AM8" s="31" t="s">
        <v>1034</v>
      </c>
      <c r="AN8" s="31" t="s">
        <v>1034</v>
      </c>
      <c r="AO8" s="31" t="s">
        <v>1034</v>
      </c>
      <c r="AP8" s="31" t="s">
        <v>1034</v>
      </c>
      <c r="AQ8" s="31" t="s">
        <v>1034</v>
      </c>
      <c r="AR8" s="31" t="s">
        <v>1034</v>
      </c>
      <c r="AS8" s="31" t="s">
        <v>1034</v>
      </c>
      <c r="AT8" s="31" t="s">
        <v>1034</v>
      </c>
      <c r="AU8" s="31" t="s">
        <v>1034</v>
      </c>
      <c r="AV8" s="31" t="s">
        <v>1034</v>
      </c>
      <c r="AW8" s="31" t="s">
        <v>1034</v>
      </c>
      <c r="AX8" s="31" t="s">
        <v>1034</v>
      </c>
      <c r="AY8" s="31" t="s">
        <v>1034</v>
      </c>
      <c r="AZ8" s="31" t="s">
        <v>1034</v>
      </c>
      <c r="BA8" s="31" t="s">
        <v>1034</v>
      </c>
      <c r="BB8" s="31" t="s">
        <v>1034</v>
      </c>
      <c r="BC8" s="31" t="s">
        <v>1034</v>
      </c>
      <c r="BD8" s="31" t="s">
        <v>1034</v>
      </c>
      <c r="BE8" s="31" t="s">
        <v>1034</v>
      </c>
      <c r="BF8" s="31" t="s">
        <v>1034</v>
      </c>
      <c r="BG8" s="31" t="s">
        <v>1034</v>
      </c>
      <c r="BH8" s="31" t="s">
        <v>1034</v>
      </c>
      <c r="BI8" s="31" t="s">
        <v>1034</v>
      </c>
      <c r="BJ8" s="31" t="s">
        <v>1034</v>
      </c>
      <c r="BK8" s="31" t="s">
        <v>1034</v>
      </c>
      <c r="BL8" s="31" t="s">
        <v>1034</v>
      </c>
      <c r="BM8" s="25"/>
      <c r="BN8" s="25"/>
      <c r="BO8" s="25"/>
      <c r="BP8" s="25"/>
      <c r="BQ8" s="25"/>
      <c r="BR8" s="25"/>
    </row>
    <row r="9" spans="1:70" ht="7.65" customHeight="1">
      <c r="A9" s="26">
        <v>5</v>
      </c>
      <c r="B9" s="27" t="s">
        <v>1030</v>
      </c>
      <c r="C9" s="28" t="s">
        <v>1035</v>
      </c>
      <c r="D9" s="28" t="s">
        <v>1036</v>
      </c>
      <c r="E9" s="33" t="s">
        <v>1037</v>
      </c>
      <c r="F9" s="444">
        <v>2</v>
      </c>
      <c r="G9" s="445"/>
      <c r="H9" s="25"/>
      <c r="I9" s="31" t="s">
        <v>1034</v>
      </c>
      <c r="J9" s="25"/>
      <c r="K9" s="25"/>
      <c r="L9" s="31" t="s">
        <v>1034</v>
      </c>
      <c r="M9" s="31" t="s">
        <v>1034</v>
      </c>
      <c r="N9" s="25"/>
      <c r="O9" s="25"/>
      <c r="P9" s="31" t="s">
        <v>1034</v>
      </c>
      <c r="Q9" s="31" t="s">
        <v>1034</v>
      </c>
      <c r="R9" s="25"/>
      <c r="S9" s="25"/>
      <c r="T9" s="31" t="s">
        <v>1034</v>
      </c>
      <c r="U9" s="31" t="s">
        <v>1034</v>
      </c>
      <c r="V9" s="25"/>
      <c r="W9" s="25"/>
      <c r="X9" s="31" t="s">
        <v>1034</v>
      </c>
      <c r="Y9" s="31" t="s">
        <v>1034</v>
      </c>
      <c r="Z9" s="25"/>
      <c r="AA9" s="31" t="s">
        <v>1034</v>
      </c>
      <c r="AB9" s="25"/>
      <c r="AC9" s="31" t="s">
        <v>1034</v>
      </c>
      <c r="AD9" s="25"/>
      <c r="AE9" s="25"/>
      <c r="AF9" s="25"/>
      <c r="AG9" s="25"/>
      <c r="AH9" s="25"/>
      <c r="AI9" s="31" t="s">
        <v>1034</v>
      </c>
      <c r="AJ9" s="31" t="s">
        <v>1034</v>
      </c>
      <c r="AK9" s="31" t="s">
        <v>1034</v>
      </c>
      <c r="AL9" s="32" t="s">
        <v>1034</v>
      </c>
      <c r="AM9" s="31" t="s">
        <v>1034</v>
      </c>
      <c r="AN9" s="31" t="s">
        <v>1034</v>
      </c>
      <c r="AO9" s="31" t="s">
        <v>1034</v>
      </c>
      <c r="AP9" s="31" t="s">
        <v>1034</v>
      </c>
      <c r="AQ9" s="31" t="s">
        <v>1034</v>
      </c>
      <c r="AR9" s="31" t="s">
        <v>1034</v>
      </c>
      <c r="AS9" s="31" t="s">
        <v>1034</v>
      </c>
      <c r="AT9" s="31" t="s">
        <v>1034</v>
      </c>
      <c r="AU9" s="31" t="s">
        <v>1034</v>
      </c>
      <c r="AV9" s="31" t="s">
        <v>1034</v>
      </c>
      <c r="AW9" s="31" t="s">
        <v>1034</v>
      </c>
      <c r="AX9" s="31" t="s">
        <v>1034</v>
      </c>
      <c r="AY9" s="31" t="s">
        <v>1034</v>
      </c>
      <c r="AZ9" s="31" t="s">
        <v>1034</v>
      </c>
      <c r="BA9" s="31" t="s">
        <v>1034</v>
      </c>
      <c r="BB9" s="31" t="s">
        <v>1034</v>
      </c>
      <c r="BC9" s="31" t="s">
        <v>1034</v>
      </c>
      <c r="BD9" s="31" t="s">
        <v>1034</v>
      </c>
      <c r="BE9" s="31" t="s">
        <v>1034</v>
      </c>
      <c r="BF9" s="31" t="s">
        <v>1034</v>
      </c>
      <c r="BG9" s="25"/>
      <c r="BH9" s="25"/>
      <c r="BI9" s="25"/>
      <c r="BJ9" s="25"/>
      <c r="BK9" s="25"/>
      <c r="BL9" s="25"/>
      <c r="BM9" s="31" t="s">
        <v>1034</v>
      </c>
      <c r="BN9" s="31" t="s">
        <v>1034</v>
      </c>
      <c r="BO9" s="25"/>
      <c r="BP9" s="25"/>
      <c r="BQ9" s="25"/>
      <c r="BR9" s="25"/>
    </row>
    <row r="10" spans="1:70" ht="7.65" customHeight="1">
      <c r="A10" s="25"/>
      <c r="B10" s="446" t="s">
        <v>1038</v>
      </c>
      <c r="C10" s="447"/>
      <c r="D10" s="448"/>
      <c r="E10" s="25"/>
      <c r="F10" s="415"/>
      <c r="G10" s="417"/>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c r="BR10" s="25"/>
    </row>
    <row r="11" spans="1:70" ht="7.65" customHeight="1">
      <c r="A11" s="26">
        <v>5</v>
      </c>
      <c r="B11" s="34" t="s">
        <v>1039</v>
      </c>
      <c r="C11" s="35" t="s">
        <v>1040</v>
      </c>
      <c r="D11" s="187" t="s">
        <v>1041</v>
      </c>
      <c r="E11" s="36" t="s">
        <v>1042</v>
      </c>
      <c r="F11" s="444">
        <v>3</v>
      </c>
      <c r="G11" s="445"/>
      <c r="H11" s="25"/>
      <c r="I11" s="31" t="s">
        <v>1034</v>
      </c>
      <c r="J11" s="31" t="s">
        <v>1034</v>
      </c>
      <c r="K11" s="25"/>
      <c r="L11" s="31" t="s">
        <v>1034</v>
      </c>
      <c r="M11" s="31" t="s">
        <v>1034</v>
      </c>
      <c r="N11" s="31" t="s">
        <v>1034</v>
      </c>
      <c r="O11" s="25"/>
      <c r="P11" s="31" t="s">
        <v>1034</v>
      </c>
      <c r="Q11" s="31" t="s">
        <v>1034</v>
      </c>
      <c r="R11" s="31" t="s">
        <v>1034</v>
      </c>
      <c r="S11" s="25"/>
      <c r="T11" s="31" t="s">
        <v>1034</v>
      </c>
      <c r="U11" s="31" t="s">
        <v>1034</v>
      </c>
      <c r="V11" s="31" t="s">
        <v>1034</v>
      </c>
      <c r="W11" s="25"/>
      <c r="X11" s="31" t="s">
        <v>1034</v>
      </c>
      <c r="Y11" s="31" t="s">
        <v>1034</v>
      </c>
      <c r="Z11" s="31" t="s">
        <v>1034</v>
      </c>
      <c r="AA11" s="31" t="s">
        <v>1034</v>
      </c>
      <c r="AB11" s="31" t="s">
        <v>1034</v>
      </c>
      <c r="AC11" s="31" t="s">
        <v>1034</v>
      </c>
      <c r="AD11" s="31" t="s">
        <v>1034</v>
      </c>
      <c r="AE11" s="31" t="s">
        <v>1034</v>
      </c>
      <c r="AF11" s="31" t="s">
        <v>1034</v>
      </c>
      <c r="AG11" s="31" t="s">
        <v>1034</v>
      </c>
      <c r="AH11" s="31" t="s">
        <v>1034</v>
      </c>
      <c r="AI11" s="31" t="s">
        <v>1034</v>
      </c>
      <c r="AJ11" s="31" t="s">
        <v>1034</v>
      </c>
      <c r="AK11" s="31" t="s">
        <v>1034</v>
      </c>
      <c r="AL11" s="32" t="s">
        <v>1034</v>
      </c>
      <c r="AM11" s="31" t="s">
        <v>1034</v>
      </c>
      <c r="AN11" s="31" t="s">
        <v>1034</v>
      </c>
      <c r="AO11" s="31" t="s">
        <v>1034</v>
      </c>
      <c r="AP11" s="31" t="s">
        <v>1034</v>
      </c>
      <c r="AQ11" s="31" t="s">
        <v>1034</v>
      </c>
      <c r="AR11" s="31" t="s">
        <v>1034</v>
      </c>
      <c r="AS11" s="31" t="s">
        <v>1034</v>
      </c>
      <c r="AT11" s="31" t="s">
        <v>1034</v>
      </c>
      <c r="AU11" s="31" t="s">
        <v>1034</v>
      </c>
      <c r="AV11" s="31" t="s">
        <v>1034</v>
      </c>
      <c r="AW11" s="31" t="s">
        <v>1034</v>
      </c>
      <c r="AX11" s="31" t="s">
        <v>1034</v>
      </c>
      <c r="AY11" s="31" t="s">
        <v>1034</v>
      </c>
      <c r="AZ11" s="31" t="s">
        <v>1034</v>
      </c>
      <c r="BA11" s="31" t="s">
        <v>1034</v>
      </c>
      <c r="BB11" s="31" t="s">
        <v>1034</v>
      </c>
      <c r="BC11" s="31" t="s">
        <v>1034</v>
      </c>
      <c r="BD11" s="31" t="s">
        <v>1034</v>
      </c>
      <c r="BE11" s="31" t="s">
        <v>1034</v>
      </c>
      <c r="BF11" s="31" t="s">
        <v>1034</v>
      </c>
      <c r="BG11" s="31" t="s">
        <v>1034</v>
      </c>
      <c r="BH11" s="31" t="s">
        <v>1034</v>
      </c>
      <c r="BI11" s="31" t="s">
        <v>1034</v>
      </c>
      <c r="BJ11" s="31" t="s">
        <v>1034</v>
      </c>
      <c r="BK11" s="31" t="s">
        <v>1034</v>
      </c>
      <c r="BL11" s="31" t="s">
        <v>1034</v>
      </c>
      <c r="BM11" s="25"/>
      <c r="BN11" s="25"/>
      <c r="BO11" s="25"/>
      <c r="BP11" s="25"/>
      <c r="BQ11" s="25"/>
      <c r="BR11" s="25"/>
    </row>
    <row r="12" spans="1:70" ht="7.65" customHeight="1">
      <c r="A12" s="26">
        <v>5</v>
      </c>
      <c r="B12" s="37" t="s">
        <v>1043</v>
      </c>
      <c r="C12" s="35" t="s">
        <v>1040</v>
      </c>
      <c r="D12" s="187" t="s">
        <v>1044</v>
      </c>
      <c r="E12" s="36" t="s">
        <v>1042</v>
      </c>
      <c r="F12" s="444">
        <v>4</v>
      </c>
      <c r="G12" s="445"/>
      <c r="H12" s="25"/>
      <c r="I12" s="31" t="s">
        <v>1034</v>
      </c>
      <c r="J12" s="31" t="s">
        <v>1034</v>
      </c>
      <c r="K12" s="25"/>
      <c r="L12" s="31" t="s">
        <v>1034</v>
      </c>
      <c r="M12" s="31" t="s">
        <v>1034</v>
      </c>
      <c r="N12" s="31" t="s">
        <v>1034</v>
      </c>
      <c r="O12" s="25"/>
      <c r="P12" s="31" t="s">
        <v>1034</v>
      </c>
      <c r="Q12" s="31" t="s">
        <v>1034</v>
      </c>
      <c r="R12" s="31" t="s">
        <v>1034</v>
      </c>
      <c r="S12" s="25"/>
      <c r="T12" s="31" t="s">
        <v>1034</v>
      </c>
      <c r="U12" s="31" t="s">
        <v>1034</v>
      </c>
      <c r="V12" s="31" t="s">
        <v>1034</v>
      </c>
      <c r="W12" s="25"/>
      <c r="X12" s="31" t="s">
        <v>1034</v>
      </c>
      <c r="Y12" s="31" t="s">
        <v>1034</v>
      </c>
      <c r="Z12" s="31" t="s">
        <v>1034</v>
      </c>
      <c r="AA12" s="31" t="s">
        <v>1034</v>
      </c>
      <c r="AB12" s="31" t="s">
        <v>1034</v>
      </c>
      <c r="AC12" s="31" t="s">
        <v>1034</v>
      </c>
      <c r="AD12" s="31" t="s">
        <v>1034</v>
      </c>
      <c r="AE12" s="31" t="s">
        <v>1034</v>
      </c>
      <c r="AF12" s="31" t="s">
        <v>1034</v>
      </c>
      <c r="AG12" s="31" t="s">
        <v>1034</v>
      </c>
      <c r="AH12" s="31" t="s">
        <v>1034</v>
      </c>
      <c r="AI12" s="31" t="s">
        <v>1034</v>
      </c>
      <c r="AJ12" s="31" t="s">
        <v>1034</v>
      </c>
      <c r="AK12" s="31" t="s">
        <v>1034</v>
      </c>
      <c r="AL12" s="32" t="s">
        <v>1034</v>
      </c>
      <c r="AM12" s="31" t="s">
        <v>1034</v>
      </c>
      <c r="AN12" s="31" t="s">
        <v>1034</v>
      </c>
      <c r="AO12" s="31" t="s">
        <v>1034</v>
      </c>
      <c r="AP12" s="31" t="s">
        <v>1034</v>
      </c>
      <c r="AQ12" s="31" t="s">
        <v>1034</v>
      </c>
      <c r="AR12" s="31" t="s">
        <v>1034</v>
      </c>
      <c r="AS12" s="31" t="s">
        <v>1034</v>
      </c>
      <c r="AT12" s="31" t="s">
        <v>1034</v>
      </c>
      <c r="AU12" s="31" t="s">
        <v>1034</v>
      </c>
      <c r="AV12" s="31" t="s">
        <v>1034</v>
      </c>
      <c r="AW12" s="31" t="s">
        <v>1034</v>
      </c>
      <c r="AX12" s="31" t="s">
        <v>1034</v>
      </c>
      <c r="AY12" s="31" t="s">
        <v>1034</v>
      </c>
      <c r="AZ12" s="31" t="s">
        <v>1034</v>
      </c>
      <c r="BA12" s="31" t="s">
        <v>1034</v>
      </c>
      <c r="BB12" s="31" t="s">
        <v>1034</v>
      </c>
      <c r="BC12" s="31" t="s">
        <v>1034</v>
      </c>
      <c r="BD12" s="31" t="s">
        <v>1034</v>
      </c>
      <c r="BE12" s="31" t="s">
        <v>1034</v>
      </c>
      <c r="BF12" s="31" t="s">
        <v>1034</v>
      </c>
      <c r="BG12" s="31" t="s">
        <v>1034</v>
      </c>
      <c r="BH12" s="31" t="s">
        <v>1034</v>
      </c>
      <c r="BI12" s="31" t="s">
        <v>1034</v>
      </c>
      <c r="BJ12" s="31" t="s">
        <v>1034</v>
      </c>
      <c r="BK12" s="31" t="s">
        <v>1034</v>
      </c>
      <c r="BL12" s="31" t="s">
        <v>1034</v>
      </c>
      <c r="BM12" s="25"/>
      <c r="BN12" s="25"/>
      <c r="BO12" s="25"/>
      <c r="BP12" s="25"/>
      <c r="BQ12" s="25"/>
      <c r="BR12" s="25"/>
    </row>
    <row r="13" spans="1:70" ht="7.65" customHeight="1">
      <c r="A13" s="26">
        <v>5</v>
      </c>
      <c r="B13" s="37" t="s">
        <v>1043</v>
      </c>
      <c r="C13" s="35" t="s">
        <v>1045</v>
      </c>
      <c r="D13" s="187" t="s">
        <v>1046</v>
      </c>
      <c r="E13" s="36" t="s">
        <v>1042</v>
      </c>
      <c r="F13" s="444">
        <v>5</v>
      </c>
      <c r="G13" s="445"/>
      <c r="H13" s="25"/>
      <c r="I13" s="31" t="s">
        <v>1034</v>
      </c>
      <c r="J13" s="31" t="s">
        <v>1034</v>
      </c>
      <c r="K13" s="25"/>
      <c r="L13" s="31" t="s">
        <v>1034</v>
      </c>
      <c r="M13" s="31" t="s">
        <v>1034</v>
      </c>
      <c r="N13" s="31" t="s">
        <v>1034</v>
      </c>
      <c r="O13" s="25"/>
      <c r="P13" s="31" t="s">
        <v>1034</v>
      </c>
      <c r="Q13" s="31" t="s">
        <v>1034</v>
      </c>
      <c r="R13" s="31" t="s">
        <v>1034</v>
      </c>
      <c r="S13" s="25"/>
      <c r="T13" s="31" t="s">
        <v>1034</v>
      </c>
      <c r="U13" s="31" t="s">
        <v>1034</v>
      </c>
      <c r="V13" s="31" t="s">
        <v>1034</v>
      </c>
      <c r="W13" s="25"/>
      <c r="X13" s="31" t="s">
        <v>1034</v>
      </c>
      <c r="Y13" s="31" t="s">
        <v>1034</v>
      </c>
      <c r="Z13" s="31" t="s">
        <v>1034</v>
      </c>
      <c r="AA13" s="31" t="s">
        <v>1034</v>
      </c>
      <c r="AB13" s="31" t="s">
        <v>1034</v>
      </c>
      <c r="AC13" s="31" t="s">
        <v>1034</v>
      </c>
      <c r="AD13" s="31" t="s">
        <v>1034</v>
      </c>
      <c r="AE13" s="31" t="s">
        <v>1034</v>
      </c>
      <c r="AF13" s="31" t="s">
        <v>1034</v>
      </c>
      <c r="AG13" s="31" t="s">
        <v>1034</v>
      </c>
      <c r="AH13" s="31" t="s">
        <v>1034</v>
      </c>
      <c r="AI13" s="31" t="s">
        <v>1034</v>
      </c>
      <c r="AJ13" s="31" t="s">
        <v>1034</v>
      </c>
      <c r="AK13" s="31" t="s">
        <v>1034</v>
      </c>
      <c r="AL13" s="32" t="s">
        <v>1034</v>
      </c>
      <c r="AM13" s="31" t="s">
        <v>1034</v>
      </c>
      <c r="AN13" s="31" t="s">
        <v>1034</v>
      </c>
      <c r="AO13" s="31" t="s">
        <v>1034</v>
      </c>
      <c r="AP13" s="31" t="s">
        <v>1034</v>
      </c>
      <c r="AQ13" s="31" t="s">
        <v>1034</v>
      </c>
      <c r="AR13" s="31" t="s">
        <v>1034</v>
      </c>
      <c r="AS13" s="31" t="s">
        <v>1034</v>
      </c>
      <c r="AT13" s="31" t="s">
        <v>1034</v>
      </c>
      <c r="AU13" s="31" t="s">
        <v>1034</v>
      </c>
      <c r="AV13" s="31" t="s">
        <v>1034</v>
      </c>
      <c r="AW13" s="31" t="s">
        <v>1034</v>
      </c>
      <c r="AX13" s="31" t="s">
        <v>1034</v>
      </c>
      <c r="AY13" s="31" t="s">
        <v>1034</v>
      </c>
      <c r="AZ13" s="31" t="s">
        <v>1034</v>
      </c>
      <c r="BA13" s="31" t="s">
        <v>1034</v>
      </c>
      <c r="BB13" s="31" t="s">
        <v>1034</v>
      </c>
      <c r="BC13" s="31" t="s">
        <v>1034</v>
      </c>
      <c r="BD13" s="31" t="s">
        <v>1034</v>
      </c>
      <c r="BE13" s="31" t="s">
        <v>1034</v>
      </c>
      <c r="BF13" s="31" t="s">
        <v>1034</v>
      </c>
      <c r="BG13" s="31" t="s">
        <v>1034</v>
      </c>
      <c r="BH13" s="31" t="s">
        <v>1034</v>
      </c>
      <c r="BI13" s="31" t="s">
        <v>1034</v>
      </c>
      <c r="BJ13" s="31" t="s">
        <v>1034</v>
      </c>
      <c r="BK13" s="31" t="s">
        <v>1034</v>
      </c>
      <c r="BL13" s="31" t="s">
        <v>1034</v>
      </c>
      <c r="BM13" s="25"/>
      <c r="BN13" s="25"/>
      <c r="BO13" s="25"/>
      <c r="BP13" s="25"/>
      <c r="BQ13" s="25"/>
      <c r="BR13" s="25"/>
    </row>
    <row r="14" spans="1:70" ht="7.65" customHeight="1">
      <c r="A14" s="26">
        <v>5</v>
      </c>
      <c r="B14" s="37" t="s">
        <v>1043</v>
      </c>
      <c r="C14" s="35" t="s">
        <v>1045</v>
      </c>
      <c r="D14" s="187" t="s">
        <v>1047</v>
      </c>
      <c r="E14" s="36" t="s">
        <v>1042</v>
      </c>
      <c r="F14" s="444">
        <v>6</v>
      </c>
      <c r="G14" s="445"/>
      <c r="H14" s="25"/>
      <c r="I14" s="31" t="s">
        <v>1034</v>
      </c>
      <c r="J14" s="31" t="s">
        <v>1034</v>
      </c>
      <c r="K14" s="25"/>
      <c r="L14" s="31" t="s">
        <v>1034</v>
      </c>
      <c r="M14" s="31" t="s">
        <v>1034</v>
      </c>
      <c r="N14" s="31" t="s">
        <v>1034</v>
      </c>
      <c r="O14" s="25"/>
      <c r="P14" s="31" t="s">
        <v>1034</v>
      </c>
      <c r="Q14" s="31" t="s">
        <v>1034</v>
      </c>
      <c r="R14" s="31" t="s">
        <v>1034</v>
      </c>
      <c r="S14" s="25"/>
      <c r="T14" s="31" t="s">
        <v>1034</v>
      </c>
      <c r="U14" s="31" t="s">
        <v>1034</v>
      </c>
      <c r="V14" s="31" t="s">
        <v>1034</v>
      </c>
      <c r="W14" s="25"/>
      <c r="X14" s="31" t="s">
        <v>1034</v>
      </c>
      <c r="Y14" s="31" t="s">
        <v>1034</v>
      </c>
      <c r="Z14" s="31" t="s">
        <v>1034</v>
      </c>
      <c r="AA14" s="31" t="s">
        <v>1034</v>
      </c>
      <c r="AB14" s="31" t="s">
        <v>1034</v>
      </c>
      <c r="AC14" s="31" t="s">
        <v>1034</v>
      </c>
      <c r="AD14" s="31" t="s">
        <v>1034</v>
      </c>
      <c r="AE14" s="31" t="s">
        <v>1034</v>
      </c>
      <c r="AF14" s="31" t="s">
        <v>1034</v>
      </c>
      <c r="AG14" s="31" t="s">
        <v>1034</v>
      </c>
      <c r="AH14" s="31" t="s">
        <v>1034</v>
      </c>
      <c r="AI14" s="31" t="s">
        <v>1034</v>
      </c>
      <c r="AJ14" s="31" t="s">
        <v>1034</v>
      </c>
      <c r="AK14" s="31" t="s">
        <v>1034</v>
      </c>
      <c r="AL14" s="32" t="s">
        <v>1034</v>
      </c>
      <c r="AM14" s="31" t="s">
        <v>1034</v>
      </c>
      <c r="AN14" s="31" t="s">
        <v>1034</v>
      </c>
      <c r="AO14" s="31" t="s">
        <v>1034</v>
      </c>
      <c r="AP14" s="31" t="s">
        <v>1034</v>
      </c>
      <c r="AQ14" s="31" t="s">
        <v>1034</v>
      </c>
      <c r="AR14" s="31" t="s">
        <v>1034</v>
      </c>
      <c r="AS14" s="31" t="s">
        <v>1034</v>
      </c>
      <c r="AT14" s="31" t="s">
        <v>1034</v>
      </c>
      <c r="AU14" s="31" t="s">
        <v>1034</v>
      </c>
      <c r="AV14" s="31" t="s">
        <v>1034</v>
      </c>
      <c r="AW14" s="31" t="s">
        <v>1034</v>
      </c>
      <c r="AX14" s="31" t="s">
        <v>1034</v>
      </c>
      <c r="AY14" s="31" t="s">
        <v>1034</v>
      </c>
      <c r="AZ14" s="31" t="s">
        <v>1034</v>
      </c>
      <c r="BA14" s="31" t="s">
        <v>1034</v>
      </c>
      <c r="BB14" s="31" t="s">
        <v>1034</v>
      </c>
      <c r="BC14" s="31" t="s">
        <v>1034</v>
      </c>
      <c r="BD14" s="31" t="s">
        <v>1034</v>
      </c>
      <c r="BE14" s="31" t="s">
        <v>1034</v>
      </c>
      <c r="BF14" s="31" t="s">
        <v>1034</v>
      </c>
      <c r="BG14" s="31" t="s">
        <v>1034</v>
      </c>
      <c r="BH14" s="31" t="s">
        <v>1034</v>
      </c>
      <c r="BI14" s="31" t="s">
        <v>1034</v>
      </c>
      <c r="BJ14" s="31" t="s">
        <v>1034</v>
      </c>
      <c r="BK14" s="31" t="s">
        <v>1034</v>
      </c>
      <c r="BL14" s="31" t="s">
        <v>1034</v>
      </c>
      <c r="BM14" s="25"/>
      <c r="BN14" s="25"/>
      <c r="BO14" s="25"/>
      <c r="BP14" s="25"/>
      <c r="BQ14" s="25"/>
      <c r="BR14" s="25"/>
    </row>
    <row r="15" spans="1:70" ht="7.65" customHeight="1">
      <c r="A15" s="26">
        <v>5</v>
      </c>
      <c r="B15" s="37" t="s">
        <v>1043</v>
      </c>
      <c r="C15" s="35" t="s">
        <v>1048</v>
      </c>
      <c r="D15" s="187" t="s">
        <v>1049</v>
      </c>
      <c r="E15" s="36" t="s">
        <v>1042</v>
      </c>
      <c r="F15" s="444">
        <v>7</v>
      </c>
      <c r="G15" s="445"/>
      <c r="H15" s="25"/>
      <c r="I15" s="31" t="s">
        <v>1034</v>
      </c>
      <c r="J15" s="31" t="s">
        <v>1034</v>
      </c>
      <c r="K15" s="25"/>
      <c r="L15" s="31" t="s">
        <v>1034</v>
      </c>
      <c r="M15" s="31" t="s">
        <v>1034</v>
      </c>
      <c r="N15" s="31" t="s">
        <v>1034</v>
      </c>
      <c r="O15" s="25"/>
      <c r="P15" s="31" t="s">
        <v>1034</v>
      </c>
      <c r="Q15" s="31" t="s">
        <v>1034</v>
      </c>
      <c r="R15" s="31" t="s">
        <v>1034</v>
      </c>
      <c r="S15" s="25"/>
      <c r="T15" s="31" t="s">
        <v>1034</v>
      </c>
      <c r="U15" s="31" t="s">
        <v>1034</v>
      </c>
      <c r="V15" s="31" t="s">
        <v>1034</v>
      </c>
      <c r="W15" s="25"/>
      <c r="X15" s="31" t="s">
        <v>1034</v>
      </c>
      <c r="Y15" s="31" t="s">
        <v>1034</v>
      </c>
      <c r="Z15" s="31" t="s">
        <v>1034</v>
      </c>
      <c r="AA15" s="31" t="s">
        <v>1034</v>
      </c>
      <c r="AB15" s="31" t="s">
        <v>1034</v>
      </c>
      <c r="AC15" s="31" t="s">
        <v>1034</v>
      </c>
      <c r="AD15" s="31" t="s">
        <v>1034</v>
      </c>
      <c r="AE15" s="31" t="s">
        <v>1034</v>
      </c>
      <c r="AF15" s="31" t="s">
        <v>1034</v>
      </c>
      <c r="AG15" s="31" t="s">
        <v>1034</v>
      </c>
      <c r="AH15" s="31" t="s">
        <v>1034</v>
      </c>
      <c r="AI15" s="31" t="s">
        <v>1034</v>
      </c>
      <c r="AJ15" s="31" t="s">
        <v>1034</v>
      </c>
      <c r="AK15" s="31" t="s">
        <v>1034</v>
      </c>
      <c r="AL15" s="32" t="s">
        <v>1034</v>
      </c>
      <c r="AM15" s="31" t="s">
        <v>1034</v>
      </c>
      <c r="AN15" s="31" t="s">
        <v>1034</v>
      </c>
      <c r="AO15" s="31" t="s">
        <v>1034</v>
      </c>
      <c r="AP15" s="31" t="s">
        <v>1034</v>
      </c>
      <c r="AQ15" s="31" t="s">
        <v>1034</v>
      </c>
      <c r="AR15" s="31" t="s">
        <v>1034</v>
      </c>
      <c r="AS15" s="31" t="s">
        <v>1034</v>
      </c>
      <c r="AT15" s="31" t="s">
        <v>1034</v>
      </c>
      <c r="AU15" s="31" t="s">
        <v>1034</v>
      </c>
      <c r="AV15" s="31" t="s">
        <v>1034</v>
      </c>
      <c r="AW15" s="31" t="s">
        <v>1034</v>
      </c>
      <c r="AX15" s="31" t="s">
        <v>1034</v>
      </c>
      <c r="AY15" s="31" t="s">
        <v>1034</v>
      </c>
      <c r="AZ15" s="31" t="s">
        <v>1034</v>
      </c>
      <c r="BA15" s="31" t="s">
        <v>1034</v>
      </c>
      <c r="BB15" s="31" t="s">
        <v>1034</v>
      </c>
      <c r="BC15" s="31" t="s">
        <v>1034</v>
      </c>
      <c r="BD15" s="31" t="s">
        <v>1034</v>
      </c>
      <c r="BE15" s="31" t="s">
        <v>1034</v>
      </c>
      <c r="BF15" s="31" t="s">
        <v>1034</v>
      </c>
      <c r="BG15" s="31" t="s">
        <v>1034</v>
      </c>
      <c r="BH15" s="31" t="s">
        <v>1034</v>
      </c>
      <c r="BI15" s="31" t="s">
        <v>1034</v>
      </c>
      <c r="BJ15" s="31" t="s">
        <v>1034</v>
      </c>
      <c r="BK15" s="31" t="s">
        <v>1034</v>
      </c>
      <c r="BL15" s="31" t="s">
        <v>1034</v>
      </c>
      <c r="BM15" s="25"/>
      <c r="BN15" s="25"/>
      <c r="BO15" s="25"/>
      <c r="BP15" s="25"/>
      <c r="BQ15" s="25"/>
      <c r="BR15" s="25"/>
    </row>
    <row r="16" spans="1:70" ht="7.65" customHeight="1">
      <c r="A16" s="26">
        <v>5</v>
      </c>
      <c r="B16" s="37" t="s">
        <v>1043</v>
      </c>
      <c r="C16" s="35" t="s">
        <v>1050</v>
      </c>
      <c r="D16" s="187" t="s">
        <v>1051</v>
      </c>
      <c r="E16" s="36" t="s">
        <v>1042</v>
      </c>
      <c r="F16" s="444">
        <v>8</v>
      </c>
      <c r="G16" s="445"/>
      <c r="H16" s="25"/>
      <c r="I16" s="31" t="s">
        <v>1034</v>
      </c>
      <c r="J16" s="31" t="s">
        <v>1034</v>
      </c>
      <c r="K16" s="25"/>
      <c r="L16" s="31" t="s">
        <v>1034</v>
      </c>
      <c r="M16" s="31" t="s">
        <v>1034</v>
      </c>
      <c r="N16" s="31" t="s">
        <v>1034</v>
      </c>
      <c r="O16" s="25"/>
      <c r="P16" s="31" t="s">
        <v>1034</v>
      </c>
      <c r="Q16" s="31" t="s">
        <v>1034</v>
      </c>
      <c r="R16" s="31" t="s">
        <v>1034</v>
      </c>
      <c r="S16" s="25"/>
      <c r="T16" s="31" t="s">
        <v>1034</v>
      </c>
      <c r="U16" s="31" t="s">
        <v>1034</v>
      </c>
      <c r="V16" s="31" t="s">
        <v>1034</v>
      </c>
      <c r="W16" s="25"/>
      <c r="X16" s="31" t="s">
        <v>1034</v>
      </c>
      <c r="Y16" s="31" t="s">
        <v>1034</v>
      </c>
      <c r="Z16" s="31" t="s">
        <v>1034</v>
      </c>
      <c r="AA16" s="31" t="s">
        <v>1034</v>
      </c>
      <c r="AB16" s="31" t="s">
        <v>1034</v>
      </c>
      <c r="AC16" s="31" t="s">
        <v>1034</v>
      </c>
      <c r="AD16" s="31" t="s">
        <v>1034</v>
      </c>
      <c r="AE16" s="31" t="s">
        <v>1034</v>
      </c>
      <c r="AF16" s="31" t="s">
        <v>1034</v>
      </c>
      <c r="AG16" s="31" t="s">
        <v>1034</v>
      </c>
      <c r="AH16" s="31" t="s">
        <v>1034</v>
      </c>
      <c r="AI16" s="31" t="s">
        <v>1034</v>
      </c>
      <c r="AJ16" s="31" t="s">
        <v>1034</v>
      </c>
      <c r="AK16" s="31" t="s">
        <v>1034</v>
      </c>
      <c r="AL16" s="32" t="s">
        <v>1034</v>
      </c>
      <c r="AM16" s="31" t="s">
        <v>1034</v>
      </c>
      <c r="AN16" s="31" t="s">
        <v>1034</v>
      </c>
      <c r="AO16" s="31" t="s">
        <v>1034</v>
      </c>
      <c r="AP16" s="31" t="s">
        <v>1034</v>
      </c>
      <c r="AQ16" s="31" t="s">
        <v>1034</v>
      </c>
      <c r="AR16" s="31" t="s">
        <v>1034</v>
      </c>
      <c r="AS16" s="31" t="s">
        <v>1034</v>
      </c>
      <c r="AT16" s="31" t="s">
        <v>1034</v>
      </c>
      <c r="AU16" s="31" t="s">
        <v>1034</v>
      </c>
      <c r="AV16" s="31" t="s">
        <v>1034</v>
      </c>
      <c r="AW16" s="31" t="s">
        <v>1034</v>
      </c>
      <c r="AX16" s="31" t="s">
        <v>1034</v>
      </c>
      <c r="AY16" s="31" t="s">
        <v>1034</v>
      </c>
      <c r="AZ16" s="31" t="s">
        <v>1034</v>
      </c>
      <c r="BA16" s="31" t="s">
        <v>1034</v>
      </c>
      <c r="BB16" s="31" t="s">
        <v>1034</v>
      </c>
      <c r="BC16" s="31" t="s">
        <v>1034</v>
      </c>
      <c r="BD16" s="31" t="s">
        <v>1034</v>
      </c>
      <c r="BE16" s="31" t="s">
        <v>1034</v>
      </c>
      <c r="BF16" s="31" t="s">
        <v>1034</v>
      </c>
      <c r="BG16" s="31" t="s">
        <v>1034</v>
      </c>
      <c r="BH16" s="31" t="s">
        <v>1034</v>
      </c>
      <c r="BI16" s="31" t="s">
        <v>1034</v>
      </c>
      <c r="BJ16" s="31" t="s">
        <v>1034</v>
      </c>
      <c r="BK16" s="31" t="s">
        <v>1034</v>
      </c>
      <c r="BL16" s="31" t="s">
        <v>1034</v>
      </c>
      <c r="BM16" s="25"/>
      <c r="BN16" s="25"/>
      <c r="BO16" s="25"/>
      <c r="BP16" s="25"/>
      <c r="BQ16" s="25"/>
      <c r="BR16" s="25"/>
    </row>
    <row r="17" spans="1:70" ht="7.65" customHeight="1">
      <c r="A17" s="26">
        <v>5</v>
      </c>
      <c r="B17" s="37" t="s">
        <v>1043</v>
      </c>
      <c r="C17" s="35" t="s">
        <v>1052</v>
      </c>
      <c r="D17" s="245" t="s">
        <v>1053</v>
      </c>
      <c r="E17" s="36" t="s">
        <v>1042</v>
      </c>
      <c r="F17" s="444">
        <v>9</v>
      </c>
      <c r="G17" s="445"/>
      <c r="H17" s="25"/>
      <c r="I17" s="31" t="s">
        <v>1034</v>
      </c>
      <c r="J17" s="31" t="s">
        <v>1034</v>
      </c>
      <c r="K17" s="25"/>
      <c r="L17" s="31" t="s">
        <v>1034</v>
      </c>
      <c r="M17" s="31" t="s">
        <v>1034</v>
      </c>
      <c r="N17" s="31" t="s">
        <v>1034</v>
      </c>
      <c r="O17" s="25"/>
      <c r="P17" s="31" t="s">
        <v>1034</v>
      </c>
      <c r="Q17" s="31" t="s">
        <v>1034</v>
      </c>
      <c r="R17" s="31" t="s">
        <v>1034</v>
      </c>
      <c r="S17" s="25"/>
      <c r="T17" s="31" t="s">
        <v>1034</v>
      </c>
      <c r="U17" s="31" t="s">
        <v>1034</v>
      </c>
      <c r="V17" s="31" t="s">
        <v>1034</v>
      </c>
      <c r="W17" s="25"/>
      <c r="X17" s="31" t="s">
        <v>1034</v>
      </c>
      <c r="Y17" s="31" t="s">
        <v>1034</v>
      </c>
      <c r="Z17" s="31" t="s">
        <v>1034</v>
      </c>
      <c r="AA17" s="31" t="s">
        <v>1034</v>
      </c>
      <c r="AB17" s="31" t="s">
        <v>1034</v>
      </c>
      <c r="AC17" s="31" t="s">
        <v>1034</v>
      </c>
      <c r="AD17" s="31" t="s">
        <v>1034</v>
      </c>
      <c r="AE17" s="31" t="s">
        <v>1034</v>
      </c>
      <c r="AF17" s="31" t="s">
        <v>1034</v>
      </c>
      <c r="AG17" s="31" t="s">
        <v>1034</v>
      </c>
      <c r="AH17" s="31" t="s">
        <v>1034</v>
      </c>
      <c r="AI17" s="31" t="s">
        <v>1034</v>
      </c>
      <c r="AJ17" s="31" t="s">
        <v>1034</v>
      </c>
      <c r="AK17" s="31" t="s">
        <v>1034</v>
      </c>
      <c r="AL17" s="32" t="s">
        <v>1034</v>
      </c>
      <c r="AM17" s="31" t="s">
        <v>1034</v>
      </c>
      <c r="AN17" s="31" t="s">
        <v>1034</v>
      </c>
      <c r="AO17" s="31" t="s">
        <v>1034</v>
      </c>
      <c r="AP17" s="31" t="s">
        <v>1034</v>
      </c>
      <c r="AQ17" s="31" t="s">
        <v>1034</v>
      </c>
      <c r="AR17" s="31" t="s">
        <v>1034</v>
      </c>
      <c r="AS17" s="31" t="s">
        <v>1034</v>
      </c>
      <c r="AT17" s="31" t="s">
        <v>1034</v>
      </c>
      <c r="AU17" s="31" t="s">
        <v>1034</v>
      </c>
      <c r="AV17" s="31" t="s">
        <v>1034</v>
      </c>
      <c r="AW17" s="31" t="s">
        <v>1034</v>
      </c>
      <c r="AX17" s="31" t="s">
        <v>1034</v>
      </c>
      <c r="AY17" s="31" t="s">
        <v>1034</v>
      </c>
      <c r="AZ17" s="31" t="s">
        <v>1034</v>
      </c>
      <c r="BA17" s="31" t="s">
        <v>1034</v>
      </c>
      <c r="BB17" s="31" t="s">
        <v>1034</v>
      </c>
      <c r="BC17" s="31" t="s">
        <v>1034</v>
      </c>
      <c r="BD17" s="31" t="s">
        <v>1034</v>
      </c>
      <c r="BE17" s="31" t="s">
        <v>1034</v>
      </c>
      <c r="BF17" s="31" t="s">
        <v>1034</v>
      </c>
      <c r="BG17" s="31" t="s">
        <v>1034</v>
      </c>
      <c r="BH17" s="31" t="s">
        <v>1034</v>
      </c>
      <c r="BI17" s="31" t="s">
        <v>1034</v>
      </c>
      <c r="BJ17" s="31" t="s">
        <v>1034</v>
      </c>
      <c r="BK17" s="31" t="s">
        <v>1034</v>
      </c>
      <c r="BL17" s="31" t="s">
        <v>1034</v>
      </c>
      <c r="BM17" s="25"/>
      <c r="BN17" s="25"/>
      <c r="BO17" s="25"/>
      <c r="BP17" s="25"/>
      <c r="BQ17" s="25"/>
      <c r="BR17" s="25"/>
    </row>
    <row r="18" spans="1:70" ht="7.65" customHeight="1">
      <c r="A18" s="26">
        <v>5</v>
      </c>
      <c r="B18" s="37" t="s">
        <v>1043</v>
      </c>
      <c r="C18" s="35" t="s">
        <v>1052</v>
      </c>
      <c r="D18" s="245" t="s">
        <v>1054</v>
      </c>
      <c r="E18" s="36" t="s">
        <v>1042</v>
      </c>
      <c r="F18" s="444">
        <v>10</v>
      </c>
      <c r="G18" s="445"/>
      <c r="H18" s="25"/>
      <c r="I18" s="31" t="s">
        <v>1034</v>
      </c>
      <c r="J18" s="31" t="s">
        <v>1034</v>
      </c>
      <c r="K18" s="25"/>
      <c r="L18" s="31" t="s">
        <v>1034</v>
      </c>
      <c r="M18" s="31" t="s">
        <v>1034</v>
      </c>
      <c r="N18" s="31" t="s">
        <v>1034</v>
      </c>
      <c r="O18" s="25"/>
      <c r="P18" s="31" t="s">
        <v>1034</v>
      </c>
      <c r="Q18" s="31" t="s">
        <v>1034</v>
      </c>
      <c r="R18" s="31" t="s">
        <v>1034</v>
      </c>
      <c r="S18" s="25"/>
      <c r="T18" s="31" t="s">
        <v>1034</v>
      </c>
      <c r="U18" s="31" t="s">
        <v>1034</v>
      </c>
      <c r="V18" s="31" t="s">
        <v>1034</v>
      </c>
      <c r="W18" s="25"/>
      <c r="X18" s="31" t="s">
        <v>1034</v>
      </c>
      <c r="Y18" s="31" t="s">
        <v>1034</v>
      </c>
      <c r="Z18" s="31" t="s">
        <v>1034</v>
      </c>
      <c r="AA18" s="31" t="s">
        <v>1034</v>
      </c>
      <c r="AB18" s="31" t="s">
        <v>1034</v>
      </c>
      <c r="AC18" s="31" t="s">
        <v>1034</v>
      </c>
      <c r="AD18" s="31" t="s">
        <v>1034</v>
      </c>
      <c r="AE18" s="31" t="s">
        <v>1034</v>
      </c>
      <c r="AF18" s="31" t="s">
        <v>1034</v>
      </c>
      <c r="AG18" s="31" t="s">
        <v>1034</v>
      </c>
      <c r="AH18" s="31" t="s">
        <v>1034</v>
      </c>
      <c r="AI18" s="31" t="s">
        <v>1034</v>
      </c>
      <c r="AJ18" s="31" t="s">
        <v>1034</v>
      </c>
      <c r="AK18" s="31" t="s">
        <v>1034</v>
      </c>
      <c r="AL18" s="32" t="s">
        <v>1034</v>
      </c>
      <c r="AM18" s="31" t="s">
        <v>1034</v>
      </c>
      <c r="AN18" s="31" t="s">
        <v>1034</v>
      </c>
      <c r="AO18" s="31" t="s">
        <v>1034</v>
      </c>
      <c r="AP18" s="31" t="s">
        <v>1034</v>
      </c>
      <c r="AQ18" s="31" t="s">
        <v>1034</v>
      </c>
      <c r="AR18" s="31" t="s">
        <v>1034</v>
      </c>
      <c r="AS18" s="31" t="s">
        <v>1034</v>
      </c>
      <c r="AT18" s="31" t="s">
        <v>1034</v>
      </c>
      <c r="AU18" s="31" t="s">
        <v>1034</v>
      </c>
      <c r="AV18" s="31" t="s">
        <v>1034</v>
      </c>
      <c r="AW18" s="31" t="s">
        <v>1034</v>
      </c>
      <c r="AX18" s="31" t="s">
        <v>1034</v>
      </c>
      <c r="AY18" s="31" t="s">
        <v>1034</v>
      </c>
      <c r="AZ18" s="31" t="s">
        <v>1034</v>
      </c>
      <c r="BA18" s="31" t="s">
        <v>1034</v>
      </c>
      <c r="BB18" s="31" t="s">
        <v>1034</v>
      </c>
      <c r="BC18" s="31" t="s">
        <v>1034</v>
      </c>
      <c r="BD18" s="31" t="s">
        <v>1034</v>
      </c>
      <c r="BE18" s="31" t="s">
        <v>1034</v>
      </c>
      <c r="BF18" s="31" t="s">
        <v>1034</v>
      </c>
      <c r="BG18" s="31" t="s">
        <v>1034</v>
      </c>
      <c r="BH18" s="31" t="s">
        <v>1034</v>
      </c>
      <c r="BI18" s="31" t="s">
        <v>1034</v>
      </c>
      <c r="BJ18" s="31" t="s">
        <v>1034</v>
      </c>
      <c r="BK18" s="31" t="s">
        <v>1034</v>
      </c>
      <c r="BL18" s="31" t="s">
        <v>1034</v>
      </c>
      <c r="BM18" s="25"/>
      <c r="BN18" s="25"/>
      <c r="BO18" s="25"/>
      <c r="BP18" s="25"/>
      <c r="BQ18" s="25"/>
      <c r="BR18" s="25"/>
    </row>
    <row r="19" spans="1:70" ht="15.6" customHeight="1">
      <c r="A19" s="26">
        <v>5</v>
      </c>
      <c r="B19" s="38"/>
      <c r="C19" s="186" t="s">
        <v>2815</v>
      </c>
      <c r="D19" s="191" t="s">
        <v>2822</v>
      </c>
      <c r="E19" s="36" t="s">
        <v>1042</v>
      </c>
      <c r="F19" s="444">
        <v>11</v>
      </c>
      <c r="G19" s="445"/>
      <c r="H19" s="38"/>
      <c r="I19" s="31" t="s">
        <v>1034</v>
      </c>
      <c r="J19" s="31" t="s">
        <v>1034</v>
      </c>
      <c r="K19" s="38"/>
      <c r="L19" s="31" t="s">
        <v>1034</v>
      </c>
      <c r="M19" s="31" t="s">
        <v>1034</v>
      </c>
      <c r="N19" s="31" t="s">
        <v>1034</v>
      </c>
      <c r="O19" s="38"/>
      <c r="P19" s="31" t="s">
        <v>1034</v>
      </c>
      <c r="Q19" s="31" t="s">
        <v>1034</v>
      </c>
      <c r="R19" s="31" t="s">
        <v>1034</v>
      </c>
      <c r="S19" s="38"/>
      <c r="T19" s="31" t="s">
        <v>1034</v>
      </c>
      <c r="U19" s="31" t="s">
        <v>1034</v>
      </c>
      <c r="V19" s="31" t="s">
        <v>1034</v>
      </c>
      <c r="W19" s="38"/>
      <c r="X19" s="31" t="s">
        <v>1034</v>
      </c>
      <c r="Y19" s="31" t="s">
        <v>1034</v>
      </c>
      <c r="Z19" s="31" t="s">
        <v>1034</v>
      </c>
      <c r="AA19" s="31" t="s">
        <v>1034</v>
      </c>
      <c r="AB19" s="31" t="s">
        <v>1034</v>
      </c>
      <c r="AC19" s="31" t="s">
        <v>1034</v>
      </c>
      <c r="AD19" s="31" t="s">
        <v>1034</v>
      </c>
      <c r="AE19" s="31" t="s">
        <v>1034</v>
      </c>
      <c r="AF19" s="31" t="s">
        <v>1034</v>
      </c>
      <c r="AG19" s="31" t="s">
        <v>1034</v>
      </c>
      <c r="AH19" s="31" t="s">
        <v>1034</v>
      </c>
      <c r="AI19" s="31" t="s">
        <v>1034</v>
      </c>
      <c r="AJ19" s="31" t="s">
        <v>1034</v>
      </c>
      <c r="AK19" s="31" t="s">
        <v>1034</v>
      </c>
      <c r="AL19" s="32" t="s">
        <v>1034</v>
      </c>
      <c r="AM19" s="31" t="s">
        <v>1034</v>
      </c>
      <c r="AN19" s="31" t="s">
        <v>1034</v>
      </c>
      <c r="AO19" s="31" t="s">
        <v>1034</v>
      </c>
      <c r="AP19" s="31" t="s">
        <v>1034</v>
      </c>
      <c r="AQ19" s="31" t="s">
        <v>1034</v>
      </c>
      <c r="AR19" s="31" t="s">
        <v>1034</v>
      </c>
      <c r="AS19" s="31" t="s">
        <v>1034</v>
      </c>
      <c r="AT19" s="31" t="s">
        <v>1034</v>
      </c>
      <c r="AU19" s="31" t="s">
        <v>1034</v>
      </c>
      <c r="AV19" s="31" t="s">
        <v>1034</v>
      </c>
      <c r="AW19" s="31" t="s">
        <v>1034</v>
      </c>
      <c r="AX19" s="31" t="s">
        <v>1034</v>
      </c>
      <c r="AY19" s="31" t="s">
        <v>1034</v>
      </c>
      <c r="AZ19" s="31" t="s">
        <v>1034</v>
      </c>
      <c r="BA19" s="31" t="s">
        <v>1034</v>
      </c>
      <c r="BB19" s="31" t="s">
        <v>1034</v>
      </c>
      <c r="BC19" s="31" t="s">
        <v>1034</v>
      </c>
      <c r="BD19" s="31" t="s">
        <v>1034</v>
      </c>
      <c r="BE19" s="31" t="s">
        <v>1034</v>
      </c>
      <c r="BF19" s="31" t="s">
        <v>1034</v>
      </c>
      <c r="BG19" s="31" t="s">
        <v>1034</v>
      </c>
      <c r="BH19" s="31" t="s">
        <v>1034</v>
      </c>
      <c r="BI19" s="31" t="s">
        <v>1034</v>
      </c>
      <c r="BJ19" s="31" t="s">
        <v>1034</v>
      </c>
      <c r="BK19" s="31" t="s">
        <v>1034</v>
      </c>
      <c r="BL19" s="31" t="s">
        <v>1034</v>
      </c>
      <c r="BM19" s="38"/>
      <c r="BN19" s="38"/>
      <c r="BO19" s="38"/>
      <c r="BP19" s="38"/>
      <c r="BQ19" s="38"/>
      <c r="BR19" s="38"/>
    </row>
    <row r="20" spans="1:70" ht="14.85" customHeight="1">
      <c r="A20" s="26">
        <v>5</v>
      </c>
      <c r="B20" s="36" t="s">
        <v>1055</v>
      </c>
      <c r="C20" s="186" t="s">
        <v>3042</v>
      </c>
      <c r="D20" s="245" t="s">
        <v>3044</v>
      </c>
      <c r="E20" s="36" t="s">
        <v>1042</v>
      </c>
      <c r="F20" s="444">
        <v>12</v>
      </c>
      <c r="G20" s="445"/>
      <c r="H20" s="38"/>
      <c r="I20" s="31" t="s">
        <v>1034</v>
      </c>
      <c r="J20" s="38"/>
      <c r="K20" s="38"/>
      <c r="L20" s="38"/>
      <c r="M20" s="38"/>
      <c r="N20" s="38"/>
      <c r="O20" s="38"/>
      <c r="P20" s="38"/>
      <c r="Q20" s="38"/>
      <c r="R20" s="38"/>
      <c r="S20" s="38"/>
      <c r="T20" s="38"/>
      <c r="U20" s="38"/>
      <c r="V20" s="38"/>
      <c r="W20" s="38"/>
      <c r="X20" s="38"/>
      <c r="Y20" s="38"/>
      <c r="Z20" s="31" t="s">
        <v>1034</v>
      </c>
      <c r="AA20" s="31" t="s">
        <v>1034</v>
      </c>
      <c r="AB20" s="31" t="s">
        <v>1034</v>
      </c>
      <c r="AC20" s="31" t="s">
        <v>1034</v>
      </c>
      <c r="AD20" s="31" t="s">
        <v>1034</v>
      </c>
      <c r="AE20" s="31" t="s">
        <v>1034</v>
      </c>
      <c r="AF20" s="31" t="s">
        <v>1034</v>
      </c>
      <c r="AG20" s="31" t="s">
        <v>1034</v>
      </c>
      <c r="AH20" s="31" t="s">
        <v>1034</v>
      </c>
      <c r="AI20" s="31" t="s">
        <v>1034</v>
      </c>
      <c r="AJ20" s="31" t="s">
        <v>1034</v>
      </c>
      <c r="AK20" s="31" t="s">
        <v>1034</v>
      </c>
      <c r="AL20" s="32" t="s">
        <v>1034</v>
      </c>
      <c r="AM20" s="31" t="s">
        <v>1034</v>
      </c>
      <c r="AN20" s="31" t="s">
        <v>1034</v>
      </c>
      <c r="AO20" s="31" t="s">
        <v>1034</v>
      </c>
      <c r="AP20" s="31" t="s">
        <v>1034</v>
      </c>
      <c r="AQ20" s="31" t="s">
        <v>1034</v>
      </c>
      <c r="AR20" s="31" t="s">
        <v>1034</v>
      </c>
      <c r="AS20" s="31" t="s">
        <v>1034</v>
      </c>
      <c r="AT20" s="31" t="s">
        <v>1034</v>
      </c>
      <c r="AU20" s="31" t="s">
        <v>1034</v>
      </c>
      <c r="AV20" s="31" t="s">
        <v>1034</v>
      </c>
      <c r="AW20" s="31" t="s">
        <v>1034</v>
      </c>
      <c r="AX20" s="31" t="s">
        <v>1034</v>
      </c>
      <c r="AY20" s="31" t="s">
        <v>1034</v>
      </c>
      <c r="AZ20" s="31" t="s">
        <v>1034</v>
      </c>
      <c r="BA20" s="31" t="s">
        <v>1034</v>
      </c>
      <c r="BB20" s="31" t="s">
        <v>1034</v>
      </c>
      <c r="BC20" s="31" t="s">
        <v>1034</v>
      </c>
      <c r="BD20" s="31" t="s">
        <v>1034</v>
      </c>
      <c r="BE20" s="31" t="s">
        <v>1034</v>
      </c>
      <c r="BF20" s="31" t="s">
        <v>1034</v>
      </c>
      <c r="BG20" s="31" t="s">
        <v>1034</v>
      </c>
      <c r="BH20" s="31" t="s">
        <v>1034</v>
      </c>
      <c r="BI20" s="31" t="s">
        <v>1034</v>
      </c>
      <c r="BJ20" s="31" t="s">
        <v>1034</v>
      </c>
      <c r="BK20" s="31" t="s">
        <v>1034</v>
      </c>
      <c r="BL20" s="31" t="s">
        <v>1034</v>
      </c>
      <c r="BM20" s="38"/>
      <c r="BN20" s="38"/>
      <c r="BO20" s="38"/>
      <c r="BP20" s="38"/>
      <c r="BQ20" s="38"/>
      <c r="BR20" s="38"/>
    </row>
    <row r="21" spans="1:70" ht="7.65" customHeight="1">
      <c r="A21" s="26">
        <v>5</v>
      </c>
      <c r="B21" s="36" t="s">
        <v>1055</v>
      </c>
      <c r="C21" s="35" t="s">
        <v>1056</v>
      </c>
      <c r="D21" s="187" t="s">
        <v>1057</v>
      </c>
      <c r="E21" s="36" t="s">
        <v>1042</v>
      </c>
      <c r="F21" s="444">
        <v>13</v>
      </c>
      <c r="G21" s="445"/>
      <c r="H21" s="25"/>
      <c r="I21" s="31" t="s">
        <v>1034</v>
      </c>
      <c r="J21" s="31" t="s">
        <v>1034</v>
      </c>
      <c r="K21" s="25"/>
      <c r="L21" s="31" t="s">
        <v>1034</v>
      </c>
      <c r="M21" s="31" t="s">
        <v>1034</v>
      </c>
      <c r="N21" s="31" t="s">
        <v>1034</v>
      </c>
      <c r="O21" s="25"/>
      <c r="P21" s="31" t="s">
        <v>1034</v>
      </c>
      <c r="Q21" s="31" t="s">
        <v>1034</v>
      </c>
      <c r="R21" s="31" t="s">
        <v>1034</v>
      </c>
      <c r="S21" s="25"/>
      <c r="T21" s="31" t="s">
        <v>1034</v>
      </c>
      <c r="U21" s="31" t="s">
        <v>1034</v>
      </c>
      <c r="V21" s="31" t="s">
        <v>1034</v>
      </c>
      <c r="W21" s="25"/>
      <c r="X21" s="31" t="s">
        <v>1034</v>
      </c>
      <c r="Y21" s="31" t="s">
        <v>1034</v>
      </c>
      <c r="Z21" s="31" t="s">
        <v>1034</v>
      </c>
      <c r="AA21" s="31" t="s">
        <v>1034</v>
      </c>
      <c r="AB21" s="31" t="s">
        <v>1034</v>
      </c>
      <c r="AC21" s="31" t="s">
        <v>1034</v>
      </c>
      <c r="AD21" s="31" t="s">
        <v>1034</v>
      </c>
      <c r="AE21" s="31" t="s">
        <v>1034</v>
      </c>
      <c r="AF21" s="31" t="s">
        <v>1034</v>
      </c>
      <c r="AG21" s="31" t="s">
        <v>1034</v>
      </c>
      <c r="AH21" s="31" t="s">
        <v>1034</v>
      </c>
      <c r="AI21" s="31" t="s">
        <v>1034</v>
      </c>
      <c r="AJ21" s="31" t="s">
        <v>1034</v>
      </c>
      <c r="AK21" s="31" t="s">
        <v>1034</v>
      </c>
      <c r="AL21" s="32" t="s">
        <v>1034</v>
      </c>
      <c r="AM21" s="31" t="s">
        <v>1034</v>
      </c>
      <c r="AN21" s="31" t="s">
        <v>1034</v>
      </c>
      <c r="AO21" s="31" t="s">
        <v>1034</v>
      </c>
      <c r="AP21" s="31" t="s">
        <v>1034</v>
      </c>
      <c r="AQ21" s="31" t="s">
        <v>1034</v>
      </c>
      <c r="AR21" s="31" t="s">
        <v>1034</v>
      </c>
      <c r="AS21" s="31" t="s">
        <v>1034</v>
      </c>
      <c r="AT21" s="31" t="s">
        <v>1034</v>
      </c>
      <c r="AU21" s="31" t="s">
        <v>1034</v>
      </c>
      <c r="AV21" s="31" t="s">
        <v>1034</v>
      </c>
      <c r="AW21" s="31" t="s">
        <v>1034</v>
      </c>
      <c r="AX21" s="31" t="s">
        <v>1034</v>
      </c>
      <c r="AY21" s="31" t="s">
        <v>1034</v>
      </c>
      <c r="AZ21" s="31" t="s">
        <v>1034</v>
      </c>
      <c r="BA21" s="31" t="s">
        <v>1034</v>
      </c>
      <c r="BB21" s="31" t="s">
        <v>1034</v>
      </c>
      <c r="BC21" s="31" t="s">
        <v>1034</v>
      </c>
      <c r="BD21" s="31" t="s">
        <v>1034</v>
      </c>
      <c r="BE21" s="31" t="s">
        <v>1034</v>
      </c>
      <c r="BF21" s="31" t="s">
        <v>1034</v>
      </c>
      <c r="BG21" s="31" t="s">
        <v>1034</v>
      </c>
      <c r="BH21" s="31" t="s">
        <v>1034</v>
      </c>
      <c r="BI21" s="31" t="s">
        <v>1034</v>
      </c>
      <c r="BJ21" s="31" t="s">
        <v>1034</v>
      </c>
      <c r="BK21" s="31" t="s">
        <v>1034</v>
      </c>
      <c r="BL21" s="31" t="s">
        <v>1034</v>
      </c>
      <c r="BM21" s="25"/>
      <c r="BN21" s="25"/>
      <c r="BO21" s="25"/>
      <c r="BP21" s="25"/>
      <c r="BQ21" s="25"/>
      <c r="BR21" s="25"/>
    </row>
    <row r="22" spans="1:70" ht="13.2" customHeight="1">
      <c r="A22" s="26">
        <v>5</v>
      </c>
      <c r="B22" s="36" t="s">
        <v>1055</v>
      </c>
      <c r="C22" s="35" t="s">
        <v>1058</v>
      </c>
      <c r="D22" s="245" t="s">
        <v>1059</v>
      </c>
      <c r="E22" s="36" t="s">
        <v>1042</v>
      </c>
      <c r="F22" s="444">
        <v>14</v>
      </c>
      <c r="G22" s="445"/>
      <c r="H22" s="25"/>
      <c r="I22" s="31" t="s">
        <v>1034</v>
      </c>
      <c r="J22" s="31" t="s">
        <v>1034</v>
      </c>
      <c r="K22" s="25"/>
      <c r="L22" s="31" t="s">
        <v>1034</v>
      </c>
      <c r="M22" s="31" t="s">
        <v>1034</v>
      </c>
      <c r="N22" s="31" t="s">
        <v>1034</v>
      </c>
      <c r="O22" s="25"/>
      <c r="P22" s="31" t="s">
        <v>1034</v>
      </c>
      <c r="Q22" s="31" t="s">
        <v>1034</v>
      </c>
      <c r="R22" s="31" t="s">
        <v>1034</v>
      </c>
      <c r="S22" s="25"/>
      <c r="T22" s="31" t="s">
        <v>1034</v>
      </c>
      <c r="U22" s="31" t="s">
        <v>1034</v>
      </c>
      <c r="V22" s="31" t="s">
        <v>1034</v>
      </c>
      <c r="W22" s="25"/>
      <c r="X22" s="31" t="s">
        <v>1034</v>
      </c>
      <c r="Y22" s="31" t="s">
        <v>1034</v>
      </c>
      <c r="Z22" s="31" t="s">
        <v>1034</v>
      </c>
      <c r="AA22" s="31" t="s">
        <v>1034</v>
      </c>
      <c r="AB22" s="31" t="s">
        <v>1034</v>
      </c>
      <c r="AC22" s="31" t="s">
        <v>1034</v>
      </c>
      <c r="AD22" s="31" t="s">
        <v>1034</v>
      </c>
      <c r="AE22" s="31" t="s">
        <v>1034</v>
      </c>
      <c r="AF22" s="31" t="s">
        <v>1034</v>
      </c>
      <c r="AG22" s="31" t="s">
        <v>1034</v>
      </c>
      <c r="AH22" s="31" t="s">
        <v>1034</v>
      </c>
      <c r="AI22" s="31" t="s">
        <v>1034</v>
      </c>
      <c r="AJ22" s="31" t="s">
        <v>1034</v>
      </c>
      <c r="AK22" s="31" t="s">
        <v>1034</v>
      </c>
      <c r="AL22" s="32" t="s">
        <v>1034</v>
      </c>
      <c r="AM22" s="31" t="s">
        <v>1034</v>
      </c>
      <c r="AN22" s="31" t="s">
        <v>1034</v>
      </c>
      <c r="AO22" s="31" t="s">
        <v>1034</v>
      </c>
      <c r="AP22" s="31" t="s">
        <v>1034</v>
      </c>
      <c r="AQ22" s="31" t="s">
        <v>1034</v>
      </c>
      <c r="AR22" s="31" t="s">
        <v>1034</v>
      </c>
      <c r="AS22" s="31" t="s">
        <v>1034</v>
      </c>
      <c r="AT22" s="31" t="s">
        <v>1034</v>
      </c>
      <c r="AU22" s="31" t="s">
        <v>1034</v>
      </c>
      <c r="AV22" s="31" t="s">
        <v>1034</v>
      </c>
      <c r="AW22" s="31" t="s">
        <v>1034</v>
      </c>
      <c r="AX22" s="31" t="s">
        <v>1034</v>
      </c>
      <c r="AY22" s="31" t="s">
        <v>1034</v>
      </c>
      <c r="AZ22" s="31" t="s">
        <v>1034</v>
      </c>
      <c r="BA22" s="31" t="s">
        <v>1034</v>
      </c>
      <c r="BB22" s="31" t="s">
        <v>1034</v>
      </c>
      <c r="BC22" s="31" t="s">
        <v>1034</v>
      </c>
      <c r="BD22" s="31" t="s">
        <v>1034</v>
      </c>
      <c r="BE22" s="31" t="s">
        <v>1034</v>
      </c>
      <c r="BF22" s="31" t="s">
        <v>1034</v>
      </c>
      <c r="BG22" s="31" t="s">
        <v>1034</v>
      </c>
      <c r="BH22" s="31" t="s">
        <v>1034</v>
      </c>
      <c r="BI22" s="31" t="s">
        <v>1034</v>
      </c>
      <c r="BJ22" s="31" t="s">
        <v>1034</v>
      </c>
      <c r="BK22" s="25"/>
      <c r="BL22" s="31" t="s">
        <v>1034</v>
      </c>
      <c r="BM22" s="25"/>
      <c r="BN22" s="25"/>
      <c r="BO22" s="25"/>
      <c r="BP22" s="25"/>
      <c r="BQ22" s="25"/>
      <c r="BR22" s="25"/>
    </row>
    <row r="23" spans="1:70" ht="7.65" customHeight="1">
      <c r="A23" s="26">
        <v>5</v>
      </c>
      <c r="B23" s="36" t="s">
        <v>1055</v>
      </c>
      <c r="C23" s="35" t="s">
        <v>1060</v>
      </c>
      <c r="D23" s="245" t="s">
        <v>1061</v>
      </c>
      <c r="E23" s="36" t="s">
        <v>1042</v>
      </c>
      <c r="F23" s="444">
        <v>15</v>
      </c>
      <c r="G23" s="445"/>
      <c r="H23" s="25"/>
      <c r="I23" s="31" t="s">
        <v>1034</v>
      </c>
      <c r="J23" s="31" t="s">
        <v>1034</v>
      </c>
      <c r="K23" s="25"/>
      <c r="L23" s="31" t="s">
        <v>1034</v>
      </c>
      <c r="M23" s="31" t="s">
        <v>1034</v>
      </c>
      <c r="N23" s="31" t="s">
        <v>1034</v>
      </c>
      <c r="O23" s="25"/>
      <c r="P23" s="31" t="s">
        <v>1034</v>
      </c>
      <c r="Q23" s="31" t="s">
        <v>1034</v>
      </c>
      <c r="R23" s="31" t="s">
        <v>1034</v>
      </c>
      <c r="S23" s="25"/>
      <c r="T23" s="31" t="s">
        <v>1034</v>
      </c>
      <c r="U23" s="31" t="s">
        <v>1034</v>
      </c>
      <c r="V23" s="31" t="s">
        <v>1034</v>
      </c>
      <c r="W23" s="25"/>
      <c r="X23" s="31" t="s">
        <v>1034</v>
      </c>
      <c r="Y23" s="31" t="s">
        <v>1034</v>
      </c>
      <c r="Z23" s="31" t="s">
        <v>1034</v>
      </c>
      <c r="AA23" s="31" t="s">
        <v>1034</v>
      </c>
      <c r="AB23" s="31" t="s">
        <v>1034</v>
      </c>
      <c r="AC23" s="31" t="s">
        <v>1034</v>
      </c>
      <c r="AD23" s="31" t="s">
        <v>1034</v>
      </c>
      <c r="AE23" s="31" t="s">
        <v>1034</v>
      </c>
      <c r="AF23" s="31" t="s">
        <v>1034</v>
      </c>
      <c r="AG23" s="31" t="s">
        <v>1034</v>
      </c>
      <c r="AH23" s="31" t="s">
        <v>1034</v>
      </c>
      <c r="AI23" s="31" t="s">
        <v>1034</v>
      </c>
      <c r="AJ23" s="31" t="s">
        <v>1034</v>
      </c>
      <c r="AK23" s="31" t="s">
        <v>1034</v>
      </c>
      <c r="AL23" s="32" t="s">
        <v>1034</v>
      </c>
      <c r="AM23" s="31" t="s">
        <v>1034</v>
      </c>
      <c r="AN23" s="31" t="s">
        <v>1034</v>
      </c>
      <c r="AO23" s="31" t="s">
        <v>1034</v>
      </c>
      <c r="AP23" s="31" t="s">
        <v>1034</v>
      </c>
      <c r="AQ23" s="31" t="s">
        <v>1034</v>
      </c>
      <c r="AR23" s="31" t="s">
        <v>1034</v>
      </c>
      <c r="AS23" s="31" t="s">
        <v>1034</v>
      </c>
      <c r="AT23" s="31" t="s">
        <v>1034</v>
      </c>
      <c r="AU23" s="31" t="s">
        <v>1034</v>
      </c>
      <c r="AV23" s="31" t="s">
        <v>1034</v>
      </c>
      <c r="AW23" s="31" t="s">
        <v>1034</v>
      </c>
      <c r="AX23" s="31" t="s">
        <v>1034</v>
      </c>
      <c r="AY23" s="31" t="s">
        <v>1034</v>
      </c>
      <c r="AZ23" s="31" t="s">
        <v>1034</v>
      </c>
      <c r="BA23" s="31" t="s">
        <v>1034</v>
      </c>
      <c r="BB23" s="31" t="s">
        <v>1034</v>
      </c>
      <c r="BC23" s="31" t="s">
        <v>1034</v>
      </c>
      <c r="BD23" s="31" t="s">
        <v>1034</v>
      </c>
      <c r="BE23" s="31" t="s">
        <v>1034</v>
      </c>
      <c r="BF23" s="31" t="s">
        <v>1034</v>
      </c>
      <c r="BG23" s="31" t="s">
        <v>1034</v>
      </c>
      <c r="BH23" s="31" t="s">
        <v>1034</v>
      </c>
      <c r="BI23" s="31" t="s">
        <v>1034</v>
      </c>
      <c r="BJ23" s="31" t="s">
        <v>1034</v>
      </c>
      <c r="BK23" s="25"/>
      <c r="BL23" s="31" t="s">
        <v>1034</v>
      </c>
      <c r="BM23" s="25"/>
      <c r="BN23" s="25"/>
      <c r="BO23" s="25"/>
      <c r="BP23" s="25"/>
      <c r="BQ23" s="25"/>
      <c r="BR23" s="25"/>
    </row>
    <row r="24" spans="1:70" ht="7.65" customHeight="1">
      <c r="A24" s="25"/>
      <c r="B24" s="415"/>
      <c r="C24" s="416"/>
      <c r="D24" s="416"/>
      <c r="E24" s="417"/>
      <c r="F24" s="415"/>
      <c r="G24" s="417"/>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row>
    <row r="25" spans="1:70" ht="7.65" customHeight="1">
      <c r="A25" s="25"/>
      <c r="B25" s="446" t="s">
        <v>1062</v>
      </c>
      <c r="C25" s="447"/>
      <c r="D25" s="447"/>
      <c r="E25" s="448"/>
      <c r="F25" s="415"/>
      <c r="G25" s="417"/>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c r="BR25" s="25"/>
    </row>
    <row r="26" spans="1:70" ht="14.25" customHeight="1">
      <c r="A26" s="26">
        <v>5</v>
      </c>
      <c r="B26" s="37" t="s">
        <v>1030</v>
      </c>
      <c r="C26" s="186" t="s">
        <v>3045</v>
      </c>
      <c r="D26" s="245" t="s">
        <v>1063</v>
      </c>
      <c r="E26" s="36" t="s">
        <v>1037</v>
      </c>
      <c r="F26" s="444">
        <v>16</v>
      </c>
      <c r="G26" s="445"/>
      <c r="H26" s="38"/>
      <c r="I26" s="31" t="s">
        <v>1034</v>
      </c>
      <c r="J26" s="38"/>
      <c r="K26" s="38"/>
      <c r="L26" s="38"/>
      <c r="M26" s="38"/>
      <c r="N26" s="38"/>
      <c r="O26" s="38"/>
      <c r="P26" s="38"/>
      <c r="Q26" s="38"/>
      <c r="R26" s="38"/>
      <c r="S26" s="38"/>
      <c r="T26" s="38"/>
      <c r="U26" s="38"/>
      <c r="V26" s="38"/>
      <c r="W26" s="38"/>
      <c r="X26" s="38"/>
      <c r="Y26" s="38"/>
      <c r="Z26" s="38"/>
      <c r="AA26" s="31" t="s">
        <v>1034</v>
      </c>
      <c r="AB26" s="38"/>
      <c r="AC26" s="31" t="s">
        <v>1034</v>
      </c>
      <c r="AD26" s="38"/>
      <c r="AE26" s="38"/>
      <c r="AF26" s="38"/>
      <c r="AG26" s="38"/>
      <c r="AH26" s="38"/>
      <c r="AI26" s="31" t="s">
        <v>1034</v>
      </c>
      <c r="AJ26" s="31" t="s">
        <v>1034</v>
      </c>
      <c r="AK26" s="31" t="s">
        <v>1034</v>
      </c>
      <c r="AL26" s="32" t="s">
        <v>1034</v>
      </c>
      <c r="AM26" s="31" t="s">
        <v>1034</v>
      </c>
      <c r="AN26" s="31" t="s">
        <v>1034</v>
      </c>
      <c r="AO26" s="31" t="s">
        <v>1034</v>
      </c>
      <c r="AP26" s="31" t="s">
        <v>1034</v>
      </c>
      <c r="AQ26" s="31" t="s">
        <v>1034</v>
      </c>
      <c r="AR26" s="31" t="s">
        <v>1034</v>
      </c>
      <c r="AS26" s="31" t="s">
        <v>1034</v>
      </c>
      <c r="AT26" s="31" t="s">
        <v>1034</v>
      </c>
      <c r="AU26" s="31" t="s">
        <v>1034</v>
      </c>
      <c r="AV26" s="31" t="s">
        <v>1034</v>
      </c>
      <c r="AW26" s="31" t="s">
        <v>1034</v>
      </c>
      <c r="AX26" s="31" t="s">
        <v>1034</v>
      </c>
      <c r="AY26" s="31" t="s">
        <v>1034</v>
      </c>
      <c r="AZ26" s="31" t="s">
        <v>1034</v>
      </c>
      <c r="BA26" s="31" t="s">
        <v>1034</v>
      </c>
      <c r="BB26" s="31" t="s">
        <v>1034</v>
      </c>
      <c r="BC26" s="31" t="s">
        <v>1034</v>
      </c>
      <c r="BD26" s="31" t="s">
        <v>1034</v>
      </c>
      <c r="BE26" s="31" t="s">
        <v>1034</v>
      </c>
      <c r="BF26" s="31" t="s">
        <v>1034</v>
      </c>
      <c r="BG26" s="38"/>
      <c r="BH26" s="38"/>
      <c r="BI26" s="38"/>
      <c r="BJ26" s="38"/>
      <c r="BK26" s="31" t="s">
        <v>1034</v>
      </c>
      <c r="BL26" s="38"/>
      <c r="BM26" s="31" t="s">
        <v>1034</v>
      </c>
      <c r="BN26" s="31" t="s">
        <v>1034</v>
      </c>
      <c r="BO26" s="38"/>
      <c r="BP26" s="38"/>
      <c r="BQ26" s="38"/>
      <c r="BR26" s="38"/>
    </row>
    <row r="27" spans="1:70" ht="14.25" customHeight="1">
      <c r="A27" s="26">
        <v>5</v>
      </c>
      <c r="B27" s="37" t="s">
        <v>1064</v>
      </c>
      <c r="C27" s="35" t="s">
        <v>1065</v>
      </c>
      <c r="D27" s="187" t="s">
        <v>1066</v>
      </c>
      <c r="E27" s="35" t="s">
        <v>1067</v>
      </c>
      <c r="F27" s="444">
        <v>17</v>
      </c>
      <c r="G27" s="445"/>
      <c r="H27" s="38"/>
      <c r="I27" s="31" t="s">
        <v>1034</v>
      </c>
      <c r="J27" s="38"/>
      <c r="K27" s="38"/>
      <c r="L27" s="31" t="s">
        <v>1034</v>
      </c>
      <c r="M27" s="31" t="s">
        <v>1034</v>
      </c>
      <c r="N27" s="38"/>
      <c r="O27" s="38"/>
      <c r="P27" s="31" t="s">
        <v>1034</v>
      </c>
      <c r="Q27" s="31" t="s">
        <v>1034</v>
      </c>
      <c r="R27" s="38"/>
      <c r="S27" s="38"/>
      <c r="T27" s="31" t="s">
        <v>1034</v>
      </c>
      <c r="U27" s="31" t="s">
        <v>1034</v>
      </c>
      <c r="V27" s="38"/>
      <c r="W27" s="38"/>
      <c r="X27" s="31" t="s">
        <v>1034</v>
      </c>
      <c r="Y27" s="31" t="s">
        <v>1034</v>
      </c>
      <c r="Z27" s="38"/>
      <c r="AA27" s="31" t="s">
        <v>1034</v>
      </c>
      <c r="AB27" s="38"/>
      <c r="AC27" s="31" t="s">
        <v>1034</v>
      </c>
      <c r="AD27" s="38"/>
      <c r="AE27" s="38"/>
      <c r="AF27" s="38"/>
      <c r="AG27" s="38"/>
      <c r="AH27" s="38"/>
      <c r="AI27" s="31" t="s">
        <v>1034</v>
      </c>
      <c r="AJ27" s="31" t="s">
        <v>1034</v>
      </c>
      <c r="AK27" s="31" t="s">
        <v>1034</v>
      </c>
      <c r="AL27" s="32" t="s">
        <v>1034</v>
      </c>
      <c r="AM27" s="31" t="s">
        <v>1034</v>
      </c>
      <c r="AN27" s="31" t="s">
        <v>1034</v>
      </c>
      <c r="AO27" s="31" t="s">
        <v>1034</v>
      </c>
      <c r="AP27" s="31" t="s">
        <v>1034</v>
      </c>
      <c r="AQ27" s="31" t="s">
        <v>1034</v>
      </c>
      <c r="AR27" s="31" t="s">
        <v>1034</v>
      </c>
      <c r="AS27" s="31" t="s">
        <v>1034</v>
      </c>
      <c r="AT27" s="31" t="s">
        <v>1034</v>
      </c>
      <c r="AU27" s="31" t="s">
        <v>1034</v>
      </c>
      <c r="AV27" s="31" t="s">
        <v>1034</v>
      </c>
      <c r="AW27" s="31" t="s">
        <v>1034</v>
      </c>
      <c r="AX27" s="31" t="s">
        <v>1034</v>
      </c>
      <c r="AY27" s="31" t="s">
        <v>1034</v>
      </c>
      <c r="AZ27" s="31" t="s">
        <v>1034</v>
      </c>
      <c r="BA27" s="31" t="s">
        <v>1034</v>
      </c>
      <c r="BB27" s="31" t="s">
        <v>1034</v>
      </c>
      <c r="BC27" s="31" t="s">
        <v>1034</v>
      </c>
      <c r="BD27" s="31" t="s">
        <v>1034</v>
      </c>
      <c r="BE27" s="31" t="s">
        <v>1034</v>
      </c>
      <c r="BF27" s="31" t="s">
        <v>1034</v>
      </c>
      <c r="BG27" s="38"/>
      <c r="BH27" s="38"/>
      <c r="BI27" s="38"/>
      <c r="BJ27" s="38"/>
      <c r="BK27" s="31" t="s">
        <v>1034</v>
      </c>
      <c r="BL27" s="38"/>
      <c r="BM27" s="31" t="s">
        <v>1034</v>
      </c>
      <c r="BN27" s="31" t="s">
        <v>1034</v>
      </c>
      <c r="BO27" s="38"/>
      <c r="BP27" s="38"/>
      <c r="BQ27" s="38"/>
      <c r="BR27" s="38"/>
    </row>
    <row r="28" spans="1:70" ht="8.25" customHeight="1">
      <c r="A28" s="26">
        <v>5</v>
      </c>
      <c r="B28" s="36" t="s">
        <v>1055</v>
      </c>
      <c r="C28" s="35" t="s">
        <v>1068</v>
      </c>
      <c r="D28" s="187" t="s">
        <v>1069</v>
      </c>
      <c r="E28" s="36" t="s">
        <v>1037</v>
      </c>
      <c r="F28" s="444">
        <v>18</v>
      </c>
      <c r="G28" s="445"/>
      <c r="H28" s="25"/>
      <c r="I28" s="31" t="s">
        <v>1034</v>
      </c>
      <c r="J28" s="25"/>
      <c r="K28" s="25"/>
      <c r="L28" s="31" t="s">
        <v>1034</v>
      </c>
      <c r="M28" s="31" t="s">
        <v>1034</v>
      </c>
      <c r="N28" s="25"/>
      <c r="O28" s="25"/>
      <c r="P28" s="31" t="s">
        <v>1034</v>
      </c>
      <c r="Q28" s="31" t="s">
        <v>1034</v>
      </c>
      <c r="R28" s="25"/>
      <c r="S28" s="25"/>
      <c r="T28" s="31" t="s">
        <v>1034</v>
      </c>
      <c r="U28" s="31" t="s">
        <v>1034</v>
      </c>
      <c r="V28" s="25"/>
      <c r="W28" s="25"/>
      <c r="X28" s="31" t="s">
        <v>1034</v>
      </c>
      <c r="Y28" s="31" t="s">
        <v>1034</v>
      </c>
      <c r="Z28" s="25"/>
      <c r="AA28" s="31" t="s">
        <v>1034</v>
      </c>
      <c r="AB28" s="25"/>
      <c r="AC28" s="31" t="s">
        <v>1034</v>
      </c>
      <c r="AD28" s="25"/>
      <c r="AE28" s="25"/>
      <c r="AF28" s="25"/>
      <c r="AG28" s="25"/>
      <c r="AH28" s="25"/>
      <c r="AI28" s="31" t="s">
        <v>1034</v>
      </c>
      <c r="AJ28" s="31" t="s">
        <v>1034</v>
      </c>
      <c r="AK28" s="31" t="s">
        <v>1034</v>
      </c>
      <c r="AL28" s="32" t="s">
        <v>1034</v>
      </c>
      <c r="AM28" s="31" t="s">
        <v>1034</v>
      </c>
      <c r="AN28" s="31" t="s">
        <v>1034</v>
      </c>
      <c r="AO28" s="31" t="s">
        <v>1034</v>
      </c>
      <c r="AP28" s="31" t="s">
        <v>1034</v>
      </c>
      <c r="AQ28" s="31" t="s">
        <v>1034</v>
      </c>
      <c r="AR28" s="31" t="s">
        <v>1034</v>
      </c>
      <c r="AS28" s="31" t="s">
        <v>1034</v>
      </c>
      <c r="AT28" s="31" t="s">
        <v>1034</v>
      </c>
      <c r="AU28" s="31" t="s">
        <v>1034</v>
      </c>
      <c r="AV28" s="31" t="s">
        <v>1034</v>
      </c>
      <c r="AW28" s="31" t="s">
        <v>1034</v>
      </c>
      <c r="AX28" s="31" t="s">
        <v>1034</v>
      </c>
      <c r="AY28" s="31" t="s">
        <v>1034</v>
      </c>
      <c r="AZ28" s="31" t="s">
        <v>1034</v>
      </c>
      <c r="BA28" s="31" t="s">
        <v>1034</v>
      </c>
      <c r="BB28" s="31" t="s">
        <v>1034</v>
      </c>
      <c r="BC28" s="31" t="s">
        <v>1034</v>
      </c>
      <c r="BD28" s="31" t="s">
        <v>1034</v>
      </c>
      <c r="BE28" s="31" t="s">
        <v>1034</v>
      </c>
      <c r="BF28" s="31" t="s">
        <v>1034</v>
      </c>
      <c r="BG28" s="25"/>
      <c r="BH28" s="25"/>
      <c r="BI28" s="25"/>
      <c r="BJ28" s="25"/>
      <c r="BK28" s="31" t="s">
        <v>1034</v>
      </c>
      <c r="BL28" s="25"/>
      <c r="BM28" s="31" t="s">
        <v>1034</v>
      </c>
      <c r="BN28" s="31" t="s">
        <v>1034</v>
      </c>
      <c r="BO28" s="25"/>
      <c r="BP28" s="25"/>
      <c r="BQ28" s="25"/>
      <c r="BR28" s="25"/>
    </row>
    <row r="29" spans="1:70" ht="13.5" customHeight="1">
      <c r="A29" s="26">
        <v>5</v>
      </c>
      <c r="B29" s="37" t="s">
        <v>1070</v>
      </c>
      <c r="C29" s="35" t="s">
        <v>1071</v>
      </c>
      <c r="D29" s="187" t="s">
        <v>1072</v>
      </c>
      <c r="E29" s="35" t="s">
        <v>1073</v>
      </c>
      <c r="F29" s="444">
        <v>19</v>
      </c>
      <c r="G29" s="445"/>
      <c r="H29" s="39" t="s">
        <v>1034</v>
      </c>
      <c r="I29" s="31" t="s">
        <v>1034</v>
      </c>
      <c r="J29" s="38"/>
      <c r="K29" s="38"/>
      <c r="L29" s="31" t="s">
        <v>1034</v>
      </c>
      <c r="M29" s="31" t="s">
        <v>1034</v>
      </c>
      <c r="N29" s="38"/>
      <c r="O29" s="38"/>
      <c r="P29" s="31" t="s">
        <v>1034</v>
      </c>
      <c r="Q29" s="31" t="s">
        <v>1034</v>
      </c>
      <c r="R29" s="38"/>
      <c r="S29" s="38"/>
      <c r="T29" s="31" t="s">
        <v>1034</v>
      </c>
      <c r="U29" s="31" t="s">
        <v>1034</v>
      </c>
      <c r="V29" s="38"/>
      <c r="W29" s="38"/>
      <c r="X29" s="31" t="s">
        <v>1034</v>
      </c>
      <c r="Y29" s="31" t="s">
        <v>1034</v>
      </c>
      <c r="Z29" s="38"/>
      <c r="AA29" s="31" t="s">
        <v>1034</v>
      </c>
      <c r="AB29" s="38"/>
      <c r="AC29" s="31" t="s">
        <v>1034</v>
      </c>
      <c r="AD29" s="38"/>
      <c r="AE29" s="38"/>
      <c r="AF29" s="38"/>
      <c r="AG29" s="38"/>
      <c r="AH29" s="38"/>
      <c r="AI29" s="31" t="s">
        <v>1034</v>
      </c>
      <c r="AJ29" s="31" t="s">
        <v>1034</v>
      </c>
      <c r="AK29" s="31" t="s">
        <v>1034</v>
      </c>
      <c r="AL29" s="32" t="s">
        <v>1034</v>
      </c>
      <c r="AM29" s="31" t="s">
        <v>1034</v>
      </c>
      <c r="AN29" s="31" t="s">
        <v>1034</v>
      </c>
      <c r="AO29" s="31" t="s">
        <v>1034</v>
      </c>
      <c r="AP29" s="31" t="s">
        <v>1034</v>
      </c>
      <c r="AQ29" s="31" t="s">
        <v>1034</v>
      </c>
      <c r="AR29" s="31" t="s">
        <v>1034</v>
      </c>
      <c r="AS29" s="31" t="s">
        <v>1034</v>
      </c>
      <c r="AT29" s="31" t="s">
        <v>1034</v>
      </c>
      <c r="AU29" s="31" t="s">
        <v>1034</v>
      </c>
      <c r="AV29" s="31" t="s">
        <v>1034</v>
      </c>
      <c r="AW29" s="31" t="s">
        <v>1034</v>
      </c>
      <c r="AX29" s="31" t="s">
        <v>1034</v>
      </c>
      <c r="AY29" s="31" t="s">
        <v>1034</v>
      </c>
      <c r="AZ29" s="31" t="s">
        <v>1034</v>
      </c>
      <c r="BA29" s="31" t="s">
        <v>1034</v>
      </c>
      <c r="BB29" s="31" t="s">
        <v>1034</v>
      </c>
      <c r="BC29" s="31" t="s">
        <v>1034</v>
      </c>
      <c r="BD29" s="31" t="s">
        <v>1034</v>
      </c>
      <c r="BE29" s="31" t="s">
        <v>1034</v>
      </c>
      <c r="BF29" s="31" t="s">
        <v>1034</v>
      </c>
      <c r="BG29" s="38"/>
      <c r="BH29" s="38"/>
      <c r="BI29" s="38"/>
      <c r="BJ29" s="38"/>
      <c r="BK29" s="31" t="s">
        <v>1034</v>
      </c>
      <c r="BL29" s="38"/>
      <c r="BM29" s="31" t="s">
        <v>1034</v>
      </c>
      <c r="BN29" s="31" t="s">
        <v>1034</v>
      </c>
      <c r="BO29" s="38"/>
      <c r="BP29" s="38"/>
      <c r="BQ29" s="38"/>
      <c r="BR29" s="38"/>
    </row>
    <row r="30" spans="1:70" ht="8.4" customHeight="1">
      <c r="A30" s="26">
        <v>5</v>
      </c>
      <c r="B30" s="36" t="s">
        <v>1055</v>
      </c>
      <c r="C30" s="35" t="s">
        <v>1074</v>
      </c>
      <c r="D30" s="209" t="s">
        <v>1075</v>
      </c>
      <c r="E30" s="36" t="s">
        <v>1037</v>
      </c>
      <c r="F30" s="444">
        <v>20</v>
      </c>
      <c r="G30" s="445"/>
      <c r="H30" s="25"/>
      <c r="I30" s="31" t="s">
        <v>1034</v>
      </c>
      <c r="J30" s="25"/>
      <c r="K30" s="25"/>
      <c r="L30" s="31" t="s">
        <v>1034</v>
      </c>
      <c r="M30" s="31" t="s">
        <v>1034</v>
      </c>
      <c r="N30" s="25"/>
      <c r="O30" s="25"/>
      <c r="P30" s="31" t="s">
        <v>1034</v>
      </c>
      <c r="Q30" s="31" t="s">
        <v>1034</v>
      </c>
      <c r="R30" s="25"/>
      <c r="S30" s="25"/>
      <c r="T30" s="31" t="s">
        <v>1034</v>
      </c>
      <c r="U30" s="31" t="s">
        <v>1034</v>
      </c>
      <c r="V30" s="25"/>
      <c r="W30" s="25"/>
      <c r="X30" s="31" t="s">
        <v>1034</v>
      </c>
      <c r="Y30" s="31" t="s">
        <v>1034</v>
      </c>
      <c r="Z30" s="25"/>
      <c r="AA30" s="31" t="s">
        <v>1034</v>
      </c>
      <c r="AB30" s="25"/>
      <c r="AC30" s="31" t="s">
        <v>1034</v>
      </c>
      <c r="AD30" s="25"/>
      <c r="AE30" s="25"/>
      <c r="AF30" s="25"/>
      <c r="AG30" s="25"/>
      <c r="AH30" s="25"/>
      <c r="AI30" s="31" t="s">
        <v>1034</v>
      </c>
      <c r="AJ30" s="31" t="s">
        <v>1034</v>
      </c>
      <c r="AK30" s="31" t="s">
        <v>1034</v>
      </c>
      <c r="AL30" s="32" t="s">
        <v>1034</v>
      </c>
      <c r="AM30" s="31" t="s">
        <v>1034</v>
      </c>
      <c r="AN30" s="31" t="s">
        <v>1034</v>
      </c>
      <c r="AO30" s="31" t="s">
        <v>1034</v>
      </c>
      <c r="AP30" s="31" t="s">
        <v>1034</v>
      </c>
      <c r="AQ30" s="31" t="s">
        <v>1034</v>
      </c>
      <c r="AR30" s="31" t="s">
        <v>1034</v>
      </c>
      <c r="AS30" s="31" t="s">
        <v>1034</v>
      </c>
      <c r="AT30" s="31" t="s">
        <v>1034</v>
      </c>
      <c r="AU30" s="31" t="s">
        <v>1034</v>
      </c>
      <c r="AV30" s="31" t="s">
        <v>1034</v>
      </c>
      <c r="AW30" s="31" t="s">
        <v>1034</v>
      </c>
      <c r="AX30" s="31" t="s">
        <v>1034</v>
      </c>
      <c r="AY30" s="31" t="s">
        <v>1034</v>
      </c>
      <c r="AZ30" s="31" t="s">
        <v>1034</v>
      </c>
      <c r="BA30" s="31" t="s">
        <v>1034</v>
      </c>
      <c r="BB30" s="31" t="s">
        <v>1034</v>
      </c>
      <c r="BC30" s="31" t="s">
        <v>1034</v>
      </c>
      <c r="BD30" s="31" t="s">
        <v>1034</v>
      </c>
      <c r="BE30" s="31" t="s">
        <v>1034</v>
      </c>
      <c r="BF30" s="31" t="s">
        <v>1034</v>
      </c>
      <c r="BG30" s="25"/>
      <c r="BH30" s="25"/>
      <c r="BI30" s="25"/>
      <c r="BJ30" s="25"/>
      <c r="BK30" s="31" t="s">
        <v>1034</v>
      </c>
      <c r="BL30" s="25"/>
      <c r="BM30" s="31" t="s">
        <v>1034</v>
      </c>
      <c r="BN30" s="31" t="s">
        <v>1034</v>
      </c>
      <c r="BO30" s="25"/>
      <c r="BP30" s="25"/>
      <c r="BQ30" s="25"/>
      <c r="BR30" s="25"/>
    </row>
    <row r="31" spans="1:70" ht="13.5" customHeight="1">
      <c r="A31" s="26">
        <v>5</v>
      </c>
      <c r="B31" s="36" t="s">
        <v>1055</v>
      </c>
      <c r="C31" s="19" t="s">
        <v>1076</v>
      </c>
      <c r="D31" s="209" t="s">
        <v>1077</v>
      </c>
      <c r="E31" s="36" t="s">
        <v>1037</v>
      </c>
      <c r="F31" s="444">
        <v>21</v>
      </c>
      <c r="G31" s="445"/>
      <c r="H31" s="38"/>
      <c r="I31" s="31" t="s">
        <v>1034</v>
      </c>
      <c r="J31" s="38"/>
      <c r="K31" s="38"/>
      <c r="L31" s="31" t="s">
        <v>1034</v>
      </c>
      <c r="M31" s="31" t="s">
        <v>1034</v>
      </c>
      <c r="N31" s="38"/>
      <c r="O31" s="38"/>
      <c r="P31" s="31" t="s">
        <v>1034</v>
      </c>
      <c r="Q31" s="31" t="s">
        <v>1034</v>
      </c>
      <c r="R31" s="38"/>
      <c r="S31" s="38"/>
      <c r="T31" s="31" t="s">
        <v>1034</v>
      </c>
      <c r="U31" s="31" t="s">
        <v>1034</v>
      </c>
      <c r="V31" s="38"/>
      <c r="W31" s="38"/>
      <c r="X31" s="31" t="s">
        <v>1034</v>
      </c>
      <c r="Y31" s="31" t="s">
        <v>1034</v>
      </c>
      <c r="Z31" s="38"/>
      <c r="AA31" s="31" t="s">
        <v>1034</v>
      </c>
      <c r="AB31" s="38"/>
      <c r="AC31" s="31" t="s">
        <v>1034</v>
      </c>
      <c r="AD31" s="38"/>
      <c r="AE31" s="38"/>
      <c r="AF31" s="38"/>
      <c r="AG31" s="38"/>
      <c r="AH31" s="38"/>
      <c r="AI31" s="31" t="s">
        <v>1034</v>
      </c>
      <c r="AJ31" s="31" t="s">
        <v>1034</v>
      </c>
      <c r="AK31" s="31" t="s">
        <v>1034</v>
      </c>
      <c r="AL31" s="32" t="s">
        <v>1034</v>
      </c>
      <c r="AM31" s="31" t="s">
        <v>1034</v>
      </c>
      <c r="AN31" s="31" t="s">
        <v>1034</v>
      </c>
      <c r="AO31" s="31" t="s">
        <v>1034</v>
      </c>
      <c r="AP31" s="31" t="s">
        <v>1034</v>
      </c>
      <c r="AQ31" s="31" t="s">
        <v>1034</v>
      </c>
      <c r="AR31" s="31" t="s">
        <v>1034</v>
      </c>
      <c r="AS31" s="31" t="s">
        <v>1034</v>
      </c>
      <c r="AT31" s="31" t="s">
        <v>1034</v>
      </c>
      <c r="AU31" s="31" t="s">
        <v>1034</v>
      </c>
      <c r="AV31" s="31" t="s">
        <v>1034</v>
      </c>
      <c r="AW31" s="31" t="s">
        <v>1034</v>
      </c>
      <c r="AX31" s="31" t="s">
        <v>1034</v>
      </c>
      <c r="AY31" s="31" t="s">
        <v>1034</v>
      </c>
      <c r="AZ31" s="31" t="s">
        <v>1034</v>
      </c>
      <c r="BA31" s="31" t="s">
        <v>1034</v>
      </c>
      <c r="BB31" s="31" t="s">
        <v>1034</v>
      </c>
      <c r="BC31" s="31" t="s">
        <v>1034</v>
      </c>
      <c r="BD31" s="31" t="s">
        <v>1034</v>
      </c>
      <c r="BE31" s="31" t="s">
        <v>1034</v>
      </c>
      <c r="BF31" s="31" t="s">
        <v>1034</v>
      </c>
      <c r="BG31" s="38"/>
      <c r="BH31" s="38"/>
      <c r="BI31" s="38"/>
      <c r="BJ31" s="38"/>
      <c r="BK31" s="31" t="s">
        <v>1034</v>
      </c>
      <c r="BL31" s="38"/>
      <c r="BM31" s="31" t="s">
        <v>1034</v>
      </c>
      <c r="BN31" s="31" t="s">
        <v>1034</v>
      </c>
      <c r="BO31" s="38"/>
      <c r="BP31" s="38"/>
      <c r="BQ31" s="38"/>
      <c r="BR31" s="38"/>
    </row>
    <row r="32" spans="1:70" ht="21.6" customHeight="1">
      <c r="A32" s="26">
        <v>5</v>
      </c>
      <c r="B32" s="36" t="s">
        <v>1055</v>
      </c>
      <c r="C32" s="247" t="s">
        <v>1078</v>
      </c>
      <c r="D32" s="209" t="s">
        <v>1079</v>
      </c>
      <c r="E32" s="36" t="s">
        <v>1037</v>
      </c>
      <c r="F32" s="444">
        <v>22</v>
      </c>
      <c r="G32" s="445"/>
      <c r="H32" s="19"/>
      <c r="I32" s="31" t="s">
        <v>1034</v>
      </c>
      <c r="J32" s="19"/>
      <c r="K32" s="19"/>
      <c r="L32" s="31" t="s">
        <v>1034</v>
      </c>
      <c r="M32" s="31" t="s">
        <v>1034</v>
      </c>
      <c r="N32" s="19"/>
      <c r="O32" s="19"/>
      <c r="P32" s="31" t="s">
        <v>1034</v>
      </c>
      <c r="Q32" s="31" t="s">
        <v>1034</v>
      </c>
      <c r="R32" s="19"/>
      <c r="S32" s="19"/>
      <c r="T32" s="31" t="s">
        <v>1034</v>
      </c>
      <c r="U32" s="31" t="s">
        <v>1034</v>
      </c>
      <c r="V32" s="19"/>
      <c r="W32" s="19"/>
      <c r="X32" s="31" t="s">
        <v>1034</v>
      </c>
      <c r="Y32" s="31" t="s">
        <v>1034</v>
      </c>
      <c r="Z32" s="19"/>
      <c r="AA32" s="31" t="s">
        <v>1034</v>
      </c>
      <c r="AB32" s="19"/>
      <c r="AC32" s="31" t="s">
        <v>1034</v>
      </c>
      <c r="AD32" s="19"/>
      <c r="AE32" s="19"/>
      <c r="AF32" s="19"/>
      <c r="AG32" s="19"/>
      <c r="AH32" s="19"/>
      <c r="AI32" s="31" t="s">
        <v>1034</v>
      </c>
      <c r="AJ32" s="31" t="s">
        <v>1034</v>
      </c>
      <c r="AK32" s="31" t="s">
        <v>1034</v>
      </c>
      <c r="AL32" s="32" t="s">
        <v>1034</v>
      </c>
      <c r="AM32" s="31" t="s">
        <v>1034</v>
      </c>
      <c r="AN32" s="31" t="s">
        <v>1034</v>
      </c>
      <c r="AO32" s="31" t="s">
        <v>1034</v>
      </c>
      <c r="AP32" s="31" t="s">
        <v>1034</v>
      </c>
      <c r="AQ32" s="31" t="s">
        <v>1034</v>
      </c>
      <c r="AR32" s="31" t="s">
        <v>1034</v>
      </c>
      <c r="AS32" s="31" t="s">
        <v>1034</v>
      </c>
      <c r="AT32" s="31" t="s">
        <v>1034</v>
      </c>
      <c r="AU32" s="31" t="s">
        <v>1034</v>
      </c>
      <c r="AV32" s="31" t="s">
        <v>1034</v>
      </c>
      <c r="AW32" s="31" t="s">
        <v>1034</v>
      </c>
      <c r="AX32" s="31" t="s">
        <v>1034</v>
      </c>
      <c r="AY32" s="31" t="s">
        <v>1034</v>
      </c>
      <c r="AZ32" s="31" t="s">
        <v>1034</v>
      </c>
      <c r="BA32" s="31" t="s">
        <v>1034</v>
      </c>
      <c r="BB32" s="31" t="s">
        <v>1034</v>
      </c>
      <c r="BC32" s="31" t="s">
        <v>1034</v>
      </c>
      <c r="BD32" s="31" t="s">
        <v>1034</v>
      </c>
      <c r="BE32" s="31" t="s">
        <v>1034</v>
      </c>
      <c r="BF32" s="31" t="s">
        <v>1034</v>
      </c>
      <c r="BG32" s="19"/>
      <c r="BH32" s="19"/>
      <c r="BI32" s="19"/>
      <c r="BJ32" s="19"/>
      <c r="BK32" s="31" t="s">
        <v>1034</v>
      </c>
      <c r="BL32" s="19"/>
      <c r="BM32" s="31" t="s">
        <v>1034</v>
      </c>
      <c r="BN32" s="31" t="s">
        <v>1034</v>
      </c>
      <c r="BO32" s="19"/>
      <c r="BP32" s="19"/>
      <c r="BQ32" s="19"/>
      <c r="BR32" s="19"/>
    </row>
    <row r="33" spans="1:70" ht="7.65" customHeight="1">
      <c r="A33" s="25"/>
      <c r="B33" s="25"/>
      <c r="C33" s="25"/>
      <c r="D33" s="25"/>
      <c r="E33" s="25"/>
      <c r="F33" s="415"/>
      <c r="G33" s="417"/>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row>
    <row r="34" spans="1:70" ht="7.65" customHeight="1">
      <c r="A34" s="25"/>
      <c r="B34" s="25"/>
      <c r="C34" s="25"/>
      <c r="D34" s="25"/>
      <c r="E34" s="25"/>
      <c r="F34" s="415"/>
      <c r="G34" s="417"/>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c r="BR34" s="25"/>
    </row>
    <row r="35" spans="1:70" ht="7.65" customHeight="1">
      <c r="A35" s="25"/>
      <c r="B35" s="25"/>
      <c r="C35" s="25"/>
      <c r="D35" s="25"/>
      <c r="E35" s="25"/>
      <c r="F35" s="415"/>
      <c r="G35" s="417"/>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row>
    <row r="36" spans="1:70" ht="7.65" customHeight="1">
      <c r="A36" s="25"/>
      <c r="B36" s="25"/>
      <c r="C36" s="25"/>
      <c r="D36" s="25"/>
      <c r="E36" s="25"/>
      <c r="F36" s="415"/>
      <c r="G36" s="417"/>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c r="BK36" s="25"/>
      <c r="BL36" s="25"/>
      <c r="BM36" s="25"/>
      <c r="BN36" s="25"/>
      <c r="BO36" s="25"/>
      <c r="BP36" s="25"/>
      <c r="BQ36" s="25"/>
      <c r="BR36" s="25"/>
    </row>
    <row r="37" spans="1:70" ht="7.65" customHeight="1">
      <c r="A37" s="25"/>
      <c r="B37" s="25"/>
      <c r="C37" s="25"/>
      <c r="D37" s="25"/>
      <c r="E37" s="25"/>
      <c r="F37" s="415"/>
      <c r="G37" s="417"/>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row>
    <row r="38" spans="1:70" ht="7.65" customHeight="1">
      <c r="A38" s="25"/>
      <c r="B38" s="25"/>
      <c r="C38" s="25"/>
      <c r="D38" s="25"/>
      <c r="E38" s="25"/>
      <c r="F38" s="415"/>
      <c r="G38" s="417"/>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c r="BK38" s="25"/>
      <c r="BL38" s="25"/>
      <c r="BM38" s="25"/>
      <c r="BN38" s="25"/>
      <c r="BO38" s="25"/>
      <c r="BP38" s="25"/>
      <c r="BQ38" s="25"/>
      <c r="BR38" s="25"/>
    </row>
    <row r="39" spans="1:70" ht="7.65" customHeight="1">
      <c r="A39" s="25"/>
      <c r="B39" s="25"/>
      <c r="C39" s="25"/>
      <c r="D39" s="25"/>
      <c r="E39" s="25"/>
      <c r="F39" s="415"/>
      <c r="G39" s="417"/>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c r="BK39" s="25"/>
      <c r="BL39" s="25"/>
      <c r="BM39" s="25"/>
      <c r="BN39" s="25"/>
      <c r="BO39" s="25"/>
      <c r="BP39" s="25"/>
      <c r="BQ39" s="25"/>
      <c r="BR39" s="25"/>
    </row>
    <row r="40" spans="1:70" ht="7.65" customHeight="1">
      <c r="A40" s="25"/>
      <c r="B40" s="25"/>
      <c r="C40" s="25"/>
      <c r="D40" s="25"/>
      <c r="E40" s="25"/>
      <c r="F40" s="415"/>
      <c r="G40" s="417"/>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c r="BR40" s="25"/>
    </row>
    <row r="41" spans="1:70" ht="7.65" customHeight="1">
      <c r="A41" s="25"/>
      <c r="B41" s="25"/>
      <c r="C41" s="25"/>
      <c r="D41" s="25"/>
      <c r="E41" s="25"/>
      <c r="F41" s="415"/>
      <c r="G41" s="417"/>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c r="BK41" s="25"/>
      <c r="BL41" s="25"/>
      <c r="BM41" s="25"/>
      <c r="BN41" s="25"/>
      <c r="BO41" s="25"/>
      <c r="BP41" s="25"/>
      <c r="BQ41" s="25"/>
      <c r="BR41" s="25"/>
    </row>
    <row r="42" spans="1:70" ht="7.65" customHeight="1">
      <c r="A42" s="25"/>
      <c r="B42" s="25"/>
      <c r="C42" s="25"/>
      <c r="D42" s="25"/>
      <c r="E42" s="25"/>
      <c r="F42" s="415"/>
      <c r="G42" s="417"/>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c r="BR42" s="25"/>
    </row>
    <row r="43" spans="1:70" ht="7.65" customHeight="1">
      <c r="A43" s="25"/>
      <c r="B43" s="25"/>
      <c r="C43" s="25"/>
      <c r="D43" s="25"/>
      <c r="E43" s="25"/>
      <c r="F43" s="415"/>
      <c r="G43" s="417"/>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row>
    <row r="44" spans="1:70" ht="7.65" customHeight="1">
      <c r="A44" s="25"/>
      <c r="B44" s="25"/>
      <c r="C44" s="25"/>
      <c r="D44" s="25"/>
      <c r="E44" s="25"/>
      <c r="F44" s="415"/>
      <c r="G44" s="417"/>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row>
    <row r="45" spans="1:70" ht="7.65" customHeight="1">
      <c r="A45" s="25"/>
      <c r="B45" s="25"/>
      <c r="C45" s="25"/>
      <c r="D45" s="25"/>
      <c r="E45" s="25"/>
      <c r="F45" s="415"/>
      <c r="G45" s="417"/>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row>
    <row r="46" spans="1:70" ht="10.5" customHeight="1">
      <c r="A46" s="40"/>
      <c r="B46" s="41"/>
      <c r="C46" s="41"/>
      <c r="D46" s="41"/>
      <c r="E46" s="41"/>
      <c r="F46" s="41"/>
      <c r="G46" s="41"/>
      <c r="H46" s="41"/>
      <c r="I46" s="41"/>
      <c r="J46" s="41"/>
      <c r="K46" s="41"/>
      <c r="L46" s="41"/>
      <c r="M46" s="41"/>
      <c r="N46" s="41"/>
      <c r="O46" s="41"/>
      <c r="P46" s="41"/>
      <c r="Q46" s="41"/>
      <c r="R46" s="41"/>
      <c r="S46" s="42"/>
      <c r="T46" s="433"/>
      <c r="U46" s="435"/>
      <c r="V46" s="433"/>
      <c r="W46" s="434"/>
      <c r="X46" s="435"/>
      <c r="Y46" s="433"/>
      <c r="Z46" s="434"/>
      <c r="AA46" s="434"/>
      <c r="AB46" s="434"/>
      <c r="AC46" s="434"/>
      <c r="AD46" s="434"/>
      <c r="AE46" s="434"/>
      <c r="AF46" s="434"/>
      <c r="AG46" s="434"/>
      <c r="AH46" s="434"/>
      <c r="AI46" s="434"/>
      <c r="AJ46" s="434"/>
      <c r="AK46" s="434"/>
      <c r="AL46" s="434"/>
      <c r="AM46" s="434"/>
      <c r="AN46" s="435"/>
      <c r="AO46" s="433"/>
      <c r="AP46" s="434"/>
      <c r="AQ46" s="434"/>
      <c r="AR46" s="434"/>
      <c r="AS46" s="435"/>
      <c r="AT46" s="441" t="s">
        <v>1080</v>
      </c>
      <c r="AU46" s="442"/>
      <c r="AV46" s="442"/>
      <c r="AW46" s="442"/>
      <c r="AX46" s="443"/>
      <c r="AY46" s="441" t="s">
        <v>1081</v>
      </c>
      <c r="AZ46" s="442"/>
      <c r="BA46" s="442"/>
      <c r="BB46" s="442"/>
      <c r="BC46" s="443"/>
      <c r="BD46" s="441" t="s">
        <v>1082</v>
      </c>
      <c r="BE46" s="442"/>
      <c r="BF46" s="442"/>
      <c r="BG46" s="442"/>
      <c r="BH46" s="443"/>
      <c r="BI46" s="433"/>
      <c r="BJ46" s="434"/>
      <c r="BK46" s="434"/>
      <c r="BL46" s="434"/>
      <c r="BM46" s="435"/>
      <c r="BN46" s="433"/>
      <c r="BO46" s="434"/>
      <c r="BP46" s="434"/>
      <c r="BQ46" s="434"/>
      <c r="BR46" s="435"/>
    </row>
    <row r="47" spans="1:70" ht="7.65" customHeight="1">
      <c r="A47" s="43"/>
      <c r="B47" s="44"/>
      <c r="C47" s="44"/>
      <c r="D47" s="44"/>
      <c r="E47" s="44"/>
      <c r="F47" s="44"/>
      <c r="G47" s="44"/>
      <c r="H47" s="44"/>
      <c r="I47" s="44"/>
      <c r="J47" s="44"/>
      <c r="K47" s="44"/>
      <c r="L47" s="44"/>
      <c r="M47" s="44"/>
      <c r="N47" s="44"/>
      <c r="O47" s="44"/>
      <c r="P47" s="44"/>
      <c r="Q47" s="44"/>
      <c r="R47" s="44"/>
      <c r="S47" s="45"/>
      <c r="T47" s="436">
        <v>5</v>
      </c>
      <c r="U47" s="437"/>
      <c r="V47" s="438">
        <v>45483</v>
      </c>
      <c r="W47" s="439"/>
      <c r="X47" s="440"/>
      <c r="Y47" s="388" t="s">
        <v>1083</v>
      </c>
      <c r="Z47" s="419"/>
      <c r="AA47" s="419"/>
      <c r="AB47" s="419"/>
      <c r="AC47" s="419"/>
      <c r="AD47" s="419"/>
      <c r="AE47" s="419"/>
      <c r="AF47" s="419"/>
      <c r="AG47" s="419"/>
      <c r="AH47" s="419"/>
      <c r="AI47" s="419"/>
      <c r="AJ47" s="419"/>
      <c r="AK47" s="419"/>
      <c r="AL47" s="419"/>
      <c r="AM47" s="419"/>
      <c r="AN47" s="389"/>
      <c r="AO47" s="427" t="s">
        <v>1084</v>
      </c>
      <c r="AP47" s="428"/>
      <c r="AQ47" s="428"/>
      <c r="AR47" s="428"/>
      <c r="AS47" s="429"/>
      <c r="AT47" s="427" t="s">
        <v>1085</v>
      </c>
      <c r="AU47" s="428"/>
      <c r="AV47" s="428"/>
      <c r="AW47" s="428"/>
      <c r="AX47" s="429"/>
      <c r="AY47" s="388" t="s">
        <v>1086</v>
      </c>
      <c r="AZ47" s="419"/>
      <c r="BA47" s="419"/>
      <c r="BB47" s="419"/>
      <c r="BC47" s="389"/>
      <c r="BD47" s="388" t="s">
        <v>1087</v>
      </c>
      <c r="BE47" s="419"/>
      <c r="BF47" s="419"/>
      <c r="BG47" s="419"/>
      <c r="BH47" s="389"/>
      <c r="BI47" s="415"/>
      <c r="BJ47" s="416"/>
      <c r="BK47" s="416"/>
      <c r="BL47" s="416"/>
      <c r="BM47" s="417"/>
      <c r="BN47" s="415"/>
      <c r="BO47" s="416"/>
      <c r="BP47" s="416"/>
      <c r="BQ47" s="416"/>
      <c r="BR47" s="417"/>
    </row>
    <row r="48" spans="1:70" ht="7.65" customHeight="1">
      <c r="A48" s="43"/>
      <c r="B48" s="44"/>
      <c r="C48" s="44"/>
      <c r="D48" s="44"/>
      <c r="E48" s="44"/>
      <c r="F48" s="44"/>
      <c r="G48" s="44"/>
      <c r="H48" s="44"/>
      <c r="I48" s="44"/>
      <c r="J48" s="44"/>
      <c r="K48" s="44"/>
      <c r="L48" s="44"/>
      <c r="M48" s="44"/>
      <c r="N48" s="44"/>
      <c r="O48" s="44"/>
      <c r="P48" s="44"/>
      <c r="Q48" s="44"/>
      <c r="R48" s="44"/>
      <c r="S48" s="45"/>
      <c r="T48" s="436">
        <v>4</v>
      </c>
      <c r="U48" s="437"/>
      <c r="V48" s="438">
        <v>45439</v>
      </c>
      <c r="W48" s="439"/>
      <c r="X48" s="440"/>
      <c r="Y48" s="388" t="s">
        <v>1083</v>
      </c>
      <c r="Z48" s="419"/>
      <c r="AA48" s="419"/>
      <c r="AB48" s="419"/>
      <c r="AC48" s="419"/>
      <c r="AD48" s="419"/>
      <c r="AE48" s="419"/>
      <c r="AF48" s="419"/>
      <c r="AG48" s="419"/>
      <c r="AH48" s="419"/>
      <c r="AI48" s="419"/>
      <c r="AJ48" s="419"/>
      <c r="AK48" s="419"/>
      <c r="AL48" s="419"/>
      <c r="AM48" s="419"/>
      <c r="AN48" s="389"/>
      <c r="AO48" s="427" t="s">
        <v>1084</v>
      </c>
      <c r="AP48" s="428"/>
      <c r="AQ48" s="428"/>
      <c r="AR48" s="428"/>
      <c r="AS48" s="429"/>
      <c r="AT48" s="427" t="s">
        <v>1085</v>
      </c>
      <c r="AU48" s="428"/>
      <c r="AV48" s="428"/>
      <c r="AW48" s="428"/>
      <c r="AX48" s="429"/>
      <c r="AY48" s="388" t="s">
        <v>1086</v>
      </c>
      <c r="AZ48" s="419"/>
      <c r="BA48" s="419"/>
      <c r="BB48" s="419"/>
      <c r="BC48" s="389"/>
      <c r="BD48" s="388" t="s">
        <v>1087</v>
      </c>
      <c r="BE48" s="419"/>
      <c r="BF48" s="419"/>
      <c r="BG48" s="419"/>
      <c r="BH48" s="389"/>
      <c r="BI48" s="415"/>
      <c r="BJ48" s="416"/>
      <c r="BK48" s="416"/>
      <c r="BL48" s="416"/>
      <c r="BM48" s="417"/>
      <c r="BN48" s="415"/>
      <c r="BO48" s="416"/>
      <c r="BP48" s="416"/>
      <c r="BQ48" s="416"/>
      <c r="BR48" s="417"/>
    </row>
    <row r="49" spans="1:70" ht="13.5" customHeight="1">
      <c r="A49" s="46" t="s">
        <v>1088</v>
      </c>
      <c r="B49" s="47"/>
      <c r="C49" s="47"/>
      <c r="D49" s="47"/>
      <c r="E49" s="47"/>
      <c r="F49" s="47"/>
      <c r="G49" s="47"/>
      <c r="H49" s="47"/>
      <c r="I49" s="47"/>
      <c r="J49" s="47"/>
      <c r="K49" s="47"/>
      <c r="L49" s="47"/>
      <c r="M49" s="47"/>
      <c r="N49" s="47"/>
      <c r="O49" s="47"/>
      <c r="P49" s="47"/>
      <c r="Q49" s="47"/>
      <c r="R49" s="47"/>
      <c r="S49" s="48"/>
      <c r="T49" s="436">
        <v>3</v>
      </c>
      <c r="U49" s="437"/>
      <c r="V49" s="438">
        <v>45408</v>
      </c>
      <c r="W49" s="439"/>
      <c r="X49" s="440"/>
      <c r="Y49" s="388" t="s">
        <v>1089</v>
      </c>
      <c r="Z49" s="419"/>
      <c r="AA49" s="419"/>
      <c r="AB49" s="419"/>
      <c r="AC49" s="419"/>
      <c r="AD49" s="419"/>
      <c r="AE49" s="419"/>
      <c r="AF49" s="419"/>
      <c r="AG49" s="419"/>
      <c r="AH49" s="419"/>
      <c r="AI49" s="419"/>
      <c r="AJ49" s="419"/>
      <c r="AK49" s="419"/>
      <c r="AL49" s="419"/>
      <c r="AM49" s="419"/>
      <c r="AN49" s="389"/>
      <c r="AO49" s="427" t="s">
        <v>1084</v>
      </c>
      <c r="AP49" s="428"/>
      <c r="AQ49" s="428"/>
      <c r="AR49" s="428"/>
      <c r="AS49" s="429"/>
      <c r="AT49" s="427" t="s">
        <v>1085</v>
      </c>
      <c r="AU49" s="428"/>
      <c r="AV49" s="428"/>
      <c r="AW49" s="428"/>
      <c r="AX49" s="429"/>
      <c r="AY49" s="388" t="s">
        <v>1086</v>
      </c>
      <c r="AZ49" s="419"/>
      <c r="BA49" s="419"/>
      <c r="BB49" s="419"/>
      <c r="BC49" s="389"/>
      <c r="BD49" s="388" t="s">
        <v>1087</v>
      </c>
      <c r="BE49" s="419"/>
      <c r="BF49" s="419"/>
      <c r="BG49" s="419"/>
      <c r="BH49" s="389"/>
      <c r="BI49" s="433"/>
      <c r="BJ49" s="434"/>
      <c r="BK49" s="434"/>
      <c r="BL49" s="434"/>
      <c r="BM49" s="435"/>
      <c r="BN49" s="433"/>
      <c r="BO49" s="434"/>
      <c r="BP49" s="434"/>
      <c r="BQ49" s="434"/>
      <c r="BR49" s="435"/>
    </row>
    <row r="50" spans="1:70" ht="13.5" customHeight="1">
      <c r="A50" s="49">
        <v>1</v>
      </c>
      <c r="B50" s="420" t="s">
        <v>1090</v>
      </c>
      <c r="C50" s="420"/>
      <c r="D50" s="47"/>
      <c r="E50" s="47"/>
      <c r="F50" s="47"/>
      <c r="G50" s="47"/>
      <c r="H50" s="47"/>
      <c r="I50" s="47"/>
      <c r="J50" s="47"/>
      <c r="K50" s="47"/>
      <c r="L50" s="47"/>
      <c r="M50" s="47"/>
      <c r="N50" s="47"/>
      <c r="O50" s="47"/>
      <c r="P50" s="47"/>
      <c r="Q50" s="47"/>
      <c r="R50" s="47"/>
      <c r="S50" s="48"/>
      <c r="T50" s="436">
        <v>2</v>
      </c>
      <c r="U50" s="437"/>
      <c r="V50" s="438">
        <v>45120</v>
      </c>
      <c r="W50" s="439"/>
      <c r="X50" s="440"/>
      <c r="Y50" s="388" t="s">
        <v>1091</v>
      </c>
      <c r="Z50" s="419"/>
      <c r="AA50" s="419"/>
      <c r="AB50" s="419"/>
      <c r="AC50" s="419"/>
      <c r="AD50" s="419"/>
      <c r="AE50" s="419"/>
      <c r="AF50" s="419"/>
      <c r="AG50" s="419"/>
      <c r="AH50" s="419"/>
      <c r="AI50" s="419"/>
      <c r="AJ50" s="419"/>
      <c r="AK50" s="419"/>
      <c r="AL50" s="419"/>
      <c r="AM50" s="419"/>
      <c r="AN50" s="389"/>
      <c r="AO50" s="427" t="s">
        <v>1084</v>
      </c>
      <c r="AP50" s="428"/>
      <c r="AQ50" s="428"/>
      <c r="AR50" s="428"/>
      <c r="AS50" s="429"/>
      <c r="AT50" s="427" t="s">
        <v>1085</v>
      </c>
      <c r="AU50" s="428"/>
      <c r="AV50" s="428"/>
      <c r="AW50" s="428"/>
      <c r="AX50" s="429"/>
      <c r="AY50" s="388" t="s">
        <v>1086</v>
      </c>
      <c r="AZ50" s="419"/>
      <c r="BA50" s="419"/>
      <c r="BB50" s="419"/>
      <c r="BC50" s="389"/>
      <c r="BD50" s="388" t="s">
        <v>1087</v>
      </c>
      <c r="BE50" s="419"/>
      <c r="BF50" s="419"/>
      <c r="BG50" s="419"/>
      <c r="BH50" s="389"/>
      <c r="BI50" s="433"/>
      <c r="BJ50" s="434"/>
      <c r="BK50" s="434"/>
      <c r="BL50" s="434"/>
      <c r="BM50" s="435"/>
      <c r="BN50" s="433"/>
      <c r="BO50" s="434"/>
      <c r="BP50" s="434"/>
      <c r="BQ50" s="434"/>
      <c r="BR50" s="435"/>
    </row>
    <row r="51" spans="1:70" ht="13.5" customHeight="1">
      <c r="A51" s="49">
        <v>2</v>
      </c>
      <c r="B51" s="420" t="s">
        <v>1092</v>
      </c>
      <c r="C51" s="420"/>
      <c r="D51" s="420"/>
      <c r="E51" s="420"/>
      <c r="F51" s="420"/>
      <c r="G51" s="420"/>
      <c r="H51" s="420"/>
      <c r="I51" s="420"/>
      <c r="J51" s="420"/>
      <c r="K51" s="420"/>
      <c r="L51" s="420"/>
      <c r="M51" s="420"/>
      <c r="N51" s="420"/>
      <c r="O51" s="420"/>
      <c r="P51" s="47"/>
      <c r="Q51" s="47"/>
      <c r="R51" s="47"/>
      <c r="S51" s="48"/>
      <c r="T51" s="436">
        <v>1</v>
      </c>
      <c r="U51" s="437"/>
      <c r="V51" s="438">
        <v>44999</v>
      </c>
      <c r="W51" s="439"/>
      <c r="X51" s="440"/>
      <c r="Y51" s="388" t="s">
        <v>1093</v>
      </c>
      <c r="Z51" s="419"/>
      <c r="AA51" s="419"/>
      <c r="AB51" s="419"/>
      <c r="AC51" s="419"/>
      <c r="AD51" s="419"/>
      <c r="AE51" s="419"/>
      <c r="AF51" s="419"/>
      <c r="AG51" s="419"/>
      <c r="AH51" s="419"/>
      <c r="AI51" s="419"/>
      <c r="AJ51" s="419"/>
      <c r="AK51" s="419"/>
      <c r="AL51" s="419"/>
      <c r="AM51" s="419"/>
      <c r="AN51" s="389"/>
      <c r="AO51" s="427" t="s">
        <v>1084</v>
      </c>
      <c r="AP51" s="428"/>
      <c r="AQ51" s="428"/>
      <c r="AR51" s="428"/>
      <c r="AS51" s="429"/>
      <c r="AT51" s="427" t="s">
        <v>1085</v>
      </c>
      <c r="AU51" s="428"/>
      <c r="AV51" s="428"/>
      <c r="AW51" s="428"/>
      <c r="AX51" s="429"/>
      <c r="AY51" s="388" t="s">
        <v>1086</v>
      </c>
      <c r="AZ51" s="419"/>
      <c r="BA51" s="419"/>
      <c r="BB51" s="419"/>
      <c r="BC51" s="389"/>
      <c r="BD51" s="388" t="s">
        <v>1087</v>
      </c>
      <c r="BE51" s="419"/>
      <c r="BF51" s="419"/>
      <c r="BG51" s="419"/>
      <c r="BH51" s="389"/>
      <c r="BI51" s="433"/>
      <c r="BJ51" s="434"/>
      <c r="BK51" s="434"/>
      <c r="BL51" s="434"/>
      <c r="BM51" s="435"/>
      <c r="BN51" s="433"/>
      <c r="BO51" s="434"/>
      <c r="BP51" s="434"/>
      <c r="BQ51" s="434"/>
      <c r="BR51" s="435"/>
    </row>
    <row r="52" spans="1:70" ht="13.5" customHeight="1">
      <c r="A52" s="49">
        <v>3</v>
      </c>
      <c r="B52" s="420" t="s">
        <v>1094</v>
      </c>
      <c r="C52" s="420"/>
      <c r="D52" s="47"/>
      <c r="E52" s="47"/>
      <c r="F52" s="47"/>
      <c r="G52" s="47"/>
      <c r="H52" s="47"/>
      <c r="I52" s="47"/>
      <c r="J52" s="47"/>
      <c r="K52" s="47"/>
      <c r="L52" s="47"/>
      <c r="M52" s="47"/>
      <c r="N52" s="47"/>
      <c r="O52" s="47"/>
      <c r="P52" s="47"/>
      <c r="Q52" s="47"/>
      <c r="R52" s="47"/>
      <c r="S52" s="48"/>
      <c r="T52" s="394" t="s">
        <v>1095</v>
      </c>
      <c r="U52" s="395"/>
      <c r="V52" s="394" t="s">
        <v>1096</v>
      </c>
      <c r="W52" s="426"/>
      <c r="X52" s="395"/>
      <c r="Y52" s="388" t="s">
        <v>1097</v>
      </c>
      <c r="Z52" s="419"/>
      <c r="AA52" s="419"/>
      <c r="AB52" s="419"/>
      <c r="AC52" s="419"/>
      <c r="AD52" s="419"/>
      <c r="AE52" s="419"/>
      <c r="AF52" s="419"/>
      <c r="AG52" s="419"/>
      <c r="AH52" s="419"/>
      <c r="AI52" s="419"/>
      <c r="AJ52" s="419"/>
      <c r="AK52" s="419"/>
      <c r="AL52" s="419"/>
      <c r="AM52" s="419"/>
      <c r="AN52" s="389"/>
      <c r="AO52" s="388" t="s">
        <v>1098</v>
      </c>
      <c r="AP52" s="419"/>
      <c r="AQ52" s="419"/>
      <c r="AR52" s="419"/>
      <c r="AS52" s="389"/>
      <c r="AT52" s="427" t="s">
        <v>1099</v>
      </c>
      <c r="AU52" s="428"/>
      <c r="AV52" s="428"/>
      <c r="AW52" s="428"/>
      <c r="AX52" s="429"/>
      <c r="AY52" s="430" t="s">
        <v>1100</v>
      </c>
      <c r="AZ52" s="431"/>
      <c r="BA52" s="431"/>
      <c r="BB52" s="431"/>
      <c r="BC52" s="432"/>
      <c r="BD52" s="427" t="s">
        <v>1101</v>
      </c>
      <c r="BE52" s="428"/>
      <c r="BF52" s="428"/>
      <c r="BG52" s="428"/>
      <c r="BH52" s="429"/>
      <c r="BI52" s="388" t="s">
        <v>1102</v>
      </c>
      <c r="BJ52" s="419"/>
      <c r="BK52" s="419"/>
      <c r="BL52" s="419"/>
      <c r="BM52" s="389"/>
      <c r="BN52" s="388" t="s">
        <v>1103</v>
      </c>
      <c r="BO52" s="419"/>
      <c r="BP52" s="419"/>
      <c r="BQ52" s="419"/>
      <c r="BR52" s="389"/>
    </row>
    <row r="53" spans="1:70" ht="13.5" customHeight="1">
      <c r="A53" s="49">
        <v>4</v>
      </c>
      <c r="B53" s="420" t="s">
        <v>1104</v>
      </c>
      <c r="C53" s="420"/>
      <c r="D53" s="47"/>
      <c r="E53" s="47"/>
      <c r="F53" s="47"/>
      <c r="G53" s="47"/>
      <c r="H53" s="47"/>
      <c r="I53" s="47"/>
      <c r="J53" s="47"/>
      <c r="K53" s="47"/>
      <c r="L53" s="47"/>
      <c r="M53" s="47"/>
      <c r="N53" s="47"/>
      <c r="O53" s="47"/>
      <c r="P53" s="47"/>
      <c r="Q53" s="47"/>
      <c r="R53" s="47"/>
      <c r="S53" s="48"/>
      <c r="T53" s="390"/>
      <c r="U53" s="421"/>
      <c r="V53" s="421"/>
      <c r="W53" s="421"/>
      <c r="X53" s="421"/>
      <c r="Y53" s="421"/>
      <c r="Z53" s="421"/>
      <c r="AA53" s="421"/>
      <c r="AB53" s="421"/>
      <c r="AC53" s="421"/>
      <c r="AD53" s="421"/>
      <c r="AE53" s="421"/>
      <c r="AF53" s="421"/>
      <c r="AG53" s="421"/>
      <c r="AH53" s="421"/>
      <c r="AI53" s="421"/>
      <c r="AJ53" s="421"/>
      <c r="AK53" s="421"/>
      <c r="AL53" s="421"/>
      <c r="AM53" s="421"/>
      <c r="AN53" s="391"/>
      <c r="AO53" s="403" t="s">
        <v>1105</v>
      </c>
      <c r="AP53" s="404"/>
      <c r="AQ53" s="404"/>
      <c r="AR53" s="404"/>
      <c r="AS53" s="404"/>
      <c r="AT53" s="404"/>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5"/>
    </row>
    <row r="54" spans="1:70" ht="13.5" customHeight="1">
      <c r="A54" s="49">
        <v>5</v>
      </c>
      <c r="B54" s="420" t="s">
        <v>1106</v>
      </c>
      <c r="C54" s="420"/>
      <c r="D54" s="47"/>
      <c r="E54" s="47"/>
      <c r="F54" s="47"/>
      <c r="G54" s="47"/>
      <c r="H54" s="47"/>
      <c r="I54" s="47"/>
      <c r="J54" s="47"/>
      <c r="K54" s="47"/>
      <c r="L54" s="47"/>
      <c r="M54" s="47"/>
      <c r="N54" s="47"/>
      <c r="O54" s="47"/>
      <c r="P54" s="47"/>
      <c r="Q54" s="47"/>
      <c r="R54" s="47"/>
      <c r="S54" s="48"/>
      <c r="T54" s="422"/>
      <c r="U54" s="423"/>
      <c r="V54" s="423"/>
      <c r="W54" s="423"/>
      <c r="X54" s="423"/>
      <c r="Y54" s="423"/>
      <c r="Z54" s="423"/>
      <c r="AA54" s="423"/>
      <c r="AB54" s="423"/>
      <c r="AC54" s="423"/>
      <c r="AD54" s="423"/>
      <c r="AE54" s="423"/>
      <c r="AF54" s="423"/>
      <c r="AG54" s="423"/>
      <c r="AH54" s="423"/>
      <c r="AI54" s="423"/>
      <c r="AJ54" s="423"/>
      <c r="AK54" s="423"/>
      <c r="AL54" s="423"/>
      <c r="AM54" s="423"/>
      <c r="AN54" s="424"/>
      <c r="AO54" s="382" t="s">
        <v>1107</v>
      </c>
      <c r="AP54" s="383"/>
      <c r="AQ54" s="383"/>
      <c r="AR54" s="383"/>
      <c r="AS54" s="383"/>
      <c r="AT54" s="383"/>
      <c r="AU54" s="383"/>
      <c r="AV54" s="383"/>
      <c r="AW54" s="383"/>
      <c r="AX54" s="383"/>
      <c r="AY54" s="383"/>
      <c r="AZ54" s="383"/>
      <c r="BA54" s="383"/>
      <c r="BB54" s="383"/>
      <c r="BC54" s="383"/>
      <c r="BD54" s="383"/>
      <c r="BE54" s="383"/>
      <c r="BF54" s="383"/>
      <c r="BG54" s="383"/>
      <c r="BH54" s="383"/>
      <c r="BI54" s="383"/>
      <c r="BJ54" s="383"/>
      <c r="BK54" s="383"/>
      <c r="BL54" s="383"/>
      <c r="BM54" s="383"/>
      <c r="BN54" s="383"/>
      <c r="BO54" s="383"/>
      <c r="BP54" s="383"/>
      <c r="BQ54" s="383"/>
      <c r="BR54" s="384"/>
    </row>
    <row r="55" spans="1:70" ht="8.1" customHeight="1">
      <c r="A55" s="51">
        <v>6</v>
      </c>
      <c r="B55" s="402" t="s">
        <v>1108</v>
      </c>
      <c r="C55" s="402"/>
      <c r="D55" s="44"/>
      <c r="E55" s="44"/>
      <c r="F55" s="44"/>
      <c r="G55" s="44"/>
      <c r="H55" s="44"/>
      <c r="I55" s="44"/>
      <c r="J55" s="44"/>
      <c r="K55" s="44"/>
      <c r="L55" s="44"/>
      <c r="M55" s="44"/>
      <c r="N55" s="44"/>
      <c r="O55" s="44"/>
      <c r="P55" s="44"/>
      <c r="Q55" s="44"/>
      <c r="R55" s="44"/>
      <c r="S55" s="45"/>
      <c r="T55" s="422"/>
      <c r="U55" s="423"/>
      <c r="V55" s="423"/>
      <c r="W55" s="423"/>
      <c r="X55" s="423"/>
      <c r="Y55" s="423"/>
      <c r="Z55" s="423"/>
      <c r="AA55" s="423"/>
      <c r="AB55" s="423"/>
      <c r="AC55" s="423"/>
      <c r="AD55" s="423"/>
      <c r="AE55" s="423"/>
      <c r="AF55" s="423"/>
      <c r="AG55" s="423"/>
      <c r="AH55" s="423"/>
      <c r="AI55" s="423"/>
      <c r="AJ55" s="423"/>
      <c r="AK55" s="423"/>
      <c r="AL55" s="423"/>
      <c r="AM55" s="423"/>
      <c r="AN55" s="424"/>
      <c r="AO55" s="385"/>
      <c r="AP55" s="386"/>
      <c r="AQ55" s="386"/>
      <c r="AR55" s="386"/>
      <c r="AS55" s="386"/>
      <c r="AT55" s="386"/>
      <c r="AU55" s="386"/>
      <c r="AV55" s="386"/>
      <c r="AW55" s="386"/>
      <c r="AX55" s="386"/>
      <c r="AY55" s="386"/>
      <c r="AZ55" s="386"/>
      <c r="BA55" s="386"/>
      <c r="BB55" s="386"/>
      <c r="BC55" s="386"/>
      <c r="BD55" s="386"/>
      <c r="BE55" s="386"/>
      <c r="BF55" s="386"/>
      <c r="BG55" s="386"/>
      <c r="BH55" s="386"/>
      <c r="BI55" s="386"/>
      <c r="BJ55" s="386"/>
      <c r="BK55" s="386"/>
      <c r="BL55" s="386"/>
      <c r="BM55" s="386"/>
      <c r="BN55" s="386"/>
      <c r="BO55" s="386"/>
      <c r="BP55" s="386"/>
      <c r="BQ55" s="386"/>
      <c r="BR55" s="387"/>
    </row>
    <row r="56" spans="1:70" ht="13.5" customHeight="1">
      <c r="A56" s="49">
        <v>7</v>
      </c>
      <c r="B56" s="420" t="s">
        <v>1109</v>
      </c>
      <c r="C56" s="420"/>
      <c r="D56" s="47"/>
      <c r="E56" s="47"/>
      <c r="F56" s="47"/>
      <c r="G56" s="47"/>
      <c r="H56" s="47"/>
      <c r="I56" s="47"/>
      <c r="J56" s="47"/>
      <c r="K56" s="47"/>
      <c r="L56" s="47"/>
      <c r="M56" s="47"/>
      <c r="N56" s="47"/>
      <c r="O56" s="47"/>
      <c r="P56" s="47"/>
      <c r="Q56" s="47"/>
      <c r="R56" s="47"/>
      <c r="S56" s="48"/>
      <c r="T56" s="392"/>
      <c r="U56" s="425"/>
      <c r="V56" s="425"/>
      <c r="W56" s="425"/>
      <c r="X56" s="425"/>
      <c r="Y56" s="425"/>
      <c r="Z56" s="425"/>
      <c r="AA56" s="425"/>
      <c r="AB56" s="425"/>
      <c r="AC56" s="425"/>
      <c r="AD56" s="425"/>
      <c r="AE56" s="425"/>
      <c r="AF56" s="425"/>
      <c r="AG56" s="425"/>
      <c r="AH56" s="425"/>
      <c r="AI56" s="425"/>
      <c r="AJ56" s="425"/>
      <c r="AK56" s="425"/>
      <c r="AL56" s="425"/>
      <c r="AM56" s="425"/>
      <c r="AN56" s="393"/>
      <c r="AO56" s="403" t="s">
        <v>1110</v>
      </c>
      <c r="AP56" s="404"/>
      <c r="AQ56" s="404"/>
      <c r="AR56" s="404"/>
      <c r="AS56" s="404"/>
      <c r="AT56" s="404"/>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5"/>
    </row>
    <row r="57" spans="1:70" ht="8.1" customHeight="1">
      <c r="A57" s="51">
        <v>8</v>
      </c>
      <c r="B57" s="402" t="s">
        <v>1111</v>
      </c>
      <c r="C57" s="402"/>
      <c r="D57" s="402"/>
      <c r="E57" s="44"/>
      <c r="F57" s="44"/>
      <c r="G57" s="44"/>
      <c r="H57" s="44"/>
      <c r="I57" s="44"/>
      <c r="J57" s="44"/>
      <c r="K57" s="44"/>
      <c r="L57" s="44"/>
      <c r="M57" s="44"/>
      <c r="N57" s="44"/>
      <c r="O57" s="44"/>
      <c r="P57" s="44"/>
      <c r="Q57" s="44"/>
      <c r="R57" s="44"/>
      <c r="S57" s="45"/>
      <c r="T57" s="403" t="s">
        <v>1112</v>
      </c>
      <c r="U57" s="404"/>
      <c r="V57" s="404"/>
      <c r="W57" s="404"/>
      <c r="X57" s="404"/>
      <c r="Y57" s="404"/>
      <c r="Z57" s="404"/>
      <c r="AA57" s="404"/>
      <c r="AB57" s="404"/>
      <c r="AC57" s="404"/>
      <c r="AD57" s="404"/>
      <c r="AE57" s="404"/>
      <c r="AF57" s="404"/>
      <c r="AG57" s="404"/>
      <c r="AH57" s="404"/>
      <c r="AI57" s="404"/>
      <c r="AJ57" s="404"/>
      <c r="AK57" s="404"/>
      <c r="AL57" s="404"/>
      <c r="AM57" s="404"/>
      <c r="AN57" s="405"/>
      <c r="AO57" s="406" t="s">
        <v>1113</v>
      </c>
      <c r="AP57" s="407"/>
      <c r="AQ57" s="407"/>
      <c r="AR57" s="407"/>
      <c r="AS57" s="407"/>
      <c r="AT57" s="407"/>
      <c r="AU57" s="407"/>
      <c r="AV57" s="407"/>
      <c r="AW57" s="407"/>
      <c r="AX57" s="407"/>
      <c r="AY57" s="407"/>
      <c r="AZ57" s="407"/>
      <c r="BA57" s="407"/>
      <c r="BB57" s="407"/>
      <c r="BC57" s="407"/>
      <c r="BD57" s="407"/>
      <c r="BE57" s="407"/>
      <c r="BF57" s="407"/>
      <c r="BG57" s="407"/>
      <c r="BH57" s="407"/>
      <c r="BI57" s="407"/>
      <c r="BJ57" s="407"/>
      <c r="BK57" s="407"/>
      <c r="BL57" s="407"/>
      <c r="BM57" s="407"/>
      <c r="BN57" s="407"/>
      <c r="BO57" s="407"/>
      <c r="BP57" s="407"/>
      <c r="BQ57" s="407"/>
      <c r="BR57" s="408"/>
    </row>
    <row r="58" spans="1:70" ht="7.65" customHeight="1">
      <c r="A58" s="53">
        <v>9</v>
      </c>
      <c r="B58" s="402" t="s">
        <v>1114</v>
      </c>
      <c r="C58" s="402"/>
      <c r="D58" s="402"/>
      <c r="E58" s="402"/>
      <c r="F58" s="402"/>
      <c r="G58" s="402"/>
      <c r="H58" s="44"/>
      <c r="I58" s="44"/>
      <c r="J58" s="44"/>
      <c r="K58" s="44"/>
      <c r="L58" s="44"/>
      <c r="M58" s="44"/>
      <c r="N58" s="44"/>
      <c r="O58" s="44"/>
      <c r="P58" s="44"/>
      <c r="Q58" s="44"/>
      <c r="R58" s="44"/>
      <c r="S58" s="45"/>
      <c r="T58" s="403" t="s">
        <v>1115</v>
      </c>
      <c r="U58" s="404"/>
      <c r="V58" s="404"/>
      <c r="W58" s="404"/>
      <c r="X58" s="404"/>
      <c r="Y58" s="404"/>
      <c r="Z58" s="404"/>
      <c r="AA58" s="404"/>
      <c r="AB58" s="404"/>
      <c r="AC58" s="404"/>
      <c r="AD58" s="404"/>
      <c r="AE58" s="404"/>
      <c r="AF58" s="404"/>
      <c r="AG58" s="404"/>
      <c r="AH58" s="404"/>
      <c r="AI58" s="404"/>
      <c r="AJ58" s="404"/>
      <c r="AK58" s="404"/>
      <c r="AL58" s="404"/>
      <c r="AM58" s="404"/>
      <c r="AN58" s="405"/>
      <c r="AO58" s="409"/>
      <c r="AP58" s="410"/>
      <c r="AQ58" s="410"/>
      <c r="AR58" s="410"/>
      <c r="AS58" s="410"/>
      <c r="AT58" s="410"/>
      <c r="AU58" s="410"/>
      <c r="AV58" s="410"/>
      <c r="AW58" s="410"/>
      <c r="AX58" s="410"/>
      <c r="AY58" s="410"/>
      <c r="AZ58" s="410"/>
      <c r="BA58" s="410"/>
      <c r="BB58" s="410"/>
      <c r="BC58" s="410"/>
      <c r="BD58" s="410"/>
      <c r="BE58" s="410"/>
      <c r="BF58" s="410"/>
      <c r="BG58" s="410"/>
      <c r="BH58" s="410"/>
      <c r="BI58" s="410"/>
      <c r="BJ58" s="410"/>
      <c r="BK58" s="410"/>
      <c r="BL58" s="410"/>
      <c r="BM58" s="410"/>
      <c r="BN58" s="410"/>
      <c r="BO58" s="410"/>
      <c r="BP58" s="410"/>
      <c r="BQ58" s="410"/>
      <c r="BR58" s="411"/>
    </row>
    <row r="59" spans="1:70" ht="7.65" customHeight="1">
      <c r="A59" s="51">
        <v>10</v>
      </c>
      <c r="B59" s="52" t="s">
        <v>1116</v>
      </c>
      <c r="C59" s="44"/>
      <c r="D59" s="44"/>
      <c r="E59" s="44"/>
      <c r="F59" s="44"/>
      <c r="G59" s="44"/>
      <c r="H59" s="44"/>
      <c r="I59" s="44"/>
      <c r="J59" s="44"/>
      <c r="K59" s="44"/>
      <c r="L59" s="44"/>
      <c r="M59" s="44"/>
      <c r="N59" s="44"/>
      <c r="O59" s="44"/>
      <c r="P59" s="44"/>
      <c r="Q59" s="44"/>
      <c r="R59" s="44"/>
      <c r="S59" s="45"/>
      <c r="T59" s="415"/>
      <c r="U59" s="416"/>
      <c r="V59" s="416"/>
      <c r="W59" s="416"/>
      <c r="X59" s="416"/>
      <c r="Y59" s="416"/>
      <c r="Z59" s="416"/>
      <c r="AA59" s="416"/>
      <c r="AB59" s="416"/>
      <c r="AC59" s="416"/>
      <c r="AD59" s="416"/>
      <c r="AE59" s="416"/>
      <c r="AF59" s="416"/>
      <c r="AG59" s="416"/>
      <c r="AH59" s="416"/>
      <c r="AI59" s="416"/>
      <c r="AJ59" s="416"/>
      <c r="AK59" s="416"/>
      <c r="AL59" s="416"/>
      <c r="AM59" s="416"/>
      <c r="AN59" s="417"/>
      <c r="AO59" s="409"/>
      <c r="AP59" s="410"/>
      <c r="AQ59" s="410"/>
      <c r="AR59" s="410"/>
      <c r="AS59" s="410"/>
      <c r="AT59" s="410"/>
      <c r="AU59" s="410"/>
      <c r="AV59" s="410"/>
      <c r="AW59" s="410"/>
      <c r="AX59" s="410"/>
      <c r="AY59" s="410"/>
      <c r="AZ59" s="410"/>
      <c r="BA59" s="410"/>
      <c r="BB59" s="410"/>
      <c r="BC59" s="410"/>
      <c r="BD59" s="410"/>
      <c r="BE59" s="410"/>
      <c r="BF59" s="410"/>
      <c r="BG59" s="410"/>
      <c r="BH59" s="410"/>
      <c r="BI59" s="410"/>
      <c r="BJ59" s="410"/>
      <c r="BK59" s="410"/>
      <c r="BL59" s="410"/>
      <c r="BM59" s="410"/>
      <c r="BN59" s="410"/>
      <c r="BO59" s="410"/>
      <c r="BP59" s="410"/>
      <c r="BQ59" s="410"/>
      <c r="BR59" s="411"/>
    </row>
    <row r="60" spans="1:70" ht="8.85" customHeight="1">
      <c r="A60" s="54">
        <v>11</v>
      </c>
      <c r="B60" s="418" t="s">
        <v>1117</v>
      </c>
      <c r="C60" s="418"/>
      <c r="D60" s="55"/>
      <c r="E60" s="55"/>
      <c r="F60" s="55"/>
      <c r="G60" s="55"/>
      <c r="H60" s="55"/>
      <c r="I60" s="55"/>
      <c r="J60" s="55"/>
      <c r="K60" s="55"/>
      <c r="L60" s="55"/>
      <c r="M60" s="55"/>
      <c r="N60" s="55"/>
      <c r="O60" s="55"/>
      <c r="P60" s="55"/>
      <c r="Q60" s="55"/>
      <c r="R60" s="55"/>
      <c r="S60" s="56"/>
      <c r="T60" s="403" t="s">
        <v>1118</v>
      </c>
      <c r="U60" s="404"/>
      <c r="V60" s="404"/>
      <c r="W60" s="404"/>
      <c r="X60" s="404"/>
      <c r="Y60" s="404"/>
      <c r="Z60" s="404"/>
      <c r="AA60" s="404"/>
      <c r="AB60" s="404"/>
      <c r="AC60" s="404"/>
      <c r="AD60" s="404"/>
      <c r="AE60" s="404"/>
      <c r="AF60" s="404"/>
      <c r="AG60" s="404"/>
      <c r="AH60" s="404"/>
      <c r="AI60" s="404"/>
      <c r="AJ60" s="404"/>
      <c r="AK60" s="404"/>
      <c r="AL60" s="404"/>
      <c r="AM60" s="404"/>
      <c r="AN60" s="405"/>
      <c r="AO60" s="412"/>
      <c r="AP60" s="413"/>
      <c r="AQ60" s="413"/>
      <c r="AR60" s="413"/>
      <c r="AS60" s="413"/>
      <c r="AT60" s="413"/>
      <c r="AU60" s="413"/>
      <c r="AV60" s="413"/>
      <c r="AW60" s="413"/>
      <c r="AX60" s="413"/>
      <c r="AY60" s="413"/>
      <c r="AZ60" s="413"/>
      <c r="BA60" s="413"/>
      <c r="BB60" s="413"/>
      <c r="BC60" s="413"/>
      <c r="BD60" s="413"/>
      <c r="BE60" s="413"/>
      <c r="BF60" s="413"/>
      <c r="BG60" s="413"/>
      <c r="BH60" s="413"/>
      <c r="BI60" s="413"/>
      <c r="BJ60" s="413"/>
      <c r="BK60" s="413"/>
      <c r="BL60" s="413"/>
      <c r="BM60" s="413"/>
      <c r="BN60" s="413"/>
      <c r="BO60" s="413"/>
      <c r="BP60" s="413"/>
      <c r="BQ60" s="413"/>
      <c r="BR60" s="414"/>
    </row>
    <row r="61" spans="1:70" ht="12.15" customHeight="1">
      <c r="A61" s="382" t="s">
        <v>1119</v>
      </c>
      <c r="B61" s="383"/>
      <c r="C61" s="383"/>
      <c r="D61" s="383"/>
      <c r="E61" s="383"/>
      <c r="F61" s="383"/>
      <c r="G61" s="383"/>
      <c r="H61" s="383"/>
      <c r="I61" s="383"/>
      <c r="J61" s="383"/>
      <c r="K61" s="383"/>
      <c r="L61" s="383"/>
      <c r="M61" s="383"/>
      <c r="N61" s="383"/>
      <c r="O61" s="383"/>
      <c r="P61" s="383"/>
      <c r="Q61" s="383"/>
      <c r="R61" s="383"/>
      <c r="S61" s="384"/>
      <c r="T61" s="390"/>
      <c r="U61" s="391"/>
      <c r="V61" s="382" t="s">
        <v>1120</v>
      </c>
      <c r="W61" s="383"/>
      <c r="X61" s="383"/>
      <c r="Y61" s="384"/>
      <c r="Z61" s="382" t="s">
        <v>1121</v>
      </c>
      <c r="AA61" s="383"/>
      <c r="AB61" s="383"/>
      <c r="AC61" s="383"/>
      <c r="AD61" s="383"/>
      <c r="AE61" s="383"/>
      <c r="AF61" s="383"/>
      <c r="AG61" s="383"/>
      <c r="AH61" s="384"/>
      <c r="AI61" s="394" t="s">
        <v>1122</v>
      </c>
      <c r="AJ61" s="395"/>
      <c r="AK61" s="40"/>
      <c r="AL61" s="57">
        <v>2</v>
      </c>
      <c r="AM61" s="41"/>
      <c r="AN61" s="42"/>
      <c r="AO61" s="396" t="s">
        <v>1123</v>
      </c>
      <c r="AP61" s="397"/>
      <c r="AQ61" s="397"/>
      <c r="AR61" s="398"/>
      <c r="AS61" s="382" t="s">
        <v>1124</v>
      </c>
      <c r="AT61" s="383"/>
      <c r="AU61" s="383"/>
      <c r="AV61" s="383"/>
      <c r="AW61" s="383"/>
      <c r="AX61" s="383"/>
      <c r="AY61" s="383"/>
      <c r="AZ61" s="383"/>
      <c r="BA61" s="383"/>
      <c r="BB61" s="383"/>
      <c r="BC61" s="383"/>
      <c r="BD61" s="383"/>
      <c r="BE61" s="383"/>
      <c r="BF61" s="383"/>
      <c r="BG61" s="383"/>
      <c r="BH61" s="383"/>
      <c r="BI61" s="383"/>
      <c r="BJ61" s="383"/>
      <c r="BK61" s="383"/>
      <c r="BL61" s="383"/>
      <c r="BM61" s="384"/>
      <c r="BN61" s="40"/>
      <c r="BO61" s="41"/>
      <c r="BP61" s="50" t="s">
        <v>1095</v>
      </c>
      <c r="BQ61" s="41"/>
      <c r="BR61" s="42"/>
    </row>
    <row r="62" spans="1:70" ht="12.15" customHeight="1">
      <c r="A62" s="385"/>
      <c r="B62" s="386"/>
      <c r="C62" s="386"/>
      <c r="D62" s="386"/>
      <c r="E62" s="386"/>
      <c r="F62" s="386"/>
      <c r="G62" s="386"/>
      <c r="H62" s="386"/>
      <c r="I62" s="386"/>
      <c r="J62" s="386"/>
      <c r="K62" s="386"/>
      <c r="L62" s="386"/>
      <c r="M62" s="386"/>
      <c r="N62" s="386"/>
      <c r="O62" s="386"/>
      <c r="P62" s="386"/>
      <c r="Q62" s="386"/>
      <c r="R62" s="386"/>
      <c r="S62" s="387"/>
      <c r="T62" s="392"/>
      <c r="U62" s="393"/>
      <c r="V62" s="385"/>
      <c r="W62" s="386"/>
      <c r="X62" s="386"/>
      <c r="Y62" s="387"/>
      <c r="Z62" s="385"/>
      <c r="AA62" s="386"/>
      <c r="AB62" s="386"/>
      <c r="AC62" s="386"/>
      <c r="AD62" s="386"/>
      <c r="AE62" s="386"/>
      <c r="AF62" s="386"/>
      <c r="AG62" s="386"/>
      <c r="AH62" s="387"/>
      <c r="AI62" s="388" t="s">
        <v>1125</v>
      </c>
      <c r="AJ62" s="389"/>
      <c r="AK62" s="58"/>
      <c r="AL62" s="59">
        <v>5</v>
      </c>
      <c r="AM62" s="60"/>
      <c r="AN62" s="61"/>
      <c r="AO62" s="399"/>
      <c r="AP62" s="400"/>
      <c r="AQ62" s="400"/>
      <c r="AR62" s="401"/>
      <c r="AS62" s="385"/>
      <c r="AT62" s="386"/>
      <c r="AU62" s="386"/>
      <c r="AV62" s="386"/>
      <c r="AW62" s="386"/>
      <c r="AX62" s="386"/>
      <c r="AY62" s="386"/>
      <c r="AZ62" s="386"/>
      <c r="BA62" s="386"/>
      <c r="BB62" s="386"/>
      <c r="BC62" s="386"/>
      <c r="BD62" s="386"/>
      <c r="BE62" s="386"/>
      <c r="BF62" s="386"/>
      <c r="BG62" s="386"/>
      <c r="BH62" s="386"/>
      <c r="BI62" s="386"/>
      <c r="BJ62" s="386"/>
      <c r="BK62" s="386"/>
      <c r="BL62" s="386"/>
      <c r="BM62" s="387"/>
      <c r="BN62" s="58"/>
      <c r="BO62" s="60"/>
      <c r="BP62" s="62">
        <v>5</v>
      </c>
      <c r="BQ62" s="60"/>
      <c r="BR62" s="61"/>
    </row>
  </sheetData>
  <mergeCells count="208">
    <mergeCell ref="O4:O5"/>
    <mergeCell ref="P4:P5"/>
    <mergeCell ref="Q4:Q5"/>
    <mergeCell ref="R4:R5"/>
    <mergeCell ref="S4:S5"/>
    <mergeCell ref="T4:T5"/>
    <mergeCell ref="Z1:AA1"/>
    <mergeCell ref="AB1:AC1"/>
    <mergeCell ref="A4:F4"/>
    <mergeCell ref="H4:H5"/>
    <mergeCell ref="I4:I5"/>
    <mergeCell ref="J4:J5"/>
    <mergeCell ref="K4:K5"/>
    <mergeCell ref="L4:L5"/>
    <mergeCell ref="M4:M5"/>
    <mergeCell ref="N4:N5"/>
    <mergeCell ref="A1:E3"/>
    <mergeCell ref="F1:F3"/>
    <mergeCell ref="J1:K1"/>
    <mergeCell ref="N1:O1"/>
    <mergeCell ref="R1:S1"/>
    <mergeCell ref="V1:W1"/>
    <mergeCell ref="AA4:AA5"/>
    <mergeCell ref="AB4:AB5"/>
    <mergeCell ref="AC4:AC5"/>
    <mergeCell ref="AD4:AD5"/>
    <mergeCell ref="AE4:AE5"/>
    <mergeCell ref="AF4:AF5"/>
    <mergeCell ref="U4:U5"/>
    <mergeCell ref="V4:V5"/>
    <mergeCell ref="W4:W5"/>
    <mergeCell ref="X4:X5"/>
    <mergeCell ref="Y4:Y5"/>
    <mergeCell ref="Z4:Z5"/>
    <mergeCell ref="AM4:AM5"/>
    <mergeCell ref="AN4:AN5"/>
    <mergeCell ref="AO4:AO5"/>
    <mergeCell ref="AP4:AP5"/>
    <mergeCell ref="AQ4:AQ5"/>
    <mergeCell ref="AR4:AR5"/>
    <mergeCell ref="AG4:AG5"/>
    <mergeCell ref="AH4:AH5"/>
    <mergeCell ref="AI4:AI5"/>
    <mergeCell ref="AJ4:AJ5"/>
    <mergeCell ref="AK4:AK5"/>
    <mergeCell ref="AL4:AL5"/>
    <mergeCell ref="BJ4:BJ5"/>
    <mergeCell ref="AY4:AY5"/>
    <mergeCell ref="AZ4:AZ5"/>
    <mergeCell ref="BA4:BA5"/>
    <mergeCell ref="BB4:BB5"/>
    <mergeCell ref="BC4:BC5"/>
    <mergeCell ref="BD4:BD5"/>
    <mergeCell ref="AS4:AS5"/>
    <mergeCell ref="AT4:AT5"/>
    <mergeCell ref="AU4:AU5"/>
    <mergeCell ref="AV4:AV5"/>
    <mergeCell ref="AW4:AW5"/>
    <mergeCell ref="AX4:AX5"/>
    <mergeCell ref="F8:G8"/>
    <mergeCell ref="F9:G9"/>
    <mergeCell ref="B10:D10"/>
    <mergeCell ref="F10:G10"/>
    <mergeCell ref="F11:G11"/>
    <mergeCell ref="F12:G12"/>
    <mergeCell ref="BQ4:BQ5"/>
    <mergeCell ref="BR4:BR5"/>
    <mergeCell ref="F5:G5"/>
    <mergeCell ref="B6:D6"/>
    <mergeCell ref="F6:G6"/>
    <mergeCell ref="B7:D7"/>
    <mergeCell ref="F7:G7"/>
    <mergeCell ref="BK4:BK5"/>
    <mergeCell ref="BL4:BL5"/>
    <mergeCell ref="BM4:BM5"/>
    <mergeCell ref="BN4:BN5"/>
    <mergeCell ref="BO4:BO5"/>
    <mergeCell ref="BP4:BP5"/>
    <mergeCell ref="BE4:BE5"/>
    <mergeCell ref="BF4:BF5"/>
    <mergeCell ref="BG4:BG5"/>
    <mergeCell ref="BH4:BH5"/>
    <mergeCell ref="BI4:BI5"/>
    <mergeCell ref="F19:G19"/>
    <mergeCell ref="F20:G20"/>
    <mergeCell ref="F21:G21"/>
    <mergeCell ref="F22:G22"/>
    <mergeCell ref="F23:G23"/>
    <mergeCell ref="B24:E24"/>
    <mergeCell ref="F24:G24"/>
    <mergeCell ref="F13:G13"/>
    <mergeCell ref="F14:G14"/>
    <mergeCell ref="F15:G15"/>
    <mergeCell ref="F16:G16"/>
    <mergeCell ref="F17:G17"/>
    <mergeCell ref="F18:G18"/>
    <mergeCell ref="F30:G30"/>
    <mergeCell ref="F31:G31"/>
    <mergeCell ref="F32:G32"/>
    <mergeCell ref="F33:G33"/>
    <mergeCell ref="F34:G34"/>
    <mergeCell ref="F35:G35"/>
    <mergeCell ref="B25:E25"/>
    <mergeCell ref="F25:G25"/>
    <mergeCell ref="F26:G26"/>
    <mergeCell ref="F27:G27"/>
    <mergeCell ref="F28:G28"/>
    <mergeCell ref="F29:G29"/>
    <mergeCell ref="F42:G42"/>
    <mergeCell ref="F43:G43"/>
    <mergeCell ref="F44:G44"/>
    <mergeCell ref="F45:G45"/>
    <mergeCell ref="T46:U46"/>
    <mergeCell ref="V46:X46"/>
    <mergeCell ref="F36:G36"/>
    <mergeCell ref="F37:G37"/>
    <mergeCell ref="F38:G38"/>
    <mergeCell ref="F39:G39"/>
    <mergeCell ref="F40:G40"/>
    <mergeCell ref="F41:G41"/>
    <mergeCell ref="BN46:BR46"/>
    <mergeCell ref="T47:U47"/>
    <mergeCell ref="V47:X47"/>
    <mergeCell ref="Y47:AN47"/>
    <mergeCell ref="AO47:AS47"/>
    <mergeCell ref="AT47:AX47"/>
    <mergeCell ref="AY47:BC47"/>
    <mergeCell ref="BD47:BH47"/>
    <mergeCell ref="BI47:BM47"/>
    <mergeCell ref="BN47:BR47"/>
    <mergeCell ref="Y46:AN46"/>
    <mergeCell ref="AO46:AS46"/>
    <mergeCell ref="AT46:AX46"/>
    <mergeCell ref="AY46:BC46"/>
    <mergeCell ref="BD46:BH46"/>
    <mergeCell ref="BI46:BM46"/>
    <mergeCell ref="BD48:BH48"/>
    <mergeCell ref="BI48:BM48"/>
    <mergeCell ref="BN48:BR48"/>
    <mergeCell ref="T49:U49"/>
    <mergeCell ref="V49:X49"/>
    <mergeCell ref="Y49:AN49"/>
    <mergeCell ref="AO49:AS49"/>
    <mergeCell ref="AT49:AX49"/>
    <mergeCell ref="AY49:BC49"/>
    <mergeCell ref="BD49:BH49"/>
    <mergeCell ref="T48:U48"/>
    <mergeCell ref="V48:X48"/>
    <mergeCell ref="Y48:AN48"/>
    <mergeCell ref="AO48:AS48"/>
    <mergeCell ref="AT48:AX48"/>
    <mergeCell ref="AY48:BC48"/>
    <mergeCell ref="BI49:BM49"/>
    <mergeCell ref="BN49:BR49"/>
    <mergeCell ref="BN50:BR50"/>
    <mergeCell ref="B51:O51"/>
    <mergeCell ref="T51:U51"/>
    <mergeCell ref="V51:X51"/>
    <mergeCell ref="Y51:AN51"/>
    <mergeCell ref="AO51:AS51"/>
    <mergeCell ref="AT51:AX51"/>
    <mergeCell ref="AY51:BC51"/>
    <mergeCell ref="BD51:BH51"/>
    <mergeCell ref="BI51:BM51"/>
    <mergeCell ref="BN51:BR51"/>
    <mergeCell ref="B50:C50"/>
    <mergeCell ref="T50:U50"/>
    <mergeCell ref="V50:X50"/>
    <mergeCell ref="Y50:AN50"/>
    <mergeCell ref="AO50:AS50"/>
    <mergeCell ref="AT50:AX50"/>
    <mergeCell ref="AY50:BC50"/>
    <mergeCell ref="BD50:BH50"/>
    <mergeCell ref="BI50:BM50"/>
    <mergeCell ref="BN52:BR52"/>
    <mergeCell ref="B53:C53"/>
    <mergeCell ref="T53:AN56"/>
    <mergeCell ref="AO53:BR53"/>
    <mergeCell ref="B54:C54"/>
    <mergeCell ref="AO54:BR55"/>
    <mergeCell ref="B55:C55"/>
    <mergeCell ref="B56:C56"/>
    <mergeCell ref="AO56:BR56"/>
    <mergeCell ref="B52:C52"/>
    <mergeCell ref="T52:U52"/>
    <mergeCell ref="V52:X52"/>
    <mergeCell ref="Y52:AN52"/>
    <mergeCell ref="AO52:AS52"/>
    <mergeCell ref="AT52:AX52"/>
    <mergeCell ref="AY52:BC52"/>
    <mergeCell ref="BD52:BH52"/>
    <mergeCell ref="BI52:BM52"/>
    <mergeCell ref="AS61:BM62"/>
    <mergeCell ref="AI62:AJ62"/>
    <mergeCell ref="A61:S62"/>
    <mergeCell ref="T61:U62"/>
    <mergeCell ref="V61:Y62"/>
    <mergeCell ref="Z61:AH62"/>
    <mergeCell ref="AI61:AJ61"/>
    <mergeCell ref="AO61:AR62"/>
    <mergeCell ref="B57:D57"/>
    <mergeCell ref="T57:AN57"/>
    <mergeCell ref="AO57:BR60"/>
    <mergeCell ref="B58:G58"/>
    <mergeCell ref="T58:AN58"/>
    <mergeCell ref="T59:AN59"/>
    <mergeCell ref="B60:C60"/>
    <mergeCell ref="T60:AN60"/>
  </mergeCells>
  <hyperlinks>
    <hyperlink ref="T58" r:id="rId1" display="http://www.2hoffshore.com/" xr:uid="{00000000-0004-0000-0A00-000000000000}"/>
  </hyperlinks>
  <pageMargins left="0.7" right="0.7" top="0.75" bottom="0.75" header="0.3" footer="0.3"/>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BB63"/>
  <sheetViews>
    <sheetView topLeftCell="A13" zoomScale="175" zoomScaleNormal="175" workbookViewId="0">
      <selection activeCell="D25" sqref="D25"/>
    </sheetView>
  </sheetViews>
  <sheetFormatPr defaultColWidth="9.109375" defaultRowHeight="13.2"/>
  <cols>
    <col min="1" max="1" width="2.88671875" style="20" customWidth="1"/>
    <col min="2" max="2" width="13" style="20" customWidth="1"/>
    <col min="3" max="3" width="22.88671875" style="20" customWidth="1"/>
    <col min="4" max="4" width="9.88671875" style="20" customWidth="1"/>
    <col min="5" max="5" width="6.109375" style="20" customWidth="1"/>
    <col min="6" max="6" width="3.6640625" style="20" customWidth="1"/>
    <col min="7" max="7" width="4" style="20" customWidth="1"/>
    <col min="8" max="8" width="2.109375" style="20" customWidth="1"/>
    <col min="9" max="9" width="2.77734375" style="20" customWidth="1"/>
    <col min="10" max="11" width="2.109375" style="20" customWidth="1"/>
    <col min="12" max="12" width="4.21875" style="20" customWidth="1"/>
    <col min="13" max="13" width="3.33203125" style="20" customWidth="1"/>
    <col min="14" max="14" width="1.88671875" style="20" customWidth="1"/>
    <col min="15" max="15" width="2.109375" style="20" customWidth="1"/>
    <col min="16" max="16" width="3" style="20" customWidth="1"/>
    <col min="17" max="17" width="2.88671875" style="20" customWidth="1"/>
    <col min="18" max="18" width="2.33203125" style="20" customWidth="1"/>
    <col min="19" max="19" width="2.109375" style="20" customWidth="1"/>
    <col min="20" max="20" width="2.88671875" style="20" customWidth="1"/>
    <col min="21" max="21" width="3" style="20" customWidth="1"/>
    <col min="22" max="22" width="2.109375" style="20" customWidth="1"/>
    <col min="23" max="23" width="1.88671875" style="20" customWidth="1"/>
    <col min="24" max="24" width="3" style="20" customWidth="1"/>
    <col min="25" max="25" width="3.21875" style="20" customWidth="1"/>
    <col min="26" max="26" width="2.21875" style="20" customWidth="1"/>
    <col min="27" max="27" width="3" style="20" customWidth="1"/>
    <col min="28" max="30" width="3.21875" style="20" customWidth="1"/>
    <col min="31" max="31" width="3.33203125" style="20" customWidth="1"/>
    <col min="32" max="40" width="3.21875" style="20" customWidth="1"/>
    <col min="41" max="41" width="10" style="20" customWidth="1"/>
    <col min="42" max="42" width="2.88671875" style="20" customWidth="1"/>
    <col min="43" max="43" width="3" style="20" customWidth="1"/>
    <col min="44" max="44" width="2.88671875" style="20" customWidth="1"/>
    <col min="45" max="46" width="3" style="20" customWidth="1"/>
    <col min="47" max="47" width="2.88671875" style="20" customWidth="1"/>
    <col min="48" max="48" width="3" style="20" customWidth="1"/>
    <col min="49" max="49" width="2.88671875" style="20" customWidth="1"/>
    <col min="50" max="51" width="3" style="20" customWidth="1"/>
    <col min="52" max="52" width="2.88671875" style="20" customWidth="1"/>
    <col min="53" max="53" width="3" style="20" customWidth="1"/>
    <col min="54" max="54" width="2.88671875" style="20" customWidth="1"/>
    <col min="55" max="16384" width="9.109375" style="20"/>
  </cols>
  <sheetData>
    <row r="1" spans="1:54" ht="75.599999999999994" customHeight="1">
      <c r="A1" s="390"/>
      <c r="B1" s="421"/>
      <c r="C1" s="421"/>
      <c r="D1" s="421"/>
      <c r="E1" s="391"/>
      <c r="F1" s="530" t="s">
        <v>1175</v>
      </c>
      <c r="G1" s="66" t="s">
        <v>1176</v>
      </c>
      <c r="H1" s="67" t="s">
        <v>1177</v>
      </c>
      <c r="I1" s="67" t="s">
        <v>1178</v>
      </c>
      <c r="J1" s="523" t="s">
        <v>1179</v>
      </c>
      <c r="K1" s="524"/>
      <c r="L1" s="67" t="s">
        <v>1180</v>
      </c>
      <c r="M1" s="67" t="s">
        <v>1181</v>
      </c>
      <c r="N1" s="523" t="s">
        <v>1182</v>
      </c>
      <c r="O1" s="524"/>
      <c r="P1" s="67" t="s">
        <v>1183</v>
      </c>
      <c r="Q1" s="67" t="s">
        <v>1184</v>
      </c>
      <c r="R1" s="523" t="s">
        <v>1185</v>
      </c>
      <c r="S1" s="524"/>
      <c r="T1" s="67" t="s">
        <v>1186</v>
      </c>
      <c r="U1" s="67" t="s">
        <v>1187</v>
      </c>
      <c r="V1" s="523" t="s">
        <v>1188</v>
      </c>
      <c r="W1" s="524"/>
      <c r="X1" s="67" t="s">
        <v>1189</v>
      </c>
      <c r="Y1" s="67" t="s">
        <v>1190</v>
      </c>
      <c r="Z1" s="523" t="s">
        <v>1191</v>
      </c>
      <c r="AA1" s="524"/>
      <c r="AB1" s="67" t="s">
        <v>1192</v>
      </c>
      <c r="AC1" s="67" t="s">
        <v>1193</v>
      </c>
      <c r="AD1" s="67" t="s">
        <v>1194</v>
      </c>
      <c r="AE1" s="67" t="s">
        <v>1195</v>
      </c>
      <c r="AF1" s="67" t="s">
        <v>1196</v>
      </c>
      <c r="AG1" s="67" t="s">
        <v>1197</v>
      </c>
      <c r="AH1" s="67" t="s">
        <v>1198</v>
      </c>
      <c r="AI1" s="67" t="s">
        <v>1199</v>
      </c>
      <c r="AJ1" s="67" t="s">
        <v>1200</v>
      </c>
      <c r="AK1" s="67" t="s">
        <v>1201</v>
      </c>
      <c r="AL1" s="67" t="s">
        <v>1202</v>
      </c>
      <c r="AM1" s="67" t="s">
        <v>1203</v>
      </c>
      <c r="AN1" s="67" t="s">
        <v>1204</v>
      </c>
      <c r="AO1" s="213" t="s">
        <v>2916</v>
      </c>
      <c r="AP1" s="213" t="s">
        <v>2970</v>
      </c>
      <c r="AQ1" s="67" t="s">
        <v>1205</v>
      </c>
      <c r="AR1" s="67" t="s">
        <v>1206</v>
      </c>
      <c r="AS1" s="67" t="s">
        <v>1207</v>
      </c>
      <c r="AT1" s="67" t="s">
        <v>1208</v>
      </c>
      <c r="AU1" s="67" t="s">
        <v>1209</v>
      </c>
      <c r="AV1" s="67" t="s">
        <v>1210</v>
      </c>
      <c r="AW1" s="19"/>
      <c r="AX1" s="19"/>
      <c r="AY1" s="19"/>
      <c r="AZ1" s="19"/>
      <c r="BA1" s="19"/>
      <c r="BB1" s="19"/>
    </row>
    <row r="2" spans="1:54" ht="37.950000000000003" customHeight="1">
      <c r="A2" s="422"/>
      <c r="B2" s="423"/>
      <c r="C2" s="423"/>
      <c r="D2" s="423"/>
      <c r="E2" s="424"/>
      <c r="F2" s="531"/>
      <c r="G2" s="66" t="s">
        <v>1211</v>
      </c>
      <c r="H2" s="19"/>
      <c r="I2" s="19"/>
      <c r="J2" s="212" t="s">
        <v>1212</v>
      </c>
      <c r="K2" s="19"/>
      <c r="L2" s="246" t="s">
        <v>3095</v>
      </c>
      <c r="M2" s="203" t="s">
        <v>1214</v>
      </c>
      <c r="N2" s="212" t="s">
        <v>1215</v>
      </c>
      <c r="O2" s="19"/>
      <c r="P2" s="203" t="s">
        <v>1216</v>
      </c>
      <c r="Q2" s="203" t="s">
        <v>1217</v>
      </c>
      <c r="R2" s="212" t="s">
        <v>1218</v>
      </c>
      <c r="S2" s="19"/>
      <c r="T2" s="203" t="s">
        <v>1219</v>
      </c>
      <c r="U2" s="203" t="s">
        <v>1220</v>
      </c>
      <c r="V2" s="212" t="s">
        <v>1221</v>
      </c>
      <c r="W2" s="19"/>
      <c r="X2" s="203" t="s">
        <v>1222</v>
      </c>
      <c r="Y2" s="203" t="s">
        <v>1223</v>
      </c>
      <c r="Z2" s="197" t="s">
        <v>1224</v>
      </c>
      <c r="AA2" s="197" t="s">
        <v>1225</v>
      </c>
      <c r="AB2" s="212" t="s">
        <v>1226</v>
      </c>
      <c r="AC2" s="212" t="s">
        <v>1227</v>
      </c>
      <c r="AD2" s="212" t="s">
        <v>1228</v>
      </c>
      <c r="AE2" s="212" t="s">
        <v>1229</v>
      </c>
      <c r="AF2" s="212" t="s">
        <v>1230</v>
      </c>
      <c r="AG2" s="212" t="s">
        <v>1231</v>
      </c>
      <c r="AH2" s="212" t="s">
        <v>1232</v>
      </c>
      <c r="AI2" s="212" t="s">
        <v>1233</v>
      </c>
      <c r="AJ2" s="212" t="s">
        <v>1234</v>
      </c>
      <c r="AK2" s="212" t="s">
        <v>1235</v>
      </c>
      <c r="AL2" s="212" t="s">
        <v>1236</v>
      </c>
      <c r="AM2" s="212" t="s">
        <v>1237</v>
      </c>
      <c r="AN2" s="212" t="s">
        <v>1238</v>
      </c>
      <c r="AO2" s="215"/>
      <c r="AP2" s="215"/>
      <c r="AQ2" s="215"/>
      <c r="AR2" s="215"/>
      <c r="AS2" s="215"/>
      <c r="AT2" s="215"/>
      <c r="AU2" s="215"/>
      <c r="AV2" s="215"/>
      <c r="AW2" s="19"/>
      <c r="AX2" s="19"/>
      <c r="AY2" s="19"/>
      <c r="AZ2" s="19"/>
      <c r="BA2" s="19"/>
      <c r="BB2" s="19"/>
    </row>
    <row r="3" spans="1:54" ht="24.6" customHeight="1">
      <c r="A3" s="392"/>
      <c r="B3" s="425"/>
      <c r="C3" s="425"/>
      <c r="D3" s="425"/>
      <c r="E3" s="393"/>
      <c r="F3" s="531"/>
      <c r="G3" s="66" t="s">
        <v>1239</v>
      </c>
      <c r="H3" s="19"/>
      <c r="I3" s="19"/>
      <c r="J3" s="67" t="s">
        <v>1240</v>
      </c>
      <c r="K3" s="19"/>
      <c r="L3" s="67" t="s">
        <v>1240</v>
      </c>
      <c r="M3" s="67" t="s">
        <v>1240</v>
      </c>
      <c r="N3" s="67" t="s">
        <v>1240</v>
      </c>
      <c r="O3" s="19"/>
      <c r="P3" s="67" t="s">
        <v>1240</v>
      </c>
      <c r="Q3" s="67" t="s">
        <v>1240</v>
      </c>
      <c r="R3" s="67" t="s">
        <v>1240</v>
      </c>
      <c r="S3" s="19"/>
      <c r="T3" s="67" t="s">
        <v>1240</v>
      </c>
      <c r="U3" s="67" t="s">
        <v>1240</v>
      </c>
      <c r="V3" s="67" t="s">
        <v>1240</v>
      </c>
      <c r="W3" s="19"/>
      <c r="X3" s="67" t="s">
        <v>1240</v>
      </c>
      <c r="Y3" s="67" t="s">
        <v>1240</v>
      </c>
      <c r="Z3" s="67" t="s">
        <v>1240</v>
      </c>
      <c r="AA3" s="67" t="s">
        <v>1240</v>
      </c>
      <c r="AB3" s="67" t="s">
        <v>1241</v>
      </c>
      <c r="AC3" s="67" t="s">
        <v>1241</v>
      </c>
      <c r="AD3" s="67" t="s">
        <v>1241</v>
      </c>
      <c r="AE3" s="67" t="s">
        <v>1241</v>
      </c>
      <c r="AF3" s="67" t="s">
        <v>1241</v>
      </c>
      <c r="AG3" s="67" t="s">
        <v>1241</v>
      </c>
      <c r="AH3" s="67" t="s">
        <v>1241</v>
      </c>
      <c r="AI3" s="67" t="s">
        <v>1241</v>
      </c>
      <c r="AJ3" s="67" t="s">
        <v>1241</v>
      </c>
      <c r="AK3" s="67" t="s">
        <v>1241</v>
      </c>
      <c r="AL3" s="67" t="s">
        <v>1241</v>
      </c>
      <c r="AM3" s="67" t="s">
        <v>1241</v>
      </c>
      <c r="AN3" s="67" t="s">
        <v>1241</v>
      </c>
      <c r="AO3" s="67" t="s">
        <v>1240</v>
      </c>
      <c r="AP3" s="67" t="s">
        <v>1240</v>
      </c>
      <c r="AQ3" s="67" t="s">
        <v>1240</v>
      </c>
      <c r="AR3" s="67" t="s">
        <v>1240</v>
      </c>
      <c r="AS3" s="67" t="s">
        <v>1240</v>
      </c>
      <c r="AT3" s="67" t="s">
        <v>1240</v>
      </c>
      <c r="AU3" s="67" t="s">
        <v>1240</v>
      </c>
      <c r="AV3" s="67" t="s">
        <v>1240</v>
      </c>
      <c r="AW3" s="19"/>
      <c r="AX3" s="19"/>
      <c r="AY3" s="19"/>
      <c r="AZ3" s="19"/>
      <c r="BA3" s="19"/>
      <c r="BB3" s="19"/>
    </row>
    <row r="4" spans="1:54" ht="13.65" customHeight="1">
      <c r="A4" s="525" t="s">
        <v>1242</v>
      </c>
      <c r="B4" s="526"/>
      <c r="C4" s="526"/>
      <c r="D4" s="526"/>
      <c r="E4" s="526"/>
      <c r="F4" s="527"/>
      <c r="G4" s="68" t="s">
        <v>1243</v>
      </c>
      <c r="H4" s="521">
        <v>1</v>
      </c>
      <c r="I4" s="521">
        <v>2</v>
      </c>
      <c r="J4" s="519">
        <v>3</v>
      </c>
      <c r="K4" s="519">
        <v>4</v>
      </c>
      <c r="L4" s="521">
        <v>5</v>
      </c>
      <c r="M4" s="521">
        <v>6</v>
      </c>
      <c r="N4" s="519">
        <v>7</v>
      </c>
      <c r="O4" s="519">
        <v>8</v>
      </c>
      <c r="P4" s="521">
        <v>9</v>
      </c>
      <c r="Q4" s="519">
        <v>10</v>
      </c>
      <c r="R4" s="519">
        <v>11</v>
      </c>
      <c r="S4" s="519">
        <v>12</v>
      </c>
      <c r="T4" s="519">
        <v>13</v>
      </c>
      <c r="U4" s="519">
        <v>14</v>
      </c>
      <c r="V4" s="519">
        <v>15</v>
      </c>
      <c r="W4" s="519">
        <v>16</v>
      </c>
      <c r="X4" s="519">
        <v>17</v>
      </c>
      <c r="Y4" s="519">
        <v>18</v>
      </c>
      <c r="Z4" s="519">
        <v>21</v>
      </c>
      <c r="AA4" s="519">
        <v>22</v>
      </c>
      <c r="AB4" s="519">
        <v>39</v>
      </c>
      <c r="AC4" s="519">
        <v>40</v>
      </c>
      <c r="AD4" s="519">
        <v>41</v>
      </c>
      <c r="AE4" s="519">
        <v>42</v>
      </c>
      <c r="AF4" s="519">
        <v>43</v>
      </c>
      <c r="AG4" s="519">
        <v>44</v>
      </c>
      <c r="AH4" s="519">
        <v>45</v>
      </c>
      <c r="AI4" s="519">
        <v>45</v>
      </c>
      <c r="AJ4" s="519">
        <v>47</v>
      </c>
      <c r="AK4" s="519">
        <v>48</v>
      </c>
      <c r="AL4" s="519">
        <v>49</v>
      </c>
      <c r="AM4" s="519">
        <v>50</v>
      </c>
      <c r="AN4" s="519">
        <v>51</v>
      </c>
      <c r="AO4" s="519">
        <v>59</v>
      </c>
      <c r="AP4" s="519">
        <v>60</v>
      </c>
      <c r="AQ4" s="519">
        <v>61</v>
      </c>
      <c r="AR4" s="519">
        <v>62</v>
      </c>
      <c r="AS4" s="519">
        <v>63</v>
      </c>
      <c r="AT4" s="519">
        <v>64</v>
      </c>
      <c r="AU4" s="519">
        <v>65</v>
      </c>
      <c r="AV4" s="519">
        <v>66</v>
      </c>
      <c r="AW4" s="449"/>
      <c r="AX4" s="449"/>
      <c r="AY4" s="449"/>
      <c r="AZ4" s="449"/>
      <c r="BA4" s="449"/>
      <c r="BB4" s="449"/>
    </row>
    <row r="5" spans="1:54" ht="23.25" customHeight="1">
      <c r="A5" s="69" t="s">
        <v>1244</v>
      </c>
      <c r="B5" s="69" t="s">
        <v>1245</v>
      </c>
      <c r="C5" s="70" t="s">
        <v>1246</v>
      </c>
      <c r="D5" s="71" t="s">
        <v>1247</v>
      </c>
      <c r="E5" s="69" t="s">
        <v>1248</v>
      </c>
      <c r="F5" s="528" t="s">
        <v>1249</v>
      </c>
      <c r="G5" s="529"/>
      <c r="H5" s="522"/>
      <c r="I5" s="522"/>
      <c r="J5" s="520"/>
      <c r="K5" s="520"/>
      <c r="L5" s="522"/>
      <c r="M5" s="522"/>
      <c r="N5" s="520"/>
      <c r="O5" s="520"/>
      <c r="P5" s="522"/>
      <c r="Q5" s="520"/>
      <c r="R5" s="520"/>
      <c r="S5" s="520"/>
      <c r="T5" s="520"/>
      <c r="U5" s="520"/>
      <c r="V5" s="520"/>
      <c r="W5" s="520"/>
      <c r="X5" s="520"/>
      <c r="Y5" s="520"/>
      <c r="Z5" s="520"/>
      <c r="AA5" s="520"/>
      <c r="AB5" s="520"/>
      <c r="AC5" s="520"/>
      <c r="AD5" s="520"/>
      <c r="AE5" s="520"/>
      <c r="AF5" s="520"/>
      <c r="AG5" s="520"/>
      <c r="AH5" s="520"/>
      <c r="AI5" s="520"/>
      <c r="AJ5" s="520"/>
      <c r="AK5" s="520"/>
      <c r="AL5" s="520"/>
      <c r="AM5" s="520"/>
      <c r="AN5" s="520"/>
      <c r="AO5" s="520"/>
      <c r="AP5" s="520"/>
      <c r="AQ5" s="520"/>
      <c r="AR5" s="520"/>
      <c r="AS5" s="520"/>
      <c r="AT5" s="520"/>
      <c r="AU5" s="520"/>
      <c r="AV5" s="520"/>
      <c r="AW5" s="450"/>
      <c r="AX5" s="450"/>
      <c r="AY5" s="450"/>
      <c r="AZ5" s="450"/>
      <c r="BA5" s="450"/>
      <c r="BB5" s="450"/>
    </row>
    <row r="6" spans="1:54" ht="8.25" customHeight="1">
      <c r="A6" s="25"/>
      <c r="B6" s="415"/>
      <c r="C6" s="417"/>
      <c r="D6" s="25"/>
      <c r="E6" s="25"/>
      <c r="F6" s="415"/>
      <c r="G6" s="417"/>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row>
    <row r="7" spans="1:54" ht="8.25" customHeight="1">
      <c r="A7" s="25"/>
      <c r="B7" s="517" t="s">
        <v>1126</v>
      </c>
      <c r="C7" s="518"/>
      <c r="D7" s="25"/>
      <c r="E7" s="63" t="s">
        <v>1127</v>
      </c>
      <c r="F7" s="415"/>
      <c r="G7" s="417"/>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row>
    <row r="8" spans="1:54" ht="8.25" customHeight="1">
      <c r="A8" s="64">
        <v>5</v>
      </c>
      <c r="B8" s="25"/>
      <c r="C8" s="25"/>
      <c r="D8" s="25"/>
      <c r="E8" s="25"/>
      <c r="F8" s="511">
        <v>23</v>
      </c>
      <c r="G8" s="512"/>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row>
    <row r="9" spans="1:54" ht="8.25" customHeight="1">
      <c r="A9" s="64">
        <v>5</v>
      </c>
      <c r="B9" s="63" t="s">
        <v>1128</v>
      </c>
      <c r="C9" s="65" t="s">
        <v>1129</v>
      </c>
      <c r="D9" s="195" t="s">
        <v>1130</v>
      </c>
      <c r="E9" s="63" t="s">
        <v>1131</v>
      </c>
      <c r="F9" s="511">
        <v>24</v>
      </c>
      <c r="G9" s="512"/>
      <c r="H9" s="25"/>
      <c r="I9" s="22" t="s">
        <v>1132</v>
      </c>
      <c r="J9" s="25"/>
      <c r="K9" s="25"/>
      <c r="L9" s="22" t="s">
        <v>1132</v>
      </c>
      <c r="M9" s="22" t="s">
        <v>1132</v>
      </c>
      <c r="N9" s="25"/>
      <c r="O9" s="25"/>
      <c r="P9" s="25"/>
      <c r="Q9" s="25"/>
      <c r="R9" s="25"/>
      <c r="S9" s="25"/>
      <c r="T9" s="25"/>
      <c r="U9" s="25"/>
      <c r="V9" s="25"/>
      <c r="W9" s="25"/>
      <c r="X9" s="25"/>
      <c r="Y9" s="25"/>
      <c r="Z9" s="25"/>
      <c r="AA9" s="25"/>
      <c r="AB9" s="22" t="s">
        <v>1132</v>
      </c>
      <c r="AC9" s="25"/>
      <c r="AD9" s="25"/>
      <c r="AE9" s="25"/>
      <c r="AF9" s="22" t="s">
        <v>1132</v>
      </c>
      <c r="AG9" s="25"/>
      <c r="AH9" s="25"/>
      <c r="AI9" s="25"/>
      <c r="AJ9" s="22" t="s">
        <v>1132</v>
      </c>
      <c r="AK9" s="25"/>
      <c r="AL9" s="25"/>
      <c r="AM9" s="25"/>
      <c r="AN9" s="25"/>
      <c r="AO9" s="25"/>
      <c r="AP9" s="25"/>
      <c r="AQ9" s="25"/>
      <c r="AR9" s="25"/>
      <c r="AS9" s="25"/>
      <c r="AT9" s="25"/>
      <c r="AU9" s="25"/>
      <c r="AV9" s="25"/>
      <c r="AW9" s="25"/>
      <c r="AX9" s="25"/>
      <c r="AY9" s="25"/>
      <c r="AZ9" s="25"/>
      <c r="BA9" s="25"/>
      <c r="BB9" s="25"/>
    </row>
    <row r="10" spans="1:54" ht="8.25" customHeight="1">
      <c r="A10" s="64">
        <v>5</v>
      </c>
      <c r="B10" s="63" t="s">
        <v>1128</v>
      </c>
      <c r="C10" s="65" t="s">
        <v>1133</v>
      </c>
      <c r="D10" s="195" t="s">
        <v>1134</v>
      </c>
      <c r="E10" s="63" t="s">
        <v>1131</v>
      </c>
      <c r="F10" s="511">
        <v>25</v>
      </c>
      <c r="G10" s="512"/>
      <c r="H10" s="25"/>
      <c r="I10" s="22" t="s">
        <v>1132</v>
      </c>
      <c r="J10" s="25"/>
      <c r="K10" s="25"/>
      <c r="L10" s="22" t="s">
        <v>1132</v>
      </c>
      <c r="M10" s="22" t="s">
        <v>1132</v>
      </c>
      <c r="N10" s="25"/>
      <c r="O10" s="25"/>
      <c r="P10" s="25"/>
      <c r="Q10" s="25"/>
      <c r="R10" s="25"/>
      <c r="S10" s="25"/>
      <c r="T10" s="25"/>
      <c r="U10" s="25"/>
      <c r="V10" s="25"/>
      <c r="W10" s="25"/>
      <c r="X10" s="25"/>
      <c r="Y10" s="25"/>
      <c r="Z10" s="25"/>
      <c r="AA10" s="25"/>
      <c r="AB10" s="22" t="s">
        <v>1132</v>
      </c>
      <c r="AC10" s="25"/>
      <c r="AD10" s="25"/>
      <c r="AE10" s="25"/>
      <c r="AF10" s="22" t="s">
        <v>1132</v>
      </c>
      <c r="AG10" s="25"/>
      <c r="AH10" s="25"/>
      <c r="AI10" s="25"/>
      <c r="AJ10" s="22" t="s">
        <v>1132</v>
      </c>
      <c r="AK10" s="25"/>
      <c r="AL10" s="25"/>
      <c r="AM10" s="25"/>
      <c r="AN10" s="25"/>
      <c r="AO10" s="25"/>
      <c r="AP10" s="25"/>
      <c r="AQ10" s="25"/>
      <c r="AR10" s="25"/>
      <c r="AS10" s="25"/>
      <c r="AT10" s="25"/>
      <c r="AU10" s="25"/>
      <c r="AV10" s="25"/>
      <c r="AW10" s="25"/>
      <c r="AX10" s="25"/>
      <c r="AY10" s="25"/>
      <c r="AZ10" s="25"/>
      <c r="BA10" s="25"/>
      <c r="BB10" s="25"/>
    </row>
    <row r="11" spans="1:54" ht="8.25" customHeight="1">
      <c r="A11" s="64">
        <v>5</v>
      </c>
      <c r="B11" s="25"/>
      <c r="C11" s="25"/>
      <c r="D11" s="25"/>
      <c r="E11" s="25"/>
      <c r="F11" s="511">
        <v>26</v>
      </c>
      <c r="G11" s="512"/>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row>
    <row r="12" spans="1:54" ht="8.25" customHeight="1">
      <c r="A12" s="64">
        <v>5</v>
      </c>
      <c r="B12" s="25"/>
      <c r="C12" s="25"/>
      <c r="D12" s="25"/>
      <c r="E12" s="25"/>
      <c r="F12" s="511">
        <v>27</v>
      </c>
      <c r="G12" s="512"/>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row>
    <row r="13" spans="1:54" ht="8.25" customHeight="1">
      <c r="A13" s="64">
        <v>5</v>
      </c>
      <c r="B13" s="63" t="s">
        <v>1135</v>
      </c>
      <c r="C13" s="65" t="s">
        <v>1136</v>
      </c>
      <c r="D13" s="195" t="s">
        <v>1137</v>
      </c>
      <c r="E13" s="63" t="s">
        <v>1131</v>
      </c>
      <c r="F13" s="511">
        <v>28</v>
      </c>
      <c r="G13" s="512"/>
      <c r="H13" s="25"/>
      <c r="I13" s="22" t="s">
        <v>1132</v>
      </c>
      <c r="J13" s="25"/>
      <c r="K13" s="25"/>
      <c r="L13" s="25"/>
      <c r="M13" s="25"/>
      <c r="N13" s="25"/>
      <c r="O13" s="25"/>
      <c r="P13" s="22" t="s">
        <v>1132</v>
      </c>
      <c r="Q13" s="22" t="s">
        <v>1132</v>
      </c>
      <c r="R13" s="25"/>
      <c r="S13" s="25"/>
      <c r="T13" s="25"/>
      <c r="U13" s="25"/>
      <c r="V13" s="25"/>
      <c r="W13" s="25"/>
      <c r="X13" s="25"/>
      <c r="Y13" s="25"/>
      <c r="Z13" s="25"/>
      <c r="AA13" s="25"/>
      <c r="AB13" s="25"/>
      <c r="AC13" s="22" t="s">
        <v>1132</v>
      </c>
      <c r="AD13" s="25"/>
      <c r="AE13" s="25"/>
      <c r="AF13" s="25"/>
      <c r="AG13" s="22" t="s">
        <v>1132</v>
      </c>
      <c r="AH13" s="25"/>
      <c r="AI13" s="25"/>
      <c r="AJ13" s="25"/>
      <c r="AK13" s="22" t="s">
        <v>1132</v>
      </c>
      <c r="AL13" s="25"/>
      <c r="AM13" s="25"/>
      <c r="AN13" s="25"/>
      <c r="AO13" s="25"/>
      <c r="AP13" s="25"/>
      <c r="AQ13" s="25"/>
      <c r="AR13" s="25"/>
      <c r="AS13" s="25"/>
      <c r="AT13" s="25"/>
      <c r="AU13" s="25"/>
      <c r="AV13" s="25"/>
      <c r="AW13" s="25"/>
      <c r="AX13" s="25"/>
      <c r="AY13" s="25"/>
      <c r="AZ13" s="25"/>
      <c r="BA13" s="25"/>
      <c r="BB13" s="25"/>
    </row>
    <row r="14" spans="1:54" ht="8.25" customHeight="1">
      <c r="A14" s="64">
        <v>5</v>
      </c>
      <c r="B14" s="63" t="s">
        <v>1135</v>
      </c>
      <c r="C14" s="65" t="s">
        <v>1138</v>
      </c>
      <c r="D14" s="195" t="s">
        <v>1139</v>
      </c>
      <c r="E14" s="63" t="s">
        <v>1131</v>
      </c>
      <c r="F14" s="511">
        <v>29</v>
      </c>
      <c r="G14" s="512"/>
      <c r="H14" s="25"/>
      <c r="I14" s="22" t="s">
        <v>1132</v>
      </c>
      <c r="J14" s="25"/>
      <c r="K14" s="25"/>
      <c r="L14" s="25"/>
      <c r="M14" s="25"/>
      <c r="N14" s="25"/>
      <c r="O14" s="25"/>
      <c r="P14" s="22" t="s">
        <v>1132</v>
      </c>
      <c r="Q14" s="22" t="s">
        <v>1132</v>
      </c>
      <c r="R14" s="25"/>
      <c r="S14" s="25"/>
      <c r="T14" s="25"/>
      <c r="U14" s="25"/>
      <c r="V14" s="25"/>
      <c r="W14" s="25"/>
      <c r="X14" s="25"/>
      <c r="Y14" s="25"/>
      <c r="Z14" s="25"/>
      <c r="AA14" s="25"/>
      <c r="AB14" s="25"/>
      <c r="AC14" s="22" t="s">
        <v>1132</v>
      </c>
      <c r="AD14" s="25"/>
      <c r="AE14" s="25"/>
      <c r="AF14" s="25"/>
      <c r="AG14" s="22" t="s">
        <v>1132</v>
      </c>
      <c r="AH14" s="25"/>
      <c r="AI14" s="25"/>
      <c r="AJ14" s="25"/>
      <c r="AK14" s="22" t="s">
        <v>1132</v>
      </c>
      <c r="AL14" s="25"/>
      <c r="AM14" s="25"/>
      <c r="AN14" s="25"/>
      <c r="AO14" s="25"/>
      <c r="AP14" s="25"/>
      <c r="AQ14" s="25"/>
      <c r="AR14" s="25"/>
      <c r="AS14" s="25"/>
      <c r="AT14" s="25"/>
      <c r="AU14" s="25"/>
      <c r="AV14" s="25"/>
      <c r="AW14" s="25"/>
      <c r="AX14" s="25"/>
      <c r="AY14" s="25"/>
      <c r="AZ14" s="25"/>
      <c r="BA14" s="25"/>
      <c r="BB14" s="25"/>
    </row>
    <row r="15" spans="1:54" ht="8.25" customHeight="1">
      <c r="A15" s="25"/>
      <c r="B15" s="25"/>
      <c r="C15" s="25"/>
      <c r="D15" s="25"/>
      <c r="E15" s="25"/>
      <c r="F15" s="511">
        <v>30</v>
      </c>
      <c r="G15" s="512"/>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row>
    <row r="16" spans="1:54" ht="8.25" customHeight="1">
      <c r="A16" s="64">
        <v>5</v>
      </c>
      <c r="B16" s="25"/>
      <c r="C16" s="25"/>
      <c r="D16" s="25"/>
      <c r="E16" s="25"/>
      <c r="F16" s="511">
        <v>31</v>
      </c>
      <c r="G16" s="512"/>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row>
    <row r="17" spans="1:54" ht="8.25" customHeight="1">
      <c r="A17" s="64">
        <v>5</v>
      </c>
      <c r="B17" s="63" t="s">
        <v>1140</v>
      </c>
      <c r="C17" s="65" t="s">
        <v>1141</v>
      </c>
      <c r="D17" s="195" t="s">
        <v>1142</v>
      </c>
      <c r="E17" s="63" t="s">
        <v>1131</v>
      </c>
      <c r="F17" s="511">
        <v>32</v>
      </c>
      <c r="G17" s="512"/>
      <c r="H17" s="25"/>
      <c r="I17" s="22" t="s">
        <v>1132</v>
      </c>
      <c r="J17" s="25"/>
      <c r="K17" s="25"/>
      <c r="L17" s="25"/>
      <c r="M17" s="25"/>
      <c r="N17" s="25"/>
      <c r="O17" s="25"/>
      <c r="P17" s="25"/>
      <c r="Q17" s="25"/>
      <c r="R17" s="25"/>
      <c r="S17" s="25"/>
      <c r="T17" s="22" t="s">
        <v>1132</v>
      </c>
      <c r="U17" s="22" t="s">
        <v>1132</v>
      </c>
      <c r="V17" s="25"/>
      <c r="W17" s="25"/>
      <c r="X17" s="25"/>
      <c r="Y17" s="25"/>
      <c r="Z17" s="25"/>
      <c r="AA17" s="25"/>
      <c r="AB17" s="25"/>
      <c r="AC17" s="25"/>
      <c r="AD17" s="22" t="s">
        <v>1132</v>
      </c>
      <c r="AE17" s="25"/>
      <c r="AF17" s="25"/>
      <c r="AG17" s="25"/>
      <c r="AH17" s="22" t="s">
        <v>1132</v>
      </c>
      <c r="AI17" s="25"/>
      <c r="AJ17" s="25"/>
      <c r="AK17" s="25"/>
      <c r="AL17" s="22" t="s">
        <v>1132</v>
      </c>
      <c r="AM17" s="25"/>
      <c r="AN17" s="25"/>
      <c r="AO17" s="25"/>
      <c r="AP17" s="25"/>
      <c r="AQ17" s="25"/>
      <c r="AR17" s="25"/>
      <c r="AS17" s="25"/>
      <c r="AT17" s="25"/>
      <c r="AU17" s="25"/>
      <c r="AV17" s="25"/>
      <c r="AW17" s="25"/>
      <c r="AX17" s="25"/>
      <c r="AY17" s="25"/>
      <c r="AZ17" s="25"/>
      <c r="BA17" s="25"/>
      <c r="BB17" s="25"/>
    </row>
    <row r="18" spans="1:54" ht="8.25" customHeight="1">
      <c r="A18" s="64">
        <v>5</v>
      </c>
      <c r="B18" s="63" t="s">
        <v>1140</v>
      </c>
      <c r="C18" s="65" t="s">
        <v>1143</v>
      </c>
      <c r="D18" s="195" t="s">
        <v>1144</v>
      </c>
      <c r="E18" s="63" t="s">
        <v>1131</v>
      </c>
      <c r="F18" s="511">
        <v>33</v>
      </c>
      <c r="G18" s="512"/>
      <c r="H18" s="25"/>
      <c r="I18" s="22" t="s">
        <v>1132</v>
      </c>
      <c r="J18" s="25"/>
      <c r="K18" s="25"/>
      <c r="L18" s="25"/>
      <c r="M18" s="25"/>
      <c r="N18" s="25"/>
      <c r="O18" s="25"/>
      <c r="P18" s="25"/>
      <c r="Q18" s="25"/>
      <c r="R18" s="25"/>
      <c r="S18" s="25"/>
      <c r="T18" s="22" t="s">
        <v>1132</v>
      </c>
      <c r="U18" s="22" t="s">
        <v>1132</v>
      </c>
      <c r="V18" s="25"/>
      <c r="W18" s="25"/>
      <c r="X18" s="25"/>
      <c r="Y18" s="25"/>
      <c r="Z18" s="25"/>
      <c r="AA18" s="25"/>
      <c r="AB18" s="25"/>
      <c r="AC18" s="25"/>
      <c r="AD18" s="22" t="s">
        <v>1132</v>
      </c>
      <c r="AE18" s="25"/>
      <c r="AF18" s="25"/>
      <c r="AG18" s="25"/>
      <c r="AH18" s="22" t="s">
        <v>1132</v>
      </c>
      <c r="AI18" s="25"/>
      <c r="AJ18" s="25"/>
      <c r="AK18" s="25"/>
      <c r="AL18" s="22" t="s">
        <v>1132</v>
      </c>
      <c r="AM18" s="25"/>
      <c r="AN18" s="25"/>
      <c r="AO18" s="25"/>
      <c r="AP18" s="25"/>
      <c r="AQ18" s="25"/>
      <c r="AR18" s="25"/>
      <c r="AS18" s="25"/>
      <c r="AT18" s="25"/>
      <c r="AU18" s="25"/>
      <c r="AV18" s="25"/>
      <c r="AW18" s="25"/>
      <c r="AX18" s="25"/>
      <c r="AY18" s="25"/>
      <c r="AZ18" s="25"/>
      <c r="BA18" s="25"/>
      <c r="BB18" s="25"/>
    </row>
    <row r="19" spans="1:54" ht="8.25" customHeight="1">
      <c r="A19" s="25"/>
      <c r="B19" s="25"/>
      <c r="C19" s="25"/>
      <c r="D19" s="25"/>
      <c r="E19" s="25"/>
      <c r="F19" s="511">
        <v>34</v>
      </c>
      <c r="G19" s="512"/>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row>
    <row r="20" spans="1:54" ht="8.25" customHeight="1">
      <c r="A20" s="64">
        <v>5</v>
      </c>
      <c r="B20" s="25"/>
      <c r="C20" s="25"/>
      <c r="D20" s="25"/>
      <c r="E20" s="25"/>
      <c r="F20" s="511">
        <v>35</v>
      </c>
      <c r="G20" s="512"/>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row>
    <row r="21" spans="1:54" ht="8.25" customHeight="1">
      <c r="A21" s="64">
        <v>5</v>
      </c>
      <c r="B21" s="63" t="s">
        <v>1145</v>
      </c>
      <c r="C21" s="65" t="s">
        <v>1146</v>
      </c>
      <c r="D21" s="195" t="s">
        <v>1147</v>
      </c>
      <c r="E21" s="63" t="s">
        <v>1131</v>
      </c>
      <c r="F21" s="511">
        <v>36</v>
      </c>
      <c r="G21" s="512"/>
      <c r="H21" s="25"/>
      <c r="I21" s="22" t="s">
        <v>1132</v>
      </c>
      <c r="J21" s="25"/>
      <c r="K21" s="25"/>
      <c r="L21" s="25"/>
      <c r="M21" s="25"/>
      <c r="N21" s="25"/>
      <c r="O21" s="25"/>
      <c r="P21" s="25"/>
      <c r="Q21" s="25"/>
      <c r="R21" s="25"/>
      <c r="S21" s="25"/>
      <c r="T21" s="25"/>
      <c r="U21" s="25"/>
      <c r="V21" s="25"/>
      <c r="W21" s="25"/>
      <c r="X21" s="22" t="s">
        <v>1132</v>
      </c>
      <c r="Y21" s="22" t="s">
        <v>1132</v>
      </c>
      <c r="Z21" s="25"/>
      <c r="AA21" s="25"/>
      <c r="AB21" s="25"/>
      <c r="AC21" s="25"/>
      <c r="AD21" s="25"/>
      <c r="AE21" s="22" t="s">
        <v>1132</v>
      </c>
      <c r="AF21" s="25"/>
      <c r="AG21" s="25"/>
      <c r="AH21" s="25"/>
      <c r="AI21" s="22" t="s">
        <v>1132</v>
      </c>
      <c r="AJ21" s="25"/>
      <c r="AK21" s="25"/>
      <c r="AL21" s="25"/>
      <c r="AM21" s="22" t="s">
        <v>1132</v>
      </c>
      <c r="AN21" s="25"/>
      <c r="AO21" s="25"/>
      <c r="AP21" s="25"/>
      <c r="AQ21" s="25"/>
      <c r="AR21" s="25"/>
      <c r="AS21" s="25"/>
      <c r="AT21" s="25"/>
      <c r="AU21" s="25"/>
      <c r="AV21" s="25"/>
      <c r="AW21" s="25"/>
      <c r="AX21" s="25"/>
      <c r="AY21" s="25"/>
      <c r="AZ21" s="25"/>
      <c r="BA21" s="25"/>
      <c r="BB21" s="25"/>
    </row>
    <row r="22" spans="1:54" ht="8.25" customHeight="1">
      <c r="A22" s="64">
        <v>5</v>
      </c>
      <c r="B22" s="63" t="s">
        <v>1145</v>
      </c>
      <c r="C22" s="65" t="s">
        <v>1148</v>
      </c>
      <c r="D22" s="195" t="s">
        <v>1149</v>
      </c>
      <c r="E22" s="63" t="s">
        <v>1131</v>
      </c>
      <c r="F22" s="511">
        <v>37</v>
      </c>
      <c r="G22" s="512"/>
      <c r="H22" s="25"/>
      <c r="I22" s="22" t="s">
        <v>1132</v>
      </c>
      <c r="J22" s="25"/>
      <c r="K22" s="25"/>
      <c r="L22" s="25"/>
      <c r="M22" s="25"/>
      <c r="N22" s="25"/>
      <c r="O22" s="25"/>
      <c r="P22" s="25"/>
      <c r="Q22" s="25"/>
      <c r="R22" s="25"/>
      <c r="S22" s="25"/>
      <c r="T22" s="25"/>
      <c r="U22" s="25"/>
      <c r="V22" s="25"/>
      <c r="W22" s="25"/>
      <c r="X22" s="22" t="s">
        <v>1132</v>
      </c>
      <c r="Y22" s="22" t="s">
        <v>1132</v>
      </c>
      <c r="Z22" s="25"/>
      <c r="AA22" s="25"/>
      <c r="AB22" s="25"/>
      <c r="AC22" s="25"/>
      <c r="AD22" s="25"/>
      <c r="AE22" s="22" t="s">
        <v>1132</v>
      </c>
      <c r="AF22" s="25"/>
      <c r="AG22" s="25"/>
      <c r="AH22" s="25"/>
      <c r="AI22" s="22" t="s">
        <v>1132</v>
      </c>
      <c r="AJ22" s="25"/>
      <c r="AK22" s="25"/>
      <c r="AL22" s="25"/>
      <c r="AM22" s="22" t="s">
        <v>1132</v>
      </c>
      <c r="AN22" s="25"/>
      <c r="AO22" s="25"/>
      <c r="AP22" s="25"/>
      <c r="AQ22" s="25"/>
      <c r="AR22" s="25"/>
      <c r="AS22" s="25"/>
      <c r="AT22" s="25"/>
      <c r="AU22" s="25"/>
      <c r="AV22" s="25"/>
      <c r="AW22" s="25"/>
      <c r="AX22" s="25"/>
      <c r="AY22" s="25"/>
      <c r="AZ22" s="25"/>
      <c r="BA22" s="25"/>
      <c r="BB22" s="25"/>
    </row>
    <row r="23" spans="1:54" ht="8.25" customHeight="1">
      <c r="A23" s="25"/>
      <c r="B23" s="25"/>
      <c r="C23" s="25"/>
      <c r="D23" s="25"/>
      <c r="E23" s="25"/>
      <c r="F23" s="511">
        <v>38</v>
      </c>
      <c r="G23" s="512"/>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row>
    <row r="24" spans="1:54" ht="8.25" customHeight="1">
      <c r="A24" s="64">
        <v>5</v>
      </c>
      <c r="B24" s="63" t="s">
        <v>1128</v>
      </c>
      <c r="C24" s="65" t="s">
        <v>1150</v>
      </c>
      <c r="D24" s="264" t="s">
        <v>1151</v>
      </c>
      <c r="E24" s="63" t="s">
        <v>1131</v>
      </c>
      <c r="F24" s="511">
        <v>39</v>
      </c>
      <c r="G24" s="512"/>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2" t="s">
        <v>1132</v>
      </c>
      <c r="AP24" s="25"/>
      <c r="AQ24" s="25"/>
      <c r="AR24" s="25"/>
      <c r="AS24" s="25"/>
      <c r="AT24" s="25"/>
      <c r="AU24" s="25"/>
      <c r="AV24" s="25"/>
      <c r="AW24" s="25"/>
      <c r="AX24" s="25"/>
      <c r="AY24" s="25"/>
      <c r="AZ24" s="25"/>
      <c r="BA24" s="25"/>
      <c r="BB24" s="25"/>
    </row>
    <row r="25" spans="1:54" ht="8.25" customHeight="1">
      <c r="A25" s="64">
        <v>5</v>
      </c>
      <c r="B25" s="63" t="s">
        <v>1128</v>
      </c>
      <c r="C25" s="65" t="s">
        <v>1150</v>
      </c>
      <c r="D25" s="264" t="s">
        <v>1152</v>
      </c>
      <c r="E25" s="63" t="s">
        <v>1131</v>
      </c>
      <c r="F25" s="511">
        <v>40</v>
      </c>
      <c r="G25" s="512"/>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2" t="s">
        <v>1132</v>
      </c>
      <c r="AP25" s="25"/>
      <c r="AQ25" s="25"/>
      <c r="AR25" s="25"/>
      <c r="AS25" s="25"/>
      <c r="AT25" s="25"/>
      <c r="AU25" s="25"/>
      <c r="AV25" s="25"/>
      <c r="AW25" s="25"/>
      <c r="AX25" s="25"/>
      <c r="AY25" s="25"/>
      <c r="AZ25" s="25"/>
      <c r="BA25" s="25"/>
      <c r="BB25" s="25"/>
    </row>
    <row r="26" spans="1:54" ht="8.25" customHeight="1">
      <c r="A26" s="64">
        <v>5</v>
      </c>
      <c r="B26" s="63" t="s">
        <v>1128</v>
      </c>
      <c r="C26" s="65" t="s">
        <v>1150</v>
      </c>
      <c r="D26" s="264" t="s">
        <v>1153</v>
      </c>
      <c r="E26" s="63" t="s">
        <v>1131</v>
      </c>
      <c r="F26" s="511">
        <v>41</v>
      </c>
      <c r="G26" s="512"/>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2" t="s">
        <v>1132</v>
      </c>
      <c r="AQ26" s="25"/>
      <c r="AR26" s="25"/>
      <c r="AS26" s="25"/>
      <c r="AT26" s="25"/>
      <c r="AU26" s="25"/>
      <c r="AV26" s="25"/>
      <c r="AW26" s="25"/>
      <c r="AX26" s="25"/>
      <c r="AY26" s="25"/>
      <c r="AZ26" s="25"/>
      <c r="BA26" s="25"/>
      <c r="BB26" s="25"/>
    </row>
    <row r="27" spans="1:54" ht="8.25" customHeight="1">
      <c r="A27" s="64">
        <v>5</v>
      </c>
      <c r="B27" s="63" t="s">
        <v>1128</v>
      </c>
      <c r="C27" s="65" t="s">
        <v>1150</v>
      </c>
      <c r="D27" s="264" t="s">
        <v>1154</v>
      </c>
      <c r="E27" s="63" t="s">
        <v>1131</v>
      </c>
      <c r="F27" s="511">
        <v>42</v>
      </c>
      <c r="G27" s="512"/>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2" t="s">
        <v>1132</v>
      </c>
      <c r="AQ27" s="25"/>
      <c r="AR27" s="25"/>
      <c r="AS27" s="25"/>
      <c r="AT27" s="25"/>
      <c r="AU27" s="25"/>
      <c r="AV27" s="25"/>
      <c r="AW27" s="25"/>
      <c r="AX27" s="25"/>
      <c r="AY27" s="25"/>
      <c r="AZ27" s="25"/>
      <c r="BA27" s="25"/>
      <c r="BB27" s="25"/>
    </row>
    <row r="28" spans="1:54" ht="8.25" customHeight="1">
      <c r="A28" s="64">
        <v>5</v>
      </c>
      <c r="B28" s="25"/>
      <c r="C28" s="25"/>
      <c r="D28" s="25"/>
      <c r="E28" s="25"/>
      <c r="F28" s="511">
        <v>43</v>
      </c>
      <c r="G28" s="512"/>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row>
    <row r="29" spans="1:54" ht="8.25" customHeight="1">
      <c r="A29" s="64">
        <v>5</v>
      </c>
      <c r="B29" s="63" t="s">
        <v>1135</v>
      </c>
      <c r="C29" s="65" t="s">
        <v>1155</v>
      </c>
      <c r="D29" s="264" t="s">
        <v>1156</v>
      </c>
      <c r="E29" s="63" t="s">
        <v>1131</v>
      </c>
      <c r="F29" s="511">
        <v>44</v>
      </c>
      <c r="G29" s="512"/>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2" t="s">
        <v>1132</v>
      </c>
      <c r="AR29" s="25"/>
      <c r="AS29" s="25"/>
      <c r="AT29" s="25"/>
      <c r="AU29" s="25"/>
      <c r="AV29" s="25"/>
      <c r="AW29" s="25"/>
      <c r="AX29" s="25"/>
      <c r="AY29" s="25"/>
      <c r="AZ29" s="25"/>
      <c r="BA29" s="25"/>
      <c r="BB29" s="25"/>
    </row>
    <row r="30" spans="1:54" ht="8.25" customHeight="1">
      <c r="A30" s="64">
        <v>5</v>
      </c>
      <c r="B30" s="63" t="s">
        <v>1135</v>
      </c>
      <c r="C30" s="65" t="s">
        <v>1155</v>
      </c>
      <c r="D30" s="264" t="s">
        <v>1157</v>
      </c>
      <c r="E30" s="63" t="s">
        <v>1131</v>
      </c>
      <c r="F30" s="511">
        <v>45</v>
      </c>
      <c r="G30" s="512"/>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2" t="s">
        <v>1132</v>
      </c>
      <c r="AR30" s="25"/>
      <c r="AS30" s="25"/>
      <c r="AT30" s="25"/>
      <c r="AU30" s="25"/>
      <c r="AV30" s="25"/>
      <c r="AW30" s="25"/>
      <c r="AX30" s="25"/>
      <c r="AY30" s="25"/>
      <c r="AZ30" s="25"/>
      <c r="BA30" s="25"/>
      <c r="BB30" s="25"/>
    </row>
    <row r="31" spans="1:54" ht="8.25" customHeight="1">
      <c r="A31" s="64">
        <v>5</v>
      </c>
      <c r="B31" s="63" t="s">
        <v>1135</v>
      </c>
      <c r="C31" s="65" t="s">
        <v>1155</v>
      </c>
      <c r="D31" s="264" t="s">
        <v>1158</v>
      </c>
      <c r="E31" s="63" t="s">
        <v>1131</v>
      </c>
      <c r="F31" s="511">
        <v>46</v>
      </c>
      <c r="G31" s="512"/>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2" t="s">
        <v>1132</v>
      </c>
      <c r="AS31" s="25"/>
      <c r="AT31" s="25"/>
      <c r="AU31" s="25"/>
      <c r="AV31" s="25"/>
      <c r="AW31" s="25"/>
      <c r="AX31" s="25"/>
      <c r="AY31" s="25"/>
      <c r="AZ31" s="25"/>
      <c r="BA31" s="25"/>
      <c r="BB31" s="25"/>
    </row>
    <row r="32" spans="1:54" ht="8.25" customHeight="1">
      <c r="A32" s="64">
        <v>5</v>
      </c>
      <c r="B32" s="63" t="s">
        <v>1135</v>
      </c>
      <c r="C32" s="65" t="s">
        <v>1155</v>
      </c>
      <c r="D32" s="264" t="s">
        <v>1159</v>
      </c>
      <c r="E32" s="63" t="s">
        <v>1131</v>
      </c>
      <c r="F32" s="511">
        <v>47</v>
      </c>
      <c r="G32" s="512"/>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2" t="s">
        <v>1132</v>
      </c>
      <c r="AS32" s="25"/>
      <c r="AT32" s="25"/>
      <c r="AU32" s="25"/>
      <c r="AV32" s="25"/>
      <c r="AW32" s="25"/>
      <c r="AX32" s="25"/>
      <c r="AY32" s="25"/>
      <c r="AZ32" s="25"/>
      <c r="BA32" s="25"/>
      <c r="BB32" s="25"/>
    </row>
    <row r="33" spans="1:54" ht="8.25" customHeight="1">
      <c r="A33" s="64">
        <v>5</v>
      </c>
      <c r="B33" s="25"/>
      <c r="C33" s="25"/>
      <c r="D33" s="25"/>
      <c r="E33" s="25"/>
      <c r="F33" s="511">
        <v>48</v>
      </c>
      <c r="G33" s="512"/>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row>
    <row r="34" spans="1:54" ht="8.25" customHeight="1">
      <c r="A34" s="64">
        <v>5</v>
      </c>
      <c r="B34" s="63" t="s">
        <v>1140</v>
      </c>
      <c r="C34" s="65" t="s">
        <v>1160</v>
      </c>
      <c r="D34" s="264" t="s">
        <v>1161</v>
      </c>
      <c r="E34" s="63" t="s">
        <v>1131</v>
      </c>
      <c r="F34" s="511">
        <v>49</v>
      </c>
      <c r="G34" s="512"/>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2" t="s">
        <v>1132</v>
      </c>
      <c r="AT34" s="25"/>
      <c r="AU34" s="25"/>
      <c r="AV34" s="25"/>
      <c r="AW34" s="25"/>
      <c r="AX34" s="25"/>
      <c r="AY34" s="25"/>
      <c r="AZ34" s="25"/>
      <c r="BA34" s="25"/>
      <c r="BB34" s="25"/>
    </row>
    <row r="35" spans="1:54" ht="8.25" customHeight="1">
      <c r="A35" s="64">
        <v>5</v>
      </c>
      <c r="B35" s="63" t="s">
        <v>1140</v>
      </c>
      <c r="C35" s="65" t="s">
        <v>1160</v>
      </c>
      <c r="D35" s="264" t="s">
        <v>1162</v>
      </c>
      <c r="E35" s="63" t="s">
        <v>1131</v>
      </c>
      <c r="F35" s="511">
        <v>50</v>
      </c>
      <c r="G35" s="512"/>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2" t="s">
        <v>1132</v>
      </c>
      <c r="AT35" s="25"/>
      <c r="AU35" s="25"/>
      <c r="AV35" s="25"/>
      <c r="AW35" s="25"/>
      <c r="AX35" s="25"/>
      <c r="AY35" s="25"/>
      <c r="AZ35" s="25"/>
      <c r="BA35" s="25"/>
      <c r="BB35" s="25"/>
    </row>
    <row r="36" spans="1:54" ht="8.25" customHeight="1">
      <c r="A36" s="64">
        <v>5</v>
      </c>
      <c r="B36" s="63" t="s">
        <v>1140</v>
      </c>
      <c r="C36" s="65" t="s">
        <v>1160</v>
      </c>
      <c r="D36" s="264" t="s">
        <v>1163</v>
      </c>
      <c r="E36" s="63" t="s">
        <v>1131</v>
      </c>
      <c r="F36" s="511">
        <v>51</v>
      </c>
      <c r="G36" s="512"/>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2" t="s">
        <v>1132</v>
      </c>
      <c r="AU36" s="25"/>
      <c r="AV36" s="25"/>
      <c r="AW36" s="25"/>
      <c r="AX36" s="25"/>
      <c r="AY36" s="25"/>
      <c r="AZ36" s="25"/>
      <c r="BA36" s="25"/>
      <c r="BB36" s="25"/>
    </row>
    <row r="37" spans="1:54" ht="8.25" customHeight="1">
      <c r="A37" s="64">
        <v>5</v>
      </c>
      <c r="B37" s="63" t="s">
        <v>1140</v>
      </c>
      <c r="C37" s="65" t="s">
        <v>1160</v>
      </c>
      <c r="D37" s="264" t="s">
        <v>1164</v>
      </c>
      <c r="E37" s="63" t="s">
        <v>1131</v>
      </c>
      <c r="F37" s="511">
        <v>52</v>
      </c>
      <c r="G37" s="512"/>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2" t="s">
        <v>1132</v>
      </c>
      <c r="AU37" s="25"/>
      <c r="AV37" s="25"/>
      <c r="AW37" s="25"/>
      <c r="AX37" s="25"/>
      <c r="AY37" s="25"/>
      <c r="AZ37" s="25"/>
      <c r="BA37" s="25"/>
      <c r="BB37" s="25"/>
    </row>
    <row r="38" spans="1:54" ht="8.25" customHeight="1">
      <c r="A38" s="64">
        <v>5</v>
      </c>
      <c r="B38" s="25"/>
      <c r="C38" s="25"/>
      <c r="D38" s="25"/>
      <c r="E38" s="25"/>
      <c r="F38" s="511">
        <v>53</v>
      </c>
      <c r="G38" s="512"/>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row>
    <row r="39" spans="1:54" ht="8.25" customHeight="1">
      <c r="A39" s="64">
        <v>5</v>
      </c>
      <c r="B39" s="63" t="s">
        <v>1145</v>
      </c>
      <c r="C39" s="65" t="s">
        <v>1165</v>
      </c>
      <c r="D39" s="264" t="s">
        <v>1166</v>
      </c>
      <c r="E39" s="63" t="s">
        <v>1131</v>
      </c>
      <c r="F39" s="511">
        <v>54</v>
      </c>
      <c r="G39" s="512"/>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2" t="s">
        <v>1132</v>
      </c>
      <c r="AV39" s="25"/>
      <c r="AW39" s="25"/>
      <c r="AX39" s="25"/>
      <c r="AY39" s="25"/>
      <c r="AZ39" s="25"/>
      <c r="BA39" s="25"/>
      <c r="BB39" s="25"/>
    </row>
    <row r="40" spans="1:54" ht="8.25" customHeight="1">
      <c r="A40" s="64">
        <v>5</v>
      </c>
      <c r="B40" s="63" t="s">
        <v>1145</v>
      </c>
      <c r="C40" s="65" t="s">
        <v>1165</v>
      </c>
      <c r="D40" s="264" t="s">
        <v>1167</v>
      </c>
      <c r="E40" s="63" t="s">
        <v>1131</v>
      </c>
      <c r="F40" s="511">
        <v>55</v>
      </c>
      <c r="G40" s="512"/>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2" t="s">
        <v>1132</v>
      </c>
      <c r="AV40" s="25"/>
      <c r="AW40" s="25"/>
      <c r="AX40" s="25"/>
      <c r="AY40" s="25"/>
      <c r="AZ40" s="25"/>
      <c r="BA40" s="25"/>
      <c r="BB40" s="25"/>
    </row>
    <row r="41" spans="1:54" ht="8.25" customHeight="1">
      <c r="A41" s="64">
        <v>5</v>
      </c>
      <c r="B41" s="63" t="s">
        <v>1145</v>
      </c>
      <c r="C41" s="65" t="s">
        <v>1165</v>
      </c>
      <c r="D41" s="264" t="s">
        <v>1168</v>
      </c>
      <c r="E41" s="63" t="s">
        <v>1131</v>
      </c>
      <c r="F41" s="511">
        <v>56</v>
      </c>
      <c r="G41" s="512"/>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2" t="s">
        <v>1132</v>
      </c>
      <c r="AW41" s="25"/>
      <c r="AX41" s="25"/>
      <c r="AY41" s="25"/>
      <c r="AZ41" s="25"/>
      <c r="BA41" s="25"/>
      <c r="BB41" s="25"/>
    </row>
    <row r="42" spans="1:54" ht="8.25" customHeight="1">
      <c r="A42" s="64">
        <v>5</v>
      </c>
      <c r="B42" s="63" t="s">
        <v>1145</v>
      </c>
      <c r="C42" s="65" t="s">
        <v>1165</v>
      </c>
      <c r="D42" s="264" t="s">
        <v>1169</v>
      </c>
      <c r="E42" s="63" t="s">
        <v>1131</v>
      </c>
      <c r="F42" s="511">
        <v>57</v>
      </c>
      <c r="G42" s="512"/>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2" t="s">
        <v>1132</v>
      </c>
      <c r="AW42" s="25"/>
      <c r="AX42" s="25"/>
      <c r="AY42" s="25"/>
      <c r="AZ42" s="25"/>
      <c r="BA42" s="25"/>
      <c r="BB42" s="25"/>
    </row>
    <row r="43" spans="1:54" ht="8.25" customHeight="1">
      <c r="A43" s="64">
        <v>5</v>
      </c>
      <c r="B43" s="25"/>
      <c r="C43" s="25"/>
      <c r="D43" s="25"/>
      <c r="E43" s="25"/>
      <c r="F43" s="511">
        <v>58</v>
      </c>
      <c r="G43" s="512"/>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row>
    <row r="44" spans="1:54" ht="8.25" customHeight="1">
      <c r="A44" s="64">
        <v>5</v>
      </c>
      <c r="B44" s="513" t="s">
        <v>1170</v>
      </c>
      <c r="C44" s="515" t="s">
        <v>1171</v>
      </c>
      <c r="D44" s="195" t="s">
        <v>1172</v>
      </c>
      <c r="E44" s="515" t="s">
        <v>1173</v>
      </c>
      <c r="F44" s="511">
        <v>59</v>
      </c>
      <c r="G44" s="512"/>
      <c r="H44" s="22" t="s">
        <v>1132</v>
      </c>
      <c r="I44" s="22" t="s">
        <v>1132</v>
      </c>
      <c r="J44" s="25"/>
      <c r="K44" s="25"/>
      <c r="L44" s="25"/>
      <c r="M44" s="25"/>
      <c r="N44" s="25"/>
      <c r="O44" s="25"/>
      <c r="P44" s="25"/>
      <c r="Q44" s="25"/>
      <c r="R44" s="25"/>
      <c r="S44" s="25"/>
      <c r="T44" s="25"/>
      <c r="U44" s="25"/>
      <c r="V44" s="25"/>
      <c r="W44" s="25"/>
      <c r="X44" s="25"/>
      <c r="Y44" s="25"/>
      <c r="Z44" s="25"/>
      <c r="AA44" s="22" t="s">
        <v>1132</v>
      </c>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row>
    <row r="45" spans="1:54" ht="8.25" customHeight="1">
      <c r="A45" s="64">
        <v>5</v>
      </c>
      <c r="B45" s="514"/>
      <c r="C45" s="516"/>
      <c r="D45" s="195" t="s">
        <v>1174</v>
      </c>
      <c r="E45" s="516"/>
      <c r="F45" s="511">
        <v>60</v>
      </c>
      <c r="G45" s="512"/>
      <c r="H45" s="22" t="s">
        <v>1132</v>
      </c>
      <c r="I45" s="22" t="s">
        <v>1132</v>
      </c>
      <c r="J45" s="25"/>
      <c r="K45" s="25"/>
      <c r="L45" s="25"/>
      <c r="M45" s="25"/>
      <c r="N45" s="25"/>
      <c r="O45" s="25"/>
      <c r="P45" s="25"/>
      <c r="Q45" s="25"/>
      <c r="R45" s="25"/>
      <c r="S45" s="25"/>
      <c r="T45" s="25"/>
      <c r="U45" s="25"/>
      <c r="V45" s="25"/>
      <c r="W45" s="25"/>
      <c r="X45" s="25"/>
      <c r="Y45" s="25"/>
      <c r="Z45" s="25"/>
      <c r="AA45" s="22" t="s">
        <v>1132</v>
      </c>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row>
    <row r="46" spans="1:54" ht="8.25" customHeight="1">
      <c r="A46" s="25"/>
      <c r="B46" s="25"/>
      <c r="C46" s="25"/>
      <c r="D46" s="25"/>
      <c r="E46" s="25"/>
      <c r="F46" s="415"/>
      <c r="G46" s="417"/>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row>
    <row r="47" spans="1:54" ht="8.25" customHeight="1">
      <c r="A47" s="25"/>
      <c r="B47" s="25"/>
      <c r="C47" s="25"/>
      <c r="D47" s="25"/>
      <c r="E47" s="25"/>
      <c r="F47" s="415"/>
      <c r="G47" s="417"/>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row>
    <row r="48" spans="1:54" ht="8.25" customHeight="1">
      <c r="A48" s="25"/>
      <c r="B48" s="25"/>
      <c r="C48" s="25"/>
      <c r="D48" s="25"/>
      <c r="E48" s="25"/>
      <c r="F48" s="415"/>
      <c r="G48" s="417"/>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row>
    <row r="49" spans="1:54" ht="10.5" customHeight="1">
      <c r="A49" s="390" t="s">
        <v>1250</v>
      </c>
      <c r="B49" s="421"/>
      <c r="C49" s="421"/>
      <c r="D49" s="421"/>
      <c r="E49" s="421"/>
      <c r="F49" s="421"/>
      <c r="G49" s="421"/>
      <c r="H49" s="421"/>
      <c r="I49" s="421"/>
      <c r="J49" s="421"/>
      <c r="K49" s="421"/>
      <c r="L49" s="421"/>
      <c r="M49" s="421"/>
      <c r="N49" s="421"/>
      <c r="O49" s="421"/>
      <c r="P49" s="421"/>
      <c r="Q49" s="421"/>
      <c r="R49" s="421"/>
      <c r="S49" s="391"/>
      <c r="T49" s="433"/>
      <c r="U49" s="435"/>
      <c r="V49" s="433"/>
      <c r="W49" s="434"/>
      <c r="X49" s="435"/>
      <c r="Y49" s="433"/>
      <c r="Z49" s="434"/>
      <c r="AA49" s="434"/>
      <c r="AB49" s="434"/>
      <c r="AC49" s="434"/>
      <c r="AD49" s="434"/>
      <c r="AE49" s="434"/>
      <c r="AF49" s="434"/>
      <c r="AG49" s="434"/>
      <c r="AH49" s="434"/>
      <c r="AI49" s="434"/>
      <c r="AJ49" s="435"/>
      <c r="AK49" s="433"/>
      <c r="AL49" s="434"/>
      <c r="AM49" s="435"/>
      <c r="AN49" s="508" t="s">
        <v>1251</v>
      </c>
      <c r="AO49" s="509"/>
      <c r="AP49" s="510"/>
      <c r="AQ49" s="508" t="s">
        <v>1252</v>
      </c>
      <c r="AR49" s="509"/>
      <c r="AS49" s="510"/>
      <c r="AT49" s="508" t="s">
        <v>1253</v>
      </c>
      <c r="AU49" s="509"/>
      <c r="AV49" s="510"/>
      <c r="AW49" s="433"/>
      <c r="AX49" s="434"/>
      <c r="AY49" s="435"/>
      <c r="AZ49" s="433"/>
      <c r="BA49" s="434"/>
      <c r="BB49" s="435"/>
    </row>
    <row r="50" spans="1:54" ht="8.25" customHeight="1">
      <c r="A50" s="422"/>
      <c r="B50" s="423"/>
      <c r="C50" s="423"/>
      <c r="D50" s="423"/>
      <c r="E50" s="423"/>
      <c r="F50" s="423"/>
      <c r="G50" s="423"/>
      <c r="H50" s="423"/>
      <c r="I50" s="423"/>
      <c r="J50" s="423"/>
      <c r="K50" s="423"/>
      <c r="L50" s="423"/>
      <c r="M50" s="423"/>
      <c r="N50" s="423"/>
      <c r="O50" s="423"/>
      <c r="P50" s="423"/>
      <c r="Q50" s="423"/>
      <c r="R50" s="423"/>
      <c r="S50" s="424"/>
      <c r="T50" s="503">
        <v>5</v>
      </c>
      <c r="U50" s="504"/>
      <c r="V50" s="505">
        <v>45483</v>
      </c>
      <c r="W50" s="506"/>
      <c r="X50" s="507"/>
      <c r="Y50" s="477" t="s">
        <v>1254</v>
      </c>
      <c r="Z50" s="478"/>
      <c r="AA50" s="478"/>
      <c r="AB50" s="478"/>
      <c r="AC50" s="478"/>
      <c r="AD50" s="478"/>
      <c r="AE50" s="478"/>
      <c r="AF50" s="478"/>
      <c r="AG50" s="478"/>
      <c r="AH50" s="478"/>
      <c r="AI50" s="478"/>
      <c r="AJ50" s="479"/>
      <c r="AK50" s="497" t="s">
        <v>1255</v>
      </c>
      <c r="AL50" s="498"/>
      <c r="AM50" s="499"/>
      <c r="AN50" s="494" t="s">
        <v>1256</v>
      </c>
      <c r="AO50" s="495"/>
      <c r="AP50" s="496"/>
      <c r="AQ50" s="497" t="s">
        <v>1257</v>
      </c>
      <c r="AR50" s="498"/>
      <c r="AS50" s="499"/>
      <c r="AT50" s="497" t="s">
        <v>1258</v>
      </c>
      <c r="AU50" s="498"/>
      <c r="AV50" s="499"/>
      <c r="AW50" s="415"/>
      <c r="AX50" s="416"/>
      <c r="AY50" s="417"/>
      <c r="AZ50" s="415"/>
      <c r="BA50" s="416"/>
      <c r="BB50" s="417"/>
    </row>
    <row r="51" spans="1:54" ht="8.25" customHeight="1">
      <c r="A51" s="422"/>
      <c r="B51" s="423"/>
      <c r="C51" s="423"/>
      <c r="D51" s="423"/>
      <c r="E51" s="423"/>
      <c r="F51" s="423"/>
      <c r="G51" s="423"/>
      <c r="H51" s="423"/>
      <c r="I51" s="423"/>
      <c r="J51" s="423"/>
      <c r="K51" s="423"/>
      <c r="L51" s="423"/>
      <c r="M51" s="423"/>
      <c r="N51" s="423"/>
      <c r="O51" s="423"/>
      <c r="P51" s="423"/>
      <c r="Q51" s="423"/>
      <c r="R51" s="423"/>
      <c r="S51" s="424"/>
      <c r="T51" s="503">
        <v>4</v>
      </c>
      <c r="U51" s="504"/>
      <c r="V51" s="505">
        <v>45439</v>
      </c>
      <c r="W51" s="506"/>
      <c r="X51" s="507"/>
      <c r="Y51" s="477" t="s">
        <v>1254</v>
      </c>
      <c r="Z51" s="478"/>
      <c r="AA51" s="478"/>
      <c r="AB51" s="478"/>
      <c r="AC51" s="478"/>
      <c r="AD51" s="478"/>
      <c r="AE51" s="478"/>
      <c r="AF51" s="478"/>
      <c r="AG51" s="478"/>
      <c r="AH51" s="478"/>
      <c r="AI51" s="478"/>
      <c r="AJ51" s="479"/>
      <c r="AK51" s="497" t="s">
        <v>1255</v>
      </c>
      <c r="AL51" s="498"/>
      <c r="AM51" s="499"/>
      <c r="AN51" s="494" t="s">
        <v>1256</v>
      </c>
      <c r="AO51" s="495"/>
      <c r="AP51" s="496"/>
      <c r="AQ51" s="497" t="s">
        <v>1257</v>
      </c>
      <c r="AR51" s="498"/>
      <c r="AS51" s="499"/>
      <c r="AT51" s="497" t="s">
        <v>1258</v>
      </c>
      <c r="AU51" s="498"/>
      <c r="AV51" s="499"/>
      <c r="AW51" s="415"/>
      <c r="AX51" s="416"/>
      <c r="AY51" s="417"/>
      <c r="AZ51" s="415"/>
      <c r="BA51" s="416"/>
      <c r="BB51" s="417"/>
    </row>
    <row r="52" spans="1:54" ht="11.4" customHeight="1">
      <c r="A52" s="422"/>
      <c r="B52" s="423"/>
      <c r="C52" s="423"/>
      <c r="D52" s="423"/>
      <c r="E52" s="423"/>
      <c r="F52" s="423"/>
      <c r="G52" s="423"/>
      <c r="H52" s="423"/>
      <c r="I52" s="423"/>
      <c r="J52" s="423"/>
      <c r="K52" s="423"/>
      <c r="L52" s="423"/>
      <c r="M52" s="423"/>
      <c r="N52" s="423"/>
      <c r="O52" s="423"/>
      <c r="P52" s="423"/>
      <c r="Q52" s="423"/>
      <c r="R52" s="423"/>
      <c r="S52" s="424"/>
      <c r="T52" s="503">
        <v>3</v>
      </c>
      <c r="U52" s="504"/>
      <c r="V52" s="505">
        <v>45408</v>
      </c>
      <c r="W52" s="506"/>
      <c r="X52" s="507"/>
      <c r="Y52" s="477" t="s">
        <v>1259</v>
      </c>
      <c r="Z52" s="478"/>
      <c r="AA52" s="478"/>
      <c r="AB52" s="478"/>
      <c r="AC52" s="478"/>
      <c r="AD52" s="478"/>
      <c r="AE52" s="478"/>
      <c r="AF52" s="478"/>
      <c r="AG52" s="478"/>
      <c r="AH52" s="478"/>
      <c r="AI52" s="478"/>
      <c r="AJ52" s="479"/>
      <c r="AK52" s="497" t="s">
        <v>1255</v>
      </c>
      <c r="AL52" s="498"/>
      <c r="AM52" s="499"/>
      <c r="AN52" s="494" t="s">
        <v>1256</v>
      </c>
      <c r="AO52" s="495"/>
      <c r="AP52" s="496"/>
      <c r="AQ52" s="497" t="s">
        <v>1257</v>
      </c>
      <c r="AR52" s="498"/>
      <c r="AS52" s="499"/>
      <c r="AT52" s="497" t="s">
        <v>1258</v>
      </c>
      <c r="AU52" s="498"/>
      <c r="AV52" s="499"/>
      <c r="AW52" s="433"/>
      <c r="AX52" s="434"/>
      <c r="AY52" s="435"/>
      <c r="AZ52" s="433"/>
      <c r="BA52" s="434"/>
      <c r="BB52" s="435"/>
    </row>
    <row r="53" spans="1:54" ht="11.4" customHeight="1">
      <c r="A53" s="422"/>
      <c r="B53" s="423"/>
      <c r="C53" s="423"/>
      <c r="D53" s="423"/>
      <c r="E53" s="423"/>
      <c r="F53" s="423"/>
      <c r="G53" s="423"/>
      <c r="H53" s="423"/>
      <c r="I53" s="423"/>
      <c r="J53" s="423"/>
      <c r="K53" s="423"/>
      <c r="L53" s="423"/>
      <c r="M53" s="423"/>
      <c r="N53" s="423"/>
      <c r="O53" s="423"/>
      <c r="P53" s="423"/>
      <c r="Q53" s="423"/>
      <c r="R53" s="423"/>
      <c r="S53" s="424"/>
      <c r="T53" s="503">
        <v>2</v>
      </c>
      <c r="U53" s="504"/>
      <c r="V53" s="505">
        <v>45120</v>
      </c>
      <c r="W53" s="506"/>
      <c r="X53" s="507"/>
      <c r="Y53" s="477" t="s">
        <v>1260</v>
      </c>
      <c r="Z53" s="478"/>
      <c r="AA53" s="478"/>
      <c r="AB53" s="478"/>
      <c r="AC53" s="478"/>
      <c r="AD53" s="478"/>
      <c r="AE53" s="478"/>
      <c r="AF53" s="478"/>
      <c r="AG53" s="478"/>
      <c r="AH53" s="478"/>
      <c r="AI53" s="478"/>
      <c r="AJ53" s="479"/>
      <c r="AK53" s="497" t="s">
        <v>1255</v>
      </c>
      <c r="AL53" s="498"/>
      <c r="AM53" s="499"/>
      <c r="AN53" s="494" t="s">
        <v>1256</v>
      </c>
      <c r="AO53" s="495"/>
      <c r="AP53" s="496"/>
      <c r="AQ53" s="497" t="s">
        <v>1257</v>
      </c>
      <c r="AR53" s="498"/>
      <c r="AS53" s="499"/>
      <c r="AT53" s="497" t="s">
        <v>1258</v>
      </c>
      <c r="AU53" s="498"/>
      <c r="AV53" s="499"/>
      <c r="AW53" s="433"/>
      <c r="AX53" s="434"/>
      <c r="AY53" s="435"/>
      <c r="AZ53" s="433"/>
      <c r="BA53" s="434"/>
      <c r="BB53" s="435"/>
    </row>
    <row r="54" spans="1:54" ht="11.4" customHeight="1">
      <c r="A54" s="422"/>
      <c r="B54" s="423"/>
      <c r="C54" s="423"/>
      <c r="D54" s="423"/>
      <c r="E54" s="423"/>
      <c r="F54" s="423"/>
      <c r="G54" s="423"/>
      <c r="H54" s="423"/>
      <c r="I54" s="423"/>
      <c r="J54" s="423"/>
      <c r="K54" s="423"/>
      <c r="L54" s="423"/>
      <c r="M54" s="423"/>
      <c r="N54" s="423"/>
      <c r="O54" s="423"/>
      <c r="P54" s="423"/>
      <c r="Q54" s="423"/>
      <c r="R54" s="423"/>
      <c r="S54" s="424"/>
      <c r="T54" s="503">
        <v>1</v>
      </c>
      <c r="U54" s="504"/>
      <c r="V54" s="505">
        <v>44999</v>
      </c>
      <c r="W54" s="506"/>
      <c r="X54" s="507"/>
      <c r="Y54" s="477" t="s">
        <v>1261</v>
      </c>
      <c r="Z54" s="478"/>
      <c r="AA54" s="478"/>
      <c r="AB54" s="478"/>
      <c r="AC54" s="478"/>
      <c r="AD54" s="478"/>
      <c r="AE54" s="478"/>
      <c r="AF54" s="478"/>
      <c r="AG54" s="478"/>
      <c r="AH54" s="478"/>
      <c r="AI54" s="478"/>
      <c r="AJ54" s="479"/>
      <c r="AK54" s="497" t="s">
        <v>1255</v>
      </c>
      <c r="AL54" s="498"/>
      <c r="AM54" s="499"/>
      <c r="AN54" s="494" t="s">
        <v>1256</v>
      </c>
      <c r="AO54" s="495"/>
      <c r="AP54" s="496"/>
      <c r="AQ54" s="497" t="s">
        <v>1257</v>
      </c>
      <c r="AR54" s="498"/>
      <c r="AS54" s="499"/>
      <c r="AT54" s="497" t="s">
        <v>1258</v>
      </c>
      <c r="AU54" s="498"/>
      <c r="AV54" s="499"/>
      <c r="AW54" s="433"/>
      <c r="AX54" s="434"/>
      <c r="AY54" s="435"/>
      <c r="AZ54" s="433"/>
      <c r="BA54" s="434"/>
      <c r="BB54" s="435"/>
    </row>
    <row r="55" spans="1:54" ht="11.4" customHeight="1">
      <c r="A55" s="422"/>
      <c r="B55" s="423"/>
      <c r="C55" s="423"/>
      <c r="D55" s="423"/>
      <c r="E55" s="423"/>
      <c r="F55" s="423"/>
      <c r="G55" s="423"/>
      <c r="H55" s="423"/>
      <c r="I55" s="423"/>
      <c r="J55" s="423"/>
      <c r="K55" s="423"/>
      <c r="L55" s="423"/>
      <c r="M55" s="423"/>
      <c r="N55" s="423"/>
      <c r="O55" s="423"/>
      <c r="P55" s="423"/>
      <c r="Q55" s="423"/>
      <c r="R55" s="423"/>
      <c r="S55" s="424"/>
      <c r="T55" s="494" t="s">
        <v>1262</v>
      </c>
      <c r="U55" s="496"/>
      <c r="V55" s="494" t="s">
        <v>1263</v>
      </c>
      <c r="W55" s="495"/>
      <c r="X55" s="496"/>
      <c r="Y55" s="477" t="s">
        <v>1264</v>
      </c>
      <c r="Z55" s="478"/>
      <c r="AA55" s="478"/>
      <c r="AB55" s="478"/>
      <c r="AC55" s="478"/>
      <c r="AD55" s="478"/>
      <c r="AE55" s="478"/>
      <c r="AF55" s="478"/>
      <c r="AG55" s="478"/>
      <c r="AH55" s="478"/>
      <c r="AI55" s="478"/>
      <c r="AJ55" s="479"/>
      <c r="AK55" s="497" t="s">
        <v>1265</v>
      </c>
      <c r="AL55" s="498"/>
      <c r="AM55" s="499"/>
      <c r="AN55" s="494" t="s">
        <v>1266</v>
      </c>
      <c r="AO55" s="495"/>
      <c r="AP55" s="496"/>
      <c r="AQ55" s="494" t="s">
        <v>1267</v>
      </c>
      <c r="AR55" s="495"/>
      <c r="AS55" s="496"/>
      <c r="AT55" s="494" t="s">
        <v>1268</v>
      </c>
      <c r="AU55" s="495"/>
      <c r="AV55" s="496"/>
      <c r="AW55" s="497" t="s">
        <v>1269</v>
      </c>
      <c r="AX55" s="498"/>
      <c r="AY55" s="499"/>
      <c r="AZ55" s="477" t="s">
        <v>1270</v>
      </c>
      <c r="BA55" s="478"/>
      <c r="BB55" s="479"/>
    </row>
    <row r="56" spans="1:54" ht="11.4" customHeight="1">
      <c r="A56" s="422"/>
      <c r="B56" s="423"/>
      <c r="C56" s="423"/>
      <c r="D56" s="423"/>
      <c r="E56" s="423"/>
      <c r="F56" s="423"/>
      <c r="G56" s="423"/>
      <c r="H56" s="423"/>
      <c r="I56" s="423"/>
      <c r="J56" s="423"/>
      <c r="K56" s="423"/>
      <c r="L56" s="423"/>
      <c r="M56" s="423"/>
      <c r="N56" s="423"/>
      <c r="O56" s="423"/>
      <c r="P56" s="423"/>
      <c r="Q56" s="423"/>
      <c r="R56" s="423"/>
      <c r="S56" s="424"/>
      <c r="T56" s="390"/>
      <c r="U56" s="421"/>
      <c r="V56" s="421"/>
      <c r="W56" s="421"/>
      <c r="X56" s="421"/>
      <c r="Y56" s="421"/>
      <c r="Z56" s="421"/>
      <c r="AA56" s="421"/>
      <c r="AB56" s="421"/>
      <c r="AC56" s="421"/>
      <c r="AD56" s="421"/>
      <c r="AE56" s="421"/>
      <c r="AF56" s="421"/>
      <c r="AG56" s="421"/>
      <c r="AH56" s="421"/>
      <c r="AI56" s="421"/>
      <c r="AJ56" s="391"/>
      <c r="AK56" s="486" t="s">
        <v>1271</v>
      </c>
      <c r="AL56" s="487"/>
      <c r="AM56" s="487"/>
      <c r="AN56" s="487"/>
      <c r="AO56" s="487"/>
      <c r="AP56" s="487"/>
      <c r="AQ56" s="487"/>
      <c r="AR56" s="487"/>
      <c r="AS56" s="487"/>
      <c r="AT56" s="487"/>
      <c r="AU56" s="487"/>
      <c r="AV56" s="487"/>
      <c r="AW56" s="487"/>
      <c r="AX56" s="487"/>
      <c r="AY56" s="487"/>
      <c r="AZ56" s="487"/>
      <c r="BA56" s="487"/>
      <c r="BB56" s="488"/>
    </row>
    <row r="57" spans="1:54" ht="23.25" customHeight="1">
      <c r="A57" s="422"/>
      <c r="B57" s="423"/>
      <c r="C57" s="423"/>
      <c r="D57" s="423"/>
      <c r="E57" s="423"/>
      <c r="F57" s="423"/>
      <c r="G57" s="423"/>
      <c r="H57" s="423"/>
      <c r="I57" s="423"/>
      <c r="J57" s="423"/>
      <c r="K57" s="423"/>
      <c r="L57" s="423"/>
      <c r="M57" s="423"/>
      <c r="N57" s="423"/>
      <c r="O57" s="423"/>
      <c r="P57" s="423"/>
      <c r="Q57" s="423"/>
      <c r="R57" s="423"/>
      <c r="S57" s="424"/>
      <c r="T57" s="422"/>
      <c r="U57" s="423"/>
      <c r="V57" s="423"/>
      <c r="W57" s="423"/>
      <c r="X57" s="423"/>
      <c r="Y57" s="423"/>
      <c r="Z57" s="423"/>
      <c r="AA57" s="423"/>
      <c r="AB57" s="423"/>
      <c r="AC57" s="423"/>
      <c r="AD57" s="423"/>
      <c r="AE57" s="423"/>
      <c r="AF57" s="423"/>
      <c r="AG57" s="423"/>
      <c r="AH57" s="423"/>
      <c r="AI57" s="423"/>
      <c r="AJ57" s="424"/>
      <c r="AK57" s="500" t="s">
        <v>1272</v>
      </c>
      <c r="AL57" s="501"/>
      <c r="AM57" s="501"/>
      <c r="AN57" s="501"/>
      <c r="AO57" s="501"/>
      <c r="AP57" s="501"/>
      <c r="AQ57" s="501"/>
      <c r="AR57" s="501"/>
      <c r="AS57" s="501"/>
      <c r="AT57" s="501"/>
      <c r="AU57" s="501"/>
      <c r="AV57" s="501"/>
      <c r="AW57" s="501"/>
      <c r="AX57" s="501"/>
      <c r="AY57" s="501"/>
      <c r="AZ57" s="501"/>
      <c r="BA57" s="501"/>
      <c r="BB57" s="502"/>
    </row>
    <row r="58" spans="1:54" ht="11.4" customHeight="1">
      <c r="A58" s="422"/>
      <c r="B58" s="423"/>
      <c r="C58" s="423"/>
      <c r="D58" s="423"/>
      <c r="E58" s="423"/>
      <c r="F58" s="423"/>
      <c r="G58" s="423"/>
      <c r="H58" s="423"/>
      <c r="I58" s="423"/>
      <c r="J58" s="423"/>
      <c r="K58" s="423"/>
      <c r="L58" s="423"/>
      <c r="M58" s="423"/>
      <c r="N58" s="423"/>
      <c r="O58" s="423"/>
      <c r="P58" s="423"/>
      <c r="Q58" s="423"/>
      <c r="R58" s="423"/>
      <c r="S58" s="424"/>
      <c r="T58" s="392"/>
      <c r="U58" s="425"/>
      <c r="V58" s="425"/>
      <c r="W58" s="425"/>
      <c r="X58" s="425"/>
      <c r="Y58" s="425"/>
      <c r="Z58" s="425"/>
      <c r="AA58" s="425"/>
      <c r="AB58" s="425"/>
      <c r="AC58" s="425"/>
      <c r="AD58" s="425"/>
      <c r="AE58" s="425"/>
      <c r="AF58" s="425"/>
      <c r="AG58" s="425"/>
      <c r="AH58" s="425"/>
      <c r="AI58" s="425"/>
      <c r="AJ58" s="393"/>
      <c r="AK58" s="72" t="s">
        <v>1273</v>
      </c>
      <c r="AL58" s="41"/>
      <c r="AM58" s="41"/>
      <c r="AN58" s="41"/>
      <c r="AO58" s="41"/>
      <c r="AP58" s="41"/>
      <c r="AQ58" s="41"/>
      <c r="AR58" s="41"/>
      <c r="AS58" s="41"/>
      <c r="AT58" s="41"/>
      <c r="AU58" s="41"/>
      <c r="AV58" s="41"/>
      <c r="AW58" s="41"/>
      <c r="AX58" s="41"/>
      <c r="AY58" s="41"/>
      <c r="AZ58" s="41"/>
      <c r="BA58" s="41"/>
      <c r="BB58" s="42"/>
    </row>
    <row r="59" spans="1:54" ht="8.4" customHeight="1">
      <c r="A59" s="422"/>
      <c r="B59" s="423"/>
      <c r="C59" s="423"/>
      <c r="D59" s="423"/>
      <c r="E59" s="423"/>
      <c r="F59" s="423"/>
      <c r="G59" s="423"/>
      <c r="H59" s="423"/>
      <c r="I59" s="423"/>
      <c r="J59" s="423"/>
      <c r="K59" s="423"/>
      <c r="L59" s="423"/>
      <c r="M59" s="423"/>
      <c r="N59" s="423"/>
      <c r="O59" s="423"/>
      <c r="P59" s="423"/>
      <c r="Q59" s="423"/>
      <c r="R59" s="423"/>
      <c r="S59" s="424"/>
      <c r="T59" s="486" t="s">
        <v>1274</v>
      </c>
      <c r="U59" s="487"/>
      <c r="V59" s="487"/>
      <c r="W59" s="487"/>
      <c r="X59" s="487"/>
      <c r="Y59" s="487"/>
      <c r="Z59" s="487"/>
      <c r="AA59" s="487"/>
      <c r="AB59" s="487"/>
      <c r="AC59" s="487"/>
      <c r="AD59" s="487"/>
      <c r="AE59" s="487"/>
      <c r="AF59" s="487"/>
      <c r="AG59" s="487"/>
      <c r="AH59" s="487"/>
      <c r="AI59" s="487"/>
      <c r="AJ59" s="488"/>
      <c r="AK59" s="43"/>
      <c r="AL59" s="44"/>
      <c r="AM59" s="44"/>
      <c r="AN59" s="44"/>
      <c r="AO59" s="44"/>
      <c r="AP59" s="44"/>
      <c r="AQ59" s="485"/>
      <c r="AR59" s="485"/>
      <c r="AS59" s="485"/>
      <c r="AT59" s="485"/>
      <c r="AU59" s="485"/>
      <c r="AV59" s="485"/>
      <c r="AW59" s="44"/>
      <c r="AX59" s="44"/>
      <c r="AY59" s="44"/>
      <c r="AZ59" s="44"/>
      <c r="BA59" s="44"/>
      <c r="BB59" s="45"/>
    </row>
    <row r="60" spans="1:54" ht="8.25" customHeight="1">
      <c r="A60" s="422"/>
      <c r="B60" s="423"/>
      <c r="C60" s="423"/>
      <c r="D60" s="423"/>
      <c r="E60" s="423"/>
      <c r="F60" s="423"/>
      <c r="G60" s="423"/>
      <c r="H60" s="423"/>
      <c r="I60" s="423"/>
      <c r="J60" s="423"/>
      <c r="K60" s="423"/>
      <c r="L60" s="423"/>
      <c r="M60" s="423"/>
      <c r="N60" s="423"/>
      <c r="O60" s="423"/>
      <c r="P60" s="423"/>
      <c r="Q60" s="423"/>
      <c r="R60" s="423"/>
      <c r="S60" s="424"/>
      <c r="T60" s="486" t="s">
        <v>1275</v>
      </c>
      <c r="U60" s="487"/>
      <c r="V60" s="487"/>
      <c r="W60" s="487"/>
      <c r="X60" s="487"/>
      <c r="Y60" s="487"/>
      <c r="Z60" s="487"/>
      <c r="AA60" s="487"/>
      <c r="AB60" s="487"/>
      <c r="AC60" s="487"/>
      <c r="AD60" s="487"/>
      <c r="AE60" s="487"/>
      <c r="AF60" s="487"/>
      <c r="AG60" s="487"/>
      <c r="AH60" s="487"/>
      <c r="AI60" s="487"/>
      <c r="AJ60" s="488"/>
      <c r="AK60" s="43"/>
      <c r="AL60" s="44"/>
      <c r="AM60" s="44"/>
      <c r="AN60" s="44"/>
      <c r="AO60" s="44"/>
      <c r="AP60" s="44"/>
      <c r="AQ60" s="489" t="s">
        <v>1276</v>
      </c>
      <c r="AR60" s="489"/>
      <c r="AS60" s="489"/>
      <c r="AT60" s="489"/>
      <c r="AU60" s="489"/>
      <c r="AV60" s="489"/>
      <c r="AW60" s="44"/>
      <c r="AX60" s="44"/>
      <c r="AY60" s="44"/>
      <c r="AZ60" s="44"/>
      <c r="BA60" s="44"/>
      <c r="BB60" s="45"/>
    </row>
    <row r="61" spans="1:54" ht="9.6" customHeight="1">
      <c r="A61" s="392"/>
      <c r="B61" s="425"/>
      <c r="C61" s="425"/>
      <c r="D61" s="425"/>
      <c r="E61" s="425"/>
      <c r="F61" s="425"/>
      <c r="G61" s="425"/>
      <c r="H61" s="425"/>
      <c r="I61" s="425"/>
      <c r="J61" s="425"/>
      <c r="K61" s="425"/>
      <c r="L61" s="425"/>
      <c r="M61" s="425"/>
      <c r="N61" s="425"/>
      <c r="O61" s="425"/>
      <c r="P61" s="425"/>
      <c r="Q61" s="425"/>
      <c r="R61" s="425"/>
      <c r="S61" s="393"/>
      <c r="T61" s="490" t="s">
        <v>1277</v>
      </c>
      <c r="U61" s="491"/>
      <c r="V61" s="491"/>
      <c r="W61" s="491"/>
      <c r="X61" s="491"/>
      <c r="Y61" s="491"/>
      <c r="Z61" s="491"/>
      <c r="AA61" s="491"/>
      <c r="AB61" s="491"/>
      <c r="AC61" s="491"/>
      <c r="AD61" s="491"/>
      <c r="AE61" s="491"/>
      <c r="AF61" s="491"/>
      <c r="AG61" s="491"/>
      <c r="AH61" s="491"/>
      <c r="AI61" s="491"/>
      <c r="AJ61" s="492"/>
      <c r="AK61" s="73"/>
      <c r="AL61" s="55"/>
      <c r="AM61" s="55"/>
      <c r="AN61" s="55"/>
      <c r="AO61" s="55"/>
      <c r="AP61" s="55"/>
      <c r="AQ61" s="493"/>
      <c r="AR61" s="493"/>
      <c r="AS61" s="493"/>
      <c r="AT61" s="493"/>
      <c r="AU61" s="493"/>
      <c r="AV61" s="493"/>
      <c r="AW61" s="55"/>
      <c r="AX61" s="55"/>
      <c r="AY61" s="55"/>
      <c r="AZ61" s="55"/>
      <c r="BA61" s="55"/>
      <c r="BB61" s="56"/>
    </row>
    <row r="62" spans="1:54" ht="13.35" customHeight="1">
      <c r="A62" s="470" t="s">
        <v>1278</v>
      </c>
      <c r="B62" s="471"/>
      <c r="C62" s="471"/>
      <c r="D62" s="471"/>
      <c r="E62" s="471"/>
      <c r="F62" s="471"/>
      <c r="G62" s="471"/>
      <c r="H62" s="471"/>
      <c r="I62" s="471"/>
      <c r="J62" s="471"/>
      <c r="K62" s="471"/>
      <c r="L62" s="471"/>
      <c r="M62" s="471"/>
      <c r="N62" s="471"/>
      <c r="O62" s="471"/>
      <c r="P62" s="471"/>
      <c r="Q62" s="471"/>
      <c r="R62" s="471"/>
      <c r="S62" s="472"/>
      <c r="T62" s="390"/>
      <c r="U62" s="391"/>
      <c r="V62" s="470" t="s">
        <v>1279</v>
      </c>
      <c r="W62" s="471"/>
      <c r="X62" s="471"/>
      <c r="Y62" s="472"/>
      <c r="Z62" s="470" t="s">
        <v>1280</v>
      </c>
      <c r="AA62" s="471"/>
      <c r="AB62" s="471"/>
      <c r="AC62" s="471"/>
      <c r="AD62" s="471"/>
      <c r="AE62" s="472"/>
      <c r="AF62" s="477" t="s">
        <v>1281</v>
      </c>
      <c r="AG62" s="478"/>
      <c r="AH62" s="479"/>
      <c r="AI62" s="483">
        <v>3</v>
      </c>
      <c r="AJ62" s="484"/>
      <c r="AK62" s="464" t="s">
        <v>1282</v>
      </c>
      <c r="AL62" s="465"/>
      <c r="AM62" s="466"/>
      <c r="AN62" s="470" t="s">
        <v>1283</v>
      </c>
      <c r="AO62" s="471"/>
      <c r="AP62" s="471"/>
      <c r="AQ62" s="471"/>
      <c r="AR62" s="471"/>
      <c r="AS62" s="471"/>
      <c r="AT62" s="471"/>
      <c r="AU62" s="471"/>
      <c r="AV62" s="471"/>
      <c r="AW62" s="471"/>
      <c r="AX62" s="472"/>
      <c r="AY62" s="40"/>
      <c r="AZ62" s="476" t="s">
        <v>1262</v>
      </c>
      <c r="BA62" s="476"/>
      <c r="BB62" s="42"/>
    </row>
    <row r="63" spans="1:54" ht="13.35" customHeight="1">
      <c r="A63" s="473"/>
      <c r="B63" s="474"/>
      <c r="C63" s="474"/>
      <c r="D63" s="474"/>
      <c r="E63" s="474"/>
      <c r="F63" s="474"/>
      <c r="G63" s="474"/>
      <c r="H63" s="474"/>
      <c r="I63" s="474"/>
      <c r="J63" s="474"/>
      <c r="K63" s="474"/>
      <c r="L63" s="474"/>
      <c r="M63" s="474"/>
      <c r="N63" s="474"/>
      <c r="O63" s="474"/>
      <c r="P63" s="474"/>
      <c r="Q63" s="474"/>
      <c r="R63" s="474"/>
      <c r="S63" s="475"/>
      <c r="T63" s="392"/>
      <c r="U63" s="393"/>
      <c r="V63" s="473"/>
      <c r="W63" s="474"/>
      <c r="X63" s="474"/>
      <c r="Y63" s="475"/>
      <c r="Z63" s="473"/>
      <c r="AA63" s="474"/>
      <c r="AB63" s="474"/>
      <c r="AC63" s="474"/>
      <c r="AD63" s="474"/>
      <c r="AE63" s="475"/>
      <c r="AF63" s="477" t="s">
        <v>1284</v>
      </c>
      <c r="AG63" s="478"/>
      <c r="AH63" s="479"/>
      <c r="AI63" s="480">
        <v>5</v>
      </c>
      <c r="AJ63" s="481"/>
      <c r="AK63" s="467"/>
      <c r="AL63" s="468"/>
      <c r="AM63" s="469"/>
      <c r="AN63" s="473"/>
      <c r="AO63" s="474"/>
      <c r="AP63" s="474"/>
      <c r="AQ63" s="474"/>
      <c r="AR63" s="474"/>
      <c r="AS63" s="474"/>
      <c r="AT63" s="474"/>
      <c r="AU63" s="474"/>
      <c r="AV63" s="474"/>
      <c r="AW63" s="474"/>
      <c r="AX63" s="475"/>
      <c r="AY63" s="58"/>
      <c r="AZ63" s="482">
        <v>5</v>
      </c>
      <c r="BA63" s="482"/>
      <c r="BB63" s="61"/>
    </row>
  </sheetData>
  <mergeCells count="189">
    <mergeCell ref="F9:G9"/>
    <mergeCell ref="F10:G10"/>
    <mergeCell ref="F11:G11"/>
    <mergeCell ref="F5:G5"/>
    <mergeCell ref="A1:E3"/>
    <mergeCell ref="F1:F3"/>
    <mergeCell ref="F38:G38"/>
    <mergeCell ref="F39:G39"/>
    <mergeCell ref="F30:G30"/>
    <mergeCell ref="F31:G31"/>
    <mergeCell ref="F32:G32"/>
    <mergeCell ref="F33:G33"/>
    <mergeCell ref="F34:G34"/>
    <mergeCell ref="F35:G35"/>
    <mergeCell ref="F24:G24"/>
    <mergeCell ref="F25:G25"/>
    <mergeCell ref="F26:G26"/>
    <mergeCell ref="F27:G27"/>
    <mergeCell ref="F28:G28"/>
    <mergeCell ref="F29:G29"/>
    <mergeCell ref="V1:W1"/>
    <mergeCell ref="Z1:AA1"/>
    <mergeCell ref="A4:F4"/>
    <mergeCell ref="H4:H5"/>
    <mergeCell ref="I4:I5"/>
    <mergeCell ref="J4:J5"/>
    <mergeCell ref="K4:K5"/>
    <mergeCell ref="F36:G36"/>
    <mergeCell ref="F37:G37"/>
    <mergeCell ref="F18:G18"/>
    <mergeCell ref="F19:G19"/>
    <mergeCell ref="F20:G20"/>
    <mergeCell ref="F21:G21"/>
    <mergeCell ref="F22:G22"/>
    <mergeCell ref="F23:G23"/>
    <mergeCell ref="F12:G12"/>
    <mergeCell ref="F13:G13"/>
    <mergeCell ref="F14:G14"/>
    <mergeCell ref="F15:G15"/>
    <mergeCell ref="F16:G16"/>
    <mergeCell ref="F17:G17"/>
    <mergeCell ref="F6:G6"/>
    <mergeCell ref="F7:G7"/>
    <mergeCell ref="F8:G8"/>
    <mergeCell ref="L4:L5"/>
    <mergeCell ref="M4:M5"/>
    <mergeCell ref="N4:N5"/>
    <mergeCell ref="O4:O5"/>
    <mergeCell ref="P4:P5"/>
    <mergeCell ref="Q4:Q5"/>
    <mergeCell ref="J1:K1"/>
    <mergeCell ref="N1:O1"/>
    <mergeCell ref="R1:S1"/>
    <mergeCell ref="X4:X5"/>
    <mergeCell ref="Y4:Y5"/>
    <mergeCell ref="Z4:Z5"/>
    <mergeCell ref="AA4:AA5"/>
    <mergeCell ref="AB4:AB5"/>
    <mergeCell ref="AC4:AC5"/>
    <mergeCell ref="R4:R5"/>
    <mergeCell ref="S4:S5"/>
    <mergeCell ref="T4:T5"/>
    <mergeCell ref="U4:U5"/>
    <mergeCell ref="V4:V5"/>
    <mergeCell ref="W4:W5"/>
    <mergeCell ref="AJ4:AJ5"/>
    <mergeCell ref="AK4:AK5"/>
    <mergeCell ref="AL4:AL5"/>
    <mergeCell ref="AM4:AM5"/>
    <mergeCell ref="AN4:AN5"/>
    <mergeCell ref="AO4:AO5"/>
    <mergeCell ref="AD4:AD5"/>
    <mergeCell ref="AE4:AE5"/>
    <mergeCell ref="AF4:AF5"/>
    <mergeCell ref="AG4:AG5"/>
    <mergeCell ref="AH4:AH5"/>
    <mergeCell ref="AI4:AI5"/>
    <mergeCell ref="F43:G43"/>
    <mergeCell ref="B44:B45"/>
    <mergeCell ref="C44:C45"/>
    <mergeCell ref="E44:E45"/>
    <mergeCell ref="F44:G44"/>
    <mergeCell ref="F45:G45"/>
    <mergeCell ref="BB4:BB5"/>
    <mergeCell ref="B6:C6"/>
    <mergeCell ref="B7:C7"/>
    <mergeCell ref="F40:G40"/>
    <mergeCell ref="F41:G41"/>
    <mergeCell ref="F42:G42"/>
    <mergeCell ref="AV4:AV5"/>
    <mergeCell ref="AW4:AW5"/>
    <mergeCell ref="AX4:AX5"/>
    <mergeCell ref="AY4:AY5"/>
    <mergeCell ref="AZ4:AZ5"/>
    <mergeCell ref="BA4:BA5"/>
    <mergeCell ref="AP4:AP5"/>
    <mergeCell ref="AQ4:AQ5"/>
    <mergeCell ref="AR4:AR5"/>
    <mergeCell ref="AS4:AS5"/>
    <mergeCell ref="AT4:AT5"/>
    <mergeCell ref="AU4:AU5"/>
    <mergeCell ref="F46:G46"/>
    <mergeCell ref="F47:G47"/>
    <mergeCell ref="F48:G48"/>
    <mergeCell ref="A49:S61"/>
    <mergeCell ref="T49:U49"/>
    <mergeCell ref="V49:X49"/>
    <mergeCell ref="T51:U51"/>
    <mergeCell ref="V51:X51"/>
    <mergeCell ref="T53:U53"/>
    <mergeCell ref="V53:X53"/>
    <mergeCell ref="T59:AJ59"/>
    <mergeCell ref="AZ49:BB49"/>
    <mergeCell ref="T50:U50"/>
    <mergeCell ref="V50:X50"/>
    <mergeCell ref="Y50:AJ50"/>
    <mergeCell ref="AK50:AM50"/>
    <mergeCell ref="AN50:AP50"/>
    <mergeCell ref="AQ50:AS50"/>
    <mergeCell ref="AT50:AV50"/>
    <mergeCell ref="AW50:AY50"/>
    <mergeCell ref="AZ50:BB50"/>
    <mergeCell ref="Y49:AJ49"/>
    <mergeCell ref="AK49:AM49"/>
    <mergeCell ref="AN49:AP49"/>
    <mergeCell ref="AQ49:AS49"/>
    <mergeCell ref="AT49:AV49"/>
    <mergeCell ref="AW49:AY49"/>
    <mergeCell ref="AZ51:BB51"/>
    <mergeCell ref="T52:U52"/>
    <mergeCell ref="V52:X52"/>
    <mergeCell ref="Y52:AJ52"/>
    <mergeCell ref="AK52:AM52"/>
    <mergeCell ref="AN52:AP52"/>
    <mergeCell ref="AQ52:AS52"/>
    <mergeCell ref="AT52:AV52"/>
    <mergeCell ref="AW52:AY52"/>
    <mergeCell ref="AZ52:BB52"/>
    <mergeCell ref="Y51:AJ51"/>
    <mergeCell ref="AK51:AM51"/>
    <mergeCell ref="AN51:AP51"/>
    <mergeCell ref="AQ51:AS51"/>
    <mergeCell ref="AT51:AV51"/>
    <mergeCell ref="AW51:AY51"/>
    <mergeCell ref="AZ53:BB53"/>
    <mergeCell ref="T54:U54"/>
    <mergeCell ref="V54:X54"/>
    <mergeCell ref="Y54:AJ54"/>
    <mergeCell ref="AK54:AM54"/>
    <mergeCell ref="AN54:AP54"/>
    <mergeCell ref="AQ54:AS54"/>
    <mergeCell ref="AT54:AV54"/>
    <mergeCell ref="AW54:AY54"/>
    <mergeCell ref="AZ54:BB54"/>
    <mergeCell ref="Y53:AJ53"/>
    <mergeCell ref="AK53:AM53"/>
    <mergeCell ref="AN53:AP53"/>
    <mergeCell ref="AQ53:AS53"/>
    <mergeCell ref="AT53:AV53"/>
    <mergeCell ref="AW53:AY53"/>
    <mergeCell ref="AQ59:AV59"/>
    <mergeCell ref="T60:AJ60"/>
    <mergeCell ref="AQ60:AV60"/>
    <mergeCell ref="T61:AJ61"/>
    <mergeCell ref="AQ61:AV61"/>
    <mergeCell ref="AT55:AV55"/>
    <mergeCell ref="AW55:AY55"/>
    <mergeCell ref="AZ55:BB55"/>
    <mergeCell ref="T56:AJ58"/>
    <mergeCell ref="AK56:BB56"/>
    <mergeCell ref="AK57:BB57"/>
    <mergeCell ref="T55:U55"/>
    <mergeCell ref="V55:X55"/>
    <mergeCell ref="Y55:AJ55"/>
    <mergeCell ref="AK55:AM55"/>
    <mergeCell ref="AN55:AP55"/>
    <mergeCell ref="AQ55:AS55"/>
    <mergeCell ref="AK62:AM63"/>
    <mergeCell ref="AN62:AX63"/>
    <mergeCell ref="AZ62:BA62"/>
    <mergeCell ref="AF63:AH63"/>
    <mergeCell ref="AI63:AJ63"/>
    <mergeCell ref="AZ63:BA63"/>
    <mergeCell ref="A62:S63"/>
    <mergeCell ref="T62:U63"/>
    <mergeCell ref="V62:Y63"/>
    <mergeCell ref="Z62:AE63"/>
    <mergeCell ref="AF62:AH62"/>
    <mergeCell ref="AI62:AJ62"/>
  </mergeCells>
  <hyperlinks>
    <hyperlink ref="T60" r:id="rId1" display="http://www.2hoffshore.com/" xr:uid="{00000000-0004-0000-0B00-000000000000}"/>
  </hyperlinks>
  <pageMargins left="0.7" right="0.7" top="0.75" bottom="0.75" header="0.3" footer="0.3"/>
  <pageSetup paperSize="9" orientation="portrait" r:id="rId2"/>
  <drawing r:id="rId3"/>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B47"/>
  <sheetViews>
    <sheetView topLeftCell="A16" zoomScale="145" zoomScaleNormal="145" workbookViewId="0">
      <selection activeCell="D11" sqref="D11"/>
    </sheetView>
  </sheetViews>
  <sheetFormatPr defaultColWidth="9.109375" defaultRowHeight="13.2"/>
  <cols>
    <col min="1" max="1" width="2.88671875" style="20" customWidth="1"/>
    <col min="2" max="2" width="12.6640625" style="20" customWidth="1"/>
    <col min="3" max="3" width="27.6640625" style="20" customWidth="1"/>
    <col min="4" max="5" width="8.109375" style="20" customWidth="1"/>
    <col min="6" max="6" width="2.88671875" style="20" customWidth="1"/>
    <col min="7" max="7" width="4.109375" style="20" customWidth="1"/>
    <col min="8" max="8" width="2.109375" style="20" customWidth="1"/>
    <col min="9" max="9" width="2.77734375" style="20" customWidth="1"/>
    <col min="10" max="11" width="2.33203125" style="20" customWidth="1"/>
    <col min="12" max="12" width="3.33203125" style="20" customWidth="1"/>
    <col min="13" max="13" width="3.6640625" style="20" customWidth="1"/>
    <col min="14" max="15" width="3.33203125" style="20" customWidth="1"/>
    <col min="16" max="16" width="3.21875" style="20" customWidth="1"/>
    <col min="17" max="17" width="3.6640625" style="20" customWidth="1"/>
    <col min="18" max="18" width="3.21875" style="20" customWidth="1"/>
    <col min="19" max="20" width="3" style="20" customWidth="1"/>
    <col min="21" max="21" width="2.88671875" style="20" customWidth="1"/>
    <col min="22" max="23" width="3" style="20" customWidth="1"/>
    <col min="24" max="26" width="3.33203125" style="20" customWidth="1"/>
    <col min="27" max="27" width="4.109375" style="20" customWidth="1"/>
    <col min="28" max="28" width="3" style="20" customWidth="1"/>
    <col min="29" max="29" width="2.88671875" style="20" customWidth="1"/>
    <col min="30" max="33" width="3" style="20" customWidth="1"/>
    <col min="34" max="34" width="2.88671875" style="20" customWidth="1"/>
    <col min="35" max="38" width="3" style="20" customWidth="1"/>
    <col min="39" max="39" width="2.88671875" style="20" customWidth="1"/>
    <col min="40" max="43" width="3" style="20" customWidth="1"/>
    <col min="44" max="44" width="2.88671875" style="20" customWidth="1"/>
    <col min="45" max="47" width="3" style="20" customWidth="1"/>
    <col min="48" max="48" width="2.77734375" style="20" customWidth="1"/>
    <col min="49" max="49" width="2.88671875" style="20" customWidth="1"/>
    <col min="50" max="51" width="2.77734375" style="20" customWidth="1"/>
    <col min="52" max="52" width="2.88671875" style="20" customWidth="1"/>
    <col min="53" max="54" width="2.77734375" style="20" customWidth="1"/>
    <col min="55" max="16384" width="9.109375" style="20"/>
  </cols>
  <sheetData>
    <row r="1" spans="1:54" ht="131.4">
      <c r="A1" s="390"/>
      <c r="B1" s="421"/>
      <c r="C1" s="421"/>
      <c r="D1" s="421"/>
      <c r="E1" s="391"/>
      <c r="F1" s="530" t="s">
        <v>1175</v>
      </c>
      <c r="G1" s="66" t="s">
        <v>1176</v>
      </c>
      <c r="H1" s="67" t="s">
        <v>1177</v>
      </c>
      <c r="I1" s="67" t="s">
        <v>1178</v>
      </c>
      <c r="J1" s="246" t="s">
        <v>3048</v>
      </c>
      <c r="K1" s="203" t="s">
        <v>1504</v>
      </c>
      <c r="L1" s="67" t="s">
        <v>1505</v>
      </c>
      <c r="M1" s="67" t="s">
        <v>1506</v>
      </c>
      <c r="N1" s="203" t="s">
        <v>1507</v>
      </c>
      <c r="O1" s="203" t="s">
        <v>1508</v>
      </c>
      <c r="P1" s="203" t="s">
        <v>1509</v>
      </c>
      <c r="Q1" s="203" t="s">
        <v>1510</v>
      </c>
      <c r="R1" s="203" t="s">
        <v>1511</v>
      </c>
      <c r="S1" s="203" t="s">
        <v>1512</v>
      </c>
      <c r="T1" s="203" t="s">
        <v>1513</v>
      </c>
      <c r="U1" s="203" t="s">
        <v>1514</v>
      </c>
      <c r="V1" s="203" t="s">
        <v>1515</v>
      </c>
      <c r="W1" s="203" t="s">
        <v>1516</v>
      </c>
      <c r="X1" s="203" t="s">
        <v>1517</v>
      </c>
      <c r="Y1" s="67" t="s">
        <v>1518</v>
      </c>
      <c r="Z1" s="67" t="s">
        <v>1519</v>
      </c>
      <c r="AA1" s="67" t="s">
        <v>1520</v>
      </c>
      <c r="AB1" s="67" t="s">
        <v>1521</v>
      </c>
      <c r="AC1" s="67" t="s">
        <v>1522</v>
      </c>
      <c r="AD1" s="246" t="s">
        <v>2919</v>
      </c>
      <c r="AE1" s="203" t="s">
        <v>1523</v>
      </c>
      <c r="AF1" s="19"/>
      <c r="AG1" s="19"/>
      <c r="AH1" s="19"/>
      <c r="AI1" s="19"/>
      <c r="AJ1" s="19"/>
      <c r="AK1" s="19"/>
      <c r="AL1" s="19"/>
      <c r="AM1" s="19"/>
      <c r="AN1" s="19"/>
      <c r="AO1" s="19"/>
      <c r="AP1" s="19"/>
      <c r="AQ1" s="19"/>
      <c r="AR1" s="19"/>
      <c r="AS1" s="19"/>
      <c r="AT1" s="19"/>
      <c r="AU1" s="19"/>
      <c r="AV1" s="19"/>
      <c r="AW1" s="19"/>
      <c r="AX1" s="19"/>
      <c r="AY1" s="19"/>
      <c r="AZ1" s="19"/>
      <c r="BA1" s="19"/>
      <c r="BB1" s="19"/>
    </row>
    <row r="2" spans="1:54" ht="41.4">
      <c r="A2" s="422"/>
      <c r="B2" s="423"/>
      <c r="C2" s="423"/>
      <c r="D2" s="423"/>
      <c r="E2" s="424"/>
      <c r="F2" s="531"/>
      <c r="G2" s="66" t="s">
        <v>1211</v>
      </c>
      <c r="H2" s="19"/>
      <c r="I2" s="19"/>
      <c r="J2" s="203" t="s">
        <v>1524</v>
      </c>
      <c r="K2" s="203" t="s">
        <v>1525</v>
      </c>
      <c r="L2" s="203" t="s">
        <v>1526</v>
      </c>
      <c r="M2" s="203" t="s">
        <v>1527</v>
      </c>
      <c r="N2" s="203" t="s">
        <v>1528</v>
      </c>
      <c r="O2" s="203" t="s">
        <v>1529</v>
      </c>
      <c r="P2" s="203" t="s">
        <v>1530</v>
      </c>
      <c r="Q2" s="203" t="s">
        <v>1531</v>
      </c>
      <c r="R2" s="203" t="s">
        <v>1532</v>
      </c>
      <c r="S2" s="203" t="s">
        <v>1533</v>
      </c>
      <c r="T2" s="203" t="s">
        <v>1534</v>
      </c>
      <c r="U2" s="203" t="s">
        <v>1535</v>
      </c>
      <c r="V2" s="203" t="s">
        <v>1536</v>
      </c>
      <c r="W2" s="203" t="s">
        <v>1537</v>
      </c>
      <c r="X2" s="203" t="s">
        <v>1538</v>
      </c>
      <c r="Y2" s="208" t="s">
        <v>1539</v>
      </c>
      <c r="Z2" s="208" t="s">
        <v>1540</v>
      </c>
      <c r="AA2" s="208" t="s">
        <v>1541</v>
      </c>
      <c r="AB2" s="208" t="s">
        <v>1542</v>
      </c>
      <c r="AC2" s="216" t="s">
        <v>2918</v>
      </c>
      <c r="AD2" s="203" t="s">
        <v>1543</v>
      </c>
      <c r="AE2" s="203" t="s">
        <v>1544</v>
      </c>
      <c r="AF2" s="19"/>
      <c r="AG2" s="19"/>
      <c r="AH2" s="19"/>
      <c r="AI2" s="19"/>
      <c r="AJ2" s="19"/>
      <c r="AK2" s="19"/>
      <c r="AL2" s="19"/>
      <c r="AM2" s="19"/>
      <c r="AN2" s="19"/>
      <c r="AO2" s="19"/>
      <c r="AP2" s="19"/>
      <c r="AQ2" s="19"/>
      <c r="AR2" s="19"/>
      <c r="AS2" s="19"/>
      <c r="AT2" s="19"/>
      <c r="AU2" s="19"/>
      <c r="AV2" s="19"/>
      <c r="AW2" s="19"/>
      <c r="AX2" s="19"/>
      <c r="AY2" s="19"/>
      <c r="AZ2" s="19"/>
      <c r="BA2" s="19"/>
      <c r="BB2" s="19"/>
    </row>
    <row r="3" spans="1:54" ht="28.8">
      <c r="A3" s="392"/>
      <c r="B3" s="425"/>
      <c r="C3" s="425"/>
      <c r="D3" s="425"/>
      <c r="E3" s="393"/>
      <c r="F3" s="531"/>
      <c r="G3" s="66" t="s">
        <v>1239</v>
      </c>
      <c r="H3" s="19"/>
      <c r="I3" s="19"/>
      <c r="J3" s="67" t="s">
        <v>1241</v>
      </c>
      <c r="K3" s="67" t="s">
        <v>1241</v>
      </c>
      <c r="L3" s="67" t="s">
        <v>1241</v>
      </c>
      <c r="M3" s="67" t="s">
        <v>1241</v>
      </c>
      <c r="N3" s="67" t="s">
        <v>1241</v>
      </c>
      <c r="O3" s="67" t="s">
        <v>1241</v>
      </c>
      <c r="P3" s="213" t="s">
        <v>3049</v>
      </c>
      <c r="Q3" s="67" t="s">
        <v>1241</v>
      </c>
      <c r="R3" s="67" t="s">
        <v>1241</v>
      </c>
      <c r="S3" s="67" t="s">
        <v>1241</v>
      </c>
      <c r="T3" s="67" t="s">
        <v>1241</v>
      </c>
      <c r="U3" s="67" t="s">
        <v>1241</v>
      </c>
      <c r="V3" s="67" t="s">
        <v>1241</v>
      </c>
      <c r="W3" s="67" t="s">
        <v>1241</v>
      </c>
      <c r="X3" s="67" t="s">
        <v>1241</v>
      </c>
      <c r="Y3" s="67" t="s">
        <v>1241</v>
      </c>
      <c r="Z3" s="67" t="s">
        <v>1241</v>
      </c>
      <c r="AA3" s="67" t="s">
        <v>1241</v>
      </c>
      <c r="AB3" s="67" t="s">
        <v>1241</v>
      </c>
      <c r="AC3" s="67" t="s">
        <v>1545</v>
      </c>
      <c r="AD3" s="67" t="s">
        <v>1241</v>
      </c>
      <c r="AE3" s="67" t="s">
        <v>1241</v>
      </c>
      <c r="AF3" s="19"/>
      <c r="AG3" s="19"/>
      <c r="AH3" s="19"/>
      <c r="AI3" s="19"/>
      <c r="AJ3" s="19"/>
      <c r="AK3" s="19"/>
      <c r="AL3" s="19"/>
      <c r="AM3" s="19"/>
      <c r="AN3" s="19"/>
      <c r="AO3" s="19"/>
      <c r="AP3" s="19"/>
      <c r="AQ3" s="19"/>
      <c r="AR3" s="19"/>
      <c r="AS3" s="19"/>
      <c r="AT3" s="19"/>
      <c r="AU3" s="19"/>
      <c r="AV3" s="19"/>
      <c r="AW3" s="19"/>
      <c r="AX3" s="19"/>
      <c r="AY3" s="19"/>
      <c r="AZ3" s="19"/>
      <c r="BA3" s="19"/>
      <c r="BB3" s="19"/>
    </row>
    <row r="4" spans="1:54" ht="15">
      <c r="A4" s="525" t="s">
        <v>1242</v>
      </c>
      <c r="B4" s="526"/>
      <c r="C4" s="526"/>
      <c r="D4" s="526"/>
      <c r="E4" s="526"/>
      <c r="F4" s="527"/>
      <c r="G4" s="68" t="s">
        <v>1243</v>
      </c>
      <c r="H4" s="521">
        <v>1</v>
      </c>
      <c r="I4" s="521">
        <v>2</v>
      </c>
      <c r="J4" s="519">
        <v>24</v>
      </c>
      <c r="K4" s="519">
        <v>25</v>
      </c>
      <c r="L4" s="519">
        <v>26</v>
      </c>
      <c r="M4" s="532">
        <v>27</v>
      </c>
      <c r="N4" s="532">
        <v>28</v>
      </c>
      <c r="O4" s="532">
        <v>29</v>
      </c>
      <c r="P4" s="532">
        <v>30</v>
      </c>
      <c r="Q4" s="532">
        <v>31</v>
      </c>
      <c r="R4" s="519">
        <v>32</v>
      </c>
      <c r="S4" s="519">
        <v>33</v>
      </c>
      <c r="T4" s="519">
        <v>34</v>
      </c>
      <c r="U4" s="519">
        <v>35</v>
      </c>
      <c r="V4" s="519">
        <v>36</v>
      </c>
      <c r="W4" s="519">
        <v>37</v>
      </c>
      <c r="X4" s="532">
        <v>38</v>
      </c>
      <c r="Y4" s="532">
        <v>52</v>
      </c>
      <c r="Z4" s="532">
        <v>53</v>
      </c>
      <c r="AA4" s="521">
        <v>54</v>
      </c>
      <c r="AB4" s="519">
        <v>55</v>
      </c>
      <c r="AC4" s="519">
        <v>67</v>
      </c>
      <c r="AD4" s="519">
        <v>68</v>
      </c>
      <c r="AE4" s="519">
        <v>69</v>
      </c>
      <c r="AF4" s="449"/>
      <c r="AG4" s="449"/>
      <c r="AH4" s="449"/>
      <c r="AI4" s="449"/>
      <c r="AJ4" s="449"/>
      <c r="AK4" s="449"/>
      <c r="AL4" s="449"/>
      <c r="AM4" s="449"/>
      <c r="AN4" s="449"/>
      <c r="AO4" s="449"/>
      <c r="AP4" s="449"/>
      <c r="AQ4" s="449"/>
      <c r="AR4" s="449"/>
      <c r="AS4" s="449"/>
      <c r="AT4" s="449"/>
      <c r="AU4" s="449"/>
      <c r="AV4" s="449"/>
      <c r="AW4" s="449"/>
      <c r="AX4" s="449"/>
      <c r="AY4" s="449"/>
      <c r="AZ4" s="449"/>
      <c r="BA4" s="449"/>
      <c r="BB4" s="449"/>
    </row>
    <row r="5" spans="1:54" ht="14.4">
      <c r="A5" s="69" t="s">
        <v>1244</v>
      </c>
      <c r="B5" s="69" t="s">
        <v>1245</v>
      </c>
      <c r="C5" s="69" t="s">
        <v>1246</v>
      </c>
      <c r="D5" s="77" t="s">
        <v>1247</v>
      </c>
      <c r="E5" s="69" t="s">
        <v>1248</v>
      </c>
      <c r="F5" s="528" t="s">
        <v>1249</v>
      </c>
      <c r="G5" s="529"/>
      <c r="H5" s="522"/>
      <c r="I5" s="522"/>
      <c r="J5" s="520"/>
      <c r="K5" s="520"/>
      <c r="L5" s="520"/>
      <c r="M5" s="533"/>
      <c r="N5" s="533"/>
      <c r="O5" s="533"/>
      <c r="P5" s="533"/>
      <c r="Q5" s="533"/>
      <c r="R5" s="520"/>
      <c r="S5" s="520"/>
      <c r="T5" s="520"/>
      <c r="U5" s="520"/>
      <c r="V5" s="520"/>
      <c r="W5" s="520"/>
      <c r="X5" s="533"/>
      <c r="Y5" s="533"/>
      <c r="Z5" s="533"/>
      <c r="AA5" s="522"/>
      <c r="AB5" s="520"/>
      <c r="AC5" s="520"/>
      <c r="AD5" s="520"/>
      <c r="AE5" s="520"/>
      <c r="AF5" s="450"/>
      <c r="AG5" s="450"/>
      <c r="AH5" s="450"/>
      <c r="AI5" s="450"/>
      <c r="AJ5" s="450"/>
      <c r="AK5" s="450"/>
      <c r="AL5" s="450"/>
      <c r="AM5" s="450"/>
      <c r="AN5" s="450"/>
      <c r="AO5" s="450"/>
      <c r="AP5" s="450"/>
      <c r="AQ5" s="450"/>
      <c r="AR5" s="450"/>
      <c r="AS5" s="450"/>
      <c r="AT5" s="450"/>
      <c r="AU5" s="450"/>
      <c r="AV5" s="450"/>
      <c r="AW5" s="450"/>
      <c r="AX5" s="450"/>
      <c r="AY5" s="450"/>
      <c r="AZ5" s="450"/>
      <c r="BA5" s="450"/>
      <c r="BB5" s="450"/>
    </row>
    <row r="6" spans="1:54">
      <c r="A6" s="25"/>
      <c r="B6" s="517" t="s">
        <v>1126</v>
      </c>
      <c r="C6" s="518"/>
      <c r="D6" s="25"/>
      <c r="E6" s="25"/>
      <c r="F6" s="415"/>
      <c r="G6" s="417"/>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row>
    <row r="7" spans="1:54">
      <c r="A7" s="25"/>
      <c r="B7" s="25"/>
      <c r="C7" s="25"/>
      <c r="D7" s="25"/>
      <c r="E7" s="25"/>
      <c r="F7" s="415"/>
      <c r="G7" s="417"/>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row>
    <row r="8" spans="1:54">
      <c r="A8" s="64">
        <v>5</v>
      </c>
      <c r="B8" s="65" t="s">
        <v>1546</v>
      </c>
      <c r="C8" s="65" t="s">
        <v>1547</v>
      </c>
      <c r="D8" s="201" t="s">
        <v>1548</v>
      </c>
      <c r="E8" s="63" t="s">
        <v>1131</v>
      </c>
      <c r="F8" s="511">
        <v>61</v>
      </c>
      <c r="G8" s="512"/>
      <c r="H8" s="25"/>
      <c r="I8" s="22" t="s">
        <v>1132</v>
      </c>
      <c r="J8" s="22" t="s">
        <v>1132</v>
      </c>
      <c r="K8" s="22" t="s">
        <v>1132</v>
      </c>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row>
    <row r="9" spans="1:54">
      <c r="A9" s="64">
        <v>5</v>
      </c>
      <c r="B9" s="65" t="s">
        <v>1546</v>
      </c>
      <c r="C9" s="65" t="s">
        <v>1549</v>
      </c>
      <c r="D9" s="201" t="s">
        <v>1550</v>
      </c>
      <c r="E9" s="63" t="s">
        <v>1131</v>
      </c>
      <c r="F9" s="511">
        <v>62</v>
      </c>
      <c r="G9" s="512"/>
      <c r="H9" s="22" t="s">
        <v>1132</v>
      </c>
      <c r="I9" s="22" t="s">
        <v>1132</v>
      </c>
      <c r="J9" s="22" t="s">
        <v>1132</v>
      </c>
      <c r="K9" s="22" t="s">
        <v>1132</v>
      </c>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row>
    <row r="10" spans="1:54">
      <c r="A10" s="64">
        <v>5</v>
      </c>
      <c r="B10" s="65" t="s">
        <v>1551</v>
      </c>
      <c r="C10" s="65" t="s">
        <v>1552</v>
      </c>
      <c r="D10" s="201" t="s">
        <v>1553</v>
      </c>
      <c r="E10" s="63" t="s">
        <v>1131</v>
      </c>
      <c r="F10" s="511">
        <v>63</v>
      </c>
      <c r="G10" s="512"/>
      <c r="H10" s="25"/>
      <c r="I10" s="22" t="s">
        <v>1132</v>
      </c>
      <c r="J10" s="25"/>
      <c r="K10" s="25"/>
      <c r="L10" s="25"/>
      <c r="M10" s="25"/>
      <c r="N10" s="25"/>
      <c r="O10" s="25"/>
      <c r="P10" s="25"/>
      <c r="Q10" s="25"/>
      <c r="R10" s="25"/>
      <c r="S10" s="25"/>
      <c r="T10" s="25"/>
      <c r="U10" s="25"/>
      <c r="V10" s="25"/>
      <c r="W10" s="25"/>
      <c r="X10" s="25"/>
      <c r="Y10" s="25"/>
      <c r="Z10" s="25"/>
      <c r="AA10" s="25"/>
      <c r="AB10" s="25"/>
      <c r="AC10" s="25"/>
      <c r="AD10" s="22" t="s">
        <v>1132</v>
      </c>
      <c r="AE10" s="22" t="s">
        <v>1132</v>
      </c>
      <c r="AF10" s="25"/>
      <c r="AG10" s="25"/>
      <c r="AH10" s="25"/>
      <c r="AI10" s="25"/>
      <c r="AJ10" s="25"/>
      <c r="AK10" s="25"/>
      <c r="AL10" s="25"/>
      <c r="AM10" s="25"/>
      <c r="AN10" s="25"/>
      <c r="AO10" s="25"/>
      <c r="AP10" s="25"/>
      <c r="AQ10" s="25"/>
      <c r="AR10" s="25"/>
      <c r="AS10" s="25"/>
      <c r="AT10" s="25"/>
      <c r="AU10" s="25"/>
      <c r="AV10" s="25"/>
      <c r="AW10" s="25"/>
      <c r="AX10" s="25"/>
      <c r="AY10" s="25"/>
      <c r="AZ10" s="25"/>
      <c r="BA10" s="25"/>
      <c r="BB10" s="25"/>
    </row>
    <row r="11" spans="1:54">
      <c r="A11" s="64">
        <v>5</v>
      </c>
      <c r="B11" s="65" t="s">
        <v>1551</v>
      </c>
      <c r="C11" s="65" t="s">
        <v>1554</v>
      </c>
      <c r="D11" s="201" t="s">
        <v>1555</v>
      </c>
      <c r="E11" s="63" t="s">
        <v>1131</v>
      </c>
      <c r="F11" s="511">
        <v>64</v>
      </c>
      <c r="G11" s="512"/>
      <c r="H11" s="22" t="s">
        <v>1132</v>
      </c>
      <c r="I11" s="22" t="s">
        <v>1132</v>
      </c>
      <c r="J11" s="25"/>
      <c r="K11" s="25"/>
      <c r="L11" s="25"/>
      <c r="M11" s="25"/>
      <c r="N11" s="25"/>
      <c r="O11" s="25"/>
      <c r="P11" s="25"/>
      <c r="Q11" s="25"/>
      <c r="R11" s="25"/>
      <c r="S11" s="25"/>
      <c r="T11" s="25"/>
      <c r="U11" s="25"/>
      <c r="V11" s="25"/>
      <c r="W11" s="25"/>
      <c r="X11" s="25"/>
      <c r="Y11" s="25"/>
      <c r="Z11" s="25"/>
      <c r="AA11" s="25"/>
      <c r="AB11" s="25"/>
      <c r="AC11" s="25"/>
      <c r="AD11" s="22" t="s">
        <v>1132</v>
      </c>
      <c r="AE11" s="22" t="s">
        <v>1132</v>
      </c>
      <c r="AF11" s="25"/>
      <c r="AG11" s="25"/>
      <c r="AH11" s="25"/>
      <c r="AI11" s="25"/>
      <c r="AJ11" s="25"/>
      <c r="AK11" s="25"/>
      <c r="AL11" s="25"/>
      <c r="AM11" s="25"/>
      <c r="AN11" s="25"/>
      <c r="AO11" s="25"/>
      <c r="AP11" s="25"/>
      <c r="AQ11" s="25"/>
      <c r="AR11" s="25"/>
      <c r="AS11" s="25"/>
      <c r="AT11" s="25"/>
      <c r="AU11" s="25"/>
      <c r="AV11" s="25"/>
      <c r="AW11" s="25"/>
      <c r="AX11" s="25"/>
      <c r="AY11" s="25"/>
      <c r="AZ11" s="25"/>
      <c r="BA11" s="25"/>
      <c r="BB11" s="25"/>
    </row>
    <row r="12" spans="1:54">
      <c r="A12" s="64">
        <v>5</v>
      </c>
      <c r="B12" s="65" t="s">
        <v>1556</v>
      </c>
      <c r="C12" s="65" t="s">
        <v>1557</v>
      </c>
      <c r="D12" s="205" t="s">
        <v>1558</v>
      </c>
      <c r="E12" s="63" t="s">
        <v>1131</v>
      </c>
      <c r="F12" s="511">
        <v>65</v>
      </c>
      <c r="G12" s="512"/>
      <c r="H12" s="25"/>
      <c r="I12" s="22" t="s">
        <v>1132</v>
      </c>
      <c r="J12" s="25"/>
      <c r="K12" s="25"/>
      <c r="L12" s="25"/>
      <c r="M12" s="25"/>
      <c r="N12" s="22" t="s">
        <v>1132</v>
      </c>
      <c r="O12" s="22" t="s">
        <v>1132</v>
      </c>
      <c r="P12" s="22" t="s">
        <v>1132</v>
      </c>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row>
    <row r="13" spans="1:54">
      <c r="A13" s="64">
        <v>5</v>
      </c>
      <c r="B13" s="65" t="s">
        <v>1556</v>
      </c>
      <c r="C13" s="247" t="s">
        <v>1559</v>
      </c>
      <c r="D13" s="205" t="s">
        <v>1560</v>
      </c>
      <c r="E13" s="63" t="s">
        <v>1131</v>
      </c>
      <c r="F13" s="534">
        <v>66</v>
      </c>
      <c r="G13" s="535"/>
      <c r="H13" s="38"/>
      <c r="I13" s="22" t="s">
        <v>1132</v>
      </c>
      <c r="J13" s="38"/>
      <c r="K13" s="38"/>
      <c r="L13" s="38"/>
      <c r="M13" s="38"/>
      <c r="N13" s="22" t="s">
        <v>1132</v>
      </c>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row>
    <row r="14" spans="1:54">
      <c r="A14" s="64">
        <v>5</v>
      </c>
      <c r="B14" s="65" t="s">
        <v>1556</v>
      </c>
      <c r="C14" s="205" t="s">
        <v>1561</v>
      </c>
      <c r="D14" s="205" t="s">
        <v>1562</v>
      </c>
      <c r="E14" s="63" t="s">
        <v>1131</v>
      </c>
      <c r="F14" s="534">
        <v>67</v>
      </c>
      <c r="G14" s="535"/>
      <c r="H14" s="38"/>
      <c r="I14" s="22" t="s">
        <v>1132</v>
      </c>
      <c r="J14" s="38"/>
      <c r="K14" s="38"/>
      <c r="L14" s="38"/>
      <c r="M14" s="38"/>
      <c r="N14" s="38"/>
      <c r="O14" s="22" t="s">
        <v>1132</v>
      </c>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row>
    <row r="15" spans="1:54">
      <c r="A15" s="64">
        <v>5</v>
      </c>
      <c r="B15" s="65" t="s">
        <v>1563</v>
      </c>
      <c r="C15" s="65" t="s">
        <v>1564</v>
      </c>
      <c r="D15" s="205" t="s">
        <v>1565</v>
      </c>
      <c r="E15" s="63" t="s">
        <v>1131</v>
      </c>
      <c r="F15" s="511">
        <v>68</v>
      </c>
      <c r="G15" s="512"/>
      <c r="H15" s="25"/>
      <c r="I15" s="22" t="s">
        <v>1132</v>
      </c>
      <c r="J15" s="25"/>
      <c r="K15" s="25"/>
      <c r="L15" s="25"/>
      <c r="M15" s="25"/>
      <c r="N15" s="25"/>
      <c r="O15" s="25"/>
      <c r="P15" s="25"/>
      <c r="Q15" s="22" t="s">
        <v>1132</v>
      </c>
      <c r="R15" s="22" t="s">
        <v>1132</v>
      </c>
      <c r="S15" s="22" t="s">
        <v>1132</v>
      </c>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row>
    <row r="16" spans="1:54">
      <c r="A16" s="64">
        <v>5</v>
      </c>
      <c r="B16" s="65" t="s">
        <v>1563</v>
      </c>
      <c r="C16" s="205" t="s">
        <v>1566</v>
      </c>
      <c r="D16" s="205" t="s">
        <v>1567</v>
      </c>
      <c r="E16" s="63" t="s">
        <v>1131</v>
      </c>
      <c r="F16" s="534">
        <v>69</v>
      </c>
      <c r="G16" s="535"/>
      <c r="H16" s="38"/>
      <c r="I16" s="22" t="s">
        <v>1132</v>
      </c>
      <c r="J16" s="38"/>
      <c r="K16" s="38"/>
      <c r="L16" s="38"/>
      <c r="M16" s="38"/>
      <c r="N16" s="38"/>
      <c r="O16" s="38"/>
      <c r="P16" s="38"/>
      <c r="Q16" s="22" t="s">
        <v>1568</v>
      </c>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row>
    <row r="17" spans="1:54">
      <c r="A17" s="64">
        <v>5</v>
      </c>
      <c r="B17" s="65" t="s">
        <v>1563</v>
      </c>
      <c r="C17" s="247" t="s">
        <v>1569</v>
      </c>
      <c r="D17" s="205" t="s">
        <v>1570</v>
      </c>
      <c r="E17" s="63" t="s">
        <v>1131</v>
      </c>
      <c r="F17" s="534">
        <v>70</v>
      </c>
      <c r="G17" s="535"/>
      <c r="H17" s="38"/>
      <c r="I17" s="22" t="s">
        <v>1132</v>
      </c>
      <c r="J17" s="38"/>
      <c r="K17" s="38"/>
      <c r="L17" s="38"/>
      <c r="M17" s="38"/>
      <c r="N17" s="38"/>
      <c r="O17" s="38"/>
      <c r="P17" s="38"/>
      <c r="Q17" s="38"/>
      <c r="R17" s="22" t="s">
        <v>1132</v>
      </c>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row>
    <row r="18" spans="1:54">
      <c r="A18" s="64">
        <v>5</v>
      </c>
      <c r="B18" s="65" t="s">
        <v>1571</v>
      </c>
      <c r="C18" s="65" t="s">
        <v>1572</v>
      </c>
      <c r="D18" s="205" t="s">
        <v>1573</v>
      </c>
      <c r="E18" s="63" t="s">
        <v>1131</v>
      </c>
      <c r="F18" s="511">
        <v>71</v>
      </c>
      <c r="G18" s="512"/>
      <c r="H18" s="25"/>
      <c r="I18" s="22" t="s">
        <v>1132</v>
      </c>
      <c r="J18" s="25"/>
      <c r="K18" s="25"/>
      <c r="L18" s="25"/>
      <c r="M18" s="25"/>
      <c r="N18" s="25"/>
      <c r="O18" s="25"/>
      <c r="P18" s="25"/>
      <c r="Q18" s="25"/>
      <c r="R18" s="25"/>
      <c r="S18" s="25"/>
      <c r="T18" s="22" t="s">
        <v>1132</v>
      </c>
      <c r="U18" s="22" t="s">
        <v>1132</v>
      </c>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row>
    <row r="19" spans="1:54">
      <c r="A19" s="64">
        <v>5</v>
      </c>
      <c r="B19" s="65" t="s">
        <v>1571</v>
      </c>
      <c r="C19" s="205" t="s">
        <v>1574</v>
      </c>
      <c r="D19" s="205" t="s">
        <v>1575</v>
      </c>
      <c r="E19" s="63" t="s">
        <v>1131</v>
      </c>
      <c r="F19" s="534">
        <v>72</v>
      </c>
      <c r="G19" s="535"/>
      <c r="H19" s="38"/>
      <c r="I19" s="22" t="s">
        <v>1132</v>
      </c>
      <c r="J19" s="38"/>
      <c r="K19" s="38"/>
      <c r="L19" s="38"/>
      <c r="M19" s="38"/>
      <c r="N19" s="38"/>
      <c r="O19" s="38"/>
      <c r="P19" s="38"/>
      <c r="Q19" s="38"/>
      <c r="R19" s="38"/>
      <c r="S19" s="38"/>
      <c r="T19" s="22" t="s">
        <v>1132</v>
      </c>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row>
    <row r="20" spans="1:54">
      <c r="A20" s="64">
        <v>5</v>
      </c>
      <c r="B20" s="65" t="s">
        <v>1571</v>
      </c>
      <c r="C20" s="247" t="s">
        <v>1576</v>
      </c>
      <c r="D20" s="205" t="s">
        <v>1577</v>
      </c>
      <c r="E20" s="63" t="s">
        <v>1131</v>
      </c>
      <c r="F20" s="534">
        <v>73</v>
      </c>
      <c r="G20" s="535"/>
      <c r="H20" s="38"/>
      <c r="I20" s="22" t="s">
        <v>1132</v>
      </c>
      <c r="J20" s="38"/>
      <c r="K20" s="38"/>
      <c r="L20" s="38"/>
      <c r="M20" s="38"/>
      <c r="N20" s="38"/>
      <c r="O20" s="38"/>
      <c r="P20" s="38"/>
      <c r="Q20" s="38"/>
      <c r="R20" s="38"/>
      <c r="S20" s="38"/>
      <c r="T20" s="38"/>
      <c r="U20" s="22" t="s">
        <v>1132</v>
      </c>
      <c r="V20" s="38"/>
      <c r="W20" s="38"/>
      <c r="X20" s="38"/>
      <c r="Y20" s="38"/>
      <c r="Z20" s="38"/>
      <c r="AA20" s="38"/>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row>
    <row r="21" spans="1:54">
      <c r="A21" s="64">
        <v>5</v>
      </c>
      <c r="B21" s="65" t="s">
        <v>1578</v>
      </c>
      <c r="C21" s="65" t="s">
        <v>1579</v>
      </c>
      <c r="D21" s="205" t="s">
        <v>1580</v>
      </c>
      <c r="E21" s="63" t="s">
        <v>1131</v>
      </c>
      <c r="F21" s="511">
        <v>74</v>
      </c>
      <c r="G21" s="512"/>
      <c r="H21" s="25"/>
      <c r="I21" s="22" t="s">
        <v>1132</v>
      </c>
      <c r="J21" s="25"/>
      <c r="K21" s="25"/>
      <c r="L21" s="25"/>
      <c r="M21" s="25"/>
      <c r="N21" s="25"/>
      <c r="O21" s="25"/>
      <c r="P21" s="25"/>
      <c r="Q21" s="25"/>
      <c r="R21" s="25"/>
      <c r="S21" s="25"/>
      <c r="T21" s="25"/>
      <c r="U21" s="25"/>
      <c r="V21" s="22" t="s">
        <v>1132</v>
      </c>
      <c r="W21" s="22" t="s">
        <v>1132</v>
      </c>
      <c r="X21" s="22" t="s">
        <v>1132</v>
      </c>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row>
    <row r="22" spans="1:54">
      <c r="A22" s="64">
        <v>5</v>
      </c>
      <c r="B22" s="65" t="s">
        <v>1578</v>
      </c>
      <c r="C22" s="205" t="s">
        <v>1581</v>
      </c>
      <c r="D22" s="205" t="s">
        <v>1582</v>
      </c>
      <c r="E22" s="63" t="s">
        <v>1131</v>
      </c>
      <c r="F22" s="534">
        <v>75</v>
      </c>
      <c r="G22" s="535"/>
      <c r="H22" s="38"/>
      <c r="I22" s="22" t="s">
        <v>1132</v>
      </c>
      <c r="J22" s="38"/>
      <c r="K22" s="38"/>
      <c r="L22" s="38"/>
      <c r="M22" s="38"/>
      <c r="N22" s="38"/>
      <c r="O22" s="38"/>
      <c r="P22" s="38"/>
      <c r="Q22" s="38"/>
      <c r="R22" s="38"/>
      <c r="S22" s="38"/>
      <c r="T22" s="38"/>
      <c r="U22" s="38"/>
      <c r="V22" s="22" t="s">
        <v>1132</v>
      </c>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row>
    <row r="23" spans="1:54">
      <c r="A23" s="64">
        <v>5</v>
      </c>
      <c r="B23" s="65" t="s">
        <v>1578</v>
      </c>
      <c r="C23" s="205" t="s">
        <v>1583</v>
      </c>
      <c r="D23" s="205" t="s">
        <v>1584</v>
      </c>
      <c r="E23" s="63" t="s">
        <v>1131</v>
      </c>
      <c r="F23" s="534">
        <v>76</v>
      </c>
      <c r="G23" s="535"/>
      <c r="H23" s="38"/>
      <c r="I23" s="22" t="s">
        <v>1132</v>
      </c>
      <c r="J23" s="38"/>
      <c r="K23" s="38"/>
      <c r="L23" s="38"/>
      <c r="M23" s="38"/>
      <c r="N23" s="38"/>
      <c r="O23" s="38"/>
      <c r="P23" s="38"/>
      <c r="Q23" s="38"/>
      <c r="R23" s="38"/>
      <c r="S23" s="38"/>
      <c r="T23" s="38"/>
      <c r="U23" s="38"/>
      <c r="V23" s="38"/>
      <c r="W23" s="22" t="s">
        <v>1132</v>
      </c>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row>
    <row r="24" spans="1:54">
      <c r="A24" s="64">
        <v>5</v>
      </c>
      <c r="B24" s="63" t="s">
        <v>1127</v>
      </c>
      <c r="C24" s="65" t="s">
        <v>1585</v>
      </c>
      <c r="D24" s="206" t="s">
        <v>1586</v>
      </c>
      <c r="E24" s="63" t="s">
        <v>1131</v>
      </c>
      <c r="F24" s="511">
        <v>77</v>
      </c>
      <c r="G24" s="512"/>
      <c r="H24" s="25"/>
      <c r="I24" s="22" t="s">
        <v>1132</v>
      </c>
      <c r="J24" s="25"/>
      <c r="K24" s="25"/>
      <c r="L24" s="25"/>
      <c r="M24" s="25"/>
      <c r="N24" s="25"/>
      <c r="O24" s="25"/>
      <c r="P24" s="25"/>
      <c r="Q24" s="25"/>
      <c r="R24" s="25"/>
      <c r="S24" s="25"/>
      <c r="T24" s="25"/>
      <c r="U24" s="25"/>
      <c r="V24" s="25"/>
      <c r="W24" s="25"/>
      <c r="X24" s="25"/>
      <c r="Y24" s="22" t="s">
        <v>1132</v>
      </c>
      <c r="Z24" s="22" t="s">
        <v>1132</v>
      </c>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row>
    <row r="25" spans="1:54">
      <c r="A25" s="64">
        <v>5</v>
      </c>
      <c r="B25" s="63" t="s">
        <v>1127</v>
      </c>
      <c r="C25" s="65" t="s">
        <v>1587</v>
      </c>
      <c r="D25" s="206" t="s">
        <v>1588</v>
      </c>
      <c r="E25" s="63" t="s">
        <v>1131</v>
      </c>
      <c r="F25" s="511">
        <v>78</v>
      </c>
      <c r="G25" s="512"/>
      <c r="H25" s="25"/>
      <c r="I25" s="22" t="s">
        <v>1132</v>
      </c>
      <c r="J25" s="25"/>
      <c r="K25" s="25"/>
      <c r="L25" s="25"/>
      <c r="M25" s="25"/>
      <c r="N25" s="25"/>
      <c r="O25" s="25"/>
      <c r="P25" s="25"/>
      <c r="Q25" s="25"/>
      <c r="R25" s="25"/>
      <c r="S25" s="25"/>
      <c r="T25" s="25"/>
      <c r="U25" s="25"/>
      <c r="V25" s="25"/>
      <c r="W25" s="25"/>
      <c r="X25" s="25"/>
      <c r="Y25" s="25"/>
      <c r="Z25" s="25"/>
      <c r="AA25" s="22" t="s">
        <v>1132</v>
      </c>
      <c r="AB25" s="22" t="s">
        <v>1132</v>
      </c>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row>
    <row r="26" spans="1:54">
      <c r="A26" s="64">
        <v>5</v>
      </c>
      <c r="B26" s="63" t="s">
        <v>1127</v>
      </c>
      <c r="C26" s="65" t="s">
        <v>1589</v>
      </c>
      <c r="D26" s="206" t="s">
        <v>1590</v>
      </c>
      <c r="E26" s="63" t="s">
        <v>1591</v>
      </c>
      <c r="F26" s="511">
        <v>79</v>
      </c>
      <c r="G26" s="512"/>
      <c r="H26" s="25"/>
      <c r="I26" s="22" t="s">
        <v>1132</v>
      </c>
      <c r="J26" s="25"/>
      <c r="K26" s="25"/>
      <c r="L26" s="25"/>
      <c r="M26" s="25"/>
      <c r="N26" s="25"/>
      <c r="O26" s="25"/>
      <c r="P26" s="25"/>
      <c r="Q26" s="25"/>
      <c r="R26" s="25"/>
      <c r="S26" s="25"/>
      <c r="T26" s="25"/>
      <c r="U26" s="25"/>
      <c r="V26" s="25"/>
      <c r="W26" s="25"/>
      <c r="X26" s="25"/>
      <c r="Y26" s="22" t="s">
        <v>1132</v>
      </c>
      <c r="Z26" s="22" t="s">
        <v>1132</v>
      </c>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row>
    <row r="27" spans="1:54">
      <c r="A27" s="64">
        <v>5</v>
      </c>
      <c r="B27" s="63" t="s">
        <v>1127</v>
      </c>
      <c r="C27" s="65" t="s">
        <v>1589</v>
      </c>
      <c r="D27" s="206" t="s">
        <v>1592</v>
      </c>
      <c r="E27" s="63" t="s">
        <v>1591</v>
      </c>
      <c r="F27" s="511">
        <v>80</v>
      </c>
      <c r="G27" s="512"/>
      <c r="H27" s="25"/>
      <c r="I27" s="22" t="s">
        <v>1132</v>
      </c>
      <c r="J27" s="25"/>
      <c r="K27" s="25"/>
      <c r="L27" s="25"/>
      <c r="M27" s="25"/>
      <c r="N27" s="25"/>
      <c r="O27" s="25"/>
      <c r="P27" s="25"/>
      <c r="Q27" s="25"/>
      <c r="R27" s="25"/>
      <c r="S27" s="25"/>
      <c r="T27" s="25"/>
      <c r="U27" s="25"/>
      <c r="V27" s="25"/>
      <c r="W27" s="25"/>
      <c r="X27" s="25"/>
      <c r="Y27" s="22" t="s">
        <v>1132</v>
      </c>
      <c r="Z27" s="22" t="s">
        <v>1132</v>
      </c>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row>
    <row r="28" spans="1:54">
      <c r="A28" s="64">
        <v>5</v>
      </c>
      <c r="B28" s="63" t="s">
        <v>1127</v>
      </c>
      <c r="C28" s="65" t="s">
        <v>1593</v>
      </c>
      <c r="D28" s="206" t="s">
        <v>1594</v>
      </c>
      <c r="E28" s="63" t="s">
        <v>1591</v>
      </c>
      <c r="F28" s="511">
        <v>81</v>
      </c>
      <c r="G28" s="512"/>
      <c r="H28" s="25"/>
      <c r="I28" s="22" t="s">
        <v>1132</v>
      </c>
      <c r="J28" s="25"/>
      <c r="K28" s="25"/>
      <c r="L28" s="25"/>
      <c r="M28" s="25"/>
      <c r="N28" s="25"/>
      <c r="O28" s="25"/>
      <c r="P28" s="25"/>
      <c r="Q28" s="25"/>
      <c r="R28" s="25"/>
      <c r="S28" s="25"/>
      <c r="T28" s="25"/>
      <c r="U28" s="25"/>
      <c r="V28" s="25"/>
      <c r="W28" s="25"/>
      <c r="X28" s="25"/>
      <c r="Y28" s="25"/>
      <c r="Z28" s="25"/>
      <c r="AA28" s="22" t="s">
        <v>1132</v>
      </c>
      <c r="AB28" s="22" t="s">
        <v>1132</v>
      </c>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row>
    <row r="29" spans="1:54">
      <c r="A29" s="64">
        <v>5</v>
      </c>
      <c r="B29" s="63" t="s">
        <v>1127</v>
      </c>
      <c r="C29" s="65" t="s">
        <v>1593</v>
      </c>
      <c r="D29" s="206" t="s">
        <v>1595</v>
      </c>
      <c r="E29" s="63" t="s">
        <v>1591</v>
      </c>
      <c r="F29" s="511">
        <v>82</v>
      </c>
      <c r="G29" s="512"/>
      <c r="H29" s="25"/>
      <c r="I29" s="22" t="s">
        <v>1132</v>
      </c>
      <c r="J29" s="25"/>
      <c r="K29" s="25"/>
      <c r="L29" s="25"/>
      <c r="M29" s="25"/>
      <c r="N29" s="25"/>
      <c r="O29" s="25"/>
      <c r="P29" s="25"/>
      <c r="Q29" s="25"/>
      <c r="R29" s="25"/>
      <c r="S29" s="25"/>
      <c r="T29" s="25"/>
      <c r="U29" s="25"/>
      <c r="V29" s="25"/>
      <c r="W29" s="25"/>
      <c r="X29" s="25"/>
      <c r="Y29" s="25"/>
      <c r="Z29" s="25"/>
      <c r="AA29" s="22" t="s">
        <v>1132</v>
      </c>
      <c r="AB29" s="22" t="s">
        <v>1132</v>
      </c>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row>
    <row r="30" spans="1:54">
      <c r="A30" s="25"/>
      <c r="B30" s="25"/>
      <c r="C30" s="25"/>
      <c r="D30" s="25"/>
      <c r="E30" s="25"/>
      <c r="F30" s="415"/>
      <c r="G30" s="417"/>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row>
    <row r="31" spans="1:54">
      <c r="A31" s="25"/>
      <c r="B31" s="25"/>
      <c r="C31" s="25"/>
      <c r="D31" s="25"/>
      <c r="E31" s="25"/>
      <c r="F31" s="415"/>
      <c r="G31" s="417"/>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row>
    <row r="32" spans="1:54">
      <c r="A32" s="25"/>
      <c r="B32" s="25"/>
      <c r="C32" s="25"/>
      <c r="D32" s="25"/>
      <c r="E32" s="25"/>
      <c r="F32" s="415"/>
      <c r="G32" s="417"/>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row>
    <row r="33" spans="1:54">
      <c r="A33" s="390" t="s">
        <v>1596</v>
      </c>
      <c r="B33" s="421"/>
      <c r="C33" s="421"/>
      <c r="D33" s="421"/>
      <c r="E33" s="421"/>
      <c r="F33" s="421"/>
      <c r="G33" s="421"/>
      <c r="H33" s="421"/>
      <c r="I33" s="421"/>
      <c r="J33" s="421"/>
      <c r="K33" s="421"/>
      <c r="L33" s="421"/>
      <c r="M33" s="421"/>
      <c r="N33" s="421"/>
      <c r="O33" s="421"/>
      <c r="P33" s="421"/>
      <c r="Q33" s="421"/>
      <c r="R33" s="421"/>
      <c r="S33" s="421"/>
      <c r="T33" s="391"/>
      <c r="U33" s="433"/>
      <c r="V33" s="435"/>
      <c r="W33" s="433"/>
      <c r="X33" s="434"/>
      <c r="Y33" s="435"/>
      <c r="Z33" s="433"/>
      <c r="AA33" s="434"/>
      <c r="AB33" s="434"/>
      <c r="AC33" s="434"/>
      <c r="AD33" s="434"/>
      <c r="AE33" s="434"/>
      <c r="AF33" s="434"/>
      <c r="AG33" s="434"/>
      <c r="AH33" s="434"/>
      <c r="AI33" s="434"/>
      <c r="AJ33" s="435"/>
      <c r="AK33" s="433"/>
      <c r="AL33" s="434"/>
      <c r="AM33" s="435"/>
      <c r="AN33" s="508" t="s">
        <v>1597</v>
      </c>
      <c r="AO33" s="509"/>
      <c r="AP33" s="510"/>
      <c r="AQ33" s="508" t="s">
        <v>1598</v>
      </c>
      <c r="AR33" s="509"/>
      <c r="AS33" s="510"/>
      <c r="AT33" s="508" t="s">
        <v>1599</v>
      </c>
      <c r="AU33" s="509"/>
      <c r="AV33" s="510"/>
      <c r="AW33" s="433"/>
      <c r="AX33" s="434"/>
      <c r="AY33" s="435"/>
      <c r="AZ33" s="433"/>
      <c r="BA33" s="434"/>
      <c r="BB33" s="435"/>
    </row>
    <row r="34" spans="1:54">
      <c r="A34" s="422"/>
      <c r="B34" s="423"/>
      <c r="C34" s="423"/>
      <c r="D34" s="423"/>
      <c r="E34" s="423"/>
      <c r="F34" s="423"/>
      <c r="G34" s="423"/>
      <c r="H34" s="423"/>
      <c r="I34" s="423"/>
      <c r="J34" s="423"/>
      <c r="K34" s="423"/>
      <c r="L34" s="423"/>
      <c r="M34" s="423"/>
      <c r="N34" s="423"/>
      <c r="O34" s="423"/>
      <c r="P34" s="423"/>
      <c r="Q34" s="423"/>
      <c r="R34" s="423"/>
      <c r="S34" s="423"/>
      <c r="T34" s="424"/>
      <c r="U34" s="503">
        <v>5</v>
      </c>
      <c r="V34" s="504"/>
      <c r="W34" s="536">
        <v>45483</v>
      </c>
      <c r="X34" s="537"/>
      <c r="Y34" s="538"/>
      <c r="Z34" s="477" t="s">
        <v>1254</v>
      </c>
      <c r="AA34" s="478"/>
      <c r="AB34" s="478"/>
      <c r="AC34" s="478"/>
      <c r="AD34" s="478"/>
      <c r="AE34" s="478"/>
      <c r="AF34" s="478"/>
      <c r="AG34" s="478"/>
      <c r="AH34" s="478"/>
      <c r="AI34" s="478"/>
      <c r="AJ34" s="479"/>
      <c r="AK34" s="497" t="s">
        <v>1255</v>
      </c>
      <c r="AL34" s="498"/>
      <c r="AM34" s="499"/>
      <c r="AN34" s="494" t="s">
        <v>1256</v>
      </c>
      <c r="AO34" s="495"/>
      <c r="AP34" s="496"/>
      <c r="AQ34" s="497" t="s">
        <v>1257</v>
      </c>
      <c r="AR34" s="498"/>
      <c r="AS34" s="499"/>
      <c r="AT34" s="497" t="s">
        <v>1258</v>
      </c>
      <c r="AU34" s="498"/>
      <c r="AV34" s="499"/>
      <c r="AW34" s="415"/>
      <c r="AX34" s="416"/>
      <c r="AY34" s="417"/>
      <c r="AZ34" s="415"/>
      <c r="BA34" s="416"/>
      <c r="BB34" s="417"/>
    </row>
    <row r="35" spans="1:54">
      <c r="A35" s="422"/>
      <c r="B35" s="423"/>
      <c r="C35" s="423"/>
      <c r="D35" s="423"/>
      <c r="E35" s="423"/>
      <c r="F35" s="423"/>
      <c r="G35" s="423"/>
      <c r="H35" s="423"/>
      <c r="I35" s="423"/>
      <c r="J35" s="423"/>
      <c r="K35" s="423"/>
      <c r="L35" s="423"/>
      <c r="M35" s="423"/>
      <c r="N35" s="423"/>
      <c r="O35" s="423"/>
      <c r="P35" s="423"/>
      <c r="Q35" s="423"/>
      <c r="R35" s="423"/>
      <c r="S35" s="423"/>
      <c r="T35" s="424"/>
      <c r="U35" s="503">
        <v>4</v>
      </c>
      <c r="V35" s="504"/>
      <c r="W35" s="536">
        <v>45439</v>
      </c>
      <c r="X35" s="537"/>
      <c r="Y35" s="538"/>
      <c r="Z35" s="477" t="s">
        <v>1254</v>
      </c>
      <c r="AA35" s="478"/>
      <c r="AB35" s="478"/>
      <c r="AC35" s="478"/>
      <c r="AD35" s="478"/>
      <c r="AE35" s="478"/>
      <c r="AF35" s="478"/>
      <c r="AG35" s="478"/>
      <c r="AH35" s="478"/>
      <c r="AI35" s="478"/>
      <c r="AJ35" s="479"/>
      <c r="AK35" s="497" t="s">
        <v>1255</v>
      </c>
      <c r="AL35" s="498"/>
      <c r="AM35" s="499"/>
      <c r="AN35" s="494" t="s">
        <v>1256</v>
      </c>
      <c r="AO35" s="495"/>
      <c r="AP35" s="496"/>
      <c r="AQ35" s="497" t="s">
        <v>1257</v>
      </c>
      <c r="AR35" s="498"/>
      <c r="AS35" s="499"/>
      <c r="AT35" s="497" t="s">
        <v>1258</v>
      </c>
      <c r="AU35" s="498"/>
      <c r="AV35" s="499"/>
      <c r="AW35" s="415"/>
      <c r="AX35" s="416"/>
      <c r="AY35" s="417"/>
      <c r="AZ35" s="415"/>
      <c r="BA35" s="416"/>
      <c r="BB35" s="417"/>
    </row>
    <row r="36" spans="1:54">
      <c r="A36" s="422"/>
      <c r="B36" s="423"/>
      <c r="C36" s="423"/>
      <c r="D36" s="423"/>
      <c r="E36" s="423"/>
      <c r="F36" s="423"/>
      <c r="G36" s="423"/>
      <c r="H36" s="423"/>
      <c r="I36" s="423"/>
      <c r="J36" s="423"/>
      <c r="K36" s="423"/>
      <c r="L36" s="423"/>
      <c r="M36" s="423"/>
      <c r="N36" s="423"/>
      <c r="O36" s="423"/>
      <c r="P36" s="423"/>
      <c r="Q36" s="423"/>
      <c r="R36" s="423"/>
      <c r="S36" s="423"/>
      <c r="T36" s="424"/>
      <c r="U36" s="503">
        <v>3</v>
      </c>
      <c r="V36" s="504"/>
      <c r="W36" s="536">
        <v>45408</v>
      </c>
      <c r="X36" s="537"/>
      <c r="Y36" s="538"/>
      <c r="Z36" s="477" t="s">
        <v>1259</v>
      </c>
      <c r="AA36" s="478"/>
      <c r="AB36" s="478"/>
      <c r="AC36" s="478"/>
      <c r="AD36" s="478"/>
      <c r="AE36" s="478"/>
      <c r="AF36" s="478"/>
      <c r="AG36" s="478"/>
      <c r="AH36" s="478"/>
      <c r="AI36" s="478"/>
      <c r="AJ36" s="479"/>
      <c r="AK36" s="497" t="s">
        <v>1255</v>
      </c>
      <c r="AL36" s="498"/>
      <c r="AM36" s="499"/>
      <c r="AN36" s="494" t="s">
        <v>1256</v>
      </c>
      <c r="AO36" s="495"/>
      <c r="AP36" s="496"/>
      <c r="AQ36" s="497" t="s">
        <v>1257</v>
      </c>
      <c r="AR36" s="498"/>
      <c r="AS36" s="499"/>
      <c r="AT36" s="497" t="s">
        <v>1258</v>
      </c>
      <c r="AU36" s="498"/>
      <c r="AV36" s="499"/>
      <c r="AW36" s="433"/>
      <c r="AX36" s="434"/>
      <c r="AY36" s="435"/>
      <c r="AZ36" s="433"/>
      <c r="BA36" s="434"/>
      <c r="BB36" s="435"/>
    </row>
    <row r="37" spans="1:54">
      <c r="A37" s="422"/>
      <c r="B37" s="423"/>
      <c r="C37" s="423"/>
      <c r="D37" s="423"/>
      <c r="E37" s="423"/>
      <c r="F37" s="423"/>
      <c r="G37" s="423"/>
      <c r="H37" s="423"/>
      <c r="I37" s="423"/>
      <c r="J37" s="423"/>
      <c r="K37" s="423"/>
      <c r="L37" s="423"/>
      <c r="M37" s="423"/>
      <c r="N37" s="423"/>
      <c r="O37" s="423"/>
      <c r="P37" s="423"/>
      <c r="Q37" s="423"/>
      <c r="R37" s="423"/>
      <c r="S37" s="423"/>
      <c r="T37" s="424"/>
      <c r="U37" s="503">
        <v>2</v>
      </c>
      <c r="V37" s="504"/>
      <c r="W37" s="536">
        <v>45120</v>
      </c>
      <c r="X37" s="537"/>
      <c r="Y37" s="538"/>
      <c r="Z37" s="477" t="s">
        <v>1260</v>
      </c>
      <c r="AA37" s="478"/>
      <c r="AB37" s="478"/>
      <c r="AC37" s="478"/>
      <c r="AD37" s="478"/>
      <c r="AE37" s="478"/>
      <c r="AF37" s="478"/>
      <c r="AG37" s="478"/>
      <c r="AH37" s="478"/>
      <c r="AI37" s="478"/>
      <c r="AJ37" s="479"/>
      <c r="AK37" s="497" t="s">
        <v>1255</v>
      </c>
      <c r="AL37" s="498"/>
      <c r="AM37" s="499"/>
      <c r="AN37" s="494" t="s">
        <v>1256</v>
      </c>
      <c r="AO37" s="495"/>
      <c r="AP37" s="496"/>
      <c r="AQ37" s="497" t="s">
        <v>1257</v>
      </c>
      <c r="AR37" s="498"/>
      <c r="AS37" s="499"/>
      <c r="AT37" s="497" t="s">
        <v>1258</v>
      </c>
      <c r="AU37" s="498"/>
      <c r="AV37" s="499"/>
      <c r="AW37" s="433"/>
      <c r="AX37" s="434"/>
      <c r="AY37" s="435"/>
      <c r="AZ37" s="433"/>
      <c r="BA37" s="434"/>
      <c r="BB37" s="435"/>
    </row>
    <row r="38" spans="1:54">
      <c r="A38" s="422"/>
      <c r="B38" s="423"/>
      <c r="C38" s="423"/>
      <c r="D38" s="423"/>
      <c r="E38" s="423"/>
      <c r="F38" s="423"/>
      <c r="G38" s="423"/>
      <c r="H38" s="423"/>
      <c r="I38" s="423"/>
      <c r="J38" s="423"/>
      <c r="K38" s="423"/>
      <c r="L38" s="423"/>
      <c r="M38" s="423"/>
      <c r="N38" s="423"/>
      <c r="O38" s="423"/>
      <c r="P38" s="423"/>
      <c r="Q38" s="423"/>
      <c r="R38" s="423"/>
      <c r="S38" s="423"/>
      <c r="T38" s="424"/>
      <c r="U38" s="503">
        <v>1</v>
      </c>
      <c r="V38" s="504"/>
      <c r="W38" s="536">
        <v>44999</v>
      </c>
      <c r="X38" s="537"/>
      <c r="Y38" s="538"/>
      <c r="Z38" s="477" t="s">
        <v>1261</v>
      </c>
      <c r="AA38" s="478"/>
      <c r="AB38" s="478"/>
      <c r="AC38" s="478"/>
      <c r="AD38" s="478"/>
      <c r="AE38" s="478"/>
      <c r="AF38" s="478"/>
      <c r="AG38" s="478"/>
      <c r="AH38" s="478"/>
      <c r="AI38" s="478"/>
      <c r="AJ38" s="479"/>
      <c r="AK38" s="497" t="s">
        <v>1255</v>
      </c>
      <c r="AL38" s="498"/>
      <c r="AM38" s="499"/>
      <c r="AN38" s="494" t="s">
        <v>1256</v>
      </c>
      <c r="AO38" s="495"/>
      <c r="AP38" s="496"/>
      <c r="AQ38" s="497" t="s">
        <v>1257</v>
      </c>
      <c r="AR38" s="498"/>
      <c r="AS38" s="499"/>
      <c r="AT38" s="497" t="s">
        <v>1258</v>
      </c>
      <c r="AU38" s="498"/>
      <c r="AV38" s="499"/>
      <c r="AW38" s="433"/>
      <c r="AX38" s="434"/>
      <c r="AY38" s="435"/>
      <c r="AZ38" s="433"/>
      <c r="BA38" s="434"/>
      <c r="BB38" s="435"/>
    </row>
    <row r="39" spans="1:54">
      <c r="A39" s="422"/>
      <c r="B39" s="423"/>
      <c r="C39" s="423"/>
      <c r="D39" s="423"/>
      <c r="E39" s="423"/>
      <c r="F39" s="423"/>
      <c r="G39" s="423"/>
      <c r="H39" s="423"/>
      <c r="I39" s="423"/>
      <c r="J39" s="423"/>
      <c r="K39" s="423"/>
      <c r="L39" s="423"/>
      <c r="M39" s="423"/>
      <c r="N39" s="423"/>
      <c r="O39" s="423"/>
      <c r="P39" s="423"/>
      <c r="Q39" s="423"/>
      <c r="R39" s="423"/>
      <c r="S39" s="423"/>
      <c r="T39" s="424"/>
      <c r="U39" s="494" t="s">
        <v>1262</v>
      </c>
      <c r="V39" s="496"/>
      <c r="W39" s="477" t="s">
        <v>1263</v>
      </c>
      <c r="X39" s="478"/>
      <c r="Y39" s="479"/>
      <c r="Z39" s="477" t="s">
        <v>1264</v>
      </c>
      <c r="AA39" s="478"/>
      <c r="AB39" s="478"/>
      <c r="AC39" s="478"/>
      <c r="AD39" s="478"/>
      <c r="AE39" s="478"/>
      <c r="AF39" s="478"/>
      <c r="AG39" s="478"/>
      <c r="AH39" s="478"/>
      <c r="AI39" s="478"/>
      <c r="AJ39" s="479"/>
      <c r="AK39" s="497" t="s">
        <v>1265</v>
      </c>
      <c r="AL39" s="498"/>
      <c r="AM39" s="499"/>
      <c r="AN39" s="494" t="s">
        <v>1266</v>
      </c>
      <c r="AO39" s="495"/>
      <c r="AP39" s="496"/>
      <c r="AQ39" s="494" t="s">
        <v>1267</v>
      </c>
      <c r="AR39" s="495"/>
      <c r="AS39" s="496"/>
      <c r="AT39" s="494" t="s">
        <v>1268</v>
      </c>
      <c r="AU39" s="495"/>
      <c r="AV39" s="496"/>
      <c r="AW39" s="494" t="s">
        <v>1269</v>
      </c>
      <c r="AX39" s="495"/>
      <c r="AY39" s="496"/>
      <c r="AZ39" s="477" t="s">
        <v>1270</v>
      </c>
      <c r="BA39" s="478"/>
      <c r="BB39" s="479"/>
    </row>
    <row r="40" spans="1:54">
      <c r="A40" s="422"/>
      <c r="B40" s="423"/>
      <c r="C40" s="423"/>
      <c r="D40" s="423"/>
      <c r="E40" s="423"/>
      <c r="F40" s="423"/>
      <c r="G40" s="423"/>
      <c r="H40" s="423"/>
      <c r="I40" s="423"/>
      <c r="J40" s="423"/>
      <c r="K40" s="423"/>
      <c r="L40" s="423"/>
      <c r="M40" s="423"/>
      <c r="N40" s="423"/>
      <c r="O40" s="423"/>
      <c r="P40" s="423"/>
      <c r="Q40" s="423"/>
      <c r="R40" s="423"/>
      <c r="S40" s="423"/>
      <c r="T40" s="424"/>
      <c r="U40" s="539" t="s">
        <v>1600</v>
      </c>
      <c r="V40" s="540"/>
      <c r="W40" s="540"/>
      <c r="X40" s="540"/>
      <c r="Y40" s="540"/>
      <c r="Z40" s="540"/>
      <c r="AA40" s="540"/>
      <c r="AB40" s="540"/>
      <c r="AC40" s="540"/>
      <c r="AD40" s="540"/>
      <c r="AE40" s="540"/>
      <c r="AF40" s="540"/>
      <c r="AG40" s="540"/>
      <c r="AH40" s="540"/>
      <c r="AI40" s="540"/>
      <c r="AJ40" s="541"/>
      <c r="AK40" s="486" t="s">
        <v>1271</v>
      </c>
      <c r="AL40" s="487"/>
      <c r="AM40" s="487"/>
      <c r="AN40" s="487"/>
      <c r="AO40" s="487"/>
      <c r="AP40" s="487"/>
      <c r="AQ40" s="487"/>
      <c r="AR40" s="487"/>
      <c r="AS40" s="487"/>
      <c r="AT40" s="487"/>
      <c r="AU40" s="487"/>
      <c r="AV40" s="487"/>
      <c r="AW40" s="487"/>
      <c r="AX40" s="487"/>
      <c r="AY40" s="487"/>
      <c r="AZ40" s="487"/>
      <c r="BA40" s="487"/>
      <c r="BB40" s="488"/>
    </row>
    <row r="41" spans="1:54">
      <c r="A41" s="422"/>
      <c r="B41" s="423"/>
      <c r="C41" s="423"/>
      <c r="D41" s="423"/>
      <c r="E41" s="423"/>
      <c r="F41" s="423"/>
      <c r="G41" s="423"/>
      <c r="H41" s="423"/>
      <c r="I41" s="423"/>
      <c r="J41" s="423"/>
      <c r="K41" s="423"/>
      <c r="L41" s="423"/>
      <c r="M41" s="423"/>
      <c r="N41" s="423"/>
      <c r="O41" s="423"/>
      <c r="P41" s="423"/>
      <c r="Q41" s="423"/>
      <c r="R41" s="423"/>
      <c r="S41" s="423"/>
      <c r="T41" s="424"/>
      <c r="U41" s="542"/>
      <c r="V41" s="543"/>
      <c r="W41" s="543"/>
      <c r="X41" s="543"/>
      <c r="Y41" s="543"/>
      <c r="Z41" s="543"/>
      <c r="AA41" s="543"/>
      <c r="AB41" s="543"/>
      <c r="AC41" s="543"/>
      <c r="AD41" s="543"/>
      <c r="AE41" s="543"/>
      <c r="AF41" s="543"/>
      <c r="AG41" s="543"/>
      <c r="AH41" s="543"/>
      <c r="AI41" s="543"/>
      <c r="AJ41" s="544"/>
      <c r="AK41" s="548" t="s">
        <v>1272</v>
      </c>
      <c r="AL41" s="549"/>
      <c r="AM41" s="549"/>
      <c r="AN41" s="549"/>
      <c r="AO41" s="549"/>
      <c r="AP41" s="549"/>
      <c r="AQ41" s="549"/>
      <c r="AR41" s="549"/>
      <c r="AS41" s="549"/>
      <c r="AT41" s="549"/>
      <c r="AU41" s="549"/>
      <c r="AV41" s="549"/>
      <c r="AW41" s="549"/>
      <c r="AX41" s="549"/>
      <c r="AY41" s="549"/>
      <c r="AZ41" s="549"/>
      <c r="BA41" s="549"/>
      <c r="BB41" s="550"/>
    </row>
    <row r="42" spans="1:54">
      <c r="A42" s="422"/>
      <c r="B42" s="423"/>
      <c r="C42" s="423"/>
      <c r="D42" s="423"/>
      <c r="E42" s="423"/>
      <c r="F42" s="423"/>
      <c r="G42" s="423"/>
      <c r="H42" s="423"/>
      <c r="I42" s="423"/>
      <c r="J42" s="423"/>
      <c r="K42" s="423"/>
      <c r="L42" s="423"/>
      <c r="M42" s="423"/>
      <c r="N42" s="423"/>
      <c r="O42" s="423"/>
      <c r="P42" s="423"/>
      <c r="Q42" s="423"/>
      <c r="R42" s="423"/>
      <c r="S42" s="423"/>
      <c r="T42" s="424"/>
      <c r="U42" s="545"/>
      <c r="V42" s="546"/>
      <c r="W42" s="546"/>
      <c r="X42" s="546"/>
      <c r="Y42" s="546"/>
      <c r="Z42" s="546"/>
      <c r="AA42" s="546"/>
      <c r="AB42" s="546"/>
      <c r="AC42" s="546"/>
      <c r="AD42" s="546"/>
      <c r="AE42" s="546"/>
      <c r="AF42" s="546"/>
      <c r="AG42" s="546"/>
      <c r="AH42" s="546"/>
      <c r="AI42" s="546"/>
      <c r="AJ42" s="547"/>
      <c r="AK42" s="78" t="s">
        <v>1273</v>
      </c>
      <c r="AL42" s="41"/>
      <c r="AM42" s="41"/>
      <c r="AN42" s="41"/>
      <c r="AO42" s="41"/>
      <c r="AP42" s="41"/>
      <c r="AQ42" s="41"/>
      <c r="AR42" s="41"/>
      <c r="AS42" s="41"/>
      <c r="AT42" s="41"/>
      <c r="AU42" s="41"/>
      <c r="AV42" s="41"/>
      <c r="AW42" s="41"/>
      <c r="AX42" s="41"/>
      <c r="AY42" s="41"/>
      <c r="AZ42" s="41"/>
      <c r="BA42" s="41"/>
      <c r="BB42" s="42"/>
    </row>
    <row r="43" spans="1:54">
      <c r="A43" s="422"/>
      <c r="B43" s="423"/>
      <c r="C43" s="423"/>
      <c r="D43" s="423"/>
      <c r="E43" s="423"/>
      <c r="F43" s="423"/>
      <c r="G43" s="423"/>
      <c r="H43" s="423"/>
      <c r="I43" s="423"/>
      <c r="J43" s="423"/>
      <c r="K43" s="423"/>
      <c r="L43" s="423"/>
      <c r="M43" s="423"/>
      <c r="N43" s="423"/>
      <c r="O43" s="423"/>
      <c r="P43" s="423"/>
      <c r="Q43" s="423"/>
      <c r="R43" s="423"/>
      <c r="S43" s="423"/>
      <c r="T43" s="424"/>
      <c r="U43" s="486" t="s">
        <v>1274</v>
      </c>
      <c r="V43" s="487"/>
      <c r="W43" s="487"/>
      <c r="X43" s="487"/>
      <c r="Y43" s="487"/>
      <c r="Z43" s="487"/>
      <c r="AA43" s="487"/>
      <c r="AB43" s="487"/>
      <c r="AC43" s="487"/>
      <c r="AD43" s="487"/>
      <c r="AE43" s="487"/>
      <c r="AF43" s="487"/>
      <c r="AG43" s="487"/>
      <c r="AH43" s="487"/>
      <c r="AI43" s="487"/>
      <c r="AJ43" s="488"/>
      <c r="AK43" s="43"/>
      <c r="AL43" s="44"/>
      <c r="AM43" s="44"/>
      <c r="AN43" s="44"/>
      <c r="AO43" s="44"/>
      <c r="AP43" s="44"/>
      <c r="AQ43" s="485"/>
      <c r="AR43" s="485"/>
      <c r="AS43" s="485"/>
      <c r="AT43" s="485"/>
      <c r="AU43" s="485"/>
      <c r="AV43" s="485"/>
      <c r="AW43" s="44"/>
      <c r="AX43" s="44"/>
      <c r="AY43" s="44"/>
      <c r="AZ43" s="44"/>
      <c r="BA43" s="44"/>
      <c r="BB43" s="45"/>
    </row>
    <row r="44" spans="1:54">
      <c r="A44" s="422"/>
      <c r="B44" s="423"/>
      <c r="C44" s="423"/>
      <c r="D44" s="423"/>
      <c r="E44" s="423"/>
      <c r="F44" s="423"/>
      <c r="G44" s="423"/>
      <c r="H44" s="423"/>
      <c r="I44" s="423"/>
      <c r="J44" s="423"/>
      <c r="K44" s="423"/>
      <c r="L44" s="423"/>
      <c r="M44" s="423"/>
      <c r="N44" s="423"/>
      <c r="O44" s="423"/>
      <c r="P44" s="423"/>
      <c r="Q44" s="423"/>
      <c r="R44" s="423"/>
      <c r="S44" s="423"/>
      <c r="T44" s="424"/>
      <c r="U44" s="486" t="s">
        <v>1275</v>
      </c>
      <c r="V44" s="487"/>
      <c r="W44" s="487"/>
      <c r="X44" s="487"/>
      <c r="Y44" s="487"/>
      <c r="Z44" s="487"/>
      <c r="AA44" s="487"/>
      <c r="AB44" s="487"/>
      <c r="AC44" s="487"/>
      <c r="AD44" s="487"/>
      <c r="AE44" s="487"/>
      <c r="AF44" s="487"/>
      <c r="AG44" s="487"/>
      <c r="AH44" s="487"/>
      <c r="AI44" s="487"/>
      <c r="AJ44" s="488"/>
      <c r="AK44" s="43"/>
      <c r="AL44" s="44"/>
      <c r="AM44" s="44"/>
      <c r="AN44" s="44"/>
      <c r="AO44" s="44"/>
      <c r="AP44" s="44"/>
      <c r="AQ44" s="489" t="s">
        <v>1276</v>
      </c>
      <c r="AR44" s="489"/>
      <c r="AS44" s="489"/>
      <c r="AT44" s="489"/>
      <c r="AU44" s="489"/>
      <c r="AV44" s="489"/>
      <c r="AW44" s="44"/>
      <c r="AX44" s="44"/>
      <c r="AY44" s="44"/>
      <c r="AZ44" s="44"/>
      <c r="BA44" s="44"/>
      <c r="BB44" s="45"/>
    </row>
    <row r="45" spans="1:54">
      <c r="A45" s="392"/>
      <c r="B45" s="425"/>
      <c r="C45" s="425"/>
      <c r="D45" s="425"/>
      <c r="E45" s="425"/>
      <c r="F45" s="425"/>
      <c r="G45" s="425"/>
      <c r="H45" s="425"/>
      <c r="I45" s="425"/>
      <c r="J45" s="425"/>
      <c r="K45" s="425"/>
      <c r="L45" s="425"/>
      <c r="M45" s="425"/>
      <c r="N45" s="425"/>
      <c r="O45" s="425"/>
      <c r="P45" s="425"/>
      <c r="Q45" s="425"/>
      <c r="R45" s="425"/>
      <c r="S45" s="425"/>
      <c r="T45" s="393"/>
      <c r="U45" s="551" t="s">
        <v>1277</v>
      </c>
      <c r="V45" s="552"/>
      <c r="W45" s="552"/>
      <c r="X45" s="552"/>
      <c r="Y45" s="552"/>
      <c r="Z45" s="552"/>
      <c r="AA45" s="552"/>
      <c r="AB45" s="552"/>
      <c r="AC45" s="552"/>
      <c r="AD45" s="552"/>
      <c r="AE45" s="552"/>
      <c r="AF45" s="552"/>
      <c r="AG45" s="552"/>
      <c r="AH45" s="552"/>
      <c r="AI45" s="552"/>
      <c r="AJ45" s="553"/>
      <c r="AK45" s="73"/>
      <c r="AL45" s="55"/>
      <c r="AM45" s="55"/>
      <c r="AN45" s="55"/>
      <c r="AO45" s="55"/>
      <c r="AP45" s="55"/>
      <c r="AQ45" s="493"/>
      <c r="AR45" s="493"/>
      <c r="AS45" s="493"/>
      <c r="AT45" s="493"/>
      <c r="AU45" s="493"/>
      <c r="AV45" s="493"/>
      <c r="AW45" s="55"/>
      <c r="AX45" s="55"/>
      <c r="AY45" s="55"/>
      <c r="AZ45" s="55"/>
      <c r="BA45" s="55"/>
      <c r="BB45" s="56"/>
    </row>
    <row r="46" spans="1:54">
      <c r="A46" s="470" t="s">
        <v>1601</v>
      </c>
      <c r="B46" s="471"/>
      <c r="C46" s="471"/>
      <c r="D46" s="471"/>
      <c r="E46" s="471"/>
      <c r="F46" s="471"/>
      <c r="G46" s="471"/>
      <c r="H46" s="471"/>
      <c r="I46" s="471"/>
      <c r="J46" s="471"/>
      <c r="K46" s="471"/>
      <c r="L46" s="471"/>
      <c r="M46" s="471"/>
      <c r="N46" s="471"/>
      <c r="O46" s="471"/>
      <c r="P46" s="471"/>
      <c r="Q46" s="471"/>
      <c r="R46" s="471"/>
      <c r="S46" s="471"/>
      <c r="T46" s="472"/>
      <c r="U46" s="390"/>
      <c r="V46" s="391"/>
      <c r="W46" s="470" t="s">
        <v>1279</v>
      </c>
      <c r="X46" s="471"/>
      <c r="Y46" s="471"/>
      <c r="Z46" s="472"/>
      <c r="AA46" s="554" t="s">
        <v>1280</v>
      </c>
      <c r="AB46" s="555"/>
      <c r="AC46" s="555"/>
      <c r="AD46" s="555"/>
      <c r="AE46" s="556"/>
      <c r="AF46" s="477" t="s">
        <v>1281</v>
      </c>
      <c r="AG46" s="478"/>
      <c r="AH46" s="479"/>
      <c r="AI46" s="483">
        <v>4</v>
      </c>
      <c r="AJ46" s="484"/>
      <c r="AK46" s="464" t="s">
        <v>1282</v>
      </c>
      <c r="AL46" s="465"/>
      <c r="AM46" s="466"/>
      <c r="AN46" s="470" t="s">
        <v>1283</v>
      </c>
      <c r="AO46" s="471"/>
      <c r="AP46" s="471"/>
      <c r="AQ46" s="471"/>
      <c r="AR46" s="471"/>
      <c r="AS46" s="471"/>
      <c r="AT46" s="471"/>
      <c r="AU46" s="471"/>
      <c r="AV46" s="471"/>
      <c r="AW46" s="471"/>
      <c r="AX46" s="472"/>
      <c r="AY46" s="40"/>
      <c r="AZ46" s="476" t="s">
        <v>1262</v>
      </c>
      <c r="BA46" s="476"/>
      <c r="BB46" s="42"/>
    </row>
    <row r="47" spans="1:54">
      <c r="A47" s="473"/>
      <c r="B47" s="474"/>
      <c r="C47" s="474"/>
      <c r="D47" s="474"/>
      <c r="E47" s="474"/>
      <c r="F47" s="474"/>
      <c r="G47" s="474"/>
      <c r="H47" s="474"/>
      <c r="I47" s="474"/>
      <c r="J47" s="474"/>
      <c r="K47" s="474"/>
      <c r="L47" s="474"/>
      <c r="M47" s="474"/>
      <c r="N47" s="474"/>
      <c r="O47" s="474"/>
      <c r="P47" s="474"/>
      <c r="Q47" s="474"/>
      <c r="R47" s="474"/>
      <c r="S47" s="474"/>
      <c r="T47" s="475"/>
      <c r="U47" s="392"/>
      <c r="V47" s="393"/>
      <c r="W47" s="473"/>
      <c r="X47" s="474"/>
      <c r="Y47" s="474"/>
      <c r="Z47" s="475"/>
      <c r="AA47" s="557"/>
      <c r="AB47" s="558"/>
      <c r="AC47" s="558"/>
      <c r="AD47" s="558"/>
      <c r="AE47" s="559"/>
      <c r="AF47" s="477" t="s">
        <v>1284</v>
      </c>
      <c r="AG47" s="478"/>
      <c r="AH47" s="479"/>
      <c r="AI47" s="480">
        <v>5</v>
      </c>
      <c r="AJ47" s="481"/>
      <c r="AK47" s="467"/>
      <c r="AL47" s="468"/>
      <c r="AM47" s="469"/>
      <c r="AN47" s="473"/>
      <c r="AO47" s="474"/>
      <c r="AP47" s="474"/>
      <c r="AQ47" s="474"/>
      <c r="AR47" s="474"/>
      <c r="AS47" s="474"/>
      <c r="AT47" s="474"/>
      <c r="AU47" s="474"/>
      <c r="AV47" s="474"/>
      <c r="AW47" s="474"/>
      <c r="AX47" s="475"/>
      <c r="AY47" s="58"/>
      <c r="AZ47" s="482">
        <v>5</v>
      </c>
      <c r="BA47" s="482"/>
      <c r="BB47" s="61"/>
    </row>
  </sheetData>
  <mergeCells count="164">
    <mergeCell ref="AZ46:BA46"/>
    <mergeCell ref="AF47:AH47"/>
    <mergeCell ref="AI47:AJ47"/>
    <mergeCell ref="AZ47:BA47"/>
    <mergeCell ref="A46:T47"/>
    <mergeCell ref="U46:V47"/>
    <mergeCell ref="W46:Z47"/>
    <mergeCell ref="AA46:AE47"/>
    <mergeCell ref="AF46:AH46"/>
    <mergeCell ref="AI46:AJ46"/>
    <mergeCell ref="AQ43:AV43"/>
    <mergeCell ref="U44:AJ44"/>
    <mergeCell ref="AQ44:AV44"/>
    <mergeCell ref="U45:AJ45"/>
    <mergeCell ref="AQ45:AV45"/>
    <mergeCell ref="AN39:AP39"/>
    <mergeCell ref="AQ39:AS39"/>
    <mergeCell ref="AT39:AV39"/>
    <mergeCell ref="AK46:AM47"/>
    <mergeCell ref="AN46:AX47"/>
    <mergeCell ref="AN37:AP37"/>
    <mergeCell ref="AQ37:AS37"/>
    <mergeCell ref="AT37:AV37"/>
    <mergeCell ref="AW37:AY37"/>
    <mergeCell ref="AW39:AY39"/>
    <mergeCell ref="AZ39:BB39"/>
    <mergeCell ref="U40:AJ42"/>
    <mergeCell ref="AK40:BB40"/>
    <mergeCell ref="AK41:BB41"/>
    <mergeCell ref="AZ37:BB37"/>
    <mergeCell ref="U38:V38"/>
    <mergeCell ref="W38:Y38"/>
    <mergeCell ref="Z38:AJ38"/>
    <mergeCell ref="AK38:AM38"/>
    <mergeCell ref="AN38:AP38"/>
    <mergeCell ref="AQ38:AS38"/>
    <mergeCell ref="AT38:AV38"/>
    <mergeCell ref="AW38:AY38"/>
    <mergeCell ref="AZ38:BB38"/>
    <mergeCell ref="AN35:AP35"/>
    <mergeCell ref="AQ35:AS35"/>
    <mergeCell ref="AT35:AV35"/>
    <mergeCell ref="AW35:AY35"/>
    <mergeCell ref="AZ35:BB35"/>
    <mergeCell ref="U36:V36"/>
    <mergeCell ref="W36:Y36"/>
    <mergeCell ref="Z36:AJ36"/>
    <mergeCell ref="AK36:AM36"/>
    <mergeCell ref="AN36:AP36"/>
    <mergeCell ref="AQ36:AS36"/>
    <mergeCell ref="AT36:AV36"/>
    <mergeCell ref="AW36:AY36"/>
    <mergeCell ref="AZ36:BB36"/>
    <mergeCell ref="AN33:AP33"/>
    <mergeCell ref="AQ33:AS33"/>
    <mergeCell ref="AT33:AV33"/>
    <mergeCell ref="AW33:AY33"/>
    <mergeCell ref="AZ33:BB33"/>
    <mergeCell ref="U34:V34"/>
    <mergeCell ref="W34:Y34"/>
    <mergeCell ref="Z34:AJ34"/>
    <mergeCell ref="AK34:AM34"/>
    <mergeCell ref="AN34:AP34"/>
    <mergeCell ref="AQ34:AS34"/>
    <mergeCell ref="AT34:AV34"/>
    <mergeCell ref="AW34:AY34"/>
    <mergeCell ref="AZ34:BB34"/>
    <mergeCell ref="F32:G32"/>
    <mergeCell ref="A33:T45"/>
    <mergeCell ref="U33:V33"/>
    <mergeCell ref="W33:Y33"/>
    <mergeCell ref="Z33:AJ33"/>
    <mergeCell ref="AK33:AM33"/>
    <mergeCell ref="U39:V39"/>
    <mergeCell ref="W39:Y39"/>
    <mergeCell ref="Z39:AJ39"/>
    <mergeCell ref="AK39:AM39"/>
    <mergeCell ref="U35:V35"/>
    <mergeCell ref="W35:Y35"/>
    <mergeCell ref="Z35:AJ35"/>
    <mergeCell ref="AK35:AM35"/>
    <mergeCell ref="U37:V37"/>
    <mergeCell ref="W37:Y37"/>
    <mergeCell ref="Z37:AJ37"/>
    <mergeCell ref="AK37:AM37"/>
    <mergeCell ref="U43:AJ43"/>
    <mergeCell ref="F26:G26"/>
    <mergeCell ref="F27:G27"/>
    <mergeCell ref="F28:G28"/>
    <mergeCell ref="F29:G29"/>
    <mergeCell ref="F30:G30"/>
    <mergeCell ref="F31:G31"/>
    <mergeCell ref="F20:G20"/>
    <mergeCell ref="F21:G21"/>
    <mergeCell ref="F22:G22"/>
    <mergeCell ref="F23:G23"/>
    <mergeCell ref="F24:G24"/>
    <mergeCell ref="F25:G25"/>
    <mergeCell ref="F14:G14"/>
    <mergeCell ref="F15:G15"/>
    <mergeCell ref="F16:G16"/>
    <mergeCell ref="F17:G17"/>
    <mergeCell ref="F18:G18"/>
    <mergeCell ref="F19:G19"/>
    <mergeCell ref="F8:G8"/>
    <mergeCell ref="F9:G9"/>
    <mergeCell ref="F10:G10"/>
    <mergeCell ref="F11:G11"/>
    <mergeCell ref="F12:G12"/>
    <mergeCell ref="F13:G13"/>
    <mergeCell ref="BA4:BA5"/>
    <mergeCell ref="BB4:BB5"/>
    <mergeCell ref="F5:G5"/>
    <mergeCell ref="B6:C6"/>
    <mergeCell ref="F6:G6"/>
    <mergeCell ref="F7:G7"/>
    <mergeCell ref="AU4:AU5"/>
    <mergeCell ref="AV4:AV5"/>
    <mergeCell ref="AW4:AW5"/>
    <mergeCell ref="AX4:AX5"/>
    <mergeCell ref="AY4:AY5"/>
    <mergeCell ref="AZ4:AZ5"/>
    <mergeCell ref="AO4:AO5"/>
    <mergeCell ref="AP4:AP5"/>
    <mergeCell ref="AQ4:AQ5"/>
    <mergeCell ref="AR4:AR5"/>
    <mergeCell ref="AS4:AS5"/>
    <mergeCell ref="AT4:AT5"/>
    <mergeCell ref="AI4:AI5"/>
    <mergeCell ref="AJ4:AJ5"/>
    <mergeCell ref="AK4:AK5"/>
    <mergeCell ref="AL4:AL5"/>
    <mergeCell ref="AM4:AM5"/>
    <mergeCell ref="AN4:AN5"/>
    <mergeCell ref="AC4:AC5"/>
    <mergeCell ref="AD4:AD5"/>
    <mergeCell ref="AE4:AE5"/>
    <mergeCell ref="AF4:AF5"/>
    <mergeCell ref="AG4:AG5"/>
    <mergeCell ref="AH4:AH5"/>
    <mergeCell ref="W4:W5"/>
    <mergeCell ref="X4:X5"/>
    <mergeCell ref="Y4:Y5"/>
    <mergeCell ref="Z4:Z5"/>
    <mergeCell ref="AA4:AA5"/>
    <mergeCell ref="AB4:AB5"/>
    <mergeCell ref="T4:T5"/>
    <mergeCell ref="U4:U5"/>
    <mergeCell ref="V4:V5"/>
    <mergeCell ref="K4:K5"/>
    <mergeCell ref="L4:L5"/>
    <mergeCell ref="M4:M5"/>
    <mergeCell ref="N4:N5"/>
    <mergeCell ref="O4:O5"/>
    <mergeCell ref="P4:P5"/>
    <mergeCell ref="A1:E3"/>
    <mergeCell ref="F1:F3"/>
    <mergeCell ref="A4:F4"/>
    <mergeCell ref="H4:H5"/>
    <mergeCell ref="I4:I5"/>
    <mergeCell ref="J4:J5"/>
    <mergeCell ref="Q4:Q5"/>
    <mergeCell ref="R4:R5"/>
    <mergeCell ref="S4:S5"/>
  </mergeCells>
  <hyperlinks>
    <hyperlink ref="U44" r:id="rId1" display="http://www.2hoffshore.com/" xr:uid="{00000000-0004-0000-0C00-000000000000}"/>
  </hyperlinks>
  <pageMargins left="0.7" right="0.7" top="0.75" bottom="0.75" header="0.3" footer="0.3"/>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BD53"/>
  <sheetViews>
    <sheetView topLeftCell="A4" zoomScale="160" zoomScaleNormal="160" workbookViewId="0">
      <selection activeCell="D27" sqref="D27"/>
    </sheetView>
  </sheetViews>
  <sheetFormatPr defaultColWidth="9.109375" defaultRowHeight="13.2"/>
  <cols>
    <col min="1" max="1" width="2.88671875" style="20" customWidth="1"/>
    <col min="2" max="2" width="14.21875" style="20" customWidth="1"/>
    <col min="3" max="3" width="26.88671875" style="20" customWidth="1"/>
    <col min="4" max="4" width="10.88671875" style="20" customWidth="1"/>
    <col min="5" max="5" width="5.77734375" style="20" customWidth="1"/>
    <col min="6" max="6" width="3.33203125" style="20" customWidth="1"/>
    <col min="7" max="7" width="4" style="20" customWidth="1"/>
    <col min="8" max="8" width="2.109375" style="20" customWidth="1"/>
    <col min="9" max="9" width="2.77734375" style="20" customWidth="1"/>
    <col min="10" max="11" width="2.109375" style="20" customWidth="1"/>
    <col min="12" max="12" width="3" style="20" customWidth="1"/>
    <col min="13" max="13" width="2.88671875" style="20" customWidth="1"/>
    <col min="14" max="14" width="3" style="20" customWidth="1"/>
    <col min="15" max="15" width="2.88671875" style="20" customWidth="1"/>
    <col min="16" max="16" width="3" style="20" customWidth="1"/>
    <col min="17" max="17" width="2.88671875" style="20" customWidth="1"/>
    <col min="18" max="18" width="3" style="20" customWidth="1"/>
    <col min="19" max="19" width="2.88671875" style="20" customWidth="1"/>
    <col min="20" max="20" width="3" style="20" customWidth="1"/>
    <col min="21" max="21" width="2.88671875" style="20" customWidth="1"/>
    <col min="22" max="22" width="3" style="20" customWidth="1"/>
    <col min="23" max="23" width="2.88671875" style="20" customWidth="1"/>
    <col min="24" max="24" width="3" style="20" customWidth="1"/>
    <col min="25" max="25" width="2.88671875" style="20" customWidth="1"/>
    <col min="26" max="26" width="3" style="20" customWidth="1"/>
    <col min="27" max="28" width="2.88671875" style="20" customWidth="1"/>
    <col min="29" max="30" width="2.33203125" style="20" customWidth="1"/>
    <col min="31" max="31" width="2.88671875" style="20" customWidth="1"/>
    <col min="32" max="32" width="3" style="20" customWidth="1"/>
    <col min="33" max="33" width="2.88671875" style="20" customWidth="1"/>
    <col min="34" max="34" width="3" style="20" customWidth="1"/>
    <col min="35" max="35" width="2.88671875" style="20" customWidth="1"/>
    <col min="36" max="36" width="3" style="20" customWidth="1"/>
    <col min="37" max="38" width="2.88671875" style="20" customWidth="1"/>
    <col min="39" max="39" width="3" style="20" customWidth="1"/>
    <col min="40" max="40" width="2.88671875" style="20" customWidth="1"/>
    <col min="41" max="41" width="3" style="20" customWidth="1"/>
    <col min="42" max="42" width="2.88671875" style="20" customWidth="1"/>
    <col min="43" max="43" width="3" style="20" customWidth="1"/>
    <col min="44" max="44" width="2.88671875" style="20" customWidth="1"/>
    <col min="45" max="45" width="3" style="20" customWidth="1"/>
    <col min="46" max="46" width="2.88671875" style="20" customWidth="1"/>
    <col min="47" max="47" width="3" style="20" customWidth="1"/>
    <col min="48" max="49" width="2.88671875" style="20" customWidth="1"/>
    <col min="50" max="50" width="3" style="20" customWidth="1"/>
    <col min="51" max="51" width="2.88671875" style="20" customWidth="1"/>
    <col min="52" max="52" width="3" style="20" customWidth="1"/>
    <col min="53" max="53" width="2.88671875" style="20" customWidth="1"/>
    <col min="54" max="54" width="3" style="20" customWidth="1"/>
    <col min="55" max="55" width="2.88671875" style="20" customWidth="1"/>
    <col min="56" max="56" width="3" style="20" customWidth="1"/>
    <col min="57" max="16384" width="9.109375" style="20"/>
  </cols>
  <sheetData>
    <row r="1" spans="1:56" ht="95.1" customHeight="1">
      <c r="A1" s="390"/>
      <c r="B1" s="421"/>
      <c r="C1" s="421"/>
      <c r="D1" s="421"/>
      <c r="E1" s="391"/>
      <c r="F1" s="530" t="s">
        <v>1175</v>
      </c>
      <c r="G1" s="66" t="s">
        <v>1176</v>
      </c>
      <c r="H1" s="67" t="s">
        <v>1177</v>
      </c>
      <c r="I1" s="67" t="s">
        <v>1178</v>
      </c>
      <c r="J1" s="523" t="s">
        <v>1179</v>
      </c>
      <c r="K1" s="524"/>
      <c r="L1" s="67" t="s">
        <v>1180</v>
      </c>
      <c r="M1" s="67" t="s">
        <v>1181</v>
      </c>
      <c r="N1" s="523" t="s">
        <v>1182</v>
      </c>
      <c r="O1" s="524"/>
      <c r="P1" s="67" t="s">
        <v>1183</v>
      </c>
      <c r="Q1" s="67" t="s">
        <v>1184</v>
      </c>
      <c r="R1" s="523" t="s">
        <v>1185</v>
      </c>
      <c r="S1" s="524"/>
      <c r="T1" s="67" t="s">
        <v>1186</v>
      </c>
      <c r="U1" s="67" t="s">
        <v>1187</v>
      </c>
      <c r="V1" s="523" t="s">
        <v>1188</v>
      </c>
      <c r="W1" s="524"/>
      <c r="X1" s="67" t="s">
        <v>1189</v>
      </c>
      <c r="Y1" s="67" t="s">
        <v>1190</v>
      </c>
      <c r="Z1" s="523" t="s">
        <v>1602</v>
      </c>
      <c r="AA1" s="524"/>
      <c r="AB1" s="523" t="s">
        <v>1191</v>
      </c>
      <c r="AC1" s="524"/>
      <c r="AD1" s="67" t="s">
        <v>1603</v>
      </c>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row>
    <row r="2" spans="1:56" ht="47.85" customHeight="1">
      <c r="A2" s="422"/>
      <c r="B2" s="423"/>
      <c r="C2" s="423"/>
      <c r="D2" s="423"/>
      <c r="E2" s="424"/>
      <c r="F2" s="531"/>
      <c r="G2" s="66" t="s">
        <v>1211</v>
      </c>
      <c r="H2" s="19"/>
      <c r="I2" s="19"/>
      <c r="J2" s="216" t="s">
        <v>3102</v>
      </c>
      <c r="K2" s="212" t="s">
        <v>1604</v>
      </c>
      <c r="L2" s="246" t="s">
        <v>3103</v>
      </c>
      <c r="M2" s="203" t="s">
        <v>1605</v>
      </c>
      <c r="N2" s="212" t="s">
        <v>1606</v>
      </c>
      <c r="O2" s="212" t="s">
        <v>1607</v>
      </c>
      <c r="P2" s="203" t="s">
        <v>1608</v>
      </c>
      <c r="Q2" s="203" t="s">
        <v>1609</v>
      </c>
      <c r="R2" s="212" t="s">
        <v>1610</v>
      </c>
      <c r="S2" s="212" t="s">
        <v>1611</v>
      </c>
      <c r="T2" s="203" t="s">
        <v>1612</v>
      </c>
      <c r="U2" s="203" t="s">
        <v>1220</v>
      </c>
      <c r="V2" s="212" t="s">
        <v>1613</v>
      </c>
      <c r="W2" s="212" t="s">
        <v>1614</v>
      </c>
      <c r="X2" s="67" t="s">
        <v>1615</v>
      </c>
      <c r="Y2" s="67" t="s">
        <v>1616</v>
      </c>
      <c r="Z2" s="271" t="s">
        <v>2870</v>
      </c>
      <c r="AA2" s="197" t="s">
        <v>1618</v>
      </c>
      <c r="AB2" s="197" t="s">
        <v>1224</v>
      </c>
      <c r="AC2" s="197" t="s">
        <v>1225</v>
      </c>
      <c r="AD2" s="197" t="s">
        <v>1619</v>
      </c>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row>
    <row r="3" spans="1:56" ht="37.65" customHeight="1">
      <c r="A3" s="392"/>
      <c r="B3" s="425"/>
      <c r="C3" s="425"/>
      <c r="D3" s="425"/>
      <c r="E3" s="393"/>
      <c r="F3" s="531"/>
      <c r="G3" s="66" t="s">
        <v>1239</v>
      </c>
      <c r="H3" s="19"/>
      <c r="I3" s="19"/>
      <c r="J3" s="67" t="s">
        <v>1620</v>
      </c>
      <c r="K3" s="67" t="s">
        <v>1620</v>
      </c>
      <c r="L3" s="67" t="s">
        <v>1620</v>
      </c>
      <c r="M3" s="67" t="s">
        <v>1620</v>
      </c>
      <c r="N3" s="67" t="s">
        <v>1620</v>
      </c>
      <c r="O3" s="67" t="s">
        <v>1620</v>
      </c>
      <c r="P3" s="67" t="s">
        <v>1620</v>
      </c>
      <c r="Q3" s="67" t="s">
        <v>1620</v>
      </c>
      <c r="R3" s="67" t="s">
        <v>1620</v>
      </c>
      <c r="S3" s="67" t="s">
        <v>1620</v>
      </c>
      <c r="T3" s="67" t="s">
        <v>1620</v>
      </c>
      <c r="U3" s="67" t="s">
        <v>1620</v>
      </c>
      <c r="V3" s="67" t="s">
        <v>1620</v>
      </c>
      <c r="W3" s="67" t="s">
        <v>1620</v>
      </c>
      <c r="X3" s="67" t="s">
        <v>1620</v>
      </c>
      <c r="Y3" s="67" t="s">
        <v>1620</v>
      </c>
      <c r="Z3" s="67" t="s">
        <v>1620</v>
      </c>
      <c r="AA3" s="67" t="s">
        <v>1620</v>
      </c>
      <c r="AB3" s="67" t="s">
        <v>1620</v>
      </c>
      <c r="AC3" s="67" t="s">
        <v>1620</v>
      </c>
      <c r="AD3" s="67" t="s">
        <v>1620</v>
      </c>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row>
    <row r="4" spans="1:56" ht="15.75" customHeight="1">
      <c r="A4" s="525" t="s">
        <v>1242</v>
      </c>
      <c r="B4" s="526"/>
      <c r="C4" s="526"/>
      <c r="D4" s="526"/>
      <c r="E4" s="526"/>
      <c r="F4" s="527"/>
      <c r="G4" s="68" t="s">
        <v>1243</v>
      </c>
      <c r="H4" s="521">
        <v>1</v>
      </c>
      <c r="I4" s="521">
        <v>2</v>
      </c>
      <c r="J4" s="519">
        <v>3</v>
      </c>
      <c r="K4" s="519">
        <v>4</v>
      </c>
      <c r="L4" s="521">
        <v>5</v>
      </c>
      <c r="M4" s="521">
        <v>6</v>
      </c>
      <c r="N4" s="521">
        <v>7</v>
      </c>
      <c r="O4" s="521">
        <v>8</v>
      </c>
      <c r="P4" s="521">
        <v>9</v>
      </c>
      <c r="Q4" s="519">
        <v>10</v>
      </c>
      <c r="R4" s="519">
        <v>11</v>
      </c>
      <c r="S4" s="519">
        <v>12</v>
      </c>
      <c r="T4" s="519">
        <v>13</v>
      </c>
      <c r="U4" s="519">
        <v>14</v>
      </c>
      <c r="V4" s="519">
        <v>15</v>
      </c>
      <c r="W4" s="519">
        <v>16</v>
      </c>
      <c r="X4" s="519">
        <v>17</v>
      </c>
      <c r="Y4" s="519">
        <v>18</v>
      </c>
      <c r="Z4" s="519">
        <v>19</v>
      </c>
      <c r="AA4" s="519">
        <v>20</v>
      </c>
      <c r="AB4" s="519">
        <v>21</v>
      </c>
      <c r="AC4" s="519">
        <v>22</v>
      </c>
      <c r="AD4" s="519">
        <v>23</v>
      </c>
      <c r="AE4" s="449"/>
      <c r="AF4" s="449"/>
      <c r="AG4" s="449"/>
      <c r="AH4" s="449"/>
      <c r="AI4" s="449"/>
      <c r="AJ4" s="449"/>
      <c r="AK4" s="449"/>
      <c r="AL4" s="449"/>
      <c r="AM4" s="449"/>
      <c r="AN4" s="449"/>
      <c r="AO4" s="449"/>
      <c r="AP4" s="449"/>
      <c r="AQ4" s="449"/>
      <c r="AR4" s="449"/>
      <c r="AS4" s="449"/>
      <c r="AT4" s="449"/>
      <c r="AU4" s="449"/>
      <c r="AV4" s="449"/>
      <c r="AW4" s="449"/>
      <c r="AX4" s="449"/>
      <c r="AY4" s="449"/>
      <c r="AZ4" s="449"/>
      <c r="BA4" s="449"/>
      <c r="BB4" s="449"/>
      <c r="BC4" s="449"/>
      <c r="BD4" s="449"/>
    </row>
    <row r="5" spans="1:56" ht="23.25" customHeight="1">
      <c r="A5" s="69" t="s">
        <v>1244</v>
      </c>
      <c r="B5" s="69" t="s">
        <v>1245</v>
      </c>
      <c r="C5" s="69" t="s">
        <v>1246</v>
      </c>
      <c r="D5" s="79" t="s">
        <v>1247</v>
      </c>
      <c r="E5" s="69" t="s">
        <v>1248</v>
      </c>
      <c r="F5" s="528" t="s">
        <v>1249</v>
      </c>
      <c r="G5" s="529"/>
      <c r="H5" s="522"/>
      <c r="I5" s="522"/>
      <c r="J5" s="520"/>
      <c r="K5" s="520"/>
      <c r="L5" s="522"/>
      <c r="M5" s="522"/>
      <c r="N5" s="522"/>
      <c r="O5" s="522"/>
      <c r="P5" s="522"/>
      <c r="Q5" s="520"/>
      <c r="R5" s="520"/>
      <c r="S5" s="520"/>
      <c r="T5" s="520"/>
      <c r="U5" s="520"/>
      <c r="V5" s="520"/>
      <c r="W5" s="520"/>
      <c r="X5" s="520"/>
      <c r="Y5" s="520"/>
      <c r="Z5" s="520"/>
      <c r="AA5" s="520"/>
      <c r="AB5" s="520"/>
      <c r="AC5" s="520"/>
      <c r="AD5" s="520"/>
      <c r="AE5" s="450"/>
      <c r="AF5" s="450"/>
      <c r="AG5" s="450"/>
      <c r="AH5" s="450"/>
      <c r="AI5" s="450"/>
      <c r="AJ5" s="450"/>
      <c r="AK5" s="450"/>
      <c r="AL5" s="450"/>
      <c r="AM5" s="450"/>
      <c r="AN5" s="450"/>
      <c r="AO5" s="450"/>
      <c r="AP5" s="450"/>
      <c r="AQ5" s="450"/>
      <c r="AR5" s="450"/>
      <c r="AS5" s="450"/>
      <c r="AT5" s="450"/>
      <c r="AU5" s="450"/>
      <c r="AV5" s="450"/>
      <c r="AW5" s="450"/>
      <c r="AX5" s="450"/>
      <c r="AY5" s="450"/>
      <c r="AZ5" s="450"/>
      <c r="BA5" s="450"/>
      <c r="BB5" s="450"/>
      <c r="BC5" s="450"/>
      <c r="BD5" s="450"/>
    </row>
    <row r="6" spans="1:56" ht="8.25" customHeight="1">
      <c r="A6" s="25"/>
      <c r="B6" s="415"/>
      <c r="C6" s="416"/>
      <c r="D6" s="417"/>
      <c r="E6" s="25"/>
      <c r="F6" s="415"/>
      <c r="G6" s="417"/>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row>
    <row r="7" spans="1:56" ht="8.25" customHeight="1">
      <c r="A7" s="64">
        <v>5</v>
      </c>
      <c r="B7" s="25"/>
      <c r="C7" s="25"/>
      <c r="D7" s="25"/>
      <c r="E7" s="25"/>
      <c r="F7" s="511">
        <v>83</v>
      </c>
      <c r="G7" s="512"/>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row>
    <row r="8" spans="1:56" ht="14.25" customHeight="1">
      <c r="A8" s="64">
        <v>5</v>
      </c>
      <c r="B8" s="63" t="s">
        <v>1128</v>
      </c>
      <c r="C8" s="65" t="s">
        <v>1621</v>
      </c>
      <c r="D8" s="279" t="s">
        <v>3360</v>
      </c>
      <c r="E8" s="63" t="s">
        <v>1622</v>
      </c>
      <c r="F8" s="511">
        <v>84</v>
      </c>
      <c r="G8" s="512"/>
      <c r="H8" s="38"/>
      <c r="I8" s="38"/>
      <c r="J8" s="38"/>
      <c r="K8" s="38"/>
      <c r="L8" s="22" t="s">
        <v>1132</v>
      </c>
      <c r="M8" s="22" t="s">
        <v>1132</v>
      </c>
      <c r="N8" s="38"/>
      <c r="O8" s="38"/>
      <c r="P8" s="38"/>
      <c r="Q8" s="38"/>
      <c r="R8" s="38"/>
      <c r="S8" s="38"/>
      <c r="T8" s="38"/>
      <c r="U8" s="38"/>
      <c r="V8" s="38"/>
      <c r="W8" s="38"/>
      <c r="X8" s="38"/>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row>
    <row r="9" spans="1:56" ht="8.25" customHeight="1">
      <c r="A9" s="64">
        <v>5</v>
      </c>
      <c r="B9" s="63" t="s">
        <v>1128</v>
      </c>
      <c r="C9" s="65" t="s">
        <v>1623</v>
      </c>
      <c r="D9" s="268" t="s">
        <v>1624</v>
      </c>
      <c r="E9" s="63" t="s">
        <v>1622</v>
      </c>
      <c r="F9" s="511">
        <v>85</v>
      </c>
      <c r="G9" s="512"/>
      <c r="H9" s="25"/>
      <c r="I9" s="25"/>
      <c r="J9" s="25"/>
      <c r="K9" s="25"/>
      <c r="L9" s="25"/>
      <c r="M9" s="22" t="s">
        <v>1132</v>
      </c>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row>
    <row r="10" spans="1:56" ht="8.25" customHeight="1">
      <c r="A10" s="64">
        <v>5</v>
      </c>
      <c r="B10" s="25"/>
      <c r="C10" s="25"/>
      <c r="D10" s="269"/>
      <c r="E10" s="25"/>
      <c r="F10" s="511">
        <v>86</v>
      </c>
      <c r="G10" s="512"/>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row>
    <row r="11" spans="1:56" ht="15" customHeight="1">
      <c r="A11" s="64">
        <v>5</v>
      </c>
      <c r="B11" s="63" t="s">
        <v>1135</v>
      </c>
      <c r="C11" s="65" t="s">
        <v>1625</v>
      </c>
      <c r="D11" s="268" t="s">
        <v>1626</v>
      </c>
      <c r="E11" s="63" t="s">
        <v>1622</v>
      </c>
      <c r="F11" s="511">
        <v>87</v>
      </c>
      <c r="G11" s="512"/>
      <c r="H11" s="38"/>
      <c r="I11" s="38"/>
      <c r="J11" s="38"/>
      <c r="K11" s="38"/>
      <c r="L11" s="38"/>
      <c r="M11" s="38"/>
      <c r="N11" s="38"/>
      <c r="O11" s="38"/>
      <c r="P11" s="22" t="s">
        <v>1132</v>
      </c>
      <c r="Q11" s="22" t="s">
        <v>1132</v>
      </c>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row>
    <row r="12" spans="1:56" ht="16.649999999999999" customHeight="1">
      <c r="A12" s="64">
        <v>5</v>
      </c>
      <c r="B12" s="63" t="s">
        <v>1135</v>
      </c>
      <c r="C12" s="65" t="s">
        <v>1627</v>
      </c>
      <c r="D12" s="268" t="s">
        <v>1628</v>
      </c>
      <c r="E12" s="63" t="s">
        <v>1622</v>
      </c>
      <c r="F12" s="511">
        <v>88</v>
      </c>
      <c r="G12" s="512"/>
      <c r="H12" s="38"/>
      <c r="I12" s="38"/>
      <c r="J12" s="38"/>
      <c r="K12" s="38"/>
      <c r="L12" s="38"/>
      <c r="M12" s="38"/>
      <c r="N12" s="38"/>
      <c r="O12" s="38"/>
      <c r="P12" s="38"/>
      <c r="Q12" s="22" t="s">
        <v>1132</v>
      </c>
      <c r="R12" s="38"/>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row>
    <row r="13" spans="1:56" ht="8.25" customHeight="1">
      <c r="A13" s="64">
        <v>5</v>
      </c>
      <c r="B13" s="25"/>
      <c r="C13" s="25"/>
      <c r="D13" s="269"/>
      <c r="E13" s="25"/>
      <c r="F13" s="511">
        <v>89</v>
      </c>
      <c r="G13" s="512"/>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row>
    <row r="14" spans="1:56" ht="15.9" customHeight="1">
      <c r="A14" s="64">
        <v>5</v>
      </c>
      <c r="B14" s="63" t="s">
        <v>1140</v>
      </c>
      <c r="C14" s="65" t="s">
        <v>1629</v>
      </c>
      <c r="D14" s="268" t="s">
        <v>1630</v>
      </c>
      <c r="E14" s="63" t="s">
        <v>1622</v>
      </c>
      <c r="F14" s="511">
        <v>90</v>
      </c>
      <c r="G14" s="512"/>
      <c r="H14" s="38"/>
      <c r="I14" s="38"/>
      <c r="J14" s="38"/>
      <c r="K14" s="38"/>
      <c r="L14" s="38"/>
      <c r="M14" s="38"/>
      <c r="N14" s="38"/>
      <c r="O14" s="38"/>
      <c r="P14" s="38"/>
      <c r="Q14" s="38"/>
      <c r="R14" s="38"/>
      <c r="S14" s="38"/>
      <c r="T14" s="22" t="s">
        <v>1132</v>
      </c>
      <c r="U14" s="22" t="s">
        <v>1132</v>
      </c>
      <c r="V14" s="38"/>
      <c r="W14" s="38"/>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row>
    <row r="15" spans="1:56" ht="8.25" customHeight="1">
      <c r="A15" s="64">
        <v>5</v>
      </c>
      <c r="B15" s="63" t="s">
        <v>1140</v>
      </c>
      <c r="C15" s="65" t="s">
        <v>1631</v>
      </c>
      <c r="D15" s="268" t="s">
        <v>1632</v>
      </c>
      <c r="E15" s="63" t="s">
        <v>1622</v>
      </c>
      <c r="F15" s="511">
        <v>91</v>
      </c>
      <c r="G15" s="512"/>
      <c r="H15" s="25"/>
      <c r="I15" s="25"/>
      <c r="J15" s="25"/>
      <c r="K15" s="25"/>
      <c r="L15" s="25"/>
      <c r="M15" s="25"/>
      <c r="N15" s="25"/>
      <c r="O15" s="25"/>
      <c r="P15" s="25"/>
      <c r="Q15" s="25"/>
      <c r="R15" s="25"/>
      <c r="S15" s="25"/>
      <c r="T15" s="25"/>
      <c r="U15" s="22" t="s">
        <v>1132</v>
      </c>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row>
    <row r="16" spans="1:56" ht="8.25" customHeight="1">
      <c r="A16" s="64">
        <v>5</v>
      </c>
      <c r="B16" s="25"/>
      <c r="C16" s="25"/>
      <c r="D16" s="269"/>
      <c r="E16" s="25"/>
      <c r="F16" s="511">
        <v>92</v>
      </c>
      <c r="G16" s="512"/>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row>
    <row r="17" spans="1:56" ht="17.399999999999999" customHeight="1">
      <c r="A17" s="64">
        <v>5</v>
      </c>
      <c r="B17" s="63" t="s">
        <v>1145</v>
      </c>
      <c r="C17" s="65" t="s">
        <v>1633</v>
      </c>
      <c r="D17" s="270" t="s">
        <v>1634</v>
      </c>
      <c r="E17" s="63" t="s">
        <v>1622</v>
      </c>
      <c r="F17" s="511">
        <v>93</v>
      </c>
      <c r="G17" s="512"/>
      <c r="H17" s="38"/>
      <c r="I17" s="38"/>
      <c r="J17" s="38"/>
      <c r="K17" s="38"/>
      <c r="L17" s="38"/>
      <c r="M17" s="38"/>
      <c r="N17" s="38"/>
      <c r="O17" s="38"/>
      <c r="P17" s="38"/>
      <c r="Q17" s="38"/>
      <c r="R17" s="38"/>
      <c r="S17" s="38"/>
      <c r="T17" s="38"/>
      <c r="U17" s="38"/>
      <c r="V17" s="38"/>
      <c r="W17" s="38"/>
      <c r="X17" s="22" t="s">
        <v>1132</v>
      </c>
      <c r="Y17" s="22" t="s">
        <v>1132</v>
      </c>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row>
    <row r="18" spans="1:56" ht="16.649999999999999" customHeight="1">
      <c r="A18" s="64">
        <v>5</v>
      </c>
      <c r="B18" s="63" t="s">
        <v>1145</v>
      </c>
      <c r="C18" s="65" t="s">
        <v>1635</v>
      </c>
      <c r="D18" s="268" t="s">
        <v>1636</v>
      </c>
      <c r="E18" s="63" t="s">
        <v>1622</v>
      </c>
      <c r="F18" s="511">
        <v>94</v>
      </c>
      <c r="G18" s="512"/>
      <c r="H18" s="38"/>
      <c r="I18" s="38"/>
      <c r="J18" s="38"/>
      <c r="K18" s="38"/>
      <c r="L18" s="38"/>
      <c r="M18" s="38"/>
      <c r="N18" s="38"/>
      <c r="O18" s="38"/>
      <c r="P18" s="38"/>
      <c r="Q18" s="38"/>
      <c r="R18" s="38"/>
      <c r="S18" s="38"/>
      <c r="T18" s="38"/>
      <c r="U18" s="38"/>
      <c r="V18" s="38"/>
      <c r="W18" s="38"/>
      <c r="X18" s="38"/>
      <c r="Y18" s="22" t="s">
        <v>1132</v>
      </c>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row>
    <row r="19" spans="1:56" ht="8.25" customHeight="1">
      <c r="A19" s="64">
        <v>5</v>
      </c>
      <c r="B19" s="63" t="s">
        <v>1637</v>
      </c>
      <c r="C19" s="65" t="s">
        <v>1638</v>
      </c>
      <c r="D19" s="268" t="s">
        <v>1639</v>
      </c>
      <c r="E19" s="63" t="s">
        <v>1622</v>
      </c>
      <c r="F19" s="511">
        <v>95</v>
      </c>
      <c r="G19" s="512"/>
      <c r="H19" s="25"/>
      <c r="I19" s="25"/>
      <c r="J19" s="25"/>
      <c r="K19" s="25"/>
      <c r="L19" s="25"/>
      <c r="M19" s="25"/>
      <c r="N19" s="25"/>
      <c r="O19" s="25"/>
      <c r="P19" s="25"/>
      <c r="Q19" s="25"/>
      <c r="R19" s="25"/>
      <c r="S19" s="25"/>
      <c r="T19" s="25"/>
      <c r="U19" s="25"/>
      <c r="V19" s="25"/>
      <c r="W19" s="25"/>
      <c r="X19" s="25"/>
      <c r="Y19" s="25"/>
      <c r="Z19" s="25"/>
      <c r="AA19" s="25"/>
      <c r="AB19" s="25"/>
      <c r="AC19" s="25"/>
      <c r="AD19" s="80" t="s">
        <v>1132</v>
      </c>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row>
    <row r="20" spans="1:56" ht="8.25" customHeight="1">
      <c r="A20" s="64">
        <v>5</v>
      </c>
      <c r="B20" s="63" t="s">
        <v>1640</v>
      </c>
      <c r="C20" s="65" t="s">
        <v>1641</v>
      </c>
      <c r="D20" s="268" t="s">
        <v>1642</v>
      </c>
      <c r="E20" s="63" t="s">
        <v>1622</v>
      </c>
      <c r="F20" s="511">
        <v>96</v>
      </c>
      <c r="G20" s="512"/>
      <c r="H20" s="25"/>
      <c r="I20" s="25"/>
      <c r="J20" s="25"/>
      <c r="K20" s="25"/>
      <c r="L20" s="25"/>
      <c r="M20" s="25"/>
      <c r="N20" s="25"/>
      <c r="O20" s="25"/>
      <c r="P20" s="25"/>
      <c r="Q20" s="25"/>
      <c r="R20" s="25"/>
      <c r="S20" s="25"/>
      <c r="T20" s="25"/>
      <c r="U20" s="25"/>
      <c r="V20" s="25"/>
      <c r="W20" s="25"/>
      <c r="X20" s="25"/>
      <c r="Y20" s="25"/>
      <c r="Z20" s="22" t="s">
        <v>1132</v>
      </c>
      <c r="AA20" s="22" t="s">
        <v>1132</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row>
    <row r="21" spans="1:56" ht="8.25" customHeight="1">
      <c r="A21" s="64">
        <v>5</v>
      </c>
      <c r="B21" s="63" t="s">
        <v>1170</v>
      </c>
      <c r="C21" s="65" t="s">
        <v>1643</v>
      </c>
      <c r="D21" s="268" t="s">
        <v>1644</v>
      </c>
      <c r="E21" s="63" t="s">
        <v>1622</v>
      </c>
      <c r="F21" s="511">
        <v>97</v>
      </c>
      <c r="G21" s="512"/>
      <c r="H21" s="25"/>
      <c r="I21" s="25"/>
      <c r="J21" s="25"/>
      <c r="K21" s="25"/>
      <c r="L21" s="25"/>
      <c r="M21" s="25"/>
      <c r="N21" s="25"/>
      <c r="O21" s="25"/>
      <c r="P21" s="25"/>
      <c r="Q21" s="25"/>
      <c r="R21" s="25"/>
      <c r="S21" s="25"/>
      <c r="T21" s="25"/>
      <c r="U21" s="25"/>
      <c r="V21" s="25"/>
      <c r="W21" s="25"/>
      <c r="X21" s="25"/>
      <c r="Y21" s="25"/>
      <c r="Z21" s="25"/>
      <c r="AA21" s="25"/>
      <c r="AB21" s="22" t="s">
        <v>1132</v>
      </c>
      <c r="AC21" s="22" t="s">
        <v>1132</v>
      </c>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row>
    <row r="22" spans="1:56" ht="8.25" customHeight="1">
      <c r="A22" s="25"/>
      <c r="B22" s="25"/>
      <c r="C22" s="25"/>
      <c r="D22" s="25"/>
      <c r="E22" s="25"/>
      <c r="F22" s="415"/>
      <c r="G22" s="417"/>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row>
    <row r="23" spans="1:56" ht="8.25" customHeight="1">
      <c r="A23" s="25"/>
      <c r="B23" s="25"/>
      <c r="C23" s="25"/>
      <c r="D23" s="25"/>
      <c r="E23" s="25"/>
      <c r="F23" s="415"/>
      <c r="G23" s="417"/>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row>
    <row r="24" spans="1:56" ht="8.25" customHeight="1">
      <c r="A24" s="25"/>
      <c r="B24" s="25"/>
      <c r="C24" s="25"/>
      <c r="D24" s="25"/>
      <c r="E24" s="25"/>
      <c r="F24" s="415"/>
      <c r="G24" s="417"/>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row>
    <row r="25" spans="1:56" ht="8.25" customHeight="1">
      <c r="A25" s="25"/>
      <c r="B25" s="25"/>
      <c r="C25" s="25"/>
      <c r="D25" s="25"/>
      <c r="E25" s="25"/>
      <c r="F25" s="415"/>
      <c r="G25" s="417"/>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row>
    <row r="26" spans="1:56" ht="8.25" customHeight="1">
      <c r="A26" s="25"/>
      <c r="B26" s="25"/>
      <c r="C26" s="25"/>
      <c r="D26" s="25"/>
      <c r="E26" s="25"/>
      <c r="F26" s="415"/>
      <c r="G26" s="417"/>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row>
    <row r="27" spans="1:56" ht="8.25" customHeight="1">
      <c r="A27" s="25"/>
      <c r="B27" s="25"/>
      <c r="C27" s="25"/>
      <c r="D27" s="25"/>
      <c r="E27" s="25"/>
      <c r="F27" s="415"/>
      <c r="G27" s="417"/>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row>
    <row r="28" spans="1:56" ht="8.25" customHeight="1">
      <c r="A28" s="25"/>
      <c r="B28" s="25"/>
      <c r="C28" s="25"/>
      <c r="D28" s="25"/>
      <c r="E28" s="25"/>
      <c r="F28" s="415"/>
      <c r="G28" s="417"/>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row>
    <row r="29" spans="1:56" ht="8.25" customHeight="1">
      <c r="A29" s="25"/>
      <c r="B29" s="25"/>
      <c r="C29" s="25"/>
      <c r="D29" s="25"/>
      <c r="E29" s="25"/>
      <c r="F29" s="415"/>
      <c r="G29" s="417"/>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row>
    <row r="30" spans="1:56" ht="8.25" customHeight="1">
      <c r="A30" s="25"/>
      <c r="B30" s="25"/>
      <c r="C30" s="25"/>
      <c r="D30" s="25"/>
      <c r="E30" s="25"/>
      <c r="F30" s="415"/>
      <c r="G30" s="417"/>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row>
    <row r="31" spans="1:56" ht="8.25" customHeight="1">
      <c r="A31" s="25"/>
      <c r="B31" s="25"/>
      <c r="C31" s="25"/>
      <c r="D31" s="25"/>
      <c r="E31" s="25"/>
      <c r="F31" s="415"/>
      <c r="G31" s="417"/>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row>
    <row r="32" spans="1:56" ht="8.25" customHeight="1">
      <c r="A32" s="25"/>
      <c r="B32" s="25"/>
      <c r="C32" s="25"/>
      <c r="D32" s="25"/>
      <c r="E32" s="25"/>
      <c r="F32" s="415"/>
      <c r="G32" s="417"/>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row>
    <row r="33" spans="1:56" ht="8.25" customHeight="1">
      <c r="A33" s="25"/>
      <c r="B33" s="25"/>
      <c r="C33" s="25"/>
      <c r="D33" s="25"/>
      <c r="E33" s="25"/>
      <c r="F33" s="415"/>
      <c r="G33" s="417"/>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row>
    <row r="34" spans="1:56" ht="8.25" customHeight="1">
      <c r="A34" s="25"/>
      <c r="B34" s="25"/>
      <c r="C34" s="25"/>
      <c r="D34" s="25"/>
      <c r="E34" s="25"/>
      <c r="F34" s="415"/>
      <c r="G34" s="417"/>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row>
    <row r="35" spans="1:56" ht="8.25" customHeight="1">
      <c r="A35" s="25"/>
      <c r="B35" s="25"/>
      <c r="C35" s="25"/>
      <c r="D35" s="25"/>
      <c r="E35" s="25"/>
      <c r="F35" s="415"/>
      <c r="G35" s="417"/>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row>
    <row r="36" spans="1:56" ht="8.25" customHeight="1">
      <c r="A36" s="25"/>
      <c r="B36" s="25"/>
      <c r="C36" s="25"/>
      <c r="D36" s="25"/>
      <c r="E36" s="25"/>
      <c r="F36" s="415"/>
      <c r="G36" s="417"/>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row>
    <row r="37" spans="1:56" ht="8.25" customHeight="1">
      <c r="A37" s="25"/>
      <c r="B37" s="25"/>
      <c r="C37" s="25"/>
      <c r="D37" s="25"/>
      <c r="E37" s="25"/>
      <c r="F37" s="415"/>
      <c r="G37" s="417"/>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row>
    <row r="38" spans="1:56" ht="8.25" customHeight="1">
      <c r="A38" s="25"/>
      <c r="B38" s="25"/>
      <c r="C38" s="25"/>
      <c r="D38" s="25"/>
      <c r="E38" s="25"/>
      <c r="F38" s="415"/>
      <c r="G38" s="417"/>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row>
    <row r="39" spans="1:56" ht="15.75" customHeight="1">
      <c r="A39" s="390" t="s">
        <v>1250</v>
      </c>
      <c r="B39" s="421"/>
      <c r="C39" s="421"/>
      <c r="D39" s="421"/>
      <c r="E39" s="421"/>
      <c r="F39" s="421"/>
      <c r="G39" s="421"/>
      <c r="H39" s="421"/>
      <c r="I39" s="421"/>
      <c r="J39" s="421"/>
      <c r="K39" s="421"/>
      <c r="L39" s="421"/>
      <c r="M39" s="421"/>
      <c r="N39" s="421"/>
      <c r="O39" s="421"/>
      <c r="P39" s="421"/>
      <c r="Q39" s="421"/>
      <c r="R39" s="421"/>
      <c r="S39" s="391"/>
      <c r="T39" s="433"/>
      <c r="U39" s="435"/>
      <c r="V39" s="433"/>
      <c r="W39" s="434"/>
      <c r="X39" s="435"/>
      <c r="Y39" s="433"/>
      <c r="Z39" s="434"/>
      <c r="AA39" s="434"/>
      <c r="AB39" s="434"/>
      <c r="AC39" s="434"/>
      <c r="AD39" s="434"/>
      <c r="AE39" s="434"/>
      <c r="AF39" s="434"/>
      <c r="AG39" s="434"/>
      <c r="AH39" s="434"/>
      <c r="AI39" s="434"/>
      <c r="AJ39" s="434"/>
      <c r="AK39" s="434"/>
      <c r="AL39" s="435"/>
      <c r="AM39" s="433"/>
      <c r="AN39" s="434"/>
      <c r="AO39" s="435"/>
      <c r="AP39" s="508" t="s">
        <v>1645</v>
      </c>
      <c r="AQ39" s="509"/>
      <c r="AR39" s="510"/>
      <c r="AS39" s="508" t="s">
        <v>1646</v>
      </c>
      <c r="AT39" s="509"/>
      <c r="AU39" s="510"/>
      <c r="AV39" s="560" t="s">
        <v>1647</v>
      </c>
      <c r="AW39" s="561"/>
      <c r="AX39" s="562"/>
      <c r="AY39" s="433"/>
      <c r="AZ39" s="434"/>
      <c r="BA39" s="435"/>
      <c r="BB39" s="433"/>
      <c r="BC39" s="434"/>
      <c r="BD39" s="435"/>
    </row>
    <row r="40" spans="1:56" ht="8.25" customHeight="1">
      <c r="A40" s="422"/>
      <c r="B40" s="423"/>
      <c r="C40" s="423"/>
      <c r="D40" s="423"/>
      <c r="E40" s="423"/>
      <c r="F40" s="423"/>
      <c r="G40" s="423"/>
      <c r="H40" s="423"/>
      <c r="I40" s="423"/>
      <c r="J40" s="423"/>
      <c r="K40" s="423"/>
      <c r="L40" s="423"/>
      <c r="M40" s="423"/>
      <c r="N40" s="423"/>
      <c r="O40" s="423"/>
      <c r="P40" s="423"/>
      <c r="Q40" s="423"/>
      <c r="R40" s="423"/>
      <c r="S40" s="424"/>
      <c r="T40" s="503">
        <v>5</v>
      </c>
      <c r="U40" s="504"/>
      <c r="V40" s="505">
        <v>45483</v>
      </c>
      <c r="W40" s="506"/>
      <c r="X40" s="507"/>
      <c r="Y40" s="477" t="s">
        <v>1254</v>
      </c>
      <c r="Z40" s="478"/>
      <c r="AA40" s="478"/>
      <c r="AB40" s="478"/>
      <c r="AC40" s="478"/>
      <c r="AD40" s="478"/>
      <c r="AE40" s="478"/>
      <c r="AF40" s="478"/>
      <c r="AG40" s="478"/>
      <c r="AH40" s="478"/>
      <c r="AI40" s="478"/>
      <c r="AJ40" s="478"/>
      <c r="AK40" s="478"/>
      <c r="AL40" s="479"/>
      <c r="AM40" s="497" t="s">
        <v>1255</v>
      </c>
      <c r="AN40" s="498"/>
      <c r="AO40" s="499"/>
      <c r="AP40" s="494" t="s">
        <v>1256</v>
      </c>
      <c r="AQ40" s="495"/>
      <c r="AR40" s="496"/>
      <c r="AS40" s="497" t="s">
        <v>1257</v>
      </c>
      <c r="AT40" s="498"/>
      <c r="AU40" s="499"/>
      <c r="AV40" s="497" t="s">
        <v>1258</v>
      </c>
      <c r="AW40" s="498"/>
      <c r="AX40" s="499"/>
      <c r="AY40" s="415"/>
      <c r="AZ40" s="416"/>
      <c r="BA40" s="417"/>
      <c r="BB40" s="415"/>
      <c r="BC40" s="416"/>
      <c r="BD40" s="417"/>
    </row>
    <row r="41" spans="1:56" ht="8.25" customHeight="1">
      <c r="A41" s="422"/>
      <c r="B41" s="423"/>
      <c r="C41" s="423"/>
      <c r="D41" s="423"/>
      <c r="E41" s="423"/>
      <c r="F41" s="423"/>
      <c r="G41" s="423"/>
      <c r="H41" s="423"/>
      <c r="I41" s="423"/>
      <c r="J41" s="423"/>
      <c r="K41" s="423"/>
      <c r="L41" s="423"/>
      <c r="M41" s="423"/>
      <c r="N41" s="423"/>
      <c r="O41" s="423"/>
      <c r="P41" s="423"/>
      <c r="Q41" s="423"/>
      <c r="R41" s="423"/>
      <c r="S41" s="424"/>
      <c r="T41" s="503">
        <v>4</v>
      </c>
      <c r="U41" s="504"/>
      <c r="V41" s="505">
        <v>45439</v>
      </c>
      <c r="W41" s="506"/>
      <c r="X41" s="507"/>
      <c r="Y41" s="477" t="s">
        <v>1254</v>
      </c>
      <c r="Z41" s="478"/>
      <c r="AA41" s="478"/>
      <c r="AB41" s="478"/>
      <c r="AC41" s="478"/>
      <c r="AD41" s="478"/>
      <c r="AE41" s="478"/>
      <c r="AF41" s="478"/>
      <c r="AG41" s="478"/>
      <c r="AH41" s="478"/>
      <c r="AI41" s="478"/>
      <c r="AJ41" s="478"/>
      <c r="AK41" s="478"/>
      <c r="AL41" s="479"/>
      <c r="AM41" s="497" t="s">
        <v>1255</v>
      </c>
      <c r="AN41" s="498"/>
      <c r="AO41" s="499"/>
      <c r="AP41" s="494" t="s">
        <v>1256</v>
      </c>
      <c r="AQ41" s="495"/>
      <c r="AR41" s="496"/>
      <c r="AS41" s="497" t="s">
        <v>1257</v>
      </c>
      <c r="AT41" s="498"/>
      <c r="AU41" s="499"/>
      <c r="AV41" s="497" t="s">
        <v>1258</v>
      </c>
      <c r="AW41" s="498"/>
      <c r="AX41" s="499"/>
      <c r="AY41" s="415"/>
      <c r="AZ41" s="416"/>
      <c r="BA41" s="417"/>
      <c r="BB41" s="415"/>
      <c r="BC41" s="416"/>
      <c r="BD41" s="417"/>
    </row>
    <row r="42" spans="1:56" ht="11.4" customHeight="1">
      <c r="A42" s="422"/>
      <c r="B42" s="423"/>
      <c r="C42" s="423"/>
      <c r="D42" s="423"/>
      <c r="E42" s="423"/>
      <c r="F42" s="423"/>
      <c r="G42" s="423"/>
      <c r="H42" s="423"/>
      <c r="I42" s="423"/>
      <c r="J42" s="423"/>
      <c r="K42" s="423"/>
      <c r="L42" s="423"/>
      <c r="M42" s="423"/>
      <c r="N42" s="423"/>
      <c r="O42" s="423"/>
      <c r="P42" s="423"/>
      <c r="Q42" s="423"/>
      <c r="R42" s="423"/>
      <c r="S42" s="424"/>
      <c r="T42" s="503">
        <v>3</v>
      </c>
      <c r="U42" s="504"/>
      <c r="V42" s="505">
        <v>45408</v>
      </c>
      <c r="W42" s="506"/>
      <c r="X42" s="507"/>
      <c r="Y42" s="477" t="s">
        <v>1259</v>
      </c>
      <c r="Z42" s="478"/>
      <c r="AA42" s="478"/>
      <c r="AB42" s="478"/>
      <c r="AC42" s="478"/>
      <c r="AD42" s="478"/>
      <c r="AE42" s="478"/>
      <c r="AF42" s="478"/>
      <c r="AG42" s="478"/>
      <c r="AH42" s="478"/>
      <c r="AI42" s="478"/>
      <c r="AJ42" s="478"/>
      <c r="AK42" s="478"/>
      <c r="AL42" s="479"/>
      <c r="AM42" s="497" t="s">
        <v>1255</v>
      </c>
      <c r="AN42" s="498"/>
      <c r="AO42" s="499"/>
      <c r="AP42" s="494" t="s">
        <v>1256</v>
      </c>
      <c r="AQ42" s="495"/>
      <c r="AR42" s="496"/>
      <c r="AS42" s="497" t="s">
        <v>1257</v>
      </c>
      <c r="AT42" s="498"/>
      <c r="AU42" s="499"/>
      <c r="AV42" s="497" t="s">
        <v>1258</v>
      </c>
      <c r="AW42" s="498"/>
      <c r="AX42" s="499"/>
      <c r="AY42" s="433"/>
      <c r="AZ42" s="434"/>
      <c r="BA42" s="435"/>
      <c r="BB42" s="433"/>
      <c r="BC42" s="434"/>
      <c r="BD42" s="435"/>
    </row>
    <row r="43" spans="1:56" ht="11.4" customHeight="1">
      <c r="A43" s="422"/>
      <c r="B43" s="423"/>
      <c r="C43" s="423"/>
      <c r="D43" s="423"/>
      <c r="E43" s="423"/>
      <c r="F43" s="423"/>
      <c r="G43" s="423"/>
      <c r="H43" s="423"/>
      <c r="I43" s="423"/>
      <c r="J43" s="423"/>
      <c r="K43" s="423"/>
      <c r="L43" s="423"/>
      <c r="M43" s="423"/>
      <c r="N43" s="423"/>
      <c r="O43" s="423"/>
      <c r="P43" s="423"/>
      <c r="Q43" s="423"/>
      <c r="R43" s="423"/>
      <c r="S43" s="424"/>
      <c r="T43" s="503">
        <v>2</v>
      </c>
      <c r="U43" s="504"/>
      <c r="V43" s="505">
        <v>45120</v>
      </c>
      <c r="W43" s="506"/>
      <c r="X43" s="507"/>
      <c r="Y43" s="477" t="s">
        <v>1260</v>
      </c>
      <c r="Z43" s="478"/>
      <c r="AA43" s="478"/>
      <c r="AB43" s="478"/>
      <c r="AC43" s="478"/>
      <c r="AD43" s="478"/>
      <c r="AE43" s="478"/>
      <c r="AF43" s="478"/>
      <c r="AG43" s="478"/>
      <c r="AH43" s="478"/>
      <c r="AI43" s="478"/>
      <c r="AJ43" s="478"/>
      <c r="AK43" s="478"/>
      <c r="AL43" s="479"/>
      <c r="AM43" s="497" t="s">
        <v>1255</v>
      </c>
      <c r="AN43" s="498"/>
      <c r="AO43" s="499"/>
      <c r="AP43" s="494" t="s">
        <v>1256</v>
      </c>
      <c r="AQ43" s="495"/>
      <c r="AR43" s="496"/>
      <c r="AS43" s="497" t="s">
        <v>1257</v>
      </c>
      <c r="AT43" s="498"/>
      <c r="AU43" s="499"/>
      <c r="AV43" s="497" t="s">
        <v>1258</v>
      </c>
      <c r="AW43" s="498"/>
      <c r="AX43" s="499"/>
      <c r="AY43" s="433"/>
      <c r="AZ43" s="434"/>
      <c r="BA43" s="435"/>
      <c r="BB43" s="433"/>
      <c r="BC43" s="434"/>
      <c r="BD43" s="435"/>
    </row>
    <row r="44" spans="1:56" ht="11.4" customHeight="1">
      <c r="A44" s="422"/>
      <c r="B44" s="423"/>
      <c r="C44" s="423"/>
      <c r="D44" s="423"/>
      <c r="E44" s="423"/>
      <c r="F44" s="423"/>
      <c r="G44" s="423"/>
      <c r="H44" s="423"/>
      <c r="I44" s="423"/>
      <c r="J44" s="423"/>
      <c r="K44" s="423"/>
      <c r="L44" s="423"/>
      <c r="M44" s="423"/>
      <c r="N44" s="423"/>
      <c r="O44" s="423"/>
      <c r="P44" s="423"/>
      <c r="Q44" s="423"/>
      <c r="R44" s="423"/>
      <c r="S44" s="424"/>
      <c r="T44" s="503">
        <v>1</v>
      </c>
      <c r="U44" s="504"/>
      <c r="V44" s="505">
        <v>44999</v>
      </c>
      <c r="W44" s="506"/>
      <c r="X44" s="507"/>
      <c r="Y44" s="477" t="s">
        <v>1261</v>
      </c>
      <c r="Z44" s="478"/>
      <c r="AA44" s="478"/>
      <c r="AB44" s="478"/>
      <c r="AC44" s="478"/>
      <c r="AD44" s="478"/>
      <c r="AE44" s="478"/>
      <c r="AF44" s="478"/>
      <c r="AG44" s="478"/>
      <c r="AH44" s="478"/>
      <c r="AI44" s="478"/>
      <c r="AJ44" s="478"/>
      <c r="AK44" s="478"/>
      <c r="AL44" s="479"/>
      <c r="AM44" s="497" t="s">
        <v>1255</v>
      </c>
      <c r="AN44" s="498"/>
      <c r="AO44" s="499"/>
      <c r="AP44" s="494" t="s">
        <v>1256</v>
      </c>
      <c r="AQ44" s="495"/>
      <c r="AR44" s="496"/>
      <c r="AS44" s="497" t="s">
        <v>1257</v>
      </c>
      <c r="AT44" s="498"/>
      <c r="AU44" s="499"/>
      <c r="AV44" s="497" t="s">
        <v>1258</v>
      </c>
      <c r="AW44" s="498"/>
      <c r="AX44" s="499"/>
      <c r="AY44" s="433"/>
      <c r="AZ44" s="434"/>
      <c r="BA44" s="435"/>
      <c r="BB44" s="433"/>
      <c r="BC44" s="434"/>
      <c r="BD44" s="435"/>
    </row>
    <row r="45" spans="1:56" ht="11.4" customHeight="1">
      <c r="A45" s="422"/>
      <c r="B45" s="423"/>
      <c r="C45" s="423"/>
      <c r="D45" s="423"/>
      <c r="E45" s="423"/>
      <c r="F45" s="423"/>
      <c r="G45" s="423"/>
      <c r="H45" s="423"/>
      <c r="I45" s="423"/>
      <c r="J45" s="423"/>
      <c r="K45" s="423"/>
      <c r="L45" s="423"/>
      <c r="M45" s="423"/>
      <c r="N45" s="423"/>
      <c r="O45" s="423"/>
      <c r="P45" s="423"/>
      <c r="Q45" s="423"/>
      <c r="R45" s="423"/>
      <c r="S45" s="424"/>
      <c r="T45" s="494" t="s">
        <v>1262</v>
      </c>
      <c r="U45" s="496"/>
      <c r="V45" s="477" t="s">
        <v>1263</v>
      </c>
      <c r="W45" s="478"/>
      <c r="X45" s="479"/>
      <c r="Y45" s="477" t="s">
        <v>1264</v>
      </c>
      <c r="Z45" s="478"/>
      <c r="AA45" s="478"/>
      <c r="AB45" s="478"/>
      <c r="AC45" s="478"/>
      <c r="AD45" s="478"/>
      <c r="AE45" s="478"/>
      <c r="AF45" s="478"/>
      <c r="AG45" s="478"/>
      <c r="AH45" s="478"/>
      <c r="AI45" s="478"/>
      <c r="AJ45" s="478"/>
      <c r="AK45" s="478"/>
      <c r="AL45" s="479"/>
      <c r="AM45" s="497" t="s">
        <v>1265</v>
      </c>
      <c r="AN45" s="498"/>
      <c r="AO45" s="499"/>
      <c r="AP45" s="494" t="s">
        <v>1266</v>
      </c>
      <c r="AQ45" s="495"/>
      <c r="AR45" s="496"/>
      <c r="AS45" s="494" t="s">
        <v>1267</v>
      </c>
      <c r="AT45" s="495"/>
      <c r="AU45" s="496"/>
      <c r="AV45" s="494" t="s">
        <v>1268</v>
      </c>
      <c r="AW45" s="495"/>
      <c r="AX45" s="496"/>
      <c r="AY45" s="497" t="s">
        <v>1269</v>
      </c>
      <c r="AZ45" s="498"/>
      <c r="BA45" s="499"/>
      <c r="BB45" s="477" t="s">
        <v>1270</v>
      </c>
      <c r="BC45" s="478"/>
      <c r="BD45" s="479"/>
    </row>
    <row r="46" spans="1:56" ht="11.4" customHeight="1">
      <c r="A46" s="422"/>
      <c r="B46" s="423"/>
      <c r="C46" s="423"/>
      <c r="D46" s="423"/>
      <c r="E46" s="423"/>
      <c r="F46" s="423"/>
      <c r="G46" s="423"/>
      <c r="H46" s="423"/>
      <c r="I46" s="423"/>
      <c r="J46" s="423"/>
      <c r="K46" s="423"/>
      <c r="L46" s="423"/>
      <c r="M46" s="423"/>
      <c r="N46" s="423"/>
      <c r="O46" s="423"/>
      <c r="P46" s="423"/>
      <c r="Q46" s="423"/>
      <c r="R46" s="423"/>
      <c r="S46" s="424"/>
      <c r="T46" s="390"/>
      <c r="U46" s="421"/>
      <c r="V46" s="421"/>
      <c r="W46" s="421"/>
      <c r="X46" s="421"/>
      <c r="Y46" s="421"/>
      <c r="Z46" s="421"/>
      <c r="AA46" s="421"/>
      <c r="AB46" s="421"/>
      <c r="AC46" s="421"/>
      <c r="AD46" s="421"/>
      <c r="AE46" s="421"/>
      <c r="AF46" s="421"/>
      <c r="AG46" s="421"/>
      <c r="AH46" s="421"/>
      <c r="AI46" s="421"/>
      <c r="AJ46" s="421"/>
      <c r="AK46" s="421"/>
      <c r="AL46" s="391"/>
      <c r="AM46" s="486" t="s">
        <v>1271</v>
      </c>
      <c r="AN46" s="487"/>
      <c r="AO46" s="487"/>
      <c r="AP46" s="487"/>
      <c r="AQ46" s="487"/>
      <c r="AR46" s="487"/>
      <c r="AS46" s="487"/>
      <c r="AT46" s="487"/>
      <c r="AU46" s="487"/>
      <c r="AV46" s="487"/>
      <c r="AW46" s="487"/>
      <c r="AX46" s="487"/>
      <c r="AY46" s="487"/>
      <c r="AZ46" s="487"/>
      <c r="BA46" s="487"/>
      <c r="BB46" s="487"/>
      <c r="BC46" s="487"/>
      <c r="BD46" s="488"/>
    </row>
    <row r="47" spans="1:56" ht="23.25" customHeight="1">
      <c r="A47" s="422"/>
      <c r="B47" s="423"/>
      <c r="C47" s="423"/>
      <c r="D47" s="423"/>
      <c r="E47" s="423"/>
      <c r="F47" s="423"/>
      <c r="G47" s="423"/>
      <c r="H47" s="423"/>
      <c r="I47" s="423"/>
      <c r="J47" s="423"/>
      <c r="K47" s="423"/>
      <c r="L47" s="423"/>
      <c r="M47" s="423"/>
      <c r="N47" s="423"/>
      <c r="O47" s="423"/>
      <c r="P47" s="423"/>
      <c r="Q47" s="423"/>
      <c r="R47" s="423"/>
      <c r="S47" s="424"/>
      <c r="T47" s="422"/>
      <c r="U47" s="423"/>
      <c r="V47" s="423"/>
      <c r="W47" s="423"/>
      <c r="X47" s="423"/>
      <c r="Y47" s="423"/>
      <c r="Z47" s="423"/>
      <c r="AA47" s="423"/>
      <c r="AB47" s="423"/>
      <c r="AC47" s="423"/>
      <c r="AD47" s="423"/>
      <c r="AE47" s="423"/>
      <c r="AF47" s="423"/>
      <c r="AG47" s="423"/>
      <c r="AH47" s="423"/>
      <c r="AI47" s="423"/>
      <c r="AJ47" s="423"/>
      <c r="AK47" s="423"/>
      <c r="AL47" s="424"/>
      <c r="AM47" s="548" t="s">
        <v>1272</v>
      </c>
      <c r="AN47" s="549"/>
      <c r="AO47" s="549"/>
      <c r="AP47" s="549"/>
      <c r="AQ47" s="549"/>
      <c r="AR47" s="549"/>
      <c r="AS47" s="549"/>
      <c r="AT47" s="549"/>
      <c r="AU47" s="549"/>
      <c r="AV47" s="549"/>
      <c r="AW47" s="549"/>
      <c r="AX47" s="549"/>
      <c r="AY47" s="549"/>
      <c r="AZ47" s="549"/>
      <c r="BA47" s="549"/>
      <c r="BB47" s="549"/>
      <c r="BC47" s="549"/>
      <c r="BD47" s="550"/>
    </row>
    <row r="48" spans="1:56" ht="11.4" customHeight="1">
      <c r="A48" s="422"/>
      <c r="B48" s="423"/>
      <c r="C48" s="423"/>
      <c r="D48" s="423"/>
      <c r="E48" s="423"/>
      <c r="F48" s="423"/>
      <c r="G48" s="423"/>
      <c r="H48" s="423"/>
      <c r="I48" s="423"/>
      <c r="J48" s="423"/>
      <c r="K48" s="423"/>
      <c r="L48" s="423"/>
      <c r="M48" s="423"/>
      <c r="N48" s="423"/>
      <c r="O48" s="423"/>
      <c r="P48" s="423"/>
      <c r="Q48" s="423"/>
      <c r="R48" s="423"/>
      <c r="S48" s="424"/>
      <c r="T48" s="392"/>
      <c r="U48" s="425"/>
      <c r="V48" s="425"/>
      <c r="W48" s="425"/>
      <c r="X48" s="425"/>
      <c r="Y48" s="425"/>
      <c r="Z48" s="425"/>
      <c r="AA48" s="425"/>
      <c r="AB48" s="425"/>
      <c r="AC48" s="425"/>
      <c r="AD48" s="425"/>
      <c r="AE48" s="425"/>
      <c r="AF48" s="425"/>
      <c r="AG48" s="425"/>
      <c r="AH48" s="425"/>
      <c r="AI48" s="425"/>
      <c r="AJ48" s="425"/>
      <c r="AK48" s="425"/>
      <c r="AL48" s="393"/>
      <c r="AM48" s="486" t="s">
        <v>1273</v>
      </c>
      <c r="AN48" s="487"/>
      <c r="AO48" s="487"/>
      <c r="AP48" s="487"/>
      <c r="AQ48" s="487"/>
      <c r="AR48" s="487"/>
      <c r="AS48" s="487"/>
      <c r="AT48" s="487"/>
      <c r="AU48" s="487"/>
      <c r="AV48" s="487"/>
      <c r="AW48" s="487"/>
      <c r="AX48" s="487"/>
      <c r="AY48" s="487"/>
      <c r="AZ48" s="487"/>
      <c r="BA48" s="487"/>
      <c r="BB48" s="487"/>
      <c r="BC48" s="487"/>
      <c r="BD48" s="488"/>
    </row>
    <row r="49" spans="1:56" ht="8.4" customHeight="1">
      <c r="A49" s="422"/>
      <c r="B49" s="423"/>
      <c r="C49" s="423"/>
      <c r="D49" s="423"/>
      <c r="E49" s="423"/>
      <c r="F49" s="423"/>
      <c r="G49" s="423"/>
      <c r="H49" s="423"/>
      <c r="I49" s="423"/>
      <c r="J49" s="423"/>
      <c r="K49" s="423"/>
      <c r="L49" s="423"/>
      <c r="M49" s="423"/>
      <c r="N49" s="423"/>
      <c r="O49" s="423"/>
      <c r="P49" s="423"/>
      <c r="Q49" s="423"/>
      <c r="R49" s="423"/>
      <c r="S49" s="424"/>
      <c r="T49" s="486" t="s">
        <v>1274</v>
      </c>
      <c r="U49" s="487"/>
      <c r="V49" s="487"/>
      <c r="W49" s="487"/>
      <c r="X49" s="487"/>
      <c r="Y49" s="487"/>
      <c r="Z49" s="487"/>
      <c r="AA49" s="487"/>
      <c r="AB49" s="487"/>
      <c r="AC49" s="487"/>
      <c r="AD49" s="487"/>
      <c r="AE49" s="487"/>
      <c r="AF49" s="487"/>
      <c r="AG49" s="487"/>
      <c r="AH49" s="487"/>
      <c r="AI49" s="487"/>
      <c r="AJ49" s="487"/>
      <c r="AK49" s="487"/>
      <c r="AL49" s="488"/>
      <c r="AM49" s="470" t="s">
        <v>1276</v>
      </c>
      <c r="AN49" s="471"/>
      <c r="AO49" s="471"/>
      <c r="AP49" s="471"/>
      <c r="AQ49" s="471"/>
      <c r="AR49" s="471"/>
      <c r="AS49" s="471"/>
      <c r="AT49" s="471"/>
      <c r="AU49" s="471"/>
      <c r="AV49" s="471"/>
      <c r="AW49" s="471"/>
      <c r="AX49" s="471"/>
      <c r="AY49" s="471"/>
      <c r="AZ49" s="471"/>
      <c r="BA49" s="471"/>
      <c r="BB49" s="471"/>
      <c r="BC49" s="471"/>
      <c r="BD49" s="472"/>
    </row>
    <row r="50" spans="1:56" ht="8.25" customHeight="1">
      <c r="A50" s="422"/>
      <c r="B50" s="423"/>
      <c r="C50" s="423"/>
      <c r="D50" s="423"/>
      <c r="E50" s="423"/>
      <c r="F50" s="423"/>
      <c r="G50" s="423"/>
      <c r="H50" s="423"/>
      <c r="I50" s="423"/>
      <c r="J50" s="423"/>
      <c r="K50" s="423"/>
      <c r="L50" s="423"/>
      <c r="M50" s="423"/>
      <c r="N50" s="423"/>
      <c r="O50" s="423"/>
      <c r="P50" s="423"/>
      <c r="Q50" s="423"/>
      <c r="R50" s="423"/>
      <c r="S50" s="424"/>
      <c r="T50" s="486" t="s">
        <v>1275</v>
      </c>
      <c r="U50" s="487"/>
      <c r="V50" s="487"/>
      <c r="W50" s="487"/>
      <c r="X50" s="487"/>
      <c r="Y50" s="487"/>
      <c r="Z50" s="487"/>
      <c r="AA50" s="487"/>
      <c r="AB50" s="487"/>
      <c r="AC50" s="487"/>
      <c r="AD50" s="487"/>
      <c r="AE50" s="487"/>
      <c r="AF50" s="487"/>
      <c r="AG50" s="487"/>
      <c r="AH50" s="487"/>
      <c r="AI50" s="487"/>
      <c r="AJ50" s="487"/>
      <c r="AK50" s="487"/>
      <c r="AL50" s="488"/>
      <c r="AM50" s="563"/>
      <c r="AN50" s="564"/>
      <c r="AO50" s="564"/>
      <c r="AP50" s="564"/>
      <c r="AQ50" s="564"/>
      <c r="AR50" s="564"/>
      <c r="AS50" s="564"/>
      <c r="AT50" s="564"/>
      <c r="AU50" s="564"/>
      <c r="AV50" s="564"/>
      <c r="AW50" s="564"/>
      <c r="AX50" s="564"/>
      <c r="AY50" s="564"/>
      <c r="AZ50" s="564"/>
      <c r="BA50" s="564"/>
      <c r="BB50" s="564"/>
      <c r="BC50" s="564"/>
      <c r="BD50" s="565"/>
    </row>
    <row r="51" spans="1:56" ht="9.6" customHeight="1">
      <c r="A51" s="392"/>
      <c r="B51" s="425"/>
      <c r="C51" s="425"/>
      <c r="D51" s="425"/>
      <c r="E51" s="425"/>
      <c r="F51" s="425"/>
      <c r="G51" s="425"/>
      <c r="H51" s="425"/>
      <c r="I51" s="425"/>
      <c r="J51" s="425"/>
      <c r="K51" s="425"/>
      <c r="L51" s="425"/>
      <c r="M51" s="425"/>
      <c r="N51" s="425"/>
      <c r="O51" s="425"/>
      <c r="P51" s="425"/>
      <c r="Q51" s="425"/>
      <c r="R51" s="425"/>
      <c r="S51" s="393"/>
      <c r="T51" s="566" t="s">
        <v>1277</v>
      </c>
      <c r="U51" s="567"/>
      <c r="V51" s="567"/>
      <c r="W51" s="567"/>
      <c r="X51" s="567"/>
      <c r="Y51" s="567"/>
      <c r="Z51" s="567"/>
      <c r="AA51" s="567"/>
      <c r="AB51" s="567"/>
      <c r="AC51" s="567"/>
      <c r="AD51" s="567"/>
      <c r="AE51" s="567"/>
      <c r="AF51" s="567"/>
      <c r="AG51" s="567"/>
      <c r="AH51" s="567"/>
      <c r="AI51" s="567"/>
      <c r="AJ51" s="567"/>
      <c r="AK51" s="567"/>
      <c r="AL51" s="568"/>
      <c r="AM51" s="473"/>
      <c r="AN51" s="474"/>
      <c r="AO51" s="474"/>
      <c r="AP51" s="474"/>
      <c r="AQ51" s="474"/>
      <c r="AR51" s="474"/>
      <c r="AS51" s="474"/>
      <c r="AT51" s="474"/>
      <c r="AU51" s="474"/>
      <c r="AV51" s="474"/>
      <c r="AW51" s="474"/>
      <c r="AX51" s="474"/>
      <c r="AY51" s="474"/>
      <c r="AZ51" s="474"/>
      <c r="BA51" s="474"/>
      <c r="BB51" s="474"/>
      <c r="BC51" s="474"/>
      <c r="BD51" s="475"/>
    </row>
    <row r="52" spans="1:56" ht="13.35" customHeight="1">
      <c r="A52" s="470" t="s">
        <v>1601</v>
      </c>
      <c r="B52" s="471"/>
      <c r="C52" s="471"/>
      <c r="D52" s="471"/>
      <c r="E52" s="471"/>
      <c r="F52" s="471"/>
      <c r="G52" s="471"/>
      <c r="H52" s="471"/>
      <c r="I52" s="471"/>
      <c r="J52" s="471"/>
      <c r="K52" s="471"/>
      <c r="L52" s="471"/>
      <c r="M52" s="471"/>
      <c r="N52" s="471"/>
      <c r="O52" s="471"/>
      <c r="P52" s="471"/>
      <c r="Q52" s="471"/>
      <c r="R52" s="471"/>
      <c r="S52" s="472"/>
      <c r="T52" s="390"/>
      <c r="U52" s="391"/>
      <c r="V52" s="470" t="s">
        <v>1279</v>
      </c>
      <c r="W52" s="471"/>
      <c r="X52" s="471"/>
      <c r="Y52" s="472"/>
      <c r="Z52" s="470" t="s">
        <v>1280</v>
      </c>
      <c r="AA52" s="471"/>
      <c r="AB52" s="471"/>
      <c r="AC52" s="471"/>
      <c r="AD52" s="471"/>
      <c r="AE52" s="471"/>
      <c r="AF52" s="471"/>
      <c r="AG52" s="472"/>
      <c r="AH52" s="477" t="s">
        <v>1281</v>
      </c>
      <c r="AI52" s="478"/>
      <c r="AJ52" s="479"/>
      <c r="AK52" s="483">
        <v>5</v>
      </c>
      <c r="AL52" s="484"/>
      <c r="AM52" s="464" t="s">
        <v>1282</v>
      </c>
      <c r="AN52" s="465"/>
      <c r="AO52" s="466"/>
      <c r="AP52" s="470" t="s">
        <v>1283</v>
      </c>
      <c r="AQ52" s="471"/>
      <c r="AR52" s="471"/>
      <c r="AS52" s="471"/>
      <c r="AT52" s="471"/>
      <c r="AU52" s="471"/>
      <c r="AV52" s="471"/>
      <c r="AW52" s="471"/>
      <c r="AX52" s="471"/>
      <c r="AY52" s="471"/>
      <c r="AZ52" s="472"/>
      <c r="BA52" s="40"/>
      <c r="BB52" s="476" t="s">
        <v>1262</v>
      </c>
      <c r="BC52" s="476"/>
      <c r="BD52" s="42"/>
    </row>
    <row r="53" spans="1:56" ht="13.35" customHeight="1">
      <c r="A53" s="473"/>
      <c r="B53" s="474"/>
      <c r="C53" s="474"/>
      <c r="D53" s="474"/>
      <c r="E53" s="474"/>
      <c r="F53" s="474"/>
      <c r="G53" s="474"/>
      <c r="H53" s="474"/>
      <c r="I53" s="474"/>
      <c r="J53" s="474"/>
      <c r="K53" s="474"/>
      <c r="L53" s="474"/>
      <c r="M53" s="474"/>
      <c r="N53" s="474"/>
      <c r="O53" s="474"/>
      <c r="P53" s="474"/>
      <c r="Q53" s="474"/>
      <c r="R53" s="474"/>
      <c r="S53" s="475"/>
      <c r="T53" s="392"/>
      <c r="U53" s="393"/>
      <c r="V53" s="473"/>
      <c r="W53" s="474"/>
      <c r="X53" s="474"/>
      <c r="Y53" s="475"/>
      <c r="Z53" s="473"/>
      <c r="AA53" s="474"/>
      <c r="AB53" s="474"/>
      <c r="AC53" s="474"/>
      <c r="AD53" s="474"/>
      <c r="AE53" s="474"/>
      <c r="AF53" s="474"/>
      <c r="AG53" s="475"/>
      <c r="AH53" s="477" t="s">
        <v>1284</v>
      </c>
      <c r="AI53" s="478"/>
      <c r="AJ53" s="479"/>
      <c r="AK53" s="480">
        <v>5</v>
      </c>
      <c r="AL53" s="481"/>
      <c r="AM53" s="467"/>
      <c r="AN53" s="468"/>
      <c r="AO53" s="469"/>
      <c r="AP53" s="473"/>
      <c r="AQ53" s="474"/>
      <c r="AR53" s="474"/>
      <c r="AS53" s="474"/>
      <c r="AT53" s="474"/>
      <c r="AU53" s="474"/>
      <c r="AV53" s="474"/>
      <c r="AW53" s="474"/>
      <c r="AX53" s="474"/>
      <c r="AY53" s="474"/>
      <c r="AZ53" s="475"/>
      <c r="BA53" s="58"/>
      <c r="BB53" s="482">
        <v>5</v>
      </c>
      <c r="BC53" s="482"/>
      <c r="BD53" s="61"/>
    </row>
  </sheetData>
  <mergeCells count="177">
    <mergeCell ref="A52:S53"/>
    <mergeCell ref="T52:U53"/>
    <mergeCell ref="V52:Y53"/>
    <mergeCell ref="Z52:AG53"/>
    <mergeCell ref="AH52:AJ52"/>
    <mergeCell ref="AK52:AL52"/>
    <mergeCell ref="T46:AL48"/>
    <mergeCell ref="AM46:BD46"/>
    <mergeCell ref="AM47:BD47"/>
    <mergeCell ref="AM48:BD48"/>
    <mergeCell ref="T49:AL49"/>
    <mergeCell ref="AM49:BD51"/>
    <mergeCell ref="T50:AL50"/>
    <mergeCell ref="T51:AL51"/>
    <mergeCell ref="AM52:AO53"/>
    <mergeCell ref="AP52:AZ53"/>
    <mergeCell ref="BB52:BC52"/>
    <mergeCell ref="AH53:AJ53"/>
    <mergeCell ref="AK53:AL53"/>
    <mergeCell ref="BB53:BC53"/>
    <mergeCell ref="T45:U45"/>
    <mergeCell ref="V45:X45"/>
    <mergeCell ref="Y45:AL45"/>
    <mergeCell ref="AM45:AO45"/>
    <mergeCell ref="AP45:AR45"/>
    <mergeCell ref="AS45:AU45"/>
    <mergeCell ref="AV45:AX45"/>
    <mergeCell ref="AY45:BA45"/>
    <mergeCell ref="BB45:BD45"/>
    <mergeCell ref="AV43:AX43"/>
    <mergeCell ref="AY43:BA43"/>
    <mergeCell ref="BB43:BD43"/>
    <mergeCell ref="T44:U44"/>
    <mergeCell ref="V44:X44"/>
    <mergeCell ref="Y44:AL44"/>
    <mergeCell ref="AM44:AO44"/>
    <mergeCell ref="AP44:AR44"/>
    <mergeCell ref="AS44:AU44"/>
    <mergeCell ref="AV44:AX44"/>
    <mergeCell ref="T43:U43"/>
    <mergeCell ref="V43:X43"/>
    <mergeCell ref="Y43:AL43"/>
    <mergeCell ref="AM43:AO43"/>
    <mergeCell ref="AP43:AR43"/>
    <mergeCell ref="AS43:AU43"/>
    <mergeCell ref="AY44:BA44"/>
    <mergeCell ref="BB44:BD44"/>
    <mergeCell ref="T42:U42"/>
    <mergeCell ref="V42:X42"/>
    <mergeCell ref="Y42:AL42"/>
    <mergeCell ref="AM42:AO42"/>
    <mergeCell ref="AP42:AR42"/>
    <mergeCell ref="AS42:AU42"/>
    <mergeCell ref="AV42:AX42"/>
    <mergeCell ref="AY42:BA42"/>
    <mergeCell ref="BB42:BD42"/>
    <mergeCell ref="T41:U41"/>
    <mergeCell ref="V41:X41"/>
    <mergeCell ref="Y41:AL41"/>
    <mergeCell ref="AM41:AO41"/>
    <mergeCell ref="AP41:AR41"/>
    <mergeCell ref="AS41:AU41"/>
    <mergeCell ref="AV41:AX41"/>
    <mergeCell ref="AY41:BA41"/>
    <mergeCell ref="BB41:BD41"/>
    <mergeCell ref="AV39:AX39"/>
    <mergeCell ref="AY39:BA39"/>
    <mergeCell ref="BB39:BD39"/>
    <mergeCell ref="T40:U40"/>
    <mergeCell ref="V40:X40"/>
    <mergeCell ref="Y40:AL40"/>
    <mergeCell ref="AM40:AO40"/>
    <mergeCell ref="AP40:AR40"/>
    <mergeCell ref="AS40:AU40"/>
    <mergeCell ref="AV40:AX40"/>
    <mergeCell ref="T39:U39"/>
    <mergeCell ref="V39:X39"/>
    <mergeCell ref="Y39:AL39"/>
    <mergeCell ref="AM39:AO39"/>
    <mergeCell ref="AP39:AR39"/>
    <mergeCell ref="AS39:AU39"/>
    <mergeCell ref="AY40:BA40"/>
    <mergeCell ref="BB40:BD40"/>
    <mergeCell ref="F34:G34"/>
    <mergeCell ref="F35:G35"/>
    <mergeCell ref="F36:G36"/>
    <mergeCell ref="F37:G37"/>
    <mergeCell ref="F38:G38"/>
    <mergeCell ref="A39:S51"/>
    <mergeCell ref="F28:G28"/>
    <mergeCell ref="F29:G29"/>
    <mergeCell ref="F30:G30"/>
    <mergeCell ref="F31:G31"/>
    <mergeCell ref="F32:G32"/>
    <mergeCell ref="F33:G33"/>
    <mergeCell ref="F22:G22"/>
    <mergeCell ref="F23:G23"/>
    <mergeCell ref="F24:G24"/>
    <mergeCell ref="F25:G25"/>
    <mergeCell ref="F26:G26"/>
    <mergeCell ref="F27:G27"/>
    <mergeCell ref="F16:G16"/>
    <mergeCell ref="F17:G17"/>
    <mergeCell ref="F18:G18"/>
    <mergeCell ref="F19:G19"/>
    <mergeCell ref="F20:G20"/>
    <mergeCell ref="F21:G21"/>
    <mergeCell ref="F10:G10"/>
    <mergeCell ref="F11:G11"/>
    <mergeCell ref="F12:G12"/>
    <mergeCell ref="F13:G13"/>
    <mergeCell ref="F14:G14"/>
    <mergeCell ref="F15:G15"/>
    <mergeCell ref="F5:G5"/>
    <mergeCell ref="B6:D6"/>
    <mergeCell ref="F6:G6"/>
    <mergeCell ref="F7:G7"/>
    <mergeCell ref="F8:G8"/>
    <mergeCell ref="F9:G9"/>
    <mergeCell ref="AY4:AY5"/>
    <mergeCell ref="AZ4:AZ5"/>
    <mergeCell ref="BA4:BA5"/>
    <mergeCell ref="BB4:BB5"/>
    <mergeCell ref="BC4:BC5"/>
    <mergeCell ref="BD4:BD5"/>
    <mergeCell ref="AS4:AS5"/>
    <mergeCell ref="AT4:AT5"/>
    <mergeCell ref="AU4:AU5"/>
    <mergeCell ref="AV4:AV5"/>
    <mergeCell ref="AW4:AW5"/>
    <mergeCell ref="AX4:AX5"/>
    <mergeCell ref="AM4:AM5"/>
    <mergeCell ref="AN4:AN5"/>
    <mergeCell ref="AO4:AO5"/>
    <mergeCell ref="AP4:AP5"/>
    <mergeCell ref="AQ4:AQ5"/>
    <mergeCell ref="AR4:AR5"/>
    <mergeCell ref="AG4:AG5"/>
    <mergeCell ref="AH4:AH5"/>
    <mergeCell ref="AI4:AI5"/>
    <mergeCell ref="AJ4:AJ5"/>
    <mergeCell ref="AK4:AK5"/>
    <mergeCell ref="AL4:AL5"/>
    <mergeCell ref="AC4:AC5"/>
    <mergeCell ref="AD4:AD5"/>
    <mergeCell ref="AE4:AE5"/>
    <mergeCell ref="AF4:AF5"/>
    <mergeCell ref="U4:U5"/>
    <mergeCell ref="V4:V5"/>
    <mergeCell ref="W4:W5"/>
    <mergeCell ref="X4:X5"/>
    <mergeCell ref="Y4:Y5"/>
    <mergeCell ref="Z4:Z5"/>
    <mergeCell ref="O4:O5"/>
    <mergeCell ref="P4:P5"/>
    <mergeCell ref="Q4:Q5"/>
    <mergeCell ref="R4:R5"/>
    <mergeCell ref="S4:S5"/>
    <mergeCell ref="T4:T5"/>
    <mergeCell ref="Z1:AA1"/>
    <mergeCell ref="AB1:AC1"/>
    <mergeCell ref="A4:F4"/>
    <mergeCell ref="H4:H5"/>
    <mergeCell ref="I4:I5"/>
    <mergeCell ref="J4:J5"/>
    <mergeCell ref="K4:K5"/>
    <mergeCell ref="L4:L5"/>
    <mergeCell ref="M4:M5"/>
    <mergeCell ref="N4:N5"/>
    <mergeCell ref="A1:E3"/>
    <mergeCell ref="F1:F3"/>
    <mergeCell ref="J1:K1"/>
    <mergeCell ref="N1:O1"/>
    <mergeCell ref="R1:S1"/>
    <mergeCell ref="V1:W1"/>
    <mergeCell ref="AA4:AA5"/>
    <mergeCell ref="AB4:AB5"/>
  </mergeCells>
  <hyperlinks>
    <hyperlink ref="T50" r:id="rId1" display="http://www.2hoffshore.com/"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A60"/>
  <sheetViews>
    <sheetView zoomScale="145" zoomScaleNormal="145" workbookViewId="0">
      <selection activeCell="S4" sqref="S4:T4"/>
    </sheetView>
  </sheetViews>
  <sheetFormatPr defaultColWidth="9.109375" defaultRowHeight="13.2"/>
  <cols>
    <col min="1" max="1" width="7.21875" style="20" customWidth="1"/>
    <col min="2" max="2" width="13.21875" style="20" customWidth="1"/>
    <col min="3" max="3" width="21.109375" style="20" customWidth="1"/>
    <col min="4" max="4" width="25.21875" style="20" customWidth="1"/>
    <col min="5" max="5" width="13.21875" style="20" customWidth="1"/>
    <col min="6" max="6" width="2.109375" style="20" customWidth="1"/>
    <col min="7" max="7" width="3.33203125" style="20" customWidth="1"/>
    <col min="8" max="8" width="4" style="20" customWidth="1"/>
    <col min="9" max="9" width="10.21875" style="20" customWidth="1"/>
    <col min="10" max="10" width="9.6640625" style="20" customWidth="1"/>
    <col min="11" max="11" width="3" style="20" customWidth="1"/>
    <col min="12" max="12" width="2.88671875" style="20" customWidth="1"/>
    <col min="13" max="13" width="4.109375" style="20" customWidth="1"/>
    <col min="14" max="14" width="5.77734375" style="20" customWidth="1"/>
    <col min="15" max="15" width="9.77734375" style="20" customWidth="1"/>
    <col min="16" max="16" width="4.109375" style="20" customWidth="1"/>
    <col min="17" max="17" width="4" style="20" customWidth="1"/>
    <col min="18" max="18" width="2.109375" style="20" customWidth="1"/>
    <col min="19" max="19" width="1.88671875" style="20" customWidth="1"/>
    <col min="20" max="20" width="5.77734375" style="20" customWidth="1"/>
    <col min="21" max="21" width="5.21875" style="20" customWidth="1"/>
    <col min="22" max="22" width="5" style="20" customWidth="1"/>
    <col min="23" max="23" width="6.109375" style="20" customWidth="1"/>
    <col min="24" max="24" width="4.109375" style="20" customWidth="1"/>
    <col min="25" max="25" width="4.77734375" style="20" customWidth="1"/>
    <col min="26" max="26" width="2.109375" style="20" customWidth="1"/>
    <col min="27" max="27" width="8.109375" style="20" customWidth="1"/>
    <col min="28" max="16384" width="9.109375" style="20"/>
  </cols>
  <sheetData>
    <row r="1" spans="1:27" ht="10.5" customHeight="1">
      <c r="A1" s="390" t="s">
        <v>1649</v>
      </c>
      <c r="B1" s="421"/>
      <c r="C1" s="421"/>
      <c r="D1" s="421"/>
      <c r="E1" s="391"/>
      <c r="F1" s="569" t="s">
        <v>1650</v>
      </c>
      <c r="G1" s="572" t="s">
        <v>1651</v>
      </c>
      <c r="H1" s="573"/>
      <c r="I1" s="415"/>
      <c r="J1" s="416"/>
      <c r="K1" s="416"/>
      <c r="L1" s="416"/>
      <c r="M1" s="416"/>
      <c r="N1" s="416"/>
      <c r="O1" s="416"/>
      <c r="P1" s="416"/>
      <c r="Q1" s="416"/>
      <c r="R1" s="416"/>
      <c r="S1" s="416"/>
      <c r="T1" s="416"/>
      <c r="U1" s="416"/>
      <c r="V1" s="416"/>
      <c r="W1" s="416"/>
      <c r="X1" s="416"/>
      <c r="Y1" s="416"/>
      <c r="Z1" s="416"/>
      <c r="AA1" s="417"/>
    </row>
    <row r="2" spans="1:27" ht="10.35" customHeight="1">
      <c r="A2" s="422"/>
      <c r="B2" s="423"/>
      <c r="C2" s="423"/>
      <c r="D2" s="423"/>
      <c r="E2" s="424"/>
      <c r="F2" s="570"/>
      <c r="G2" s="574"/>
      <c r="H2" s="575"/>
      <c r="I2" s="415"/>
      <c r="J2" s="416"/>
      <c r="K2" s="416"/>
      <c r="L2" s="416"/>
      <c r="M2" s="416"/>
      <c r="N2" s="416"/>
      <c r="O2" s="417"/>
      <c r="P2" s="494" t="s">
        <v>1652</v>
      </c>
      <c r="Q2" s="495"/>
      <c r="R2" s="496"/>
      <c r="S2" s="477" t="s">
        <v>1653</v>
      </c>
      <c r="T2" s="478"/>
      <c r="U2" s="478"/>
      <c r="V2" s="478"/>
      <c r="W2" s="478"/>
      <c r="X2" s="478"/>
      <c r="Y2" s="478"/>
      <c r="Z2" s="478"/>
      <c r="AA2" s="479"/>
    </row>
    <row r="3" spans="1:27" ht="101.85" customHeight="1">
      <c r="A3" s="422"/>
      <c r="B3" s="423"/>
      <c r="C3" s="423"/>
      <c r="D3" s="423"/>
      <c r="E3" s="424"/>
      <c r="F3" s="570"/>
      <c r="G3" s="17" t="s">
        <v>1654</v>
      </c>
      <c r="H3" s="17" t="s">
        <v>1655</v>
      </c>
      <c r="I3" s="17" t="s">
        <v>1656</v>
      </c>
      <c r="J3" s="17" t="s">
        <v>1657</v>
      </c>
      <c r="K3" s="17" t="s">
        <v>1658</v>
      </c>
      <c r="L3" s="17" t="s">
        <v>1659</v>
      </c>
      <c r="M3" s="576" t="s">
        <v>1660</v>
      </c>
      <c r="N3" s="577"/>
      <c r="O3" s="17" t="s">
        <v>1661</v>
      </c>
      <c r="P3" s="576" t="s">
        <v>1662</v>
      </c>
      <c r="Q3" s="578"/>
      <c r="R3" s="577"/>
      <c r="S3" s="576" t="s">
        <v>1663</v>
      </c>
      <c r="T3" s="577"/>
      <c r="U3" s="576" t="s">
        <v>1664</v>
      </c>
      <c r="V3" s="577"/>
      <c r="W3" s="576" t="s">
        <v>1665</v>
      </c>
      <c r="X3" s="577"/>
      <c r="Y3" s="17" t="s">
        <v>1666</v>
      </c>
      <c r="Z3" s="576" t="s">
        <v>1667</v>
      </c>
      <c r="AA3" s="577"/>
    </row>
    <row r="4" spans="1:27" ht="55.5" customHeight="1">
      <c r="A4" s="392"/>
      <c r="B4" s="425"/>
      <c r="C4" s="425"/>
      <c r="D4" s="425"/>
      <c r="E4" s="393"/>
      <c r="F4" s="570"/>
      <c r="G4" s="19"/>
      <c r="H4" s="19"/>
      <c r="I4" s="223" t="s">
        <v>1668</v>
      </c>
      <c r="J4" s="223" t="s">
        <v>1669</v>
      </c>
      <c r="K4" s="19"/>
      <c r="L4" s="19"/>
      <c r="M4" s="579" t="s">
        <v>1670</v>
      </c>
      <c r="N4" s="580"/>
      <c r="O4" s="223" t="s">
        <v>1671</v>
      </c>
      <c r="P4" s="576" t="s">
        <v>1672</v>
      </c>
      <c r="Q4" s="578"/>
      <c r="R4" s="577"/>
      <c r="S4" s="576" t="s">
        <v>1673</v>
      </c>
      <c r="T4" s="577"/>
      <c r="U4" s="576" t="s">
        <v>1674</v>
      </c>
      <c r="V4" s="577"/>
      <c r="W4" s="579" t="s">
        <v>1675</v>
      </c>
      <c r="X4" s="580"/>
      <c r="Y4" s="223" t="s">
        <v>1676</v>
      </c>
      <c r="Z4" s="576" t="s">
        <v>1677</v>
      </c>
      <c r="AA4" s="577"/>
    </row>
    <row r="5" spans="1:27" ht="10.5" customHeight="1">
      <c r="A5" s="581" t="s">
        <v>1678</v>
      </c>
      <c r="B5" s="583"/>
      <c r="C5" s="583"/>
      <c r="D5" s="583"/>
      <c r="E5" s="582"/>
      <c r="F5" s="570"/>
      <c r="G5" s="25"/>
      <c r="H5" s="25"/>
      <c r="I5" s="25"/>
      <c r="J5" s="25"/>
      <c r="K5" s="25"/>
      <c r="L5" s="25"/>
      <c r="M5" s="415"/>
      <c r="N5" s="417"/>
      <c r="O5" s="25"/>
      <c r="P5" s="415"/>
      <c r="Q5" s="416"/>
      <c r="R5" s="417"/>
      <c r="S5" s="415"/>
      <c r="T5" s="417"/>
      <c r="U5" s="415"/>
      <c r="V5" s="417"/>
      <c r="W5" s="415"/>
      <c r="X5" s="417"/>
      <c r="Y5" s="25"/>
      <c r="Z5" s="415"/>
      <c r="AA5" s="417"/>
    </row>
    <row r="6" spans="1:27" ht="15.75" customHeight="1">
      <c r="A6" s="581" t="s">
        <v>1679</v>
      </c>
      <c r="B6" s="582"/>
      <c r="C6" s="22" t="s">
        <v>1680</v>
      </c>
      <c r="D6" s="22" t="s">
        <v>1025</v>
      </c>
      <c r="E6" s="22" t="s">
        <v>1681</v>
      </c>
      <c r="F6" s="571"/>
      <c r="G6" s="38"/>
      <c r="H6" s="38"/>
      <c r="I6" s="38"/>
      <c r="J6" s="38"/>
      <c r="K6" s="38"/>
      <c r="L6" s="38"/>
      <c r="M6" s="433"/>
      <c r="N6" s="435"/>
      <c r="O6" s="38"/>
      <c r="P6" s="433"/>
      <c r="Q6" s="434"/>
      <c r="R6" s="435"/>
      <c r="S6" s="433"/>
      <c r="T6" s="435"/>
      <c r="U6" s="433"/>
      <c r="V6" s="435"/>
      <c r="W6" s="433"/>
      <c r="X6" s="435"/>
      <c r="Y6" s="38"/>
      <c r="Z6" s="433"/>
      <c r="AA6" s="435"/>
    </row>
    <row r="7" spans="1:27" ht="10.5" customHeight="1">
      <c r="A7" s="584" t="s">
        <v>1682</v>
      </c>
      <c r="B7" s="449"/>
      <c r="C7" s="217" t="s">
        <v>1683</v>
      </c>
      <c r="D7" s="63" t="s">
        <v>1684</v>
      </c>
      <c r="E7" s="85">
        <v>1002</v>
      </c>
      <c r="F7" s="25"/>
      <c r="G7" s="22" t="s">
        <v>1132</v>
      </c>
      <c r="H7" s="22" t="s">
        <v>1132</v>
      </c>
      <c r="I7" s="22" t="s">
        <v>1132</v>
      </c>
      <c r="J7" s="25"/>
      <c r="K7" s="25"/>
      <c r="L7" s="25"/>
      <c r="M7" s="581" t="s">
        <v>1132</v>
      </c>
      <c r="N7" s="582"/>
      <c r="O7" s="25"/>
      <c r="P7" s="581" t="s">
        <v>1132</v>
      </c>
      <c r="Q7" s="583"/>
      <c r="R7" s="582"/>
      <c r="S7" s="581" t="s">
        <v>1132</v>
      </c>
      <c r="T7" s="582"/>
      <c r="U7" s="415"/>
      <c r="V7" s="417"/>
      <c r="W7" s="415"/>
      <c r="X7" s="417"/>
      <c r="Y7" s="25"/>
      <c r="Z7" s="415"/>
      <c r="AA7" s="417"/>
    </row>
    <row r="8" spans="1:27" ht="10.35" customHeight="1">
      <c r="A8" s="585"/>
      <c r="B8" s="587"/>
      <c r="C8" s="25"/>
      <c r="D8" s="25"/>
      <c r="E8" s="25"/>
      <c r="F8" s="25"/>
      <c r="G8" s="25"/>
      <c r="H8" s="25"/>
      <c r="I8" s="25"/>
      <c r="J8" s="25"/>
      <c r="K8" s="25"/>
      <c r="L8" s="25"/>
      <c r="M8" s="415"/>
      <c r="N8" s="417"/>
      <c r="O8" s="25"/>
      <c r="P8" s="415"/>
      <c r="Q8" s="416"/>
      <c r="R8" s="417"/>
      <c r="S8" s="415"/>
      <c r="T8" s="417"/>
      <c r="U8" s="415"/>
      <c r="V8" s="417"/>
      <c r="W8" s="415"/>
      <c r="X8" s="417"/>
      <c r="Y8" s="25"/>
      <c r="Z8" s="415"/>
      <c r="AA8" s="417"/>
    </row>
    <row r="9" spans="1:27" ht="10.5" customHeight="1">
      <c r="A9" s="585"/>
      <c r="B9" s="587"/>
      <c r="C9" s="217" t="s">
        <v>1685</v>
      </c>
      <c r="D9" s="63" t="s">
        <v>1686</v>
      </c>
      <c r="E9" s="85">
        <v>1002</v>
      </c>
      <c r="F9" s="25"/>
      <c r="G9" s="22" t="s">
        <v>1132</v>
      </c>
      <c r="H9" s="22" t="s">
        <v>1132</v>
      </c>
      <c r="I9" s="22" t="s">
        <v>1132</v>
      </c>
      <c r="J9" s="25"/>
      <c r="K9" s="25"/>
      <c r="L9" s="25"/>
      <c r="M9" s="415"/>
      <c r="N9" s="417"/>
      <c r="O9" s="25"/>
      <c r="P9" s="415"/>
      <c r="Q9" s="416"/>
      <c r="R9" s="417"/>
      <c r="S9" s="415"/>
      <c r="T9" s="417"/>
      <c r="U9" s="415"/>
      <c r="V9" s="417"/>
      <c r="W9" s="415"/>
      <c r="X9" s="417"/>
      <c r="Y9" s="25"/>
      <c r="Z9" s="415"/>
      <c r="AA9" s="417"/>
    </row>
    <row r="10" spans="1:27" ht="10.35" customHeight="1">
      <c r="A10" s="586"/>
      <c r="B10" s="450"/>
      <c r="C10" s="25"/>
      <c r="D10" s="25"/>
      <c r="E10" s="25"/>
      <c r="F10" s="25"/>
      <c r="G10" s="25"/>
      <c r="H10" s="25"/>
      <c r="I10" s="25"/>
      <c r="J10" s="25"/>
      <c r="K10" s="25"/>
      <c r="L10" s="25"/>
      <c r="M10" s="415"/>
      <c r="N10" s="417"/>
      <c r="O10" s="25"/>
      <c r="P10" s="415"/>
      <c r="Q10" s="416"/>
      <c r="R10" s="417"/>
      <c r="S10" s="415"/>
      <c r="T10" s="417"/>
      <c r="U10" s="415"/>
      <c r="V10" s="417"/>
      <c r="W10" s="415"/>
      <c r="X10" s="417"/>
      <c r="Y10" s="25"/>
      <c r="Z10" s="415"/>
      <c r="AA10" s="417"/>
    </row>
    <row r="11" spans="1:27" ht="10.5" customHeight="1">
      <c r="A11" s="86"/>
      <c r="B11" s="588"/>
      <c r="C11" s="217" t="s">
        <v>1687</v>
      </c>
      <c r="D11" s="63" t="s">
        <v>1686</v>
      </c>
      <c r="E11" s="85">
        <v>1002</v>
      </c>
      <c r="F11" s="25"/>
      <c r="G11" s="22" t="s">
        <v>1132</v>
      </c>
      <c r="H11" s="22" t="s">
        <v>1132</v>
      </c>
      <c r="I11" s="22" t="s">
        <v>1132</v>
      </c>
      <c r="J11" s="25"/>
      <c r="K11" s="25"/>
      <c r="L11" s="25"/>
      <c r="M11" s="415"/>
      <c r="N11" s="417"/>
      <c r="O11" s="25"/>
      <c r="P11" s="415"/>
      <c r="Q11" s="416"/>
      <c r="R11" s="417"/>
      <c r="S11" s="415"/>
      <c r="T11" s="417"/>
      <c r="U11" s="415"/>
      <c r="V11" s="417"/>
      <c r="W11" s="415"/>
      <c r="X11" s="417"/>
      <c r="Y11" s="25"/>
      <c r="Z11" s="415"/>
      <c r="AA11" s="417"/>
    </row>
    <row r="12" spans="1:27" ht="10.35" customHeight="1">
      <c r="A12" s="87"/>
      <c r="B12" s="589"/>
      <c r="C12" s="25"/>
      <c r="D12" s="25"/>
      <c r="E12" s="25"/>
      <c r="F12" s="25"/>
      <c r="G12" s="25"/>
      <c r="H12" s="25"/>
      <c r="I12" s="25"/>
      <c r="J12" s="25"/>
      <c r="K12" s="25"/>
      <c r="L12" s="25"/>
      <c r="M12" s="415"/>
      <c r="N12" s="417"/>
      <c r="O12" s="25"/>
      <c r="P12" s="415"/>
      <c r="Q12" s="416"/>
      <c r="R12" s="417"/>
      <c r="S12" s="415"/>
      <c r="T12" s="417"/>
      <c r="U12" s="415"/>
      <c r="V12" s="417"/>
      <c r="W12" s="415"/>
      <c r="X12" s="417"/>
      <c r="Y12" s="25"/>
      <c r="Z12" s="415"/>
      <c r="AA12" s="417"/>
    </row>
    <row r="13" spans="1:27" ht="10.5" customHeight="1">
      <c r="A13" s="87"/>
      <c r="B13" s="86"/>
      <c r="C13" s="63" t="s">
        <v>1688</v>
      </c>
      <c r="D13" s="63" t="s">
        <v>1689</v>
      </c>
      <c r="E13" s="85">
        <v>1002</v>
      </c>
      <c r="F13" s="25"/>
      <c r="G13" s="22" t="s">
        <v>1132</v>
      </c>
      <c r="H13" s="22" t="s">
        <v>1132</v>
      </c>
      <c r="I13" s="22" t="s">
        <v>1132</v>
      </c>
      <c r="J13" s="25"/>
      <c r="K13" s="25"/>
      <c r="L13" s="25"/>
      <c r="M13" s="415"/>
      <c r="N13" s="417"/>
      <c r="O13" s="25"/>
      <c r="P13" s="415"/>
      <c r="Q13" s="416"/>
      <c r="R13" s="417"/>
      <c r="S13" s="415"/>
      <c r="T13" s="417"/>
      <c r="U13" s="415"/>
      <c r="V13" s="417"/>
      <c r="W13" s="415"/>
      <c r="X13" s="417"/>
      <c r="Y13" s="25"/>
      <c r="Z13" s="415"/>
      <c r="AA13" s="417"/>
    </row>
    <row r="14" spans="1:27" ht="10.35" customHeight="1">
      <c r="A14" s="87"/>
      <c r="B14" s="88" t="s">
        <v>1690</v>
      </c>
      <c r="C14" s="25"/>
      <c r="D14" s="25"/>
      <c r="E14" s="85">
        <v>2002</v>
      </c>
      <c r="F14" s="25"/>
      <c r="G14" s="22" t="s">
        <v>1132</v>
      </c>
      <c r="H14" s="22" t="s">
        <v>1132</v>
      </c>
      <c r="I14" s="22" t="s">
        <v>1132</v>
      </c>
      <c r="J14" s="25"/>
      <c r="K14" s="25"/>
      <c r="L14" s="25"/>
      <c r="M14" s="581" t="s">
        <v>1132</v>
      </c>
      <c r="N14" s="582"/>
      <c r="O14" s="22" t="s">
        <v>1132</v>
      </c>
      <c r="P14" s="415"/>
      <c r="Q14" s="416"/>
      <c r="R14" s="417"/>
      <c r="S14" s="581" t="s">
        <v>1132</v>
      </c>
      <c r="T14" s="582"/>
      <c r="U14" s="415"/>
      <c r="V14" s="417"/>
      <c r="W14" s="415"/>
      <c r="X14" s="417"/>
      <c r="Y14" s="22" t="s">
        <v>1132</v>
      </c>
      <c r="Z14" s="415"/>
      <c r="AA14" s="417"/>
    </row>
    <row r="15" spans="1:27" ht="16.5" customHeight="1">
      <c r="A15" s="89"/>
      <c r="B15" s="90" t="s">
        <v>1691</v>
      </c>
      <c r="C15" s="219" t="s">
        <v>1692</v>
      </c>
      <c r="D15" s="63" t="s">
        <v>1689</v>
      </c>
      <c r="E15" s="85">
        <v>1002</v>
      </c>
      <c r="F15" s="38"/>
      <c r="G15" s="22" t="s">
        <v>1132</v>
      </c>
      <c r="H15" s="22" t="s">
        <v>1132</v>
      </c>
      <c r="I15" s="22" t="s">
        <v>1132</v>
      </c>
      <c r="J15" s="38"/>
      <c r="K15" s="22" t="s">
        <v>1132</v>
      </c>
      <c r="L15" s="22" t="s">
        <v>1132</v>
      </c>
      <c r="M15" s="433"/>
      <c r="N15" s="435"/>
      <c r="O15" s="38"/>
      <c r="P15" s="433"/>
      <c r="Q15" s="434"/>
      <c r="R15" s="435"/>
      <c r="S15" s="433"/>
      <c r="T15" s="435"/>
      <c r="U15" s="433"/>
      <c r="V15" s="435"/>
      <c r="W15" s="433"/>
      <c r="X15" s="435"/>
      <c r="Y15" s="38"/>
      <c r="Z15" s="433"/>
      <c r="AA15" s="435"/>
    </row>
    <row r="16" spans="1:27" ht="10.35" customHeight="1">
      <c r="A16" s="87"/>
      <c r="B16" s="91"/>
      <c r="C16" s="25"/>
      <c r="D16" s="25"/>
      <c r="E16" s="85">
        <v>2002</v>
      </c>
      <c r="F16" s="25"/>
      <c r="G16" s="22" t="s">
        <v>1132</v>
      </c>
      <c r="H16" s="22" t="s">
        <v>1132</v>
      </c>
      <c r="I16" s="22" t="s">
        <v>1132</v>
      </c>
      <c r="J16" s="25"/>
      <c r="K16" s="25"/>
      <c r="L16" s="25"/>
      <c r="M16" s="581" t="s">
        <v>1132</v>
      </c>
      <c r="N16" s="582"/>
      <c r="O16" s="22" t="s">
        <v>1132</v>
      </c>
      <c r="P16" s="415"/>
      <c r="Q16" s="416"/>
      <c r="R16" s="417"/>
      <c r="S16" s="581" t="s">
        <v>1132</v>
      </c>
      <c r="T16" s="582"/>
      <c r="U16" s="415"/>
      <c r="V16" s="417"/>
      <c r="W16" s="415"/>
      <c r="X16" s="417"/>
      <c r="Y16" s="25"/>
      <c r="Z16" s="415"/>
      <c r="AA16" s="417"/>
    </row>
    <row r="17" spans="1:27" ht="10.5" customHeight="1">
      <c r="A17" s="87"/>
      <c r="B17" s="86"/>
      <c r="C17" s="217" t="s">
        <v>1693</v>
      </c>
      <c r="D17" s="63" t="s">
        <v>1689</v>
      </c>
      <c r="E17" s="85">
        <v>1002</v>
      </c>
      <c r="F17" s="25"/>
      <c r="G17" s="22" t="s">
        <v>1132</v>
      </c>
      <c r="H17" s="22" t="s">
        <v>1132</v>
      </c>
      <c r="I17" s="22" t="s">
        <v>1132</v>
      </c>
      <c r="J17" s="25"/>
      <c r="K17" s="25"/>
      <c r="L17" s="25"/>
      <c r="M17" s="415"/>
      <c r="N17" s="417"/>
      <c r="O17" s="25"/>
      <c r="P17" s="415"/>
      <c r="Q17" s="416"/>
      <c r="R17" s="417"/>
      <c r="S17" s="415"/>
      <c r="T17" s="417"/>
      <c r="U17" s="415"/>
      <c r="V17" s="417"/>
      <c r="W17" s="415"/>
      <c r="X17" s="417"/>
      <c r="Y17" s="25"/>
      <c r="Z17" s="415"/>
      <c r="AA17" s="417"/>
    </row>
    <row r="18" spans="1:27" ht="10.5" customHeight="1">
      <c r="A18" s="87"/>
      <c r="B18" s="88" t="s">
        <v>1694</v>
      </c>
      <c r="C18" s="25"/>
      <c r="D18" s="25"/>
      <c r="E18" s="85">
        <v>2002</v>
      </c>
      <c r="F18" s="25"/>
      <c r="G18" s="22" t="s">
        <v>1132</v>
      </c>
      <c r="H18" s="22" t="s">
        <v>1132</v>
      </c>
      <c r="I18" s="22" t="s">
        <v>1132</v>
      </c>
      <c r="J18" s="25"/>
      <c r="K18" s="25"/>
      <c r="L18" s="25"/>
      <c r="M18" s="581" t="s">
        <v>1132</v>
      </c>
      <c r="N18" s="582"/>
      <c r="O18" s="25"/>
      <c r="P18" s="415"/>
      <c r="Q18" s="416"/>
      <c r="R18" s="417"/>
      <c r="S18" s="581" t="s">
        <v>1132</v>
      </c>
      <c r="T18" s="582"/>
      <c r="U18" s="415"/>
      <c r="V18" s="417"/>
      <c r="W18" s="415"/>
      <c r="X18" s="417"/>
      <c r="Y18" s="25"/>
      <c r="Z18" s="415"/>
      <c r="AA18" s="417"/>
    </row>
    <row r="19" spans="1:27" ht="10.35" customHeight="1">
      <c r="A19" s="87"/>
      <c r="B19" s="91"/>
      <c r="C19" s="25"/>
      <c r="D19" s="25"/>
      <c r="E19" s="25"/>
      <c r="F19" s="25"/>
      <c r="G19" s="25"/>
      <c r="H19" s="25"/>
      <c r="I19" s="25"/>
      <c r="J19" s="25"/>
      <c r="K19" s="25"/>
      <c r="L19" s="25"/>
      <c r="M19" s="415"/>
      <c r="N19" s="417"/>
      <c r="O19" s="25"/>
      <c r="P19" s="415"/>
      <c r="Q19" s="416"/>
      <c r="R19" s="417"/>
      <c r="S19" s="415"/>
      <c r="T19" s="417"/>
      <c r="U19" s="415"/>
      <c r="V19" s="417"/>
      <c r="W19" s="415"/>
      <c r="X19" s="417"/>
      <c r="Y19" s="25"/>
      <c r="Z19" s="415"/>
      <c r="AA19" s="417"/>
    </row>
    <row r="20" spans="1:27" ht="10.5" customHeight="1">
      <c r="A20" s="87"/>
      <c r="B20" s="86"/>
      <c r="C20" s="217" t="s">
        <v>1695</v>
      </c>
      <c r="D20" s="63" t="s">
        <v>1696</v>
      </c>
      <c r="E20" s="85">
        <v>1003</v>
      </c>
      <c r="F20" s="25"/>
      <c r="G20" s="22" t="s">
        <v>1132</v>
      </c>
      <c r="H20" s="22" t="s">
        <v>1132</v>
      </c>
      <c r="I20" s="25"/>
      <c r="J20" s="25"/>
      <c r="K20" s="25"/>
      <c r="L20" s="25"/>
      <c r="M20" s="415"/>
      <c r="N20" s="417"/>
      <c r="O20" s="25"/>
      <c r="P20" s="415"/>
      <c r="Q20" s="416"/>
      <c r="R20" s="417"/>
      <c r="S20" s="415"/>
      <c r="T20" s="417"/>
      <c r="U20" s="415"/>
      <c r="V20" s="417"/>
      <c r="W20" s="415"/>
      <c r="X20" s="417"/>
      <c r="Y20" s="25"/>
      <c r="Z20" s="415"/>
      <c r="AA20" s="417"/>
    </row>
    <row r="21" spans="1:27" ht="10.5" customHeight="1">
      <c r="A21" s="87"/>
      <c r="B21" s="87"/>
      <c r="C21" s="25"/>
      <c r="D21" s="63" t="s">
        <v>1697</v>
      </c>
      <c r="E21" s="85">
        <v>2003</v>
      </c>
      <c r="F21" s="25"/>
      <c r="G21" s="22" t="s">
        <v>1132</v>
      </c>
      <c r="H21" s="22" t="s">
        <v>1132</v>
      </c>
      <c r="I21" s="25"/>
      <c r="J21" s="22" t="s">
        <v>1132</v>
      </c>
      <c r="K21" s="25"/>
      <c r="L21" s="25"/>
      <c r="M21" s="581" t="s">
        <v>1132</v>
      </c>
      <c r="N21" s="582"/>
      <c r="O21" s="25"/>
      <c r="P21" s="415"/>
      <c r="Q21" s="416"/>
      <c r="R21" s="417"/>
      <c r="S21" s="415"/>
      <c r="T21" s="417"/>
      <c r="U21" s="415"/>
      <c r="V21" s="417"/>
      <c r="W21" s="415"/>
      <c r="X21" s="417"/>
      <c r="Y21" s="25"/>
      <c r="Z21" s="415"/>
      <c r="AA21" s="417"/>
    </row>
    <row r="22" spans="1:27" ht="12.75" customHeight="1">
      <c r="A22" s="590"/>
      <c r="B22" s="591" t="s">
        <v>1690</v>
      </c>
      <c r="C22" s="38"/>
      <c r="D22" s="63" t="s">
        <v>1698</v>
      </c>
      <c r="E22" s="85">
        <v>1003</v>
      </c>
      <c r="F22" s="38"/>
      <c r="G22" s="22" t="s">
        <v>1132</v>
      </c>
      <c r="H22" s="22" t="s">
        <v>1132</v>
      </c>
      <c r="I22" s="38"/>
      <c r="J22" s="22" t="s">
        <v>1132</v>
      </c>
      <c r="K22" s="38"/>
      <c r="L22" s="38"/>
      <c r="M22" s="433"/>
      <c r="N22" s="435"/>
      <c r="O22" s="38"/>
      <c r="P22" s="433"/>
      <c r="Q22" s="434"/>
      <c r="R22" s="435"/>
      <c r="S22" s="433"/>
      <c r="T22" s="435"/>
      <c r="U22" s="433"/>
      <c r="V22" s="435"/>
      <c r="W22" s="433"/>
      <c r="X22" s="435"/>
      <c r="Y22" s="38"/>
      <c r="Z22" s="433"/>
      <c r="AA22" s="435"/>
    </row>
    <row r="23" spans="1:27" ht="3.75" customHeight="1">
      <c r="A23" s="590"/>
      <c r="B23" s="591"/>
      <c r="C23" s="592"/>
      <c r="D23" s="604" t="s">
        <v>1699</v>
      </c>
      <c r="E23" s="606">
        <v>2003</v>
      </c>
      <c r="F23" s="592"/>
      <c r="G23" s="602" t="s">
        <v>1132</v>
      </c>
      <c r="H23" s="602" t="s">
        <v>1132</v>
      </c>
      <c r="I23" s="592"/>
      <c r="J23" s="602" t="s">
        <v>1132</v>
      </c>
      <c r="K23" s="592"/>
      <c r="L23" s="592"/>
      <c r="M23" s="594" t="s">
        <v>1132</v>
      </c>
      <c r="N23" s="595"/>
      <c r="O23" s="592"/>
      <c r="P23" s="598"/>
      <c r="Q23" s="610"/>
      <c r="R23" s="599"/>
      <c r="S23" s="598"/>
      <c r="T23" s="599"/>
      <c r="U23" s="594" t="s">
        <v>1132</v>
      </c>
      <c r="V23" s="595"/>
      <c r="W23" s="598"/>
      <c r="X23" s="599"/>
      <c r="Y23" s="602" t="s">
        <v>1132</v>
      </c>
      <c r="Z23" s="598"/>
      <c r="AA23" s="599"/>
    </row>
    <row r="24" spans="1:27" ht="8.25" customHeight="1">
      <c r="A24" s="87"/>
      <c r="B24" s="88" t="s">
        <v>1700</v>
      </c>
      <c r="C24" s="593"/>
      <c r="D24" s="605"/>
      <c r="E24" s="607"/>
      <c r="F24" s="593"/>
      <c r="G24" s="603"/>
      <c r="H24" s="603"/>
      <c r="I24" s="593"/>
      <c r="J24" s="603"/>
      <c r="K24" s="593"/>
      <c r="L24" s="593"/>
      <c r="M24" s="596"/>
      <c r="N24" s="597"/>
      <c r="O24" s="593"/>
      <c r="P24" s="600"/>
      <c r="Q24" s="493"/>
      <c r="R24" s="601"/>
      <c r="S24" s="600"/>
      <c r="T24" s="601"/>
      <c r="U24" s="596"/>
      <c r="V24" s="597"/>
      <c r="W24" s="600"/>
      <c r="X24" s="601"/>
      <c r="Y24" s="603"/>
      <c r="Z24" s="600"/>
      <c r="AA24" s="601"/>
    </row>
    <row r="25" spans="1:27" ht="8.25" customHeight="1">
      <c r="A25" s="87"/>
      <c r="B25" s="88" t="s">
        <v>1701</v>
      </c>
      <c r="C25" s="588"/>
      <c r="D25" s="588"/>
      <c r="E25" s="608" t="s">
        <v>1702</v>
      </c>
      <c r="F25" s="588"/>
      <c r="G25" s="602" t="s">
        <v>1132</v>
      </c>
      <c r="H25" s="602" t="s">
        <v>1132</v>
      </c>
      <c r="I25" s="588"/>
      <c r="J25" s="588"/>
      <c r="K25" s="588"/>
      <c r="L25" s="588"/>
      <c r="M25" s="611"/>
      <c r="N25" s="612"/>
      <c r="O25" s="588"/>
      <c r="P25" s="611"/>
      <c r="Q25" s="617"/>
      <c r="R25" s="612"/>
      <c r="S25" s="611"/>
      <c r="T25" s="612"/>
      <c r="U25" s="611"/>
      <c r="V25" s="612"/>
      <c r="W25" s="611"/>
      <c r="X25" s="612"/>
      <c r="Y25" s="588"/>
      <c r="Z25" s="611"/>
      <c r="AA25" s="612"/>
    </row>
    <row r="26" spans="1:27" ht="4.3499999999999996" customHeight="1">
      <c r="A26" s="590"/>
      <c r="B26" s="616" t="s">
        <v>1703</v>
      </c>
      <c r="C26" s="589"/>
      <c r="D26" s="589"/>
      <c r="E26" s="609"/>
      <c r="F26" s="589"/>
      <c r="G26" s="603"/>
      <c r="H26" s="603"/>
      <c r="I26" s="589"/>
      <c r="J26" s="589"/>
      <c r="K26" s="589"/>
      <c r="L26" s="589"/>
      <c r="M26" s="613"/>
      <c r="N26" s="614"/>
      <c r="O26" s="589"/>
      <c r="P26" s="613"/>
      <c r="Q26" s="618"/>
      <c r="R26" s="614"/>
      <c r="S26" s="613"/>
      <c r="T26" s="614"/>
      <c r="U26" s="613"/>
      <c r="V26" s="614"/>
      <c r="W26" s="613"/>
      <c r="X26" s="614"/>
      <c r="Y26" s="589"/>
      <c r="Z26" s="613"/>
      <c r="AA26" s="614"/>
    </row>
    <row r="27" spans="1:27" ht="10.5" customHeight="1">
      <c r="A27" s="590"/>
      <c r="B27" s="616"/>
      <c r="C27" s="217" t="s">
        <v>1704</v>
      </c>
      <c r="D27" s="63" t="s">
        <v>1689</v>
      </c>
      <c r="E27" s="85">
        <v>1001</v>
      </c>
      <c r="F27" s="25"/>
      <c r="G27" s="22" t="s">
        <v>1132</v>
      </c>
      <c r="H27" s="22" t="s">
        <v>1132</v>
      </c>
      <c r="I27" s="22" t="s">
        <v>1132</v>
      </c>
      <c r="J27" s="25"/>
      <c r="K27" s="25"/>
      <c r="L27" s="25"/>
      <c r="M27" s="415"/>
      <c r="N27" s="417"/>
      <c r="O27" s="25"/>
      <c r="P27" s="415"/>
      <c r="Q27" s="416"/>
      <c r="R27" s="417"/>
      <c r="S27" s="415"/>
      <c r="T27" s="417"/>
      <c r="U27" s="415"/>
      <c r="V27" s="417"/>
      <c r="W27" s="415"/>
      <c r="X27" s="417"/>
      <c r="Y27" s="25"/>
      <c r="Z27" s="415"/>
      <c r="AA27" s="417"/>
    </row>
    <row r="28" spans="1:27" ht="10.5" customHeight="1">
      <c r="A28" s="615" t="s">
        <v>1705</v>
      </c>
      <c r="B28" s="590"/>
      <c r="C28" s="25"/>
      <c r="D28" s="25"/>
      <c r="E28" s="25"/>
      <c r="F28" s="25"/>
      <c r="G28" s="25"/>
      <c r="H28" s="25"/>
      <c r="I28" s="25"/>
      <c r="J28" s="25"/>
      <c r="K28" s="25"/>
      <c r="L28" s="25"/>
      <c r="M28" s="415"/>
      <c r="N28" s="417"/>
      <c r="O28" s="25"/>
      <c r="P28" s="415"/>
      <c r="Q28" s="416"/>
      <c r="R28" s="417"/>
      <c r="S28" s="415"/>
      <c r="T28" s="417"/>
      <c r="U28" s="415"/>
      <c r="V28" s="417"/>
      <c r="W28" s="415"/>
      <c r="X28" s="417"/>
      <c r="Y28" s="25"/>
      <c r="Z28" s="415"/>
      <c r="AA28" s="417"/>
    </row>
    <row r="29" spans="1:27" ht="5.4" customHeight="1">
      <c r="A29" s="615"/>
      <c r="B29" s="590"/>
      <c r="C29" s="592"/>
      <c r="D29" s="592"/>
      <c r="E29" s="592"/>
      <c r="F29" s="592"/>
      <c r="G29" s="592"/>
      <c r="H29" s="592"/>
      <c r="I29" s="592"/>
      <c r="J29" s="592"/>
      <c r="K29" s="592"/>
      <c r="L29" s="592"/>
      <c r="M29" s="598"/>
      <c r="N29" s="599"/>
      <c r="O29" s="592"/>
      <c r="P29" s="598"/>
      <c r="Q29" s="610"/>
      <c r="R29" s="599"/>
      <c r="S29" s="598"/>
      <c r="T29" s="599"/>
      <c r="U29" s="598"/>
      <c r="V29" s="599"/>
      <c r="W29" s="598"/>
      <c r="X29" s="599"/>
      <c r="Y29" s="592"/>
      <c r="Z29" s="598"/>
      <c r="AA29" s="599"/>
    </row>
    <row r="30" spans="1:27" ht="5.25" customHeight="1">
      <c r="A30" s="615"/>
      <c r="B30" s="91"/>
      <c r="C30" s="593"/>
      <c r="D30" s="593"/>
      <c r="E30" s="593"/>
      <c r="F30" s="593"/>
      <c r="G30" s="593"/>
      <c r="H30" s="593"/>
      <c r="I30" s="593"/>
      <c r="J30" s="593"/>
      <c r="K30" s="593"/>
      <c r="L30" s="593"/>
      <c r="M30" s="600"/>
      <c r="N30" s="601"/>
      <c r="O30" s="593"/>
      <c r="P30" s="600"/>
      <c r="Q30" s="493"/>
      <c r="R30" s="601"/>
      <c r="S30" s="600"/>
      <c r="T30" s="601"/>
      <c r="U30" s="600"/>
      <c r="V30" s="601"/>
      <c r="W30" s="600"/>
      <c r="X30" s="601"/>
      <c r="Y30" s="593"/>
      <c r="Z30" s="600"/>
      <c r="AA30" s="601"/>
    </row>
    <row r="31" spans="1:27" ht="10.5" customHeight="1">
      <c r="A31" s="87"/>
      <c r="B31" s="86"/>
      <c r="C31" s="217" t="s">
        <v>1706</v>
      </c>
      <c r="D31" s="63" t="s">
        <v>1707</v>
      </c>
      <c r="E31" s="85">
        <v>1002</v>
      </c>
      <c r="F31" s="25"/>
      <c r="G31" s="22" t="s">
        <v>1132</v>
      </c>
      <c r="H31" s="22" t="s">
        <v>1132</v>
      </c>
      <c r="I31" s="25"/>
      <c r="J31" s="25"/>
      <c r="K31" s="25"/>
      <c r="L31" s="25"/>
      <c r="M31" s="415"/>
      <c r="N31" s="417"/>
      <c r="O31" s="25"/>
      <c r="P31" s="415"/>
      <c r="Q31" s="416"/>
      <c r="R31" s="417"/>
      <c r="S31" s="415"/>
      <c r="T31" s="417"/>
      <c r="U31" s="415"/>
      <c r="V31" s="417"/>
      <c r="W31" s="415"/>
      <c r="X31" s="417"/>
      <c r="Y31" s="25"/>
      <c r="Z31" s="415"/>
      <c r="AA31" s="417"/>
    </row>
    <row r="32" spans="1:27" ht="10.5" customHeight="1">
      <c r="A32" s="87"/>
      <c r="B32" s="87"/>
      <c r="C32" s="25"/>
      <c r="D32" s="63" t="s">
        <v>1708</v>
      </c>
      <c r="E32" s="85">
        <v>2002</v>
      </c>
      <c r="F32" s="25"/>
      <c r="G32" s="22" t="s">
        <v>1132</v>
      </c>
      <c r="H32" s="22" t="s">
        <v>1132</v>
      </c>
      <c r="I32" s="25"/>
      <c r="J32" s="22" t="s">
        <v>1132</v>
      </c>
      <c r="K32" s="25"/>
      <c r="L32" s="25"/>
      <c r="M32" s="581" t="s">
        <v>1132</v>
      </c>
      <c r="N32" s="582"/>
      <c r="O32" s="25"/>
      <c r="P32" s="415"/>
      <c r="Q32" s="416"/>
      <c r="R32" s="417"/>
      <c r="S32" s="415"/>
      <c r="T32" s="417"/>
      <c r="U32" s="415"/>
      <c r="V32" s="417"/>
      <c r="W32" s="415"/>
      <c r="X32" s="417"/>
      <c r="Y32" s="25"/>
      <c r="Z32" s="415"/>
      <c r="AA32" s="417"/>
    </row>
    <row r="33" spans="1:27" ht="10.5" customHeight="1">
      <c r="A33" s="87"/>
      <c r="B33" s="88" t="s">
        <v>1709</v>
      </c>
      <c r="C33" s="25"/>
      <c r="D33" s="63" t="s">
        <v>1710</v>
      </c>
      <c r="E33" s="85">
        <v>1002</v>
      </c>
      <c r="F33" s="25"/>
      <c r="G33" s="22" t="s">
        <v>1132</v>
      </c>
      <c r="H33" s="22" t="s">
        <v>1132</v>
      </c>
      <c r="I33" s="25"/>
      <c r="J33" s="22" t="s">
        <v>1132</v>
      </c>
      <c r="K33" s="25"/>
      <c r="L33" s="25"/>
      <c r="M33" s="415"/>
      <c r="N33" s="417"/>
      <c r="O33" s="25"/>
      <c r="P33" s="415"/>
      <c r="Q33" s="416"/>
      <c r="R33" s="417"/>
      <c r="S33" s="415"/>
      <c r="T33" s="417"/>
      <c r="U33" s="415"/>
      <c r="V33" s="417"/>
      <c r="W33" s="415"/>
      <c r="X33" s="417"/>
      <c r="Y33" s="25"/>
      <c r="Z33" s="415"/>
      <c r="AA33" s="417"/>
    </row>
    <row r="34" spans="1:27" ht="10.5" customHeight="1">
      <c r="A34" s="87"/>
      <c r="B34" s="87"/>
      <c r="C34" s="25"/>
      <c r="D34" s="63" t="s">
        <v>1711</v>
      </c>
      <c r="E34" s="85">
        <v>2002</v>
      </c>
      <c r="F34" s="25"/>
      <c r="G34" s="22" t="s">
        <v>1132</v>
      </c>
      <c r="H34" s="22" t="s">
        <v>1132</v>
      </c>
      <c r="I34" s="25"/>
      <c r="J34" s="22" t="s">
        <v>1132</v>
      </c>
      <c r="K34" s="25"/>
      <c r="L34" s="25"/>
      <c r="M34" s="581" t="s">
        <v>1132</v>
      </c>
      <c r="N34" s="582"/>
      <c r="O34" s="25"/>
      <c r="P34" s="415"/>
      <c r="Q34" s="416"/>
      <c r="R34" s="417"/>
      <c r="S34" s="415"/>
      <c r="T34" s="417"/>
      <c r="U34" s="581" t="s">
        <v>1132</v>
      </c>
      <c r="V34" s="582"/>
      <c r="W34" s="581" t="s">
        <v>1132</v>
      </c>
      <c r="X34" s="582"/>
      <c r="Y34" s="25"/>
      <c r="Z34" s="415"/>
      <c r="AA34" s="417"/>
    </row>
    <row r="35" spans="1:27" ht="10.35" customHeight="1">
      <c r="A35" s="87"/>
      <c r="B35" s="91"/>
      <c r="C35" s="25"/>
      <c r="D35" s="25"/>
      <c r="E35" s="63" t="s">
        <v>1702</v>
      </c>
      <c r="F35" s="25"/>
      <c r="G35" s="22" t="s">
        <v>1132</v>
      </c>
      <c r="H35" s="22" t="s">
        <v>1132</v>
      </c>
      <c r="I35" s="25"/>
      <c r="J35" s="25"/>
      <c r="K35" s="25"/>
      <c r="L35" s="25"/>
      <c r="M35" s="415"/>
      <c r="N35" s="417"/>
      <c r="O35" s="25"/>
      <c r="P35" s="415"/>
      <c r="Q35" s="416"/>
      <c r="R35" s="417"/>
      <c r="S35" s="415"/>
      <c r="T35" s="417"/>
      <c r="U35" s="415"/>
      <c r="V35" s="417"/>
      <c r="W35" s="415"/>
      <c r="X35" s="417"/>
      <c r="Y35" s="25"/>
      <c r="Z35" s="415"/>
      <c r="AA35" s="417"/>
    </row>
    <row r="36" spans="1:27" ht="10.5" customHeight="1">
      <c r="A36" s="87"/>
      <c r="B36" s="86"/>
      <c r="C36" s="217" t="s">
        <v>1712</v>
      </c>
      <c r="D36" s="63" t="s">
        <v>1713</v>
      </c>
      <c r="E36" s="85">
        <v>1002</v>
      </c>
      <c r="F36" s="25"/>
      <c r="G36" s="22" t="s">
        <v>1132</v>
      </c>
      <c r="H36" s="22" t="s">
        <v>1132</v>
      </c>
      <c r="I36" s="22" t="s">
        <v>1132</v>
      </c>
      <c r="J36" s="25"/>
      <c r="K36" s="25"/>
      <c r="L36" s="25"/>
      <c r="M36" s="415"/>
      <c r="N36" s="417"/>
      <c r="O36" s="25"/>
      <c r="P36" s="415"/>
      <c r="Q36" s="416"/>
      <c r="R36" s="417"/>
      <c r="S36" s="415"/>
      <c r="T36" s="417"/>
      <c r="U36" s="415"/>
      <c r="V36" s="417"/>
      <c r="W36" s="415"/>
      <c r="X36" s="417"/>
      <c r="Y36" s="25"/>
      <c r="Z36" s="415"/>
      <c r="AA36" s="417"/>
    </row>
    <row r="37" spans="1:27" ht="10.5" customHeight="1">
      <c r="A37" s="87"/>
      <c r="B37" s="88" t="s">
        <v>1714</v>
      </c>
      <c r="C37" s="25"/>
      <c r="D37" s="25"/>
      <c r="E37" s="85">
        <v>2002</v>
      </c>
      <c r="F37" s="25"/>
      <c r="G37" s="22" t="s">
        <v>1132</v>
      </c>
      <c r="H37" s="22" t="s">
        <v>1132</v>
      </c>
      <c r="I37" s="22" t="s">
        <v>1132</v>
      </c>
      <c r="J37" s="25"/>
      <c r="K37" s="25"/>
      <c r="L37" s="25"/>
      <c r="M37" s="581" t="s">
        <v>1132</v>
      </c>
      <c r="N37" s="582"/>
      <c r="O37" s="25"/>
      <c r="P37" s="415"/>
      <c r="Q37" s="416"/>
      <c r="R37" s="417"/>
      <c r="S37" s="581" t="s">
        <v>1132</v>
      </c>
      <c r="T37" s="582"/>
      <c r="U37" s="415"/>
      <c r="V37" s="417"/>
      <c r="W37" s="415"/>
      <c r="X37" s="417"/>
      <c r="Y37" s="25"/>
      <c r="Z37" s="415"/>
      <c r="AA37" s="417"/>
    </row>
    <row r="38" spans="1:27" ht="10.35" customHeight="1">
      <c r="A38" s="87"/>
      <c r="B38" s="91"/>
      <c r="C38" s="25"/>
      <c r="D38" s="25"/>
      <c r="E38" s="63" t="s">
        <v>1702</v>
      </c>
      <c r="F38" s="25"/>
      <c r="G38" s="22" t="s">
        <v>1132</v>
      </c>
      <c r="H38" s="22" t="s">
        <v>1132</v>
      </c>
      <c r="I38" s="25"/>
      <c r="J38" s="25"/>
      <c r="K38" s="25"/>
      <c r="L38" s="25"/>
      <c r="M38" s="415"/>
      <c r="N38" s="417"/>
      <c r="O38" s="25"/>
      <c r="P38" s="415"/>
      <c r="Q38" s="416"/>
      <c r="R38" s="417"/>
      <c r="S38" s="415"/>
      <c r="T38" s="417"/>
      <c r="U38" s="415"/>
      <c r="V38" s="417"/>
      <c r="W38" s="415"/>
      <c r="X38" s="417"/>
      <c r="Y38" s="25"/>
      <c r="Z38" s="415"/>
      <c r="AA38" s="417"/>
    </row>
    <row r="39" spans="1:27" ht="10.5" customHeight="1">
      <c r="A39" s="590"/>
      <c r="B39" s="619" t="s">
        <v>1715</v>
      </c>
      <c r="C39" s="604" t="s">
        <v>1716</v>
      </c>
      <c r="D39" s="63" t="s">
        <v>1717</v>
      </c>
      <c r="E39" s="85">
        <v>1001</v>
      </c>
      <c r="F39" s="25"/>
      <c r="G39" s="22" t="s">
        <v>1132</v>
      </c>
      <c r="H39" s="22" t="s">
        <v>1132</v>
      </c>
      <c r="I39" s="25"/>
      <c r="J39" s="25"/>
      <c r="K39" s="25"/>
      <c r="L39" s="25"/>
      <c r="M39" s="415"/>
      <c r="N39" s="417"/>
      <c r="O39" s="25"/>
      <c r="P39" s="415"/>
      <c r="Q39" s="416"/>
      <c r="R39" s="417"/>
      <c r="S39" s="415"/>
      <c r="T39" s="417"/>
      <c r="U39" s="415"/>
      <c r="V39" s="417"/>
      <c r="W39" s="415"/>
      <c r="X39" s="417"/>
      <c r="Y39" s="25"/>
      <c r="Z39" s="581" t="s">
        <v>1132</v>
      </c>
      <c r="AA39" s="582"/>
    </row>
    <row r="40" spans="1:27" ht="10.35" customHeight="1">
      <c r="A40" s="590"/>
      <c r="B40" s="620"/>
      <c r="C40" s="605"/>
      <c r="D40" s="63" t="s">
        <v>1718</v>
      </c>
      <c r="E40" s="85">
        <v>1001</v>
      </c>
      <c r="F40" s="25"/>
      <c r="G40" s="22" t="s">
        <v>1132</v>
      </c>
      <c r="H40" s="22" t="s">
        <v>1132</v>
      </c>
      <c r="I40" s="25"/>
      <c r="J40" s="25"/>
      <c r="K40" s="25"/>
      <c r="L40" s="25"/>
      <c r="M40" s="415"/>
      <c r="N40" s="417"/>
      <c r="O40" s="25"/>
      <c r="P40" s="415"/>
      <c r="Q40" s="416"/>
      <c r="R40" s="417"/>
      <c r="S40" s="415"/>
      <c r="T40" s="417"/>
      <c r="U40" s="415"/>
      <c r="V40" s="417"/>
      <c r="W40" s="415"/>
      <c r="X40" s="417"/>
      <c r="Y40" s="25"/>
      <c r="Z40" s="581" t="s">
        <v>1132</v>
      </c>
      <c r="AA40" s="582"/>
    </row>
    <row r="41" spans="1:27" ht="10.5" customHeight="1">
      <c r="A41" s="87"/>
      <c r="B41" s="92" t="s">
        <v>1719</v>
      </c>
      <c r="C41" s="63" t="s">
        <v>1720</v>
      </c>
      <c r="D41" s="63" t="s">
        <v>1721</v>
      </c>
      <c r="E41" s="25"/>
      <c r="F41" s="25"/>
      <c r="G41" s="22" t="s">
        <v>1132</v>
      </c>
      <c r="H41" s="22" t="s">
        <v>1132</v>
      </c>
      <c r="I41" s="22" t="s">
        <v>1132</v>
      </c>
      <c r="J41" s="25"/>
      <c r="K41" s="25"/>
      <c r="L41" s="25"/>
      <c r="M41" s="581" t="s">
        <v>1132</v>
      </c>
      <c r="N41" s="582"/>
      <c r="O41" s="25"/>
      <c r="P41" s="415"/>
      <c r="Q41" s="416"/>
      <c r="R41" s="417"/>
      <c r="S41" s="581" t="s">
        <v>1132</v>
      </c>
      <c r="T41" s="582"/>
      <c r="U41" s="415"/>
      <c r="V41" s="417"/>
      <c r="W41" s="415"/>
      <c r="X41" s="417"/>
      <c r="Y41" s="25"/>
      <c r="Z41" s="415"/>
      <c r="AA41" s="417"/>
    </row>
    <row r="42" spans="1:27" ht="8.25" customHeight="1">
      <c r="A42" s="87"/>
      <c r="B42" s="88" t="s">
        <v>1722</v>
      </c>
      <c r="C42" s="588"/>
      <c r="D42" s="588"/>
      <c r="E42" s="588"/>
      <c r="F42" s="588"/>
      <c r="G42" s="588"/>
      <c r="H42" s="588"/>
      <c r="I42" s="588"/>
      <c r="J42" s="588"/>
      <c r="K42" s="588"/>
      <c r="L42" s="588"/>
      <c r="M42" s="611"/>
      <c r="N42" s="612"/>
      <c r="O42" s="588"/>
      <c r="P42" s="611"/>
      <c r="Q42" s="617"/>
      <c r="R42" s="612"/>
      <c r="S42" s="611"/>
      <c r="T42" s="612"/>
      <c r="U42" s="611"/>
      <c r="V42" s="612"/>
      <c r="W42" s="611"/>
      <c r="X42" s="612"/>
      <c r="Y42" s="588"/>
      <c r="Z42" s="611"/>
      <c r="AA42" s="612"/>
    </row>
    <row r="43" spans="1:27" ht="10.5" customHeight="1">
      <c r="A43" s="87"/>
      <c r="B43" s="93" t="s">
        <v>1723</v>
      </c>
      <c r="C43" s="589"/>
      <c r="D43" s="589"/>
      <c r="E43" s="589"/>
      <c r="F43" s="589"/>
      <c r="G43" s="589"/>
      <c r="H43" s="589"/>
      <c r="I43" s="589"/>
      <c r="J43" s="589"/>
      <c r="K43" s="589"/>
      <c r="L43" s="589"/>
      <c r="M43" s="613"/>
      <c r="N43" s="614"/>
      <c r="O43" s="589"/>
      <c r="P43" s="613"/>
      <c r="Q43" s="618"/>
      <c r="R43" s="614"/>
      <c r="S43" s="613"/>
      <c r="T43" s="614"/>
      <c r="U43" s="613"/>
      <c r="V43" s="614"/>
      <c r="W43" s="613"/>
      <c r="X43" s="614"/>
      <c r="Y43" s="589"/>
      <c r="Z43" s="613"/>
      <c r="AA43" s="614"/>
    </row>
    <row r="44" spans="1:27" ht="10.5" customHeight="1">
      <c r="A44" s="87"/>
      <c r="B44" s="92" t="s">
        <v>1724</v>
      </c>
      <c r="C44" s="63" t="s">
        <v>1725</v>
      </c>
      <c r="D44" s="63" t="s">
        <v>1721</v>
      </c>
      <c r="E44" s="25"/>
      <c r="F44" s="25"/>
      <c r="G44" s="22" t="s">
        <v>1132</v>
      </c>
      <c r="H44" s="22" t="s">
        <v>1132</v>
      </c>
      <c r="I44" s="22" t="s">
        <v>1132</v>
      </c>
      <c r="J44" s="25"/>
      <c r="K44" s="25"/>
      <c r="L44" s="25"/>
      <c r="M44" s="581" t="s">
        <v>1132</v>
      </c>
      <c r="N44" s="582"/>
      <c r="O44" s="25"/>
      <c r="P44" s="415"/>
      <c r="Q44" s="416"/>
      <c r="R44" s="417"/>
      <c r="S44" s="581" t="s">
        <v>1132</v>
      </c>
      <c r="T44" s="582"/>
      <c r="U44" s="415"/>
      <c r="V44" s="417"/>
      <c r="W44" s="415"/>
      <c r="X44" s="417"/>
      <c r="Y44" s="25"/>
      <c r="Z44" s="415"/>
      <c r="AA44" s="417"/>
    </row>
    <row r="45" spans="1:27" ht="8.25" customHeight="1">
      <c r="A45" s="87"/>
      <c r="B45" s="88" t="s">
        <v>1722</v>
      </c>
      <c r="C45" s="588"/>
      <c r="D45" s="588"/>
      <c r="E45" s="588"/>
      <c r="F45" s="588"/>
      <c r="G45" s="588"/>
      <c r="H45" s="588"/>
      <c r="I45" s="588"/>
      <c r="J45" s="588"/>
      <c r="K45" s="588"/>
      <c r="L45" s="588"/>
      <c r="M45" s="611"/>
      <c r="N45" s="612"/>
      <c r="O45" s="588"/>
      <c r="P45" s="611"/>
      <c r="Q45" s="617"/>
      <c r="R45" s="612"/>
      <c r="S45" s="611"/>
      <c r="T45" s="612"/>
      <c r="U45" s="611"/>
      <c r="V45" s="612"/>
      <c r="W45" s="611"/>
      <c r="X45" s="612"/>
      <c r="Y45" s="588"/>
      <c r="Z45" s="611"/>
      <c r="AA45" s="612"/>
    </row>
    <row r="46" spans="1:27" ht="10.5" customHeight="1">
      <c r="A46" s="91"/>
      <c r="B46" s="93" t="s">
        <v>1723</v>
      </c>
      <c r="C46" s="589"/>
      <c r="D46" s="589"/>
      <c r="E46" s="589"/>
      <c r="F46" s="589"/>
      <c r="G46" s="589"/>
      <c r="H46" s="589"/>
      <c r="I46" s="589"/>
      <c r="J46" s="589"/>
      <c r="K46" s="589"/>
      <c r="L46" s="589"/>
      <c r="M46" s="613"/>
      <c r="N46" s="614"/>
      <c r="O46" s="589"/>
      <c r="P46" s="613"/>
      <c r="Q46" s="618"/>
      <c r="R46" s="614"/>
      <c r="S46" s="613"/>
      <c r="T46" s="614"/>
      <c r="U46" s="613"/>
      <c r="V46" s="614"/>
      <c r="W46" s="613"/>
      <c r="X46" s="614"/>
      <c r="Y46" s="589"/>
      <c r="Z46" s="613"/>
      <c r="AA46" s="614"/>
    </row>
    <row r="47" spans="1:27" ht="5.25" customHeight="1">
      <c r="A47" s="598"/>
      <c r="B47" s="610"/>
      <c r="C47" s="610"/>
      <c r="D47" s="610"/>
      <c r="E47" s="610"/>
      <c r="F47" s="610"/>
      <c r="G47" s="610"/>
      <c r="H47" s="610"/>
      <c r="I47" s="610"/>
      <c r="J47" s="610"/>
      <c r="K47" s="610"/>
      <c r="L47" s="599"/>
      <c r="M47" s="592"/>
      <c r="N47" s="592"/>
      <c r="O47" s="598"/>
      <c r="P47" s="610"/>
      <c r="Q47" s="610"/>
      <c r="R47" s="610"/>
      <c r="S47" s="599"/>
      <c r="T47" s="592"/>
      <c r="U47" s="592"/>
      <c r="V47" s="94" t="s">
        <v>1726</v>
      </c>
      <c r="W47" s="95">
        <v>45457</v>
      </c>
      <c r="X47" s="598"/>
      <c r="Y47" s="610"/>
      <c r="Z47" s="599"/>
      <c r="AA47" s="592"/>
    </row>
    <row r="48" spans="1:27" ht="5.25" customHeight="1">
      <c r="A48" s="629"/>
      <c r="B48" s="485"/>
      <c r="C48" s="485"/>
      <c r="D48" s="485"/>
      <c r="E48" s="485"/>
      <c r="F48" s="485"/>
      <c r="G48" s="485"/>
      <c r="H48" s="485"/>
      <c r="I48" s="485"/>
      <c r="J48" s="485"/>
      <c r="K48" s="485"/>
      <c r="L48" s="630"/>
      <c r="M48" s="593"/>
      <c r="N48" s="593"/>
      <c r="O48" s="600"/>
      <c r="P48" s="493"/>
      <c r="Q48" s="493"/>
      <c r="R48" s="493"/>
      <c r="S48" s="601"/>
      <c r="T48" s="593"/>
      <c r="U48" s="593"/>
      <c r="V48" s="96" t="s">
        <v>1727</v>
      </c>
      <c r="W48" s="97" t="s">
        <v>1728</v>
      </c>
      <c r="X48" s="600"/>
      <c r="Y48" s="493"/>
      <c r="Z48" s="601"/>
      <c r="AA48" s="593"/>
    </row>
    <row r="49" spans="1:27" ht="9.15" customHeight="1">
      <c r="A49" s="621" t="s">
        <v>1729</v>
      </c>
      <c r="B49" s="489"/>
      <c r="C49" s="489"/>
      <c r="D49" s="489"/>
      <c r="E49" s="489"/>
      <c r="F49" s="489"/>
      <c r="G49" s="489"/>
      <c r="H49" s="489"/>
      <c r="I49" s="489"/>
      <c r="J49" s="489"/>
      <c r="K49" s="489"/>
      <c r="L49" s="622"/>
      <c r="M49" s="98">
        <v>3</v>
      </c>
      <c r="N49" s="99">
        <v>45457</v>
      </c>
      <c r="O49" s="631" t="s">
        <v>1730</v>
      </c>
      <c r="P49" s="632"/>
      <c r="Q49" s="632"/>
      <c r="R49" s="632"/>
      <c r="S49" s="633"/>
      <c r="T49" s="100" t="s">
        <v>1731</v>
      </c>
      <c r="U49" s="100" t="s">
        <v>1732</v>
      </c>
      <c r="V49" s="100" t="s">
        <v>1733</v>
      </c>
      <c r="W49" s="101" t="s">
        <v>1734</v>
      </c>
      <c r="X49" s="415"/>
      <c r="Y49" s="416"/>
      <c r="Z49" s="417"/>
      <c r="AA49" s="25"/>
    </row>
    <row r="50" spans="1:27" ht="9.15" customHeight="1">
      <c r="A50" s="621" t="s">
        <v>1735</v>
      </c>
      <c r="B50" s="489"/>
      <c r="C50" s="489"/>
      <c r="D50" s="489"/>
      <c r="E50" s="489"/>
      <c r="F50" s="489"/>
      <c r="G50" s="489"/>
      <c r="H50" s="489"/>
      <c r="I50" s="489"/>
      <c r="J50" s="489"/>
      <c r="K50" s="489"/>
      <c r="L50" s="622"/>
      <c r="M50" s="98">
        <v>2</v>
      </c>
      <c r="N50" s="99">
        <v>45258</v>
      </c>
      <c r="O50" s="623" t="s">
        <v>1736</v>
      </c>
      <c r="P50" s="624"/>
      <c r="Q50" s="624"/>
      <c r="R50" s="624"/>
      <c r="S50" s="625"/>
      <c r="T50" s="100" t="s">
        <v>1731</v>
      </c>
      <c r="U50" s="100" t="s">
        <v>1732</v>
      </c>
      <c r="V50" s="100" t="s">
        <v>1733</v>
      </c>
      <c r="W50" s="101" t="s">
        <v>1734</v>
      </c>
      <c r="X50" s="415"/>
      <c r="Y50" s="416"/>
      <c r="Z50" s="417"/>
      <c r="AA50" s="25"/>
    </row>
    <row r="51" spans="1:27" ht="9.15" customHeight="1">
      <c r="A51" s="621" t="s">
        <v>1737</v>
      </c>
      <c r="B51" s="489"/>
      <c r="C51" s="489"/>
      <c r="D51" s="489"/>
      <c r="E51" s="489"/>
      <c r="F51" s="489"/>
      <c r="G51" s="489"/>
      <c r="H51" s="489"/>
      <c r="I51" s="489"/>
      <c r="J51" s="489"/>
      <c r="K51" s="489"/>
      <c r="L51" s="622"/>
      <c r="M51" s="98">
        <v>1</v>
      </c>
      <c r="N51" s="99">
        <v>45120</v>
      </c>
      <c r="O51" s="626" t="s">
        <v>1738</v>
      </c>
      <c r="P51" s="627"/>
      <c r="Q51" s="627"/>
      <c r="R51" s="627"/>
      <c r="S51" s="628"/>
      <c r="T51" s="100" t="s">
        <v>1731</v>
      </c>
      <c r="U51" s="100" t="s">
        <v>1732</v>
      </c>
      <c r="V51" s="100" t="s">
        <v>1733</v>
      </c>
      <c r="W51" s="101" t="s">
        <v>1734</v>
      </c>
      <c r="X51" s="415"/>
      <c r="Y51" s="416"/>
      <c r="Z51" s="417"/>
      <c r="AA51" s="25"/>
    </row>
    <row r="52" spans="1:27" ht="9.15" customHeight="1">
      <c r="A52" s="621" t="s">
        <v>1739</v>
      </c>
      <c r="B52" s="489"/>
      <c r="C52" s="489"/>
      <c r="D52" s="489"/>
      <c r="E52" s="489"/>
      <c r="F52" s="489"/>
      <c r="G52" s="489"/>
      <c r="H52" s="489"/>
      <c r="I52" s="489"/>
      <c r="J52" s="489"/>
      <c r="K52" s="489"/>
      <c r="L52" s="622"/>
      <c r="M52" s="100" t="s">
        <v>1740</v>
      </c>
      <c r="N52" s="100" t="s">
        <v>1741</v>
      </c>
      <c r="O52" s="631" t="s">
        <v>1742</v>
      </c>
      <c r="P52" s="632"/>
      <c r="Q52" s="632"/>
      <c r="R52" s="632"/>
      <c r="S52" s="633"/>
      <c r="T52" s="100" t="s">
        <v>1743</v>
      </c>
      <c r="U52" s="100" t="s">
        <v>1744</v>
      </c>
      <c r="V52" s="100" t="s">
        <v>1745</v>
      </c>
      <c r="W52" s="102" t="s">
        <v>1746</v>
      </c>
      <c r="X52" s="631" t="s">
        <v>1747</v>
      </c>
      <c r="Y52" s="632"/>
      <c r="Z52" s="633"/>
      <c r="AA52" s="100" t="s">
        <v>1748</v>
      </c>
    </row>
    <row r="53" spans="1:27" ht="9.15" customHeight="1">
      <c r="A53" s="621" t="s">
        <v>1749</v>
      </c>
      <c r="B53" s="489"/>
      <c r="C53" s="489"/>
      <c r="D53" s="489"/>
      <c r="E53" s="489"/>
      <c r="F53" s="489"/>
      <c r="G53" s="489"/>
      <c r="H53" s="489"/>
      <c r="I53" s="489"/>
      <c r="J53" s="489"/>
      <c r="K53" s="489"/>
      <c r="L53" s="622"/>
      <c r="M53" s="390"/>
      <c r="N53" s="421"/>
      <c r="O53" s="421"/>
      <c r="P53" s="421"/>
      <c r="Q53" s="421"/>
      <c r="R53" s="421"/>
      <c r="S53" s="391"/>
      <c r="T53" s="634" t="s">
        <v>1750</v>
      </c>
      <c r="U53" s="635"/>
      <c r="V53" s="635"/>
      <c r="W53" s="635"/>
      <c r="X53" s="635"/>
      <c r="Y53" s="635"/>
      <c r="Z53" s="635"/>
      <c r="AA53" s="636"/>
    </row>
    <row r="54" spans="1:27" ht="18.600000000000001" customHeight="1">
      <c r="A54" s="643"/>
      <c r="B54" s="644"/>
      <c r="C54" s="644"/>
      <c r="D54" s="644"/>
      <c r="E54" s="644"/>
      <c r="F54" s="644"/>
      <c r="G54" s="644"/>
      <c r="H54" s="644"/>
      <c r="I54" s="644"/>
      <c r="J54" s="644"/>
      <c r="K54" s="644"/>
      <c r="L54" s="645"/>
      <c r="M54" s="422"/>
      <c r="N54" s="423"/>
      <c r="O54" s="423"/>
      <c r="P54" s="423"/>
      <c r="Q54" s="423"/>
      <c r="R54" s="423"/>
      <c r="S54" s="424"/>
      <c r="T54" s="646" t="s">
        <v>1751</v>
      </c>
      <c r="U54" s="647"/>
      <c r="V54" s="647"/>
      <c r="W54" s="647"/>
      <c r="X54" s="647"/>
      <c r="Y54" s="647"/>
      <c r="Z54" s="647"/>
      <c r="AA54" s="648"/>
    </row>
    <row r="55" spans="1:27" ht="9.15" customHeight="1">
      <c r="A55" s="643"/>
      <c r="B55" s="644"/>
      <c r="C55" s="644"/>
      <c r="D55" s="644"/>
      <c r="E55" s="644"/>
      <c r="F55" s="644"/>
      <c r="G55" s="644"/>
      <c r="H55" s="644"/>
      <c r="I55" s="644"/>
      <c r="J55" s="644"/>
      <c r="K55" s="644"/>
      <c r="L55" s="645"/>
      <c r="M55" s="392"/>
      <c r="N55" s="425"/>
      <c r="O55" s="425"/>
      <c r="P55" s="425"/>
      <c r="Q55" s="425"/>
      <c r="R55" s="425"/>
      <c r="S55" s="393"/>
      <c r="T55" s="634" t="s">
        <v>1752</v>
      </c>
      <c r="U55" s="635"/>
      <c r="V55" s="635"/>
      <c r="W55" s="635"/>
      <c r="X55" s="635"/>
      <c r="Y55" s="635"/>
      <c r="Z55" s="635"/>
      <c r="AA55" s="636"/>
    </row>
    <row r="56" spans="1:27" ht="9.15" customHeight="1">
      <c r="A56" s="643"/>
      <c r="B56" s="644"/>
      <c r="C56" s="644"/>
      <c r="D56" s="644"/>
      <c r="E56" s="644"/>
      <c r="F56" s="644"/>
      <c r="G56" s="644"/>
      <c r="H56" s="644"/>
      <c r="I56" s="644"/>
      <c r="J56" s="644"/>
      <c r="K56" s="644"/>
      <c r="L56" s="645"/>
      <c r="M56" s="634" t="s">
        <v>1753</v>
      </c>
      <c r="N56" s="635"/>
      <c r="O56" s="635"/>
      <c r="P56" s="635"/>
      <c r="Q56" s="635"/>
      <c r="R56" s="635"/>
      <c r="S56" s="636"/>
      <c r="T56" s="598"/>
      <c r="U56" s="610"/>
      <c r="V56" s="610"/>
      <c r="W56" s="610"/>
      <c r="X56" s="610"/>
      <c r="Y56" s="610"/>
      <c r="Z56" s="610"/>
      <c r="AA56" s="599"/>
    </row>
    <row r="57" spans="1:27" ht="9.15" customHeight="1">
      <c r="A57" s="629"/>
      <c r="B57" s="485"/>
      <c r="C57" s="485"/>
      <c r="D57" s="485"/>
      <c r="E57" s="485"/>
      <c r="F57" s="485"/>
      <c r="G57" s="485"/>
      <c r="H57" s="485"/>
      <c r="I57" s="485"/>
      <c r="J57" s="485"/>
      <c r="K57" s="485"/>
      <c r="L57" s="630"/>
      <c r="M57" s="634" t="s">
        <v>1754</v>
      </c>
      <c r="N57" s="635"/>
      <c r="O57" s="635"/>
      <c r="P57" s="635"/>
      <c r="Q57" s="635"/>
      <c r="R57" s="635"/>
      <c r="S57" s="636"/>
      <c r="T57" s="637" t="s">
        <v>1755</v>
      </c>
      <c r="U57" s="638"/>
      <c r="V57" s="638"/>
      <c r="W57" s="638"/>
      <c r="X57" s="638"/>
      <c r="Y57" s="638"/>
      <c r="Z57" s="638"/>
      <c r="AA57" s="639"/>
    </row>
    <row r="58" spans="1:27" ht="9.15" customHeight="1">
      <c r="A58" s="600"/>
      <c r="B58" s="493"/>
      <c r="C58" s="493"/>
      <c r="D58" s="493"/>
      <c r="E58" s="493"/>
      <c r="F58" s="493"/>
      <c r="G58" s="493"/>
      <c r="H58" s="493"/>
      <c r="I58" s="493"/>
      <c r="J58" s="493"/>
      <c r="K58" s="493"/>
      <c r="L58" s="601"/>
      <c r="M58" s="640" t="s">
        <v>1756</v>
      </c>
      <c r="N58" s="641"/>
      <c r="O58" s="641"/>
      <c r="P58" s="641"/>
      <c r="Q58" s="641"/>
      <c r="R58" s="641"/>
      <c r="S58" s="642"/>
      <c r="T58" s="600"/>
      <c r="U58" s="493"/>
      <c r="V58" s="493"/>
      <c r="W58" s="493"/>
      <c r="X58" s="493"/>
      <c r="Y58" s="493"/>
      <c r="Z58" s="493"/>
      <c r="AA58" s="601"/>
    </row>
    <row r="59" spans="1:27" ht="11.25" customHeight="1">
      <c r="A59" s="659" t="s">
        <v>1601</v>
      </c>
      <c r="B59" s="660"/>
      <c r="C59" s="660"/>
      <c r="D59" s="660"/>
      <c r="E59" s="660"/>
      <c r="F59" s="660"/>
      <c r="G59" s="660"/>
      <c r="H59" s="660"/>
      <c r="I59" s="660"/>
      <c r="J59" s="660"/>
      <c r="K59" s="660"/>
      <c r="L59" s="661"/>
      <c r="M59" s="449"/>
      <c r="N59" s="665" t="s">
        <v>1757</v>
      </c>
      <c r="O59" s="667" t="s">
        <v>1758</v>
      </c>
      <c r="P59" s="668"/>
      <c r="Q59" s="103" t="s">
        <v>1759</v>
      </c>
      <c r="R59" s="671">
        <v>2</v>
      </c>
      <c r="S59" s="672"/>
      <c r="T59" s="673" t="s">
        <v>1760</v>
      </c>
      <c r="U59" s="649" t="s">
        <v>1761</v>
      </c>
      <c r="V59" s="650"/>
      <c r="W59" s="650"/>
      <c r="X59" s="651"/>
      <c r="Y59" s="25"/>
      <c r="Z59" s="631" t="s">
        <v>1740</v>
      </c>
      <c r="AA59" s="633"/>
    </row>
    <row r="60" spans="1:27" ht="18.75" customHeight="1">
      <c r="A60" s="662"/>
      <c r="B60" s="663"/>
      <c r="C60" s="663"/>
      <c r="D60" s="663"/>
      <c r="E60" s="663"/>
      <c r="F60" s="663"/>
      <c r="G60" s="663"/>
      <c r="H60" s="663"/>
      <c r="I60" s="663"/>
      <c r="J60" s="663"/>
      <c r="K60" s="663"/>
      <c r="L60" s="664"/>
      <c r="M60" s="450"/>
      <c r="N60" s="666"/>
      <c r="O60" s="669"/>
      <c r="P60" s="670"/>
      <c r="Q60" s="104" t="s">
        <v>1762</v>
      </c>
      <c r="R60" s="655">
        <v>4</v>
      </c>
      <c r="S60" s="656"/>
      <c r="T60" s="674"/>
      <c r="U60" s="652"/>
      <c r="V60" s="653"/>
      <c r="W60" s="653"/>
      <c r="X60" s="654"/>
      <c r="Y60" s="38"/>
      <c r="Z60" s="657">
        <v>3</v>
      </c>
      <c r="AA60" s="658"/>
    </row>
  </sheetData>
  <mergeCells count="361">
    <mergeCell ref="U59:X60"/>
    <mergeCell ref="Z59:AA59"/>
    <mergeCell ref="R60:S60"/>
    <mergeCell ref="Z60:AA60"/>
    <mergeCell ref="A59:L60"/>
    <mergeCell ref="M59:M60"/>
    <mergeCell ref="N59:N60"/>
    <mergeCell ref="O59:P60"/>
    <mergeCell ref="R59:S59"/>
    <mergeCell ref="T59:T60"/>
    <mergeCell ref="M56:S56"/>
    <mergeCell ref="T56:AA56"/>
    <mergeCell ref="A57:L57"/>
    <mergeCell ref="M57:S57"/>
    <mergeCell ref="T57:AA57"/>
    <mergeCell ref="A58:L58"/>
    <mergeCell ref="M58:S58"/>
    <mergeCell ref="T58:AA58"/>
    <mergeCell ref="A52:L52"/>
    <mergeCell ref="O52:S52"/>
    <mergeCell ref="X52:Z52"/>
    <mergeCell ref="A53:L53"/>
    <mergeCell ref="M53:S55"/>
    <mergeCell ref="T53:AA53"/>
    <mergeCell ref="A54:L54"/>
    <mergeCell ref="T54:AA54"/>
    <mergeCell ref="A55:L56"/>
    <mergeCell ref="T55:AA55"/>
    <mergeCell ref="A50:L50"/>
    <mergeCell ref="O50:S50"/>
    <mergeCell ref="X50:Z50"/>
    <mergeCell ref="A51:L51"/>
    <mergeCell ref="O51:S51"/>
    <mergeCell ref="X51:Z51"/>
    <mergeCell ref="X47:Z48"/>
    <mergeCell ref="AA47:AA48"/>
    <mergeCell ref="A48:L48"/>
    <mergeCell ref="A49:L49"/>
    <mergeCell ref="O49:S49"/>
    <mergeCell ref="X49:Z49"/>
    <mergeCell ref="A47:L47"/>
    <mergeCell ref="M47:M48"/>
    <mergeCell ref="N47:N48"/>
    <mergeCell ref="O47:S48"/>
    <mergeCell ref="T47:T48"/>
    <mergeCell ref="U47:U48"/>
    <mergeCell ref="U45:V46"/>
    <mergeCell ref="W45:X46"/>
    <mergeCell ref="Y45:Y46"/>
    <mergeCell ref="Z45:AA46"/>
    <mergeCell ref="I45:I46"/>
    <mergeCell ref="J45:J46"/>
    <mergeCell ref="K45:K46"/>
    <mergeCell ref="L45:L46"/>
    <mergeCell ref="M45:N46"/>
    <mergeCell ref="O45:O46"/>
    <mergeCell ref="C45:C46"/>
    <mergeCell ref="D45:D46"/>
    <mergeCell ref="E45:E46"/>
    <mergeCell ref="F45:F46"/>
    <mergeCell ref="G45:G46"/>
    <mergeCell ref="H45:H46"/>
    <mergeCell ref="M44:N44"/>
    <mergeCell ref="P44:R44"/>
    <mergeCell ref="S44:T44"/>
    <mergeCell ref="P45:R46"/>
    <mergeCell ref="S45:T46"/>
    <mergeCell ref="U44:V44"/>
    <mergeCell ref="W44:X44"/>
    <mergeCell ref="Z44:AA44"/>
    <mergeCell ref="P42:R43"/>
    <mergeCell ref="S42:T43"/>
    <mergeCell ref="U42:V43"/>
    <mergeCell ref="W42:X43"/>
    <mergeCell ref="Y42:Y43"/>
    <mergeCell ref="Z42:AA43"/>
    <mergeCell ref="I42:I43"/>
    <mergeCell ref="J42:J43"/>
    <mergeCell ref="K42:K43"/>
    <mergeCell ref="L42:L43"/>
    <mergeCell ref="M42:N43"/>
    <mergeCell ref="O42:O43"/>
    <mergeCell ref="C42:C43"/>
    <mergeCell ref="D42:D43"/>
    <mergeCell ref="E42:E43"/>
    <mergeCell ref="F42:F43"/>
    <mergeCell ref="G42:G43"/>
    <mergeCell ref="H42:H43"/>
    <mergeCell ref="M41:N41"/>
    <mergeCell ref="P41:R41"/>
    <mergeCell ref="S41:T41"/>
    <mergeCell ref="U41:V41"/>
    <mergeCell ref="W41:X41"/>
    <mergeCell ref="Z41:AA41"/>
    <mergeCell ref="U39:V39"/>
    <mergeCell ref="W39:X39"/>
    <mergeCell ref="Z39:AA39"/>
    <mergeCell ref="M40:N40"/>
    <mergeCell ref="P40:R40"/>
    <mergeCell ref="S40:T40"/>
    <mergeCell ref="U40:V40"/>
    <mergeCell ref="W40:X40"/>
    <mergeCell ref="Z40:AA40"/>
    <mergeCell ref="A39:A40"/>
    <mergeCell ref="B39:B40"/>
    <mergeCell ref="C39:C40"/>
    <mergeCell ref="M39:N39"/>
    <mergeCell ref="P39:R39"/>
    <mergeCell ref="S39:T39"/>
    <mergeCell ref="M38:N38"/>
    <mergeCell ref="P38:R38"/>
    <mergeCell ref="S38:T38"/>
    <mergeCell ref="U38:V38"/>
    <mergeCell ref="W38:X38"/>
    <mergeCell ref="Z38:AA38"/>
    <mergeCell ref="M37:N37"/>
    <mergeCell ref="P37:R37"/>
    <mergeCell ref="S37:T37"/>
    <mergeCell ref="U37:V37"/>
    <mergeCell ref="W37:X37"/>
    <mergeCell ref="Z37:AA37"/>
    <mergeCell ref="M36:N36"/>
    <mergeCell ref="P36:R36"/>
    <mergeCell ref="S36:T36"/>
    <mergeCell ref="U36:V36"/>
    <mergeCell ref="W36:X36"/>
    <mergeCell ref="Z36:AA36"/>
    <mergeCell ref="M35:N35"/>
    <mergeCell ref="P35:R35"/>
    <mergeCell ref="S35:T35"/>
    <mergeCell ref="U35:V35"/>
    <mergeCell ref="W35:X35"/>
    <mergeCell ref="Z35:AA35"/>
    <mergeCell ref="M34:N34"/>
    <mergeCell ref="P34:R34"/>
    <mergeCell ref="S34:T34"/>
    <mergeCell ref="U34:V34"/>
    <mergeCell ref="W34:X34"/>
    <mergeCell ref="Z34:AA34"/>
    <mergeCell ref="M33:N33"/>
    <mergeCell ref="P33:R33"/>
    <mergeCell ref="S33:T33"/>
    <mergeCell ref="U33:V33"/>
    <mergeCell ref="W33:X33"/>
    <mergeCell ref="Z33:AA33"/>
    <mergeCell ref="M32:N32"/>
    <mergeCell ref="P32:R32"/>
    <mergeCell ref="S32:T32"/>
    <mergeCell ref="U32:V32"/>
    <mergeCell ref="W32:X32"/>
    <mergeCell ref="Z32:AA32"/>
    <mergeCell ref="M31:N31"/>
    <mergeCell ref="P31:R31"/>
    <mergeCell ref="S31:T31"/>
    <mergeCell ref="U31:V31"/>
    <mergeCell ref="W31:X31"/>
    <mergeCell ref="Z31:AA31"/>
    <mergeCell ref="P29:R30"/>
    <mergeCell ref="S29:T30"/>
    <mergeCell ref="U29:V30"/>
    <mergeCell ref="W29:X30"/>
    <mergeCell ref="Y29:Y30"/>
    <mergeCell ref="Z29:AA30"/>
    <mergeCell ref="I29:I30"/>
    <mergeCell ref="J29:J30"/>
    <mergeCell ref="K29:K30"/>
    <mergeCell ref="L29:L30"/>
    <mergeCell ref="M29:N30"/>
    <mergeCell ref="O29:O30"/>
    <mergeCell ref="C29:C30"/>
    <mergeCell ref="D29:D30"/>
    <mergeCell ref="E29:E30"/>
    <mergeCell ref="F29:F30"/>
    <mergeCell ref="G29:G30"/>
    <mergeCell ref="H29:H30"/>
    <mergeCell ref="W27:X27"/>
    <mergeCell ref="Z27:AA27"/>
    <mergeCell ref="A28:A30"/>
    <mergeCell ref="B28:B29"/>
    <mergeCell ref="M28:N28"/>
    <mergeCell ref="P28:R28"/>
    <mergeCell ref="S28:T28"/>
    <mergeCell ref="U28:V28"/>
    <mergeCell ref="W28:X28"/>
    <mergeCell ref="Z28:AA28"/>
    <mergeCell ref="A26:A27"/>
    <mergeCell ref="B26:B27"/>
    <mergeCell ref="M27:N27"/>
    <mergeCell ref="P27:R27"/>
    <mergeCell ref="S27:T27"/>
    <mergeCell ref="U27:V27"/>
    <mergeCell ref="P25:R26"/>
    <mergeCell ref="S25:T26"/>
    <mergeCell ref="W25:X26"/>
    <mergeCell ref="Y25:Y26"/>
    <mergeCell ref="Z25:AA26"/>
    <mergeCell ref="I25:I26"/>
    <mergeCell ref="J25:J26"/>
    <mergeCell ref="K25:K26"/>
    <mergeCell ref="L25:L26"/>
    <mergeCell ref="M25:N26"/>
    <mergeCell ref="O25:O26"/>
    <mergeCell ref="C25:C26"/>
    <mergeCell ref="D25:D26"/>
    <mergeCell ref="E25:E26"/>
    <mergeCell ref="F25:F26"/>
    <mergeCell ref="G25:G26"/>
    <mergeCell ref="H25:H26"/>
    <mergeCell ref="P23:R24"/>
    <mergeCell ref="S23:T24"/>
    <mergeCell ref="U23:V24"/>
    <mergeCell ref="U25:V26"/>
    <mergeCell ref="W23:X24"/>
    <mergeCell ref="Y23:Y24"/>
    <mergeCell ref="Z23:AA24"/>
    <mergeCell ref="W22:X22"/>
    <mergeCell ref="Z22:AA22"/>
    <mergeCell ref="C23:C24"/>
    <mergeCell ref="D23:D24"/>
    <mergeCell ref="E23:E24"/>
    <mergeCell ref="F23:F24"/>
    <mergeCell ref="G23:G24"/>
    <mergeCell ref="H23:H24"/>
    <mergeCell ref="I23:I24"/>
    <mergeCell ref="J23:J24"/>
    <mergeCell ref="A22:A23"/>
    <mergeCell ref="B22:B23"/>
    <mergeCell ref="M22:N22"/>
    <mergeCell ref="P22:R22"/>
    <mergeCell ref="S22:T22"/>
    <mergeCell ref="U22:V22"/>
    <mergeCell ref="K23:K24"/>
    <mergeCell ref="L23:L24"/>
    <mergeCell ref="M23:N24"/>
    <mergeCell ref="O23:O24"/>
    <mergeCell ref="M21:N21"/>
    <mergeCell ref="P21:R21"/>
    <mergeCell ref="S21:T21"/>
    <mergeCell ref="U21:V21"/>
    <mergeCell ref="W21:X21"/>
    <mergeCell ref="Z21:AA21"/>
    <mergeCell ref="M20:N20"/>
    <mergeCell ref="P20:R20"/>
    <mergeCell ref="S20:T20"/>
    <mergeCell ref="U20:V20"/>
    <mergeCell ref="W20:X20"/>
    <mergeCell ref="Z20:AA20"/>
    <mergeCell ref="M19:N19"/>
    <mergeCell ref="P19:R19"/>
    <mergeCell ref="S19:T19"/>
    <mergeCell ref="U19:V19"/>
    <mergeCell ref="W19:X19"/>
    <mergeCell ref="Z19:AA19"/>
    <mergeCell ref="M18:N18"/>
    <mergeCell ref="P18:R18"/>
    <mergeCell ref="S18:T18"/>
    <mergeCell ref="U18:V18"/>
    <mergeCell ref="W18:X18"/>
    <mergeCell ref="Z18:AA18"/>
    <mergeCell ref="M17:N17"/>
    <mergeCell ref="P17:R17"/>
    <mergeCell ref="S17:T17"/>
    <mergeCell ref="U17:V17"/>
    <mergeCell ref="W17:X17"/>
    <mergeCell ref="Z17:AA17"/>
    <mergeCell ref="M16:N16"/>
    <mergeCell ref="P16:R16"/>
    <mergeCell ref="S16:T16"/>
    <mergeCell ref="U16:V16"/>
    <mergeCell ref="W16:X16"/>
    <mergeCell ref="Z16:AA16"/>
    <mergeCell ref="M15:N15"/>
    <mergeCell ref="P15:R15"/>
    <mergeCell ref="S15:T15"/>
    <mergeCell ref="U15:V15"/>
    <mergeCell ref="W15:X15"/>
    <mergeCell ref="Z15:AA15"/>
    <mergeCell ref="M14:N14"/>
    <mergeCell ref="P14:R14"/>
    <mergeCell ref="S14:T14"/>
    <mergeCell ref="U14:V14"/>
    <mergeCell ref="W14:X14"/>
    <mergeCell ref="Z14:AA14"/>
    <mergeCell ref="M13:N13"/>
    <mergeCell ref="P13:R13"/>
    <mergeCell ref="S13:T13"/>
    <mergeCell ref="U13:V13"/>
    <mergeCell ref="W13:X13"/>
    <mergeCell ref="Z13:AA13"/>
    <mergeCell ref="Z11:AA11"/>
    <mergeCell ref="M12:N12"/>
    <mergeCell ref="P12:R12"/>
    <mergeCell ref="S12:T12"/>
    <mergeCell ref="U12:V12"/>
    <mergeCell ref="W12:X12"/>
    <mergeCell ref="Z12:AA12"/>
    <mergeCell ref="B11:B12"/>
    <mergeCell ref="M11:N11"/>
    <mergeCell ref="P11:R11"/>
    <mergeCell ref="S11:T11"/>
    <mergeCell ref="U11:V11"/>
    <mergeCell ref="W11:X11"/>
    <mergeCell ref="W9:X9"/>
    <mergeCell ref="Z9:AA9"/>
    <mergeCell ref="M10:N10"/>
    <mergeCell ref="P10:R10"/>
    <mergeCell ref="S10:T10"/>
    <mergeCell ref="U10:V10"/>
    <mergeCell ref="W10:X10"/>
    <mergeCell ref="Z10:AA10"/>
    <mergeCell ref="W7:X7"/>
    <mergeCell ref="Z7:AA7"/>
    <mergeCell ref="M8:N8"/>
    <mergeCell ref="P8:R8"/>
    <mergeCell ref="S8:T8"/>
    <mergeCell ref="U8:V8"/>
    <mergeCell ref="W8:X8"/>
    <mergeCell ref="Z8:AA8"/>
    <mergeCell ref="A7:A10"/>
    <mergeCell ref="B7:B10"/>
    <mergeCell ref="M7:N7"/>
    <mergeCell ref="P7:R7"/>
    <mergeCell ref="S7:T7"/>
    <mergeCell ref="U7:V7"/>
    <mergeCell ref="M9:N9"/>
    <mergeCell ref="P9:R9"/>
    <mergeCell ref="S9:T9"/>
    <mergeCell ref="U9:V9"/>
    <mergeCell ref="U6:V6"/>
    <mergeCell ref="W6:X6"/>
    <mergeCell ref="Z6:AA6"/>
    <mergeCell ref="A5:E5"/>
    <mergeCell ref="M5:N5"/>
    <mergeCell ref="P5:R5"/>
    <mergeCell ref="S5:T5"/>
    <mergeCell ref="U5:V5"/>
    <mergeCell ref="W5:X5"/>
    <mergeCell ref="A1:E4"/>
    <mergeCell ref="F1:F6"/>
    <mergeCell ref="G1:H2"/>
    <mergeCell ref="I1:AA1"/>
    <mergeCell ref="I2:O2"/>
    <mergeCell ref="P2:R2"/>
    <mergeCell ref="S2:AA2"/>
    <mergeCell ref="M3:N3"/>
    <mergeCell ref="P3:R3"/>
    <mergeCell ref="S3:T3"/>
    <mergeCell ref="U3:V3"/>
    <mergeCell ref="W3:X3"/>
    <mergeCell ref="Z3:AA3"/>
    <mergeCell ref="M4:N4"/>
    <mergeCell ref="P4:R4"/>
    <mergeCell ref="S4:T4"/>
    <mergeCell ref="U4:V4"/>
    <mergeCell ref="W4:X4"/>
    <mergeCell ref="Z4:AA4"/>
    <mergeCell ref="Z5:AA5"/>
    <mergeCell ref="A6:B6"/>
    <mergeCell ref="M6:N6"/>
    <mergeCell ref="P6:R6"/>
    <mergeCell ref="S6:T6"/>
  </mergeCells>
  <hyperlinks>
    <hyperlink ref="M57" r:id="rId1" display="http://www.2hoffshore.com/"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Y54"/>
  <sheetViews>
    <sheetView topLeftCell="E4" zoomScale="175" zoomScaleNormal="175" workbookViewId="0">
      <selection activeCell="Q4" sqref="Q4:S4"/>
    </sheetView>
  </sheetViews>
  <sheetFormatPr defaultColWidth="9.109375" defaultRowHeight="14.4"/>
  <cols>
    <col min="1" max="1" width="7.6640625" style="14" customWidth="1"/>
    <col min="2" max="2" width="12" style="14" customWidth="1"/>
    <col min="3" max="3" width="26.21875" style="14" customWidth="1"/>
    <col min="4" max="4" width="24.33203125" style="14" customWidth="1"/>
    <col min="5" max="5" width="14.109375" style="14" customWidth="1"/>
    <col min="6" max="6" width="2.21875" style="14" customWidth="1"/>
    <col min="7" max="7" width="3.6640625" style="14" customWidth="1"/>
    <col min="8" max="8" width="4" style="14" customWidth="1"/>
    <col min="9" max="9" width="11" style="14" customWidth="1"/>
    <col min="10" max="10" width="9.88671875" style="14" customWidth="1"/>
    <col min="11" max="11" width="4.33203125" style="14" customWidth="1"/>
    <col min="12" max="12" width="8" style="14" customWidth="1"/>
    <col min="13" max="13" width="10.21875" style="14" customWidth="1"/>
    <col min="14" max="15" width="4.33203125" style="14" customWidth="1"/>
    <col min="16" max="16" width="2.109375" style="14" customWidth="1"/>
    <col min="17" max="17" width="3" style="14" customWidth="1"/>
    <col min="18" max="18" width="8.77734375" style="14" customWidth="1"/>
    <col min="19" max="19" width="1.109375" style="14" customWidth="1"/>
    <col min="20" max="20" width="5.21875" style="14" customWidth="1"/>
    <col min="21" max="21" width="8.77734375" style="14" customWidth="1"/>
    <col min="22" max="22" width="6.33203125" style="14" customWidth="1"/>
    <col min="23" max="23" width="4.6640625" style="14" customWidth="1"/>
    <col min="24" max="24" width="2.109375" style="14" customWidth="1"/>
    <col min="25" max="25" width="6.77734375" style="14" customWidth="1"/>
    <col min="26" max="16384" width="9.109375" style="14"/>
  </cols>
  <sheetData>
    <row r="1" spans="1:25" ht="11.25" customHeight="1">
      <c r="A1" s="675" t="s">
        <v>1763</v>
      </c>
      <c r="B1" s="676"/>
      <c r="C1" s="676"/>
      <c r="D1" s="676"/>
      <c r="E1" s="677"/>
      <c r="F1" s="684" t="s">
        <v>1650</v>
      </c>
      <c r="G1" s="687" t="s">
        <v>1764</v>
      </c>
      <c r="H1" s="688"/>
      <c r="I1" s="691"/>
      <c r="J1" s="692"/>
      <c r="K1" s="692"/>
      <c r="L1" s="692"/>
      <c r="M1" s="692"/>
      <c r="N1" s="692"/>
      <c r="O1" s="692"/>
      <c r="P1" s="692"/>
      <c r="Q1" s="692"/>
      <c r="R1" s="692"/>
      <c r="S1" s="692"/>
      <c r="T1" s="692"/>
      <c r="U1" s="692"/>
      <c r="V1" s="692"/>
      <c r="W1" s="692"/>
      <c r="X1" s="692"/>
      <c r="Y1" s="693"/>
    </row>
    <row r="2" spans="1:25" ht="11.1" customHeight="1">
      <c r="A2" s="678"/>
      <c r="B2" s="679"/>
      <c r="C2" s="679"/>
      <c r="D2" s="679"/>
      <c r="E2" s="680"/>
      <c r="F2" s="685"/>
      <c r="G2" s="689"/>
      <c r="H2" s="690"/>
      <c r="I2" s="691"/>
      <c r="J2" s="692"/>
      <c r="K2" s="692"/>
      <c r="L2" s="692"/>
      <c r="M2" s="693"/>
      <c r="N2" s="694" t="s">
        <v>1765</v>
      </c>
      <c r="O2" s="695"/>
      <c r="P2" s="696"/>
      <c r="Q2" s="697" t="s">
        <v>1766</v>
      </c>
      <c r="R2" s="698"/>
      <c r="S2" s="698"/>
      <c r="T2" s="698"/>
      <c r="U2" s="698"/>
      <c r="V2" s="698"/>
      <c r="W2" s="698"/>
      <c r="X2" s="698"/>
      <c r="Y2" s="699"/>
    </row>
    <row r="3" spans="1:25" ht="94.35" customHeight="1">
      <c r="A3" s="678"/>
      <c r="B3" s="679"/>
      <c r="C3" s="679"/>
      <c r="D3" s="679"/>
      <c r="E3" s="680"/>
      <c r="F3" s="685"/>
      <c r="G3" s="17" t="s">
        <v>1654</v>
      </c>
      <c r="H3" s="17" t="s">
        <v>1655</v>
      </c>
      <c r="I3" s="17" t="s">
        <v>1656</v>
      </c>
      <c r="J3" s="17" t="s">
        <v>1657</v>
      </c>
      <c r="K3" s="576" t="s">
        <v>1660</v>
      </c>
      <c r="L3" s="577"/>
      <c r="M3" s="17" t="s">
        <v>1661</v>
      </c>
      <c r="N3" s="576" t="s">
        <v>1662</v>
      </c>
      <c r="O3" s="578"/>
      <c r="P3" s="577"/>
      <c r="Q3" s="576" t="s">
        <v>1767</v>
      </c>
      <c r="R3" s="578"/>
      <c r="S3" s="577"/>
      <c r="T3" s="700" t="s">
        <v>1768</v>
      </c>
      <c r="U3" s="701"/>
      <c r="V3" s="700" t="s">
        <v>1769</v>
      </c>
      <c r="W3" s="701"/>
      <c r="X3" s="700" t="s">
        <v>1770</v>
      </c>
      <c r="Y3" s="701"/>
    </row>
    <row r="4" spans="1:25" ht="44.1" customHeight="1">
      <c r="A4" s="681"/>
      <c r="B4" s="682"/>
      <c r="C4" s="682"/>
      <c r="D4" s="682"/>
      <c r="E4" s="683"/>
      <c r="F4" s="685"/>
      <c r="G4" s="5"/>
      <c r="H4" s="5"/>
      <c r="I4" s="223" t="s">
        <v>1668</v>
      </c>
      <c r="J4" s="223" t="s">
        <v>1669</v>
      </c>
      <c r="K4" s="579" t="s">
        <v>1670</v>
      </c>
      <c r="L4" s="580"/>
      <c r="M4" s="223" t="s">
        <v>1671</v>
      </c>
      <c r="N4" s="576" t="s">
        <v>1672</v>
      </c>
      <c r="O4" s="578"/>
      <c r="P4" s="577"/>
      <c r="Q4" s="576" t="s">
        <v>1673</v>
      </c>
      <c r="R4" s="578"/>
      <c r="S4" s="577"/>
      <c r="T4" s="700" t="s">
        <v>1771</v>
      </c>
      <c r="U4" s="701"/>
      <c r="V4" s="702" t="s">
        <v>1772</v>
      </c>
      <c r="W4" s="703"/>
      <c r="X4" s="702" t="s">
        <v>1773</v>
      </c>
      <c r="Y4" s="703"/>
    </row>
    <row r="5" spans="1:25" ht="11.1" customHeight="1">
      <c r="A5" s="704" t="s">
        <v>1774</v>
      </c>
      <c r="B5" s="709"/>
      <c r="C5" s="709"/>
      <c r="D5" s="709"/>
      <c r="E5" s="705"/>
      <c r="F5" s="685"/>
      <c r="G5" s="105"/>
      <c r="H5" s="105"/>
      <c r="I5" s="105"/>
      <c r="J5" s="105"/>
      <c r="K5" s="691"/>
      <c r="L5" s="693"/>
      <c r="M5" s="105"/>
      <c r="N5" s="691"/>
      <c r="O5" s="692"/>
      <c r="P5" s="693"/>
      <c r="Q5" s="691"/>
      <c r="R5" s="692"/>
      <c r="S5" s="693"/>
      <c r="T5" s="691"/>
      <c r="U5" s="693"/>
      <c r="V5" s="691"/>
      <c r="W5" s="693"/>
      <c r="X5" s="691"/>
      <c r="Y5" s="693"/>
    </row>
    <row r="6" spans="1:25" ht="16.5" customHeight="1">
      <c r="A6" s="704" t="s">
        <v>1775</v>
      </c>
      <c r="B6" s="705"/>
      <c r="C6" s="106" t="s">
        <v>1776</v>
      </c>
      <c r="D6" s="107" t="s">
        <v>1246</v>
      </c>
      <c r="E6" s="107" t="s">
        <v>1777</v>
      </c>
      <c r="F6" s="686"/>
      <c r="G6" s="3"/>
      <c r="H6" s="3"/>
      <c r="I6" s="3"/>
      <c r="J6" s="3"/>
      <c r="K6" s="706"/>
      <c r="L6" s="707"/>
      <c r="M6" s="3"/>
      <c r="N6" s="706"/>
      <c r="O6" s="708"/>
      <c r="P6" s="707"/>
      <c r="Q6" s="706"/>
      <c r="R6" s="708"/>
      <c r="S6" s="707"/>
      <c r="T6" s="706"/>
      <c r="U6" s="707"/>
      <c r="V6" s="706"/>
      <c r="W6" s="707"/>
      <c r="X6" s="706"/>
      <c r="Y6" s="707"/>
    </row>
    <row r="7" spans="1:25" ht="11.1" customHeight="1">
      <c r="A7" s="710" t="s">
        <v>1778</v>
      </c>
      <c r="B7" s="713" t="s">
        <v>1779</v>
      </c>
      <c r="C7" s="220" t="s">
        <v>1780</v>
      </c>
      <c r="D7" s="109" t="s">
        <v>1781</v>
      </c>
      <c r="E7" s="110">
        <v>1004</v>
      </c>
      <c r="F7" s="105"/>
      <c r="G7" s="107" t="s">
        <v>1782</v>
      </c>
      <c r="H7" s="107" t="s">
        <v>1782</v>
      </c>
      <c r="I7" s="105"/>
      <c r="J7" s="105"/>
      <c r="K7" s="691"/>
      <c r="L7" s="693"/>
      <c r="M7" s="105"/>
      <c r="N7" s="691"/>
      <c r="O7" s="692"/>
      <c r="P7" s="693"/>
      <c r="Q7" s="691"/>
      <c r="R7" s="692"/>
      <c r="S7" s="693"/>
      <c r="T7" s="691"/>
      <c r="U7" s="693"/>
      <c r="V7" s="691"/>
      <c r="W7" s="693"/>
      <c r="X7" s="691"/>
      <c r="Y7" s="693"/>
    </row>
    <row r="8" spans="1:25" ht="11.1" customHeight="1">
      <c r="A8" s="711"/>
      <c r="B8" s="714"/>
      <c r="C8" s="105"/>
      <c r="D8" s="109" t="s">
        <v>1783</v>
      </c>
      <c r="E8" s="110">
        <v>2004</v>
      </c>
      <c r="F8" s="105"/>
      <c r="G8" s="107" t="s">
        <v>1782</v>
      </c>
      <c r="H8" s="107" t="s">
        <v>1782</v>
      </c>
      <c r="I8" s="105"/>
      <c r="J8" s="107" t="s">
        <v>1782</v>
      </c>
      <c r="K8" s="704" t="s">
        <v>1782</v>
      </c>
      <c r="L8" s="705"/>
      <c r="M8" s="105"/>
      <c r="N8" s="691"/>
      <c r="O8" s="692"/>
      <c r="P8" s="693"/>
      <c r="Q8" s="691"/>
      <c r="R8" s="692"/>
      <c r="S8" s="693"/>
      <c r="T8" s="691"/>
      <c r="U8" s="693"/>
      <c r="V8" s="691"/>
      <c r="W8" s="693"/>
      <c r="X8" s="691"/>
      <c r="Y8" s="693"/>
    </row>
    <row r="9" spans="1:25" ht="11.1" customHeight="1">
      <c r="A9" s="711"/>
      <c r="B9" s="714"/>
      <c r="C9" s="105"/>
      <c r="D9" s="109" t="s">
        <v>1784</v>
      </c>
      <c r="E9" s="110">
        <v>1004</v>
      </c>
      <c r="F9" s="105"/>
      <c r="G9" s="107" t="s">
        <v>1782</v>
      </c>
      <c r="H9" s="107" t="s">
        <v>1782</v>
      </c>
      <c r="I9" s="105"/>
      <c r="J9" s="107" t="s">
        <v>1782</v>
      </c>
      <c r="K9" s="691"/>
      <c r="L9" s="693"/>
      <c r="M9" s="105"/>
      <c r="N9" s="691"/>
      <c r="O9" s="692"/>
      <c r="P9" s="693"/>
      <c r="Q9" s="691"/>
      <c r="R9" s="692"/>
      <c r="S9" s="693"/>
      <c r="T9" s="691"/>
      <c r="U9" s="693"/>
      <c r="V9" s="691"/>
      <c r="W9" s="693"/>
      <c r="X9" s="691"/>
      <c r="Y9" s="693"/>
    </row>
    <row r="10" spans="1:25" ht="11.1" customHeight="1">
      <c r="A10" s="711"/>
      <c r="B10" s="714"/>
      <c r="C10" s="105"/>
      <c r="D10" s="109" t="s">
        <v>1785</v>
      </c>
      <c r="E10" s="110">
        <v>2004</v>
      </c>
      <c r="F10" s="105"/>
      <c r="G10" s="107" t="s">
        <v>1782</v>
      </c>
      <c r="H10" s="107" t="s">
        <v>1782</v>
      </c>
      <c r="I10" s="105"/>
      <c r="J10" s="107" t="s">
        <v>1782</v>
      </c>
      <c r="K10" s="704" t="s">
        <v>1782</v>
      </c>
      <c r="L10" s="705"/>
      <c r="M10" s="105"/>
      <c r="N10" s="691"/>
      <c r="O10" s="692"/>
      <c r="P10" s="693"/>
      <c r="Q10" s="691"/>
      <c r="R10" s="692"/>
      <c r="S10" s="693"/>
      <c r="T10" s="704" t="s">
        <v>1782</v>
      </c>
      <c r="U10" s="705"/>
      <c r="V10" s="691"/>
      <c r="W10" s="693"/>
      <c r="X10" s="691"/>
      <c r="Y10" s="693"/>
    </row>
    <row r="11" spans="1:25" ht="10.65" customHeight="1">
      <c r="A11" s="711"/>
      <c r="B11" s="714"/>
      <c r="C11" s="105"/>
      <c r="D11" s="105"/>
      <c r="E11" s="109" t="s">
        <v>1786</v>
      </c>
      <c r="F11" s="105"/>
      <c r="G11" s="107" t="s">
        <v>1782</v>
      </c>
      <c r="H11" s="107" t="s">
        <v>1782</v>
      </c>
      <c r="I11" s="105"/>
      <c r="J11" s="105"/>
      <c r="K11" s="691"/>
      <c r="L11" s="693"/>
      <c r="M11" s="105"/>
      <c r="N11" s="691"/>
      <c r="O11" s="692"/>
      <c r="P11" s="693"/>
      <c r="Q11" s="691"/>
      <c r="R11" s="692"/>
      <c r="S11" s="693"/>
      <c r="T11" s="691"/>
      <c r="U11" s="693"/>
      <c r="V11" s="691"/>
      <c r="W11" s="693"/>
      <c r="X11" s="691"/>
      <c r="Y11" s="693"/>
    </row>
    <row r="12" spans="1:25" ht="11.1" customHeight="1">
      <c r="A12" s="711"/>
      <c r="B12" s="714"/>
      <c r="C12" s="221" t="s">
        <v>1787</v>
      </c>
      <c r="D12" s="109" t="s">
        <v>1788</v>
      </c>
      <c r="E12" s="110">
        <v>1002</v>
      </c>
      <c r="F12" s="105"/>
      <c r="G12" s="107" t="s">
        <v>1782</v>
      </c>
      <c r="H12" s="107" t="s">
        <v>1782</v>
      </c>
      <c r="I12" s="107" t="s">
        <v>1782</v>
      </c>
      <c r="J12" s="105"/>
      <c r="K12" s="691"/>
      <c r="L12" s="693"/>
      <c r="M12" s="105"/>
      <c r="N12" s="691"/>
      <c r="O12" s="692"/>
      <c r="P12" s="693"/>
      <c r="Q12" s="691"/>
      <c r="R12" s="692"/>
      <c r="S12" s="693"/>
      <c r="T12" s="691"/>
      <c r="U12" s="693"/>
      <c r="V12" s="691"/>
      <c r="W12" s="693"/>
      <c r="X12" s="691"/>
      <c r="Y12" s="693"/>
    </row>
    <row r="13" spans="1:25" ht="11.1" customHeight="1">
      <c r="A13" s="711"/>
      <c r="B13" s="714"/>
      <c r="C13" s="105"/>
      <c r="D13" s="105"/>
      <c r="E13" s="110">
        <v>2002</v>
      </c>
      <c r="F13" s="105"/>
      <c r="G13" s="107" t="s">
        <v>1782</v>
      </c>
      <c r="H13" s="107" t="s">
        <v>1782</v>
      </c>
      <c r="I13" s="107" t="s">
        <v>1782</v>
      </c>
      <c r="J13" s="105"/>
      <c r="K13" s="704" t="s">
        <v>1782</v>
      </c>
      <c r="L13" s="705"/>
      <c r="M13" s="105"/>
      <c r="N13" s="691"/>
      <c r="O13" s="692"/>
      <c r="P13" s="693"/>
      <c r="Q13" s="704" t="s">
        <v>1782</v>
      </c>
      <c r="R13" s="709"/>
      <c r="S13" s="705"/>
      <c r="T13" s="691"/>
      <c r="U13" s="693"/>
      <c r="V13" s="691"/>
      <c r="W13" s="693"/>
      <c r="X13" s="691"/>
      <c r="Y13" s="693"/>
    </row>
    <row r="14" spans="1:25" ht="10.65" customHeight="1">
      <c r="A14" s="711"/>
      <c r="B14" s="714"/>
      <c r="C14" s="105"/>
      <c r="D14" s="105"/>
      <c r="E14" s="109" t="s">
        <v>1786</v>
      </c>
      <c r="F14" s="105"/>
      <c r="G14" s="107" t="s">
        <v>1782</v>
      </c>
      <c r="H14" s="107" t="s">
        <v>1782</v>
      </c>
      <c r="I14" s="105"/>
      <c r="J14" s="105"/>
      <c r="K14" s="691"/>
      <c r="L14" s="693"/>
      <c r="M14" s="105"/>
      <c r="N14" s="691"/>
      <c r="O14" s="692"/>
      <c r="P14" s="693"/>
      <c r="Q14" s="691"/>
      <c r="R14" s="692"/>
      <c r="S14" s="693"/>
      <c r="T14" s="691"/>
      <c r="U14" s="693"/>
      <c r="V14" s="691"/>
      <c r="W14" s="693"/>
      <c r="X14" s="691"/>
      <c r="Y14" s="693"/>
    </row>
    <row r="15" spans="1:25" ht="11.1" customHeight="1">
      <c r="A15" s="711"/>
      <c r="B15" s="714"/>
      <c r="C15" s="218" t="s">
        <v>1789</v>
      </c>
      <c r="D15" s="111" t="s">
        <v>1790</v>
      </c>
      <c r="E15" s="110">
        <v>1002</v>
      </c>
      <c r="F15" s="105"/>
      <c r="G15" s="107" t="s">
        <v>1782</v>
      </c>
      <c r="H15" s="107" t="s">
        <v>1782</v>
      </c>
      <c r="I15" s="107" t="s">
        <v>1782</v>
      </c>
      <c r="J15" s="105"/>
      <c r="K15" s="691"/>
      <c r="L15" s="693"/>
      <c r="M15" s="105"/>
      <c r="N15" s="691"/>
      <c r="O15" s="692"/>
      <c r="P15" s="693"/>
      <c r="Q15" s="691"/>
      <c r="R15" s="692"/>
      <c r="S15" s="693"/>
      <c r="T15" s="691"/>
      <c r="U15" s="693"/>
      <c r="V15" s="691"/>
      <c r="W15" s="693"/>
      <c r="X15" s="691"/>
      <c r="Y15" s="693"/>
    </row>
    <row r="16" spans="1:25" ht="11.1" customHeight="1">
      <c r="A16" s="711"/>
      <c r="B16" s="714"/>
      <c r="C16" s="105"/>
      <c r="D16" s="112" t="s">
        <v>1791</v>
      </c>
      <c r="E16" s="110">
        <v>2002</v>
      </c>
      <c r="F16" s="105"/>
      <c r="G16" s="107" t="s">
        <v>1782</v>
      </c>
      <c r="H16" s="107" t="s">
        <v>1782</v>
      </c>
      <c r="I16" s="107" t="s">
        <v>1782</v>
      </c>
      <c r="J16" s="105"/>
      <c r="K16" s="704" t="s">
        <v>1782</v>
      </c>
      <c r="L16" s="705"/>
      <c r="M16" s="105"/>
      <c r="N16" s="691"/>
      <c r="O16" s="692"/>
      <c r="P16" s="693"/>
      <c r="Q16" s="704" t="s">
        <v>1782</v>
      </c>
      <c r="R16" s="709"/>
      <c r="S16" s="705"/>
      <c r="T16" s="691"/>
      <c r="U16" s="693"/>
      <c r="V16" s="691"/>
      <c r="W16" s="693"/>
      <c r="X16" s="691"/>
      <c r="Y16" s="693"/>
    </row>
    <row r="17" spans="1:25" ht="10.65" customHeight="1">
      <c r="A17" s="711"/>
      <c r="B17" s="714"/>
      <c r="C17" s="105"/>
      <c r="D17" s="105"/>
      <c r="E17" s="105"/>
      <c r="F17" s="105"/>
      <c r="G17" s="105"/>
      <c r="H17" s="105"/>
      <c r="I17" s="105"/>
      <c r="J17" s="105"/>
      <c r="K17" s="691"/>
      <c r="L17" s="693"/>
      <c r="M17" s="105"/>
      <c r="N17" s="691"/>
      <c r="O17" s="692"/>
      <c r="P17" s="693"/>
      <c r="Q17" s="691"/>
      <c r="R17" s="692"/>
      <c r="S17" s="693"/>
      <c r="T17" s="691"/>
      <c r="U17" s="693"/>
      <c r="V17" s="691"/>
      <c r="W17" s="693"/>
      <c r="X17" s="691"/>
      <c r="Y17" s="693"/>
    </row>
    <row r="18" spans="1:25" ht="11.1" customHeight="1">
      <c r="A18" s="711"/>
      <c r="B18" s="714"/>
      <c r="C18" s="218" t="s">
        <v>1792</v>
      </c>
      <c r="D18" s="109" t="s">
        <v>1793</v>
      </c>
      <c r="E18" s="110">
        <v>1002</v>
      </c>
      <c r="F18" s="105"/>
      <c r="G18" s="107" t="s">
        <v>1782</v>
      </c>
      <c r="H18" s="107" t="s">
        <v>1782</v>
      </c>
      <c r="I18" s="107" t="s">
        <v>1782</v>
      </c>
      <c r="J18" s="105"/>
      <c r="K18" s="691"/>
      <c r="L18" s="693"/>
      <c r="M18" s="105"/>
      <c r="N18" s="691"/>
      <c r="O18" s="692"/>
      <c r="P18" s="693"/>
      <c r="Q18" s="691"/>
      <c r="R18" s="692"/>
      <c r="S18" s="693"/>
      <c r="T18" s="691"/>
      <c r="U18" s="693"/>
      <c r="V18" s="691"/>
      <c r="W18" s="693"/>
      <c r="X18" s="691"/>
      <c r="Y18" s="693"/>
    </row>
    <row r="19" spans="1:25" ht="10.65" customHeight="1">
      <c r="A19" s="712"/>
      <c r="B19" s="715"/>
      <c r="C19" s="105"/>
      <c r="D19" s="105"/>
      <c r="E19" s="105"/>
      <c r="F19" s="105"/>
      <c r="G19" s="105"/>
      <c r="H19" s="105"/>
      <c r="I19" s="105"/>
      <c r="J19" s="105"/>
      <c r="K19" s="691"/>
      <c r="L19" s="693"/>
      <c r="M19" s="105"/>
      <c r="N19" s="691"/>
      <c r="O19" s="692"/>
      <c r="P19" s="693"/>
      <c r="Q19" s="691"/>
      <c r="R19" s="692"/>
      <c r="S19" s="693"/>
      <c r="T19" s="691"/>
      <c r="U19" s="693"/>
      <c r="V19" s="691"/>
      <c r="W19" s="693"/>
      <c r="X19" s="691"/>
      <c r="Y19" s="693"/>
    </row>
    <row r="20" spans="1:25" ht="11.1" customHeight="1">
      <c r="A20" s="710" t="s">
        <v>1794</v>
      </c>
      <c r="B20" s="716"/>
      <c r="C20" s="221" t="s">
        <v>1795</v>
      </c>
      <c r="D20" s="109" t="s">
        <v>1793</v>
      </c>
      <c r="E20" s="110">
        <v>1001</v>
      </c>
      <c r="F20" s="105"/>
      <c r="G20" s="107" t="s">
        <v>1782</v>
      </c>
      <c r="H20" s="107" t="s">
        <v>1782</v>
      </c>
      <c r="I20" s="107" t="s">
        <v>1782</v>
      </c>
      <c r="J20" s="105"/>
      <c r="K20" s="691"/>
      <c r="L20" s="693"/>
      <c r="M20" s="105"/>
      <c r="N20" s="691"/>
      <c r="O20" s="692"/>
      <c r="P20" s="693"/>
      <c r="Q20" s="691"/>
      <c r="R20" s="692"/>
      <c r="S20" s="693"/>
      <c r="T20" s="691"/>
      <c r="U20" s="693"/>
      <c r="V20" s="691"/>
      <c r="W20" s="693"/>
      <c r="X20" s="691"/>
      <c r="Y20" s="693"/>
    </row>
    <row r="21" spans="1:25" ht="10.65" customHeight="1">
      <c r="A21" s="711"/>
      <c r="B21" s="717"/>
      <c r="C21" s="105"/>
      <c r="D21" s="105"/>
      <c r="E21" s="105"/>
      <c r="F21" s="105"/>
      <c r="G21" s="105"/>
      <c r="H21" s="105"/>
      <c r="I21" s="105"/>
      <c r="J21" s="105"/>
      <c r="K21" s="691"/>
      <c r="L21" s="693"/>
      <c r="M21" s="105"/>
      <c r="N21" s="691"/>
      <c r="O21" s="692"/>
      <c r="P21" s="693"/>
      <c r="Q21" s="691"/>
      <c r="R21" s="692"/>
      <c r="S21" s="693"/>
      <c r="T21" s="691"/>
      <c r="U21" s="693"/>
      <c r="V21" s="691"/>
      <c r="W21" s="693"/>
      <c r="X21" s="691"/>
      <c r="Y21" s="693"/>
    </row>
    <row r="22" spans="1:25" ht="11.1" customHeight="1">
      <c r="A22" s="711"/>
      <c r="B22" s="718" t="s">
        <v>1796</v>
      </c>
      <c r="C22" s="222" t="s">
        <v>1797</v>
      </c>
      <c r="D22" s="109" t="s">
        <v>1781</v>
      </c>
      <c r="E22" s="110">
        <v>1005</v>
      </c>
      <c r="F22" s="105"/>
      <c r="G22" s="107" t="s">
        <v>1782</v>
      </c>
      <c r="H22" s="107" t="s">
        <v>1782</v>
      </c>
      <c r="I22" s="105"/>
      <c r="J22" s="105"/>
      <c r="K22" s="691"/>
      <c r="L22" s="693"/>
      <c r="M22" s="105"/>
      <c r="N22" s="691"/>
      <c r="O22" s="692"/>
      <c r="P22" s="693"/>
      <c r="Q22" s="691"/>
      <c r="R22" s="692"/>
      <c r="S22" s="693"/>
      <c r="T22" s="691"/>
      <c r="U22" s="693"/>
      <c r="V22" s="691"/>
      <c r="W22" s="693"/>
      <c r="X22" s="691"/>
      <c r="Y22" s="693"/>
    </row>
    <row r="23" spans="1:25" ht="11.1" customHeight="1">
      <c r="A23" s="711"/>
      <c r="B23" s="719"/>
      <c r="C23" s="105"/>
      <c r="D23" s="109" t="s">
        <v>1783</v>
      </c>
      <c r="E23" s="110">
        <v>2005</v>
      </c>
      <c r="F23" s="105"/>
      <c r="G23" s="107" t="s">
        <v>1782</v>
      </c>
      <c r="H23" s="107" t="s">
        <v>1782</v>
      </c>
      <c r="I23" s="105"/>
      <c r="J23" s="107" t="s">
        <v>1782</v>
      </c>
      <c r="K23" s="704" t="s">
        <v>1782</v>
      </c>
      <c r="L23" s="705"/>
      <c r="M23" s="105"/>
      <c r="N23" s="691"/>
      <c r="O23" s="692"/>
      <c r="P23" s="693"/>
      <c r="Q23" s="691"/>
      <c r="R23" s="692"/>
      <c r="S23" s="693"/>
      <c r="T23" s="691"/>
      <c r="U23" s="693"/>
      <c r="V23" s="691"/>
      <c r="W23" s="693"/>
      <c r="X23" s="691"/>
      <c r="Y23" s="693"/>
    </row>
    <row r="24" spans="1:25" ht="11.1" customHeight="1">
      <c r="A24" s="711"/>
      <c r="B24" s="719"/>
      <c r="C24" s="105"/>
      <c r="D24" s="109" t="s">
        <v>1784</v>
      </c>
      <c r="E24" s="110">
        <v>1005</v>
      </c>
      <c r="F24" s="105"/>
      <c r="G24" s="107" t="s">
        <v>1782</v>
      </c>
      <c r="H24" s="107" t="s">
        <v>1782</v>
      </c>
      <c r="I24" s="105"/>
      <c r="J24" s="107" t="s">
        <v>1782</v>
      </c>
      <c r="K24" s="691"/>
      <c r="L24" s="693"/>
      <c r="M24" s="105"/>
      <c r="N24" s="691"/>
      <c r="O24" s="692"/>
      <c r="P24" s="693"/>
      <c r="Q24" s="691"/>
      <c r="R24" s="692"/>
      <c r="S24" s="693"/>
      <c r="T24" s="691"/>
      <c r="U24" s="693"/>
      <c r="V24" s="691"/>
      <c r="W24" s="693"/>
      <c r="X24" s="691"/>
      <c r="Y24" s="693"/>
    </row>
    <row r="25" spans="1:25" ht="11.1" customHeight="1">
      <c r="A25" s="711"/>
      <c r="B25" s="719"/>
      <c r="C25" s="105"/>
      <c r="D25" s="109" t="s">
        <v>1785</v>
      </c>
      <c r="E25" s="110">
        <v>2005</v>
      </c>
      <c r="F25" s="105"/>
      <c r="G25" s="107" t="s">
        <v>1782</v>
      </c>
      <c r="H25" s="107" t="s">
        <v>1782</v>
      </c>
      <c r="I25" s="105"/>
      <c r="J25" s="107" t="s">
        <v>1782</v>
      </c>
      <c r="K25" s="704" t="s">
        <v>1782</v>
      </c>
      <c r="L25" s="705"/>
      <c r="M25" s="105"/>
      <c r="N25" s="691"/>
      <c r="O25" s="692"/>
      <c r="P25" s="693"/>
      <c r="Q25" s="691"/>
      <c r="R25" s="692"/>
      <c r="S25" s="693"/>
      <c r="T25" s="704" t="s">
        <v>1782</v>
      </c>
      <c r="U25" s="705"/>
      <c r="V25" s="691"/>
      <c r="W25" s="693"/>
      <c r="X25" s="691"/>
      <c r="Y25" s="693"/>
    </row>
    <row r="26" spans="1:25" ht="10.65" customHeight="1">
      <c r="A26" s="711"/>
      <c r="B26" s="719"/>
      <c r="C26" s="105"/>
      <c r="D26" s="105"/>
      <c r="E26" s="109" t="s">
        <v>1786</v>
      </c>
      <c r="F26" s="105"/>
      <c r="G26" s="107" t="s">
        <v>1782</v>
      </c>
      <c r="H26" s="107" t="s">
        <v>1782</v>
      </c>
      <c r="I26" s="105"/>
      <c r="J26" s="105"/>
      <c r="K26" s="691"/>
      <c r="L26" s="693"/>
      <c r="M26" s="105"/>
      <c r="N26" s="691"/>
      <c r="O26" s="692"/>
      <c r="P26" s="693"/>
      <c r="Q26" s="691"/>
      <c r="R26" s="692"/>
      <c r="S26" s="693"/>
      <c r="T26" s="691"/>
      <c r="U26" s="693"/>
      <c r="V26" s="691"/>
      <c r="W26" s="693"/>
      <c r="X26" s="691"/>
      <c r="Y26" s="693"/>
    </row>
    <row r="27" spans="1:25" ht="11.1" customHeight="1">
      <c r="A27" s="711"/>
      <c r="B27" s="719"/>
      <c r="C27" s="108" t="s">
        <v>1798</v>
      </c>
      <c r="D27" s="109" t="s">
        <v>1788</v>
      </c>
      <c r="E27" s="110">
        <v>1004</v>
      </c>
      <c r="F27" s="716"/>
      <c r="G27" s="107" t="s">
        <v>1782</v>
      </c>
      <c r="H27" s="107" t="s">
        <v>1782</v>
      </c>
      <c r="I27" s="107" t="s">
        <v>1782</v>
      </c>
      <c r="J27" s="105"/>
      <c r="K27" s="691"/>
      <c r="L27" s="693"/>
      <c r="M27" s="105"/>
      <c r="N27" s="691"/>
      <c r="O27" s="692"/>
      <c r="P27" s="693"/>
      <c r="Q27" s="691"/>
      <c r="R27" s="692"/>
      <c r="S27" s="693"/>
      <c r="T27" s="691"/>
      <c r="U27" s="693"/>
      <c r="V27" s="691"/>
      <c r="W27" s="693"/>
      <c r="X27" s="691"/>
      <c r="Y27" s="693"/>
    </row>
    <row r="28" spans="1:25" ht="11.1" customHeight="1">
      <c r="A28" s="711"/>
      <c r="B28" s="719"/>
      <c r="C28" s="105"/>
      <c r="D28" s="105"/>
      <c r="E28" s="110">
        <v>2004</v>
      </c>
      <c r="F28" s="717"/>
      <c r="G28" s="107" t="s">
        <v>1782</v>
      </c>
      <c r="H28" s="107" t="s">
        <v>1782</v>
      </c>
      <c r="I28" s="107" t="s">
        <v>1782</v>
      </c>
      <c r="J28" s="105"/>
      <c r="K28" s="704" t="s">
        <v>1782</v>
      </c>
      <c r="L28" s="705"/>
      <c r="M28" s="105"/>
      <c r="N28" s="691"/>
      <c r="O28" s="692"/>
      <c r="P28" s="693"/>
      <c r="Q28" s="704" t="s">
        <v>1782</v>
      </c>
      <c r="R28" s="709"/>
      <c r="S28" s="705"/>
      <c r="T28" s="691"/>
      <c r="U28" s="693"/>
      <c r="V28" s="691"/>
      <c r="W28" s="693"/>
      <c r="X28" s="691"/>
      <c r="Y28" s="693"/>
    </row>
    <row r="29" spans="1:25" ht="10.65" customHeight="1">
      <c r="A29" s="712"/>
      <c r="B29" s="720"/>
      <c r="C29" s="105"/>
      <c r="D29" s="105"/>
      <c r="E29" s="109" t="s">
        <v>1786</v>
      </c>
      <c r="F29" s="105"/>
      <c r="G29" s="107" t="s">
        <v>1782</v>
      </c>
      <c r="H29" s="107" t="s">
        <v>1782</v>
      </c>
      <c r="I29" s="105"/>
      <c r="J29" s="105"/>
      <c r="K29" s="691"/>
      <c r="L29" s="693"/>
      <c r="M29" s="105"/>
      <c r="N29" s="691"/>
      <c r="O29" s="692"/>
      <c r="P29" s="693"/>
      <c r="Q29" s="691"/>
      <c r="R29" s="692"/>
      <c r="S29" s="693"/>
      <c r="T29" s="691"/>
      <c r="U29" s="693"/>
      <c r="V29" s="691"/>
      <c r="W29" s="693"/>
      <c r="X29" s="691"/>
      <c r="Y29" s="693"/>
    </row>
    <row r="30" spans="1:25" ht="11.1" customHeight="1">
      <c r="A30" s="710" t="s">
        <v>1799</v>
      </c>
      <c r="B30" s="716"/>
      <c r="C30" s="721" t="s">
        <v>1800</v>
      </c>
      <c r="D30" s="109" t="s">
        <v>1793</v>
      </c>
      <c r="E30" s="110">
        <v>1001</v>
      </c>
      <c r="F30" s="105"/>
      <c r="G30" s="107" t="s">
        <v>1782</v>
      </c>
      <c r="H30" s="107" t="s">
        <v>1782</v>
      </c>
      <c r="I30" s="107" t="s">
        <v>1782</v>
      </c>
      <c r="J30" s="105"/>
      <c r="K30" s="691"/>
      <c r="L30" s="693"/>
      <c r="M30" s="105"/>
      <c r="N30" s="691"/>
      <c r="O30" s="692"/>
      <c r="P30" s="693"/>
      <c r="Q30" s="691"/>
      <c r="R30" s="692"/>
      <c r="S30" s="693"/>
      <c r="T30" s="691"/>
      <c r="U30" s="693"/>
      <c r="V30" s="691"/>
      <c r="W30" s="693"/>
      <c r="X30" s="691"/>
      <c r="Y30" s="693"/>
    </row>
    <row r="31" spans="1:25" ht="10.65" customHeight="1">
      <c r="A31" s="711"/>
      <c r="B31" s="717"/>
      <c r="C31" s="722"/>
      <c r="D31" s="105"/>
      <c r="E31" s="105"/>
      <c r="F31" s="105"/>
      <c r="G31" s="105"/>
      <c r="H31" s="105"/>
      <c r="I31" s="105"/>
      <c r="J31" s="105"/>
      <c r="K31" s="691"/>
      <c r="L31" s="693"/>
      <c r="M31" s="105"/>
      <c r="N31" s="691"/>
      <c r="O31" s="692"/>
      <c r="P31" s="693"/>
      <c r="Q31" s="691"/>
      <c r="R31" s="692"/>
      <c r="S31" s="693"/>
      <c r="T31" s="691"/>
      <c r="U31" s="693"/>
      <c r="V31" s="691"/>
      <c r="W31" s="693"/>
      <c r="X31" s="691"/>
      <c r="Y31" s="693"/>
    </row>
    <row r="32" spans="1:25" ht="14.85" customHeight="1">
      <c r="A32" s="711"/>
      <c r="B32" s="723" t="s">
        <v>1801</v>
      </c>
      <c r="C32" s="113" t="s">
        <v>1802</v>
      </c>
      <c r="D32" s="109" t="s">
        <v>1803</v>
      </c>
      <c r="E32" s="3"/>
      <c r="F32" s="3"/>
      <c r="G32" s="107" t="s">
        <v>1782</v>
      </c>
      <c r="H32" s="107" t="s">
        <v>1782</v>
      </c>
      <c r="I32" s="3"/>
      <c r="J32" s="3"/>
      <c r="K32" s="704" t="s">
        <v>1782</v>
      </c>
      <c r="L32" s="705"/>
      <c r="M32" s="3"/>
      <c r="N32" s="706"/>
      <c r="O32" s="708"/>
      <c r="P32" s="707"/>
      <c r="Q32" s="706"/>
      <c r="R32" s="708"/>
      <c r="S32" s="707"/>
      <c r="T32" s="706"/>
      <c r="U32" s="707"/>
      <c r="V32" s="706"/>
      <c r="W32" s="707"/>
      <c r="X32" s="706"/>
      <c r="Y32" s="707"/>
    </row>
    <row r="33" spans="1:25" ht="11.1" customHeight="1">
      <c r="A33" s="711"/>
      <c r="B33" s="724"/>
      <c r="C33" s="105"/>
      <c r="D33" s="105"/>
      <c r="E33" s="105"/>
      <c r="F33" s="105"/>
      <c r="G33" s="105"/>
      <c r="H33" s="105"/>
      <c r="I33" s="105"/>
      <c r="J33" s="105"/>
      <c r="K33" s="691"/>
      <c r="L33" s="693"/>
      <c r="M33" s="105"/>
      <c r="N33" s="691"/>
      <c r="O33" s="692"/>
      <c r="P33" s="693"/>
      <c r="Q33" s="691"/>
      <c r="R33" s="692"/>
      <c r="S33" s="693"/>
      <c r="T33" s="691"/>
      <c r="U33" s="693"/>
      <c r="V33" s="691"/>
      <c r="W33" s="693"/>
      <c r="X33" s="691"/>
      <c r="Y33" s="693"/>
    </row>
    <row r="34" spans="1:25" ht="11.1" customHeight="1">
      <c r="A34" s="711"/>
      <c r="B34" s="724"/>
      <c r="C34" s="221" t="s">
        <v>1804</v>
      </c>
      <c r="D34" s="109" t="s">
        <v>1781</v>
      </c>
      <c r="E34" s="110">
        <v>1002</v>
      </c>
      <c r="F34" s="105"/>
      <c r="G34" s="107" t="s">
        <v>1782</v>
      </c>
      <c r="H34" s="107" t="s">
        <v>1782</v>
      </c>
      <c r="I34" s="105"/>
      <c r="J34" s="105"/>
      <c r="K34" s="691"/>
      <c r="L34" s="693"/>
      <c r="M34" s="105"/>
      <c r="N34" s="691"/>
      <c r="O34" s="692"/>
      <c r="P34" s="693"/>
      <c r="Q34" s="691"/>
      <c r="R34" s="692"/>
      <c r="S34" s="693"/>
      <c r="T34" s="691"/>
      <c r="U34" s="693"/>
      <c r="V34" s="691"/>
      <c r="W34" s="693"/>
      <c r="X34" s="691"/>
      <c r="Y34" s="693"/>
    </row>
    <row r="35" spans="1:25" ht="11.1" customHeight="1">
      <c r="A35" s="711"/>
      <c r="B35" s="724"/>
      <c r="C35" s="105"/>
      <c r="D35" s="109" t="s">
        <v>1783</v>
      </c>
      <c r="E35" s="110">
        <v>2002</v>
      </c>
      <c r="F35" s="105"/>
      <c r="G35" s="107" t="s">
        <v>1782</v>
      </c>
      <c r="H35" s="107" t="s">
        <v>1782</v>
      </c>
      <c r="I35" s="105"/>
      <c r="J35" s="107" t="s">
        <v>1782</v>
      </c>
      <c r="K35" s="704" t="s">
        <v>1782</v>
      </c>
      <c r="L35" s="705"/>
      <c r="M35" s="105"/>
      <c r="N35" s="691"/>
      <c r="O35" s="692"/>
      <c r="P35" s="693"/>
      <c r="Q35" s="691"/>
      <c r="R35" s="692"/>
      <c r="S35" s="693"/>
      <c r="T35" s="691"/>
      <c r="U35" s="693"/>
      <c r="V35" s="691"/>
      <c r="W35" s="693"/>
      <c r="X35" s="691"/>
      <c r="Y35" s="693"/>
    </row>
    <row r="36" spans="1:25" ht="11.1" customHeight="1">
      <c r="A36" s="711"/>
      <c r="B36" s="724"/>
      <c r="C36" s="105"/>
      <c r="D36" s="109" t="s">
        <v>1784</v>
      </c>
      <c r="E36" s="110">
        <v>1002</v>
      </c>
      <c r="F36" s="105"/>
      <c r="G36" s="107" t="s">
        <v>1782</v>
      </c>
      <c r="H36" s="107" t="s">
        <v>1782</v>
      </c>
      <c r="I36" s="105"/>
      <c r="J36" s="107" t="s">
        <v>1782</v>
      </c>
      <c r="K36" s="691"/>
      <c r="L36" s="693"/>
      <c r="M36" s="105"/>
      <c r="N36" s="691"/>
      <c r="O36" s="692"/>
      <c r="P36" s="693"/>
      <c r="Q36" s="691"/>
      <c r="R36" s="692"/>
      <c r="S36" s="693"/>
      <c r="T36" s="691"/>
      <c r="U36" s="693"/>
      <c r="V36" s="691"/>
      <c r="W36" s="693"/>
      <c r="X36" s="691"/>
      <c r="Y36" s="693"/>
    </row>
    <row r="37" spans="1:25" ht="11.1" customHeight="1">
      <c r="A37" s="711"/>
      <c r="B37" s="724"/>
      <c r="C37" s="105"/>
      <c r="D37" s="109" t="s">
        <v>1785</v>
      </c>
      <c r="E37" s="110">
        <v>2002</v>
      </c>
      <c r="F37" s="105"/>
      <c r="G37" s="107" t="s">
        <v>1782</v>
      </c>
      <c r="H37" s="107" t="s">
        <v>1782</v>
      </c>
      <c r="I37" s="105"/>
      <c r="J37" s="107" t="s">
        <v>1782</v>
      </c>
      <c r="K37" s="704" t="s">
        <v>1782</v>
      </c>
      <c r="L37" s="705"/>
      <c r="M37" s="105"/>
      <c r="N37" s="691"/>
      <c r="O37" s="692"/>
      <c r="P37" s="693"/>
      <c r="Q37" s="691"/>
      <c r="R37" s="692"/>
      <c r="S37" s="693"/>
      <c r="T37" s="704" t="s">
        <v>1782</v>
      </c>
      <c r="U37" s="705"/>
      <c r="V37" s="691"/>
      <c r="W37" s="693"/>
      <c r="X37" s="691"/>
      <c r="Y37" s="693"/>
    </row>
    <row r="38" spans="1:25" ht="10.65" customHeight="1">
      <c r="A38" s="711"/>
      <c r="B38" s="724"/>
      <c r="C38" s="105"/>
      <c r="D38" s="105"/>
      <c r="E38" s="109" t="s">
        <v>1786</v>
      </c>
      <c r="F38" s="105"/>
      <c r="G38" s="107" t="s">
        <v>1782</v>
      </c>
      <c r="H38" s="107" t="s">
        <v>1782</v>
      </c>
      <c r="I38" s="105"/>
      <c r="J38" s="105"/>
      <c r="K38" s="691"/>
      <c r="L38" s="693"/>
      <c r="M38" s="105"/>
      <c r="N38" s="691"/>
      <c r="O38" s="692"/>
      <c r="P38" s="693"/>
      <c r="Q38" s="691"/>
      <c r="R38" s="692"/>
      <c r="S38" s="693"/>
      <c r="T38" s="691"/>
      <c r="U38" s="693"/>
      <c r="V38" s="691"/>
      <c r="W38" s="693"/>
      <c r="X38" s="691"/>
      <c r="Y38" s="693"/>
    </row>
    <row r="39" spans="1:25" ht="11.1" customHeight="1">
      <c r="A39" s="711"/>
      <c r="B39" s="724"/>
      <c r="C39" s="221" t="s">
        <v>1805</v>
      </c>
      <c r="D39" s="109" t="s">
        <v>1788</v>
      </c>
      <c r="E39" s="110">
        <v>1002</v>
      </c>
      <c r="F39" s="716"/>
      <c r="G39" s="107" t="s">
        <v>1782</v>
      </c>
      <c r="H39" s="107" t="s">
        <v>1782</v>
      </c>
      <c r="I39" s="107" t="s">
        <v>1782</v>
      </c>
      <c r="J39" s="105"/>
      <c r="K39" s="691"/>
      <c r="L39" s="693"/>
      <c r="M39" s="105"/>
      <c r="N39" s="691"/>
      <c r="O39" s="692"/>
      <c r="P39" s="693"/>
      <c r="Q39" s="691"/>
      <c r="R39" s="692"/>
      <c r="S39" s="693"/>
      <c r="T39" s="691"/>
      <c r="U39" s="693"/>
      <c r="V39" s="691"/>
      <c r="W39" s="693"/>
      <c r="X39" s="691"/>
      <c r="Y39" s="693"/>
    </row>
    <row r="40" spans="1:25" ht="11.1" customHeight="1">
      <c r="A40" s="711"/>
      <c r="B40" s="724"/>
      <c r="C40" s="105"/>
      <c r="D40" s="105"/>
      <c r="E40" s="110">
        <v>2002</v>
      </c>
      <c r="F40" s="717"/>
      <c r="G40" s="107" t="s">
        <v>1782</v>
      </c>
      <c r="H40" s="107" t="s">
        <v>1782</v>
      </c>
      <c r="I40" s="107" t="s">
        <v>1782</v>
      </c>
      <c r="J40" s="105"/>
      <c r="K40" s="704" t="s">
        <v>1782</v>
      </c>
      <c r="L40" s="705"/>
      <c r="M40" s="105"/>
      <c r="N40" s="691"/>
      <c r="O40" s="692"/>
      <c r="P40" s="693"/>
      <c r="Q40" s="704" t="s">
        <v>1782</v>
      </c>
      <c r="R40" s="709"/>
      <c r="S40" s="705"/>
      <c r="T40" s="691"/>
      <c r="U40" s="693"/>
      <c r="V40" s="691"/>
      <c r="W40" s="693"/>
      <c r="X40" s="691"/>
      <c r="Y40" s="693"/>
    </row>
    <row r="41" spans="1:25" ht="10.65" customHeight="1">
      <c r="A41" s="712"/>
      <c r="B41" s="725"/>
      <c r="C41" s="105"/>
      <c r="D41" s="105"/>
      <c r="E41" s="109" t="s">
        <v>1786</v>
      </c>
      <c r="F41" s="105"/>
      <c r="G41" s="107" t="s">
        <v>1782</v>
      </c>
      <c r="H41" s="107" t="s">
        <v>1782</v>
      </c>
      <c r="I41" s="105"/>
      <c r="J41" s="105"/>
      <c r="K41" s="691"/>
      <c r="L41" s="693"/>
      <c r="M41" s="105"/>
      <c r="N41" s="691"/>
      <c r="O41" s="692"/>
      <c r="P41" s="693"/>
      <c r="Q41" s="691"/>
      <c r="R41" s="692"/>
      <c r="S41" s="693"/>
      <c r="T41" s="691"/>
      <c r="U41" s="693"/>
      <c r="V41" s="691"/>
      <c r="W41" s="693"/>
      <c r="X41" s="691"/>
      <c r="Y41" s="693"/>
    </row>
    <row r="42" spans="1:25" ht="10.5" customHeight="1">
      <c r="A42" s="675" t="s">
        <v>1806</v>
      </c>
      <c r="B42" s="676"/>
      <c r="C42" s="676"/>
      <c r="D42" s="676"/>
      <c r="E42" s="676"/>
      <c r="F42" s="676"/>
      <c r="G42" s="676"/>
      <c r="H42" s="676"/>
      <c r="I42" s="676"/>
      <c r="J42" s="677"/>
      <c r="K42" s="105"/>
      <c r="L42" s="105"/>
      <c r="M42" s="691"/>
      <c r="N42" s="692"/>
      <c r="O42" s="692"/>
      <c r="P42" s="692"/>
      <c r="Q42" s="693"/>
      <c r="R42" s="105"/>
      <c r="S42" s="691"/>
      <c r="T42" s="693"/>
      <c r="U42" s="114" t="s">
        <v>1807</v>
      </c>
      <c r="V42" s="115" t="s">
        <v>1808</v>
      </c>
      <c r="W42" s="691"/>
      <c r="X42" s="693"/>
      <c r="Y42" s="105"/>
    </row>
    <row r="43" spans="1:25" ht="9.75" customHeight="1">
      <c r="A43" s="678"/>
      <c r="B43" s="679"/>
      <c r="C43" s="679"/>
      <c r="D43" s="679"/>
      <c r="E43" s="679"/>
      <c r="F43" s="679"/>
      <c r="G43" s="679"/>
      <c r="H43" s="679"/>
      <c r="I43" s="679"/>
      <c r="J43" s="680"/>
      <c r="K43" s="116">
        <v>3</v>
      </c>
      <c r="L43" s="117">
        <v>45457</v>
      </c>
      <c r="M43" s="726" t="s">
        <v>1809</v>
      </c>
      <c r="N43" s="727"/>
      <c r="O43" s="727"/>
      <c r="P43" s="727"/>
      <c r="Q43" s="728"/>
      <c r="R43" s="118" t="s">
        <v>1810</v>
      </c>
      <c r="S43" s="729" t="s">
        <v>1811</v>
      </c>
      <c r="T43" s="730"/>
      <c r="U43" s="118" t="s">
        <v>1812</v>
      </c>
      <c r="V43" s="118" t="s">
        <v>1813</v>
      </c>
      <c r="W43" s="691"/>
      <c r="X43" s="693"/>
      <c r="Y43" s="105"/>
    </row>
    <row r="44" spans="1:25" ht="9.75" customHeight="1">
      <c r="A44" s="678"/>
      <c r="B44" s="679"/>
      <c r="C44" s="679"/>
      <c r="D44" s="679"/>
      <c r="E44" s="679"/>
      <c r="F44" s="679"/>
      <c r="G44" s="679"/>
      <c r="H44" s="679"/>
      <c r="I44" s="679"/>
      <c r="J44" s="680"/>
      <c r="K44" s="116">
        <v>2</v>
      </c>
      <c r="L44" s="117">
        <v>45258</v>
      </c>
      <c r="M44" s="726" t="s">
        <v>1814</v>
      </c>
      <c r="N44" s="727"/>
      <c r="O44" s="727"/>
      <c r="P44" s="727"/>
      <c r="Q44" s="728"/>
      <c r="R44" s="118" t="s">
        <v>1810</v>
      </c>
      <c r="S44" s="729" t="s">
        <v>1811</v>
      </c>
      <c r="T44" s="730"/>
      <c r="U44" s="118" t="s">
        <v>1812</v>
      </c>
      <c r="V44" s="118" t="s">
        <v>1813</v>
      </c>
      <c r="W44" s="691"/>
      <c r="X44" s="693"/>
      <c r="Y44" s="105"/>
    </row>
    <row r="45" spans="1:25" ht="9.75" customHeight="1">
      <c r="A45" s="678"/>
      <c r="B45" s="679"/>
      <c r="C45" s="679"/>
      <c r="D45" s="679"/>
      <c r="E45" s="679"/>
      <c r="F45" s="679"/>
      <c r="G45" s="679"/>
      <c r="H45" s="679"/>
      <c r="I45" s="679"/>
      <c r="J45" s="680"/>
      <c r="K45" s="116">
        <v>1</v>
      </c>
      <c r="L45" s="117">
        <v>45120</v>
      </c>
      <c r="M45" s="726" t="s">
        <v>1815</v>
      </c>
      <c r="N45" s="727"/>
      <c r="O45" s="727"/>
      <c r="P45" s="727"/>
      <c r="Q45" s="728"/>
      <c r="R45" s="118" t="s">
        <v>1810</v>
      </c>
      <c r="S45" s="729" t="s">
        <v>1811</v>
      </c>
      <c r="T45" s="730"/>
      <c r="U45" s="118" t="s">
        <v>1812</v>
      </c>
      <c r="V45" s="118" t="s">
        <v>1813</v>
      </c>
      <c r="W45" s="691"/>
      <c r="X45" s="693"/>
      <c r="Y45" s="105"/>
    </row>
    <row r="46" spans="1:25" ht="9.75" customHeight="1">
      <c r="A46" s="678"/>
      <c r="B46" s="679"/>
      <c r="C46" s="679"/>
      <c r="D46" s="679"/>
      <c r="E46" s="679"/>
      <c r="F46" s="679"/>
      <c r="G46" s="679"/>
      <c r="H46" s="679"/>
      <c r="I46" s="679"/>
      <c r="J46" s="680"/>
      <c r="K46" s="118" t="s">
        <v>1816</v>
      </c>
      <c r="L46" s="118" t="s">
        <v>1817</v>
      </c>
      <c r="M46" s="726" t="s">
        <v>1818</v>
      </c>
      <c r="N46" s="727"/>
      <c r="O46" s="727"/>
      <c r="P46" s="727"/>
      <c r="Q46" s="728"/>
      <c r="R46" s="118" t="s">
        <v>1819</v>
      </c>
      <c r="S46" s="729" t="s">
        <v>1820</v>
      </c>
      <c r="T46" s="730"/>
      <c r="U46" s="118" t="s">
        <v>1821</v>
      </c>
      <c r="V46" s="118" t="s">
        <v>1822</v>
      </c>
      <c r="W46" s="731" t="s">
        <v>1823</v>
      </c>
      <c r="X46" s="732"/>
      <c r="Y46" s="118" t="s">
        <v>1824</v>
      </c>
    </row>
    <row r="47" spans="1:25" ht="9.75" customHeight="1">
      <c r="A47" s="678"/>
      <c r="B47" s="679"/>
      <c r="C47" s="679"/>
      <c r="D47" s="679"/>
      <c r="E47" s="679"/>
      <c r="F47" s="679"/>
      <c r="G47" s="679"/>
      <c r="H47" s="679"/>
      <c r="I47" s="679"/>
      <c r="J47" s="680"/>
      <c r="K47" s="675"/>
      <c r="L47" s="676"/>
      <c r="M47" s="676"/>
      <c r="N47" s="676"/>
      <c r="O47" s="676"/>
      <c r="P47" s="676"/>
      <c r="Q47" s="677"/>
      <c r="R47" s="729" t="s">
        <v>1825</v>
      </c>
      <c r="S47" s="755"/>
      <c r="T47" s="755"/>
      <c r="U47" s="755"/>
      <c r="V47" s="755"/>
      <c r="W47" s="755"/>
      <c r="X47" s="755"/>
      <c r="Y47" s="730"/>
    </row>
    <row r="48" spans="1:25" ht="19.649999999999999" customHeight="1">
      <c r="A48" s="678"/>
      <c r="B48" s="679"/>
      <c r="C48" s="679"/>
      <c r="D48" s="679"/>
      <c r="E48" s="679"/>
      <c r="F48" s="679"/>
      <c r="G48" s="679"/>
      <c r="H48" s="679"/>
      <c r="I48" s="679"/>
      <c r="J48" s="680"/>
      <c r="K48" s="678"/>
      <c r="L48" s="679"/>
      <c r="M48" s="679"/>
      <c r="N48" s="679"/>
      <c r="O48" s="679"/>
      <c r="P48" s="679"/>
      <c r="Q48" s="680"/>
      <c r="R48" s="756" t="s">
        <v>1826</v>
      </c>
      <c r="S48" s="757"/>
      <c r="T48" s="757"/>
      <c r="U48" s="757"/>
      <c r="V48" s="757"/>
      <c r="W48" s="757"/>
      <c r="X48" s="757"/>
      <c r="Y48" s="758"/>
    </row>
    <row r="49" spans="1:25" ht="9.75" customHeight="1">
      <c r="A49" s="678"/>
      <c r="B49" s="679"/>
      <c r="C49" s="679"/>
      <c r="D49" s="679"/>
      <c r="E49" s="679"/>
      <c r="F49" s="679"/>
      <c r="G49" s="679"/>
      <c r="H49" s="679"/>
      <c r="I49" s="679"/>
      <c r="J49" s="680"/>
      <c r="K49" s="681"/>
      <c r="L49" s="682"/>
      <c r="M49" s="682"/>
      <c r="N49" s="682"/>
      <c r="O49" s="682"/>
      <c r="P49" s="682"/>
      <c r="Q49" s="683"/>
      <c r="R49" s="729" t="s">
        <v>1827</v>
      </c>
      <c r="S49" s="755"/>
      <c r="T49" s="755"/>
      <c r="U49" s="755"/>
      <c r="V49" s="755"/>
      <c r="W49" s="755"/>
      <c r="X49" s="755"/>
      <c r="Y49" s="730"/>
    </row>
    <row r="50" spans="1:25" ht="9.75" customHeight="1">
      <c r="A50" s="678"/>
      <c r="B50" s="679"/>
      <c r="C50" s="679"/>
      <c r="D50" s="679"/>
      <c r="E50" s="679"/>
      <c r="F50" s="679"/>
      <c r="G50" s="679"/>
      <c r="H50" s="679"/>
      <c r="I50" s="679"/>
      <c r="J50" s="680"/>
      <c r="K50" s="729" t="s">
        <v>1828</v>
      </c>
      <c r="L50" s="755"/>
      <c r="M50" s="755"/>
      <c r="N50" s="755"/>
      <c r="O50" s="755"/>
      <c r="P50" s="755"/>
      <c r="Q50" s="730"/>
      <c r="R50" s="759" t="s">
        <v>1829</v>
      </c>
      <c r="S50" s="760"/>
      <c r="T50" s="760"/>
      <c r="U50" s="760"/>
      <c r="V50" s="760"/>
      <c r="W50" s="760"/>
      <c r="X50" s="760"/>
      <c r="Y50" s="761"/>
    </row>
    <row r="51" spans="1:25" ht="9.75" customHeight="1">
      <c r="A51" s="678"/>
      <c r="B51" s="679"/>
      <c r="C51" s="679"/>
      <c r="D51" s="679"/>
      <c r="E51" s="679"/>
      <c r="F51" s="679"/>
      <c r="G51" s="679"/>
      <c r="H51" s="679"/>
      <c r="I51" s="679"/>
      <c r="J51" s="680"/>
      <c r="K51" s="729" t="s">
        <v>1830</v>
      </c>
      <c r="L51" s="755"/>
      <c r="M51" s="755"/>
      <c r="N51" s="755"/>
      <c r="O51" s="755"/>
      <c r="P51" s="755"/>
      <c r="Q51" s="730"/>
      <c r="R51" s="762"/>
      <c r="S51" s="763"/>
      <c r="T51" s="763"/>
      <c r="U51" s="763"/>
      <c r="V51" s="763"/>
      <c r="W51" s="763"/>
      <c r="X51" s="763"/>
      <c r="Y51" s="764"/>
    </row>
    <row r="52" spans="1:25" ht="9.75" customHeight="1">
      <c r="A52" s="681"/>
      <c r="B52" s="682"/>
      <c r="C52" s="682"/>
      <c r="D52" s="682"/>
      <c r="E52" s="682"/>
      <c r="F52" s="682"/>
      <c r="G52" s="682"/>
      <c r="H52" s="682"/>
      <c r="I52" s="682"/>
      <c r="J52" s="683"/>
      <c r="K52" s="768" t="s">
        <v>1831</v>
      </c>
      <c r="L52" s="769"/>
      <c r="M52" s="769"/>
      <c r="N52" s="769"/>
      <c r="O52" s="769"/>
      <c r="P52" s="769"/>
      <c r="Q52" s="770"/>
      <c r="R52" s="765"/>
      <c r="S52" s="766"/>
      <c r="T52" s="766"/>
      <c r="U52" s="766"/>
      <c r="V52" s="766"/>
      <c r="W52" s="766"/>
      <c r="X52" s="766"/>
      <c r="Y52" s="767"/>
    </row>
    <row r="53" spans="1:25" ht="11.85" customHeight="1">
      <c r="A53" s="735" t="s">
        <v>1832</v>
      </c>
      <c r="B53" s="736"/>
      <c r="C53" s="736"/>
      <c r="D53" s="736"/>
      <c r="E53" s="736"/>
      <c r="F53" s="736"/>
      <c r="G53" s="736"/>
      <c r="H53" s="736"/>
      <c r="I53" s="736"/>
      <c r="J53" s="737"/>
      <c r="K53" s="741"/>
      <c r="L53" s="743" t="s">
        <v>1833</v>
      </c>
      <c r="M53" s="745" t="s">
        <v>1834</v>
      </c>
      <c r="N53" s="746"/>
      <c r="O53" s="119" t="s">
        <v>1835</v>
      </c>
      <c r="P53" s="120"/>
      <c r="Q53" s="121">
        <v>3</v>
      </c>
      <c r="R53" s="743" t="s">
        <v>1836</v>
      </c>
      <c r="S53" s="749" t="s">
        <v>1837</v>
      </c>
      <c r="T53" s="750"/>
      <c r="U53" s="750"/>
      <c r="V53" s="750"/>
      <c r="W53" s="751"/>
      <c r="X53" s="726" t="s">
        <v>1816</v>
      </c>
      <c r="Y53" s="728"/>
    </row>
    <row r="54" spans="1:25" ht="19.5" customHeight="1">
      <c r="A54" s="738"/>
      <c r="B54" s="739"/>
      <c r="C54" s="739"/>
      <c r="D54" s="739"/>
      <c r="E54" s="739"/>
      <c r="F54" s="739"/>
      <c r="G54" s="739"/>
      <c r="H54" s="739"/>
      <c r="I54" s="739"/>
      <c r="J54" s="740"/>
      <c r="K54" s="742"/>
      <c r="L54" s="744"/>
      <c r="M54" s="747"/>
      <c r="N54" s="748"/>
      <c r="O54" s="122" t="s">
        <v>1838</v>
      </c>
      <c r="P54" s="123"/>
      <c r="Q54" s="124">
        <v>4</v>
      </c>
      <c r="R54" s="744"/>
      <c r="S54" s="752"/>
      <c r="T54" s="753"/>
      <c r="U54" s="753"/>
      <c r="V54" s="753"/>
      <c r="W54" s="754"/>
      <c r="X54" s="733">
        <v>3</v>
      </c>
      <c r="Y54" s="734"/>
    </row>
  </sheetData>
  <mergeCells count="286">
    <mergeCell ref="X53:Y53"/>
    <mergeCell ref="X54:Y54"/>
    <mergeCell ref="A53:J54"/>
    <mergeCell ref="K53:K54"/>
    <mergeCell ref="L53:L54"/>
    <mergeCell ref="M53:N54"/>
    <mergeCell ref="R53:R54"/>
    <mergeCell ref="S53:W54"/>
    <mergeCell ref="K47:Q49"/>
    <mergeCell ref="R47:Y47"/>
    <mergeCell ref="R48:Y48"/>
    <mergeCell ref="R49:Y49"/>
    <mergeCell ref="K50:Q50"/>
    <mergeCell ref="R50:Y52"/>
    <mergeCell ref="K51:Q51"/>
    <mergeCell ref="K52:Q52"/>
    <mergeCell ref="M45:Q45"/>
    <mergeCell ref="S45:T45"/>
    <mergeCell ref="W45:X45"/>
    <mergeCell ref="T39:U39"/>
    <mergeCell ref="V39:W39"/>
    <mergeCell ref="M46:Q46"/>
    <mergeCell ref="S46:T46"/>
    <mergeCell ref="W46:X46"/>
    <mergeCell ref="A42:J52"/>
    <mergeCell ref="M42:Q42"/>
    <mergeCell ref="S42:T42"/>
    <mergeCell ref="W42:X42"/>
    <mergeCell ref="M43:Q43"/>
    <mergeCell ref="S43:T43"/>
    <mergeCell ref="W43:X43"/>
    <mergeCell ref="M44:Q44"/>
    <mergeCell ref="S44:T44"/>
    <mergeCell ref="W44:X44"/>
    <mergeCell ref="T41:U41"/>
    <mergeCell ref="V41:W41"/>
    <mergeCell ref="X41:Y41"/>
    <mergeCell ref="X39:Y39"/>
    <mergeCell ref="K40:L40"/>
    <mergeCell ref="N40:P40"/>
    <mergeCell ref="T36:U36"/>
    <mergeCell ref="V36:W36"/>
    <mergeCell ref="X36:Y36"/>
    <mergeCell ref="K38:L38"/>
    <mergeCell ref="N38:P38"/>
    <mergeCell ref="Q38:S38"/>
    <mergeCell ref="T38:U38"/>
    <mergeCell ref="V38:W38"/>
    <mergeCell ref="Q40:S40"/>
    <mergeCell ref="T40:U40"/>
    <mergeCell ref="V40:W40"/>
    <mergeCell ref="X40:Y40"/>
    <mergeCell ref="X38:Y38"/>
    <mergeCell ref="K37:L37"/>
    <mergeCell ref="N37:P37"/>
    <mergeCell ref="Q37:S37"/>
    <mergeCell ref="T37:U37"/>
    <mergeCell ref="V37:W37"/>
    <mergeCell ref="X37:Y37"/>
    <mergeCell ref="T35:U35"/>
    <mergeCell ref="V35:W35"/>
    <mergeCell ref="X35:Y35"/>
    <mergeCell ref="K34:L34"/>
    <mergeCell ref="N34:P34"/>
    <mergeCell ref="Q34:S34"/>
    <mergeCell ref="T34:U34"/>
    <mergeCell ref="V34:W34"/>
    <mergeCell ref="X34:Y34"/>
    <mergeCell ref="T32:U32"/>
    <mergeCell ref="V32:W32"/>
    <mergeCell ref="X32:Y32"/>
    <mergeCell ref="K33:L33"/>
    <mergeCell ref="N33:P33"/>
    <mergeCell ref="Q33:S33"/>
    <mergeCell ref="T33:U33"/>
    <mergeCell ref="V33:W33"/>
    <mergeCell ref="X33:Y33"/>
    <mergeCell ref="T30:U30"/>
    <mergeCell ref="V30:W30"/>
    <mergeCell ref="X30:Y30"/>
    <mergeCell ref="K31:L31"/>
    <mergeCell ref="N31:P31"/>
    <mergeCell ref="Q31:S31"/>
    <mergeCell ref="T31:U31"/>
    <mergeCell ref="V31:W31"/>
    <mergeCell ref="X31:Y31"/>
    <mergeCell ref="A30:A41"/>
    <mergeCell ref="B30:B31"/>
    <mergeCell ref="C30:C31"/>
    <mergeCell ref="K30:L30"/>
    <mergeCell ref="N30:P30"/>
    <mergeCell ref="Q30:S30"/>
    <mergeCell ref="B32:B41"/>
    <mergeCell ref="K32:L32"/>
    <mergeCell ref="N32:P32"/>
    <mergeCell ref="Q32:S32"/>
    <mergeCell ref="K35:L35"/>
    <mergeCell ref="N35:P35"/>
    <mergeCell ref="Q35:S35"/>
    <mergeCell ref="F39:F40"/>
    <mergeCell ref="K39:L39"/>
    <mergeCell ref="N39:P39"/>
    <mergeCell ref="Q39:S39"/>
    <mergeCell ref="K41:L41"/>
    <mergeCell ref="N41:P41"/>
    <mergeCell ref="Q41:S41"/>
    <mergeCell ref="K36:L36"/>
    <mergeCell ref="N36:P36"/>
    <mergeCell ref="Q36:S36"/>
    <mergeCell ref="K29:L29"/>
    <mergeCell ref="N29:P29"/>
    <mergeCell ref="Q29:S29"/>
    <mergeCell ref="T29:U29"/>
    <mergeCell ref="V29:W29"/>
    <mergeCell ref="X29:Y29"/>
    <mergeCell ref="X27:Y27"/>
    <mergeCell ref="K28:L28"/>
    <mergeCell ref="N28:P28"/>
    <mergeCell ref="Q28:S28"/>
    <mergeCell ref="T28:U28"/>
    <mergeCell ref="V28:W28"/>
    <mergeCell ref="X28:Y28"/>
    <mergeCell ref="F27:F28"/>
    <mergeCell ref="K27:L27"/>
    <mergeCell ref="N27:P27"/>
    <mergeCell ref="Q27:S27"/>
    <mergeCell ref="T27:U27"/>
    <mergeCell ref="V27:W27"/>
    <mergeCell ref="K26:L26"/>
    <mergeCell ref="N26:P26"/>
    <mergeCell ref="Q26:S26"/>
    <mergeCell ref="T26:U26"/>
    <mergeCell ref="V26:W26"/>
    <mergeCell ref="T23:U23"/>
    <mergeCell ref="V23:W23"/>
    <mergeCell ref="X23:Y23"/>
    <mergeCell ref="X26:Y26"/>
    <mergeCell ref="K25:L25"/>
    <mergeCell ref="N25:P25"/>
    <mergeCell ref="Q25:S25"/>
    <mergeCell ref="T25:U25"/>
    <mergeCell ref="V25:W25"/>
    <mergeCell ref="X25:Y25"/>
    <mergeCell ref="K24:L24"/>
    <mergeCell ref="N24:P24"/>
    <mergeCell ref="Q24:S24"/>
    <mergeCell ref="T24:U24"/>
    <mergeCell ref="V24:W24"/>
    <mergeCell ref="X24:Y24"/>
    <mergeCell ref="V20:W20"/>
    <mergeCell ref="X20:Y20"/>
    <mergeCell ref="K21:L21"/>
    <mergeCell ref="N21:P21"/>
    <mergeCell ref="Q21:S21"/>
    <mergeCell ref="T21:U21"/>
    <mergeCell ref="V21:W21"/>
    <mergeCell ref="X21:Y21"/>
    <mergeCell ref="A20:A29"/>
    <mergeCell ref="B20:B21"/>
    <mergeCell ref="K20:L20"/>
    <mergeCell ref="N20:P20"/>
    <mergeCell ref="Q20:S20"/>
    <mergeCell ref="T20:U20"/>
    <mergeCell ref="B22:B29"/>
    <mergeCell ref="K22:L22"/>
    <mergeCell ref="N22:P22"/>
    <mergeCell ref="Q22:S22"/>
    <mergeCell ref="T22:U22"/>
    <mergeCell ref="V22:W22"/>
    <mergeCell ref="X22:Y22"/>
    <mergeCell ref="K23:L23"/>
    <mergeCell ref="N23:P23"/>
    <mergeCell ref="Q23:S23"/>
    <mergeCell ref="K19:L19"/>
    <mergeCell ref="N19:P19"/>
    <mergeCell ref="Q19:S19"/>
    <mergeCell ref="T19:U19"/>
    <mergeCell ref="V19:W19"/>
    <mergeCell ref="X19:Y19"/>
    <mergeCell ref="K18:L18"/>
    <mergeCell ref="N18:P18"/>
    <mergeCell ref="Q18:S18"/>
    <mergeCell ref="T18:U18"/>
    <mergeCell ref="V18:W18"/>
    <mergeCell ref="X18:Y18"/>
    <mergeCell ref="K17:L17"/>
    <mergeCell ref="N17:P17"/>
    <mergeCell ref="Q17:S17"/>
    <mergeCell ref="T17:U17"/>
    <mergeCell ref="V17:W17"/>
    <mergeCell ref="X17:Y17"/>
    <mergeCell ref="K16:L16"/>
    <mergeCell ref="N16:P16"/>
    <mergeCell ref="Q16:S16"/>
    <mergeCell ref="T16:U16"/>
    <mergeCell ref="V16:W16"/>
    <mergeCell ref="X16:Y16"/>
    <mergeCell ref="K15:L15"/>
    <mergeCell ref="N15:P15"/>
    <mergeCell ref="Q15:S15"/>
    <mergeCell ref="T15:U15"/>
    <mergeCell ref="V15:W15"/>
    <mergeCell ref="X15:Y15"/>
    <mergeCell ref="K14:L14"/>
    <mergeCell ref="N14:P14"/>
    <mergeCell ref="Q14:S14"/>
    <mergeCell ref="T14:U14"/>
    <mergeCell ref="V14:W14"/>
    <mergeCell ref="X14:Y14"/>
    <mergeCell ref="V9:W9"/>
    <mergeCell ref="X9:Y9"/>
    <mergeCell ref="K10:L10"/>
    <mergeCell ref="N10:P10"/>
    <mergeCell ref="Q10:S10"/>
    <mergeCell ref="T10:U10"/>
    <mergeCell ref="V10:W10"/>
    <mergeCell ref="X10:Y10"/>
    <mergeCell ref="K13:L13"/>
    <mergeCell ref="N13:P13"/>
    <mergeCell ref="Q13:S13"/>
    <mergeCell ref="T13:U13"/>
    <mergeCell ref="V13:W13"/>
    <mergeCell ref="X13:Y13"/>
    <mergeCell ref="K12:L12"/>
    <mergeCell ref="N12:P12"/>
    <mergeCell ref="Q12:S12"/>
    <mergeCell ref="T12:U12"/>
    <mergeCell ref="V12:W12"/>
    <mergeCell ref="X12:Y12"/>
    <mergeCell ref="V7:W7"/>
    <mergeCell ref="X7:Y7"/>
    <mergeCell ref="K8:L8"/>
    <mergeCell ref="N8:P8"/>
    <mergeCell ref="Q8:S8"/>
    <mergeCell ref="T8:U8"/>
    <mergeCell ref="V8:W8"/>
    <mergeCell ref="X8:Y8"/>
    <mergeCell ref="A7:A19"/>
    <mergeCell ref="B7:B19"/>
    <mergeCell ref="K7:L7"/>
    <mergeCell ref="N7:P7"/>
    <mergeCell ref="Q7:S7"/>
    <mergeCell ref="T7:U7"/>
    <mergeCell ref="K9:L9"/>
    <mergeCell ref="N9:P9"/>
    <mergeCell ref="Q9:S9"/>
    <mergeCell ref="T9:U9"/>
    <mergeCell ref="K11:L11"/>
    <mergeCell ref="N11:P11"/>
    <mergeCell ref="Q11:S11"/>
    <mergeCell ref="T11:U11"/>
    <mergeCell ref="V11:W11"/>
    <mergeCell ref="X11:Y11"/>
    <mergeCell ref="T6:U6"/>
    <mergeCell ref="V6:W6"/>
    <mergeCell ref="X6:Y6"/>
    <mergeCell ref="A5:E5"/>
    <mergeCell ref="K5:L5"/>
    <mergeCell ref="N5:P5"/>
    <mergeCell ref="Q5:S5"/>
    <mergeCell ref="T5:U5"/>
    <mergeCell ref="V5:W5"/>
    <mergeCell ref="A1:E4"/>
    <mergeCell ref="F1:F6"/>
    <mergeCell ref="G1:H2"/>
    <mergeCell ref="I1:Y1"/>
    <mergeCell ref="I2:M2"/>
    <mergeCell ref="N2:P2"/>
    <mergeCell ref="Q2:Y2"/>
    <mergeCell ref="K3:L3"/>
    <mergeCell ref="N3:P3"/>
    <mergeCell ref="Q3:S3"/>
    <mergeCell ref="T3:U3"/>
    <mergeCell ref="V3:W3"/>
    <mergeCell ref="X3:Y3"/>
    <mergeCell ref="K4:L4"/>
    <mergeCell ref="N4:P4"/>
    <mergeCell ref="Q4:S4"/>
    <mergeCell ref="T4:U4"/>
    <mergeCell ref="V4:W4"/>
    <mergeCell ref="X4:Y4"/>
    <mergeCell ref="X5:Y5"/>
    <mergeCell ref="A6:B6"/>
    <mergeCell ref="K6:L6"/>
    <mergeCell ref="N6:P6"/>
    <mergeCell ref="Q6:S6"/>
  </mergeCells>
  <hyperlinks>
    <hyperlink ref="K51" r:id="rId1" display="http://www.2hoffshore.com/" xr:uid="{00000000-0004-0000-0F00-000000000000}"/>
  </hyperlinks>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Y50"/>
  <sheetViews>
    <sheetView topLeftCell="A7" zoomScale="130" zoomScaleNormal="130" workbookViewId="0">
      <selection activeCell="A38" sqref="A38:J48"/>
    </sheetView>
  </sheetViews>
  <sheetFormatPr defaultColWidth="9.109375" defaultRowHeight="14.4"/>
  <cols>
    <col min="1" max="1" width="9.6640625" style="14" customWidth="1"/>
    <col min="2" max="2" width="17.88671875" style="14" customWidth="1"/>
    <col min="3" max="3" width="24.6640625" style="14" customWidth="1"/>
    <col min="4" max="4" width="24.33203125" style="14" customWidth="1"/>
    <col min="5" max="5" width="13.88671875" style="14" customWidth="1"/>
    <col min="6" max="6" width="2.33203125" style="14" customWidth="1"/>
    <col min="7" max="7" width="3.6640625" style="14" customWidth="1"/>
    <col min="8" max="8" width="4" style="14" customWidth="1"/>
    <col min="9" max="9" width="11" style="14" customWidth="1"/>
    <col min="10" max="10" width="9.88671875" style="14" customWidth="1"/>
    <col min="11" max="11" width="4.33203125" style="14" customWidth="1"/>
    <col min="12" max="12" width="7" style="14" customWidth="1"/>
    <col min="13" max="13" width="10.21875" style="14" customWidth="1"/>
    <col min="14" max="15" width="4.33203125" style="14" customWidth="1"/>
    <col min="16" max="16" width="2.109375" style="14" customWidth="1"/>
    <col min="17" max="17" width="3" style="14" customWidth="1"/>
    <col min="18" max="18" width="8.77734375" style="14" customWidth="1"/>
    <col min="19" max="19" width="1.109375" style="14" customWidth="1"/>
    <col min="20" max="20" width="5.21875" style="14" customWidth="1"/>
    <col min="21" max="21" width="8.77734375" style="14" customWidth="1"/>
    <col min="22" max="22" width="6.33203125" style="14" customWidth="1"/>
    <col min="23" max="23" width="4.33203125" style="14" customWidth="1"/>
    <col min="24" max="24" width="2.109375" style="14" customWidth="1"/>
    <col min="25" max="25" width="6.77734375" style="14" customWidth="1"/>
    <col min="26" max="16384" width="9.109375" style="14"/>
  </cols>
  <sheetData>
    <row r="1" spans="1:25">
      <c r="A1" s="675" t="s">
        <v>1839</v>
      </c>
      <c r="B1" s="676"/>
      <c r="C1" s="676"/>
      <c r="D1" s="676"/>
      <c r="E1" s="677"/>
      <c r="F1" s="684" t="s">
        <v>1650</v>
      </c>
      <c r="G1" s="687" t="s">
        <v>1764</v>
      </c>
      <c r="H1" s="688"/>
      <c r="I1" s="691"/>
      <c r="J1" s="692"/>
      <c r="K1" s="692"/>
      <c r="L1" s="692"/>
      <c r="M1" s="692"/>
      <c r="N1" s="692"/>
      <c r="O1" s="692"/>
      <c r="P1" s="692"/>
      <c r="Q1" s="692"/>
      <c r="R1" s="692"/>
      <c r="S1" s="692"/>
      <c r="T1" s="692"/>
      <c r="U1" s="692"/>
      <c r="V1" s="692"/>
      <c r="W1" s="692"/>
      <c r="X1" s="692"/>
      <c r="Y1" s="693"/>
    </row>
    <row r="2" spans="1:25">
      <c r="A2" s="678"/>
      <c r="B2" s="679"/>
      <c r="C2" s="679"/>
      <c r="D2" s="679"/>
      <c r="E2" s="680"/>
      <c r="F2" s="685"/>
      <c r="G2" s="689"/>
      <c r="H2" s="690"/>
      <c r="I2" s="691"/>
      <c r="J2" s="692"/>
      <c r="K2" s="692"/>
      <c r="L2" s="692"/>
      <c r="M2" s="693"/>
      <c r="N2" s="691"/>
      <c r="O2" s="692"/>
      <c r="P2" s="693"/>
      <c r="Q2" s="691"/>
      <c r="R2" s="692"/>
      <c r="S2" s="692"/>
      <c r="T2" s="692"/>
      <c r="U2" s="692"/>
      <c r="V2" s="692"/>
      <c r="W2" s="692"/>
      <c r="X2" s="692"/>
      <c r="Y2" s="693"/>
    </row>
    <row r="3" spans="1:25" ht="166.8">
      <c r="A3" s="678"/>
      <c r="B3" s="679"/>
      <c r="C3" s="679"/>
      <c r="D3" s="679"/>
      <c r="E3" s="680"/>
      <c r="F3" s="685"/>
      <c r="G3" s="17" t="s">
        <v>1840</v>
      </c>
      <c r="H3" s="17" t="s">
        <v>1841</v>
      </c>
      <c r="I3" s="17" t="s">
        <v>1842</v>
      </c>
      <c r="J3" s="17" t="s">
        <v>1843</v>
      </c>
      <c r="K3" s="576" t="s">
        <v>1844</v>
      </c>
      <c r="L3" s="577"/>
      <c r="M3" s="17" t="s">
        <v>1845</v>
      </c>
      <c r="N3" s="576" t="s">
        <v>1846</v>
      </c>
      <c r="O3" s="578"/>
      <c r="P3" s="577"/>
      <c r="Q3" s="576" t="s">
        <v>1847</v>
      </c>
      <c r="R3" s="578"/>
      <c r="S3" s="577"/>
      <c r="T3" s="771"/>
      <c r="U3" s="772"/>
      <c r="V3" s="771"/>
      <c r="W3" s="772"/>
      <c r="X3" s="771"/>
      <c r="Y3" s="772"/>
    </row>
    <row r="4" spans="1:25">
      <c r="A4" s="681"/>
      <c r="B4" s="682"/>
      <c r="C4" s="682"/>
      <c r="D4" s="682"/>
      <c r="E4" s="683"/>
      <c r="F4" s="685"/>
      <c r="G4" s="5"/>
      <c r="H4" s="5"/>
      <c r="I4" s="5"/>
      <c r="J4" s="5"/>
      <c r="K4" s="771"/>
      <c r="L4" s="772"/>
      <c r="M4" s="5"/>
      <c r="N4" s="771"/>
      <c r="O4" s="773"/>
      <c r="P4" s="772"/>
      <c r="Q4" s="771"/>
      <c r="R4" s="773"/>
      <c r="S4" s="772"/>
      <c r="T4" s="771"/>
      <c r="U4" s="772"/>
      <c r="V4" s="771"/>
      <c r="W4" s="772"/>
      <c r="X4" s="771"/>
      <c r="Y4" s="772"/>
    </row>
    <row r="5" spans="1:25">
      <c r="A5" s="704" t="s">
        <v>1774</v>
      </c>
      <c r="B5" s="709"/>
      <c r="C5" s="709"/>
      <c r="D5" s="709"/>
      <c r="E5" s="705"/>
      <c r="F5" s="685"/>
      <c r="G5" s="105"/>
      <c r="H5" s="105"/>
      <c r="I5" s="105"/>
      <c r="J5" s="105"/>
      <c r="K5" s="691"/>
      <c r="L5" s="693"/>
      <c r="M5" s="105"/>
      <c r="N5" s="691"/>
      <c r="O5" s="692"/>
      <c r="P5" s="693"/>
      <c r="Q5" s="691"/>
      <c r="R5" s="692"/>
      <c r="S5" s="693"/>
      <c r="T5" s="691"/>
      <c r="U5" s="693"/>
      <c r="V5" s="691"/>
      <c r="W5" s="693"/>
      <c r="X5" s="691"/>
      <c r="Y5" s="693"/>
    </row>
    <row r="6" spans="1:25">
      <c r="A6" s="704" t="s">
        <v>1775</v>
      </c>
      <c r="B6" s="705"/>
      <c r="C6" s="107" t="s">
        <v>1776</v>
      </c>
      <c r="D6" s="107" t="s">
        <v>1246</v>
      </c>
      <c r="E6" s="107" t="s">
        <v>1777</v>
      </c>
      <c r="F6" s="686"/>
      <c r="G6" s="3"/>
      <c r="H6" s="3"/>
      <c r="I6" s="3"/>
      <c r="J6" s="3"/>
      <c r="K6" s="706"/>
      <c r="L6" s="707"/>
      <c r="M6" s="3"/>
      <c r="N6" s="706"/>
      <c r="O6" s="708"/>
      <c r="P6" s="707"/>
      <c r="Q6" s="706"/>
      <c r="R6" s="708"/>
      <c r="S6" s="707"/>
      <c r="T6" s="706"/>
      <c r="U6" s="707"/>
      <c r="V6" s="706"/>
      <c r="W6" s="707"/>
      <c r="X6" s="706"/>
      <c r="Y6" s="707"/>
    </row>
    <row r="7" spans="1:25">
      <c r="A7" s="105"/>
      <c r="B7" s="105"/>
      <c r="C7" s="105"/>
      <c r="D7" s="105"/>
      <c r="E7" s="105"/>
      <c r="F7" s="105"/>
      <c r="G7" s="105"/>
      <c r="H7" s="105"/>
      <c r="I7" s="105"/>
      <c r="J7" s="105"/>
      <c r="K7" s="691"/>
      <c r="L7" s="693"/>
      <c r="M7" s="105"/>
      <c r="N7" s="691"/>
      <c r="O7" s="692"/>
      <c r="P7" s="693"/>
      <c r="Q7" s="691"/>
      <c r="R7" s="692"/>
      <c r="S7" s="693"/>
      <c r="T7" s="691"/>
      <c r="U7" s="693"/>
      <c r="V7" s="691"/>
      <c r="W7" s="693"/>
      <c r="X7" s="691"/>
      <c r="Y7" s="693"/>
    </row>
    <row r="8" spans="1:25">
      <c r="A8" s="713" t="s">
        <v>1848</v>
      </c>
      <c r="B8" s="105"/>
      <c r="C8" s="221" t="s">
        <v>1849</v>
      </c>
      <c r="D8" s="109" t="s">
        <v>1850</v>
      </c>
      <c r="E8" s="105"/>
      <c r="F8" s="105"/>
      <c r="G8" s="105"/>
      <c r="H8" s="105"/>
      <c r="I8" s="107" t="s">
        <v>1782</v>
      </c>
      <c r="J8" s="107" t="s">
        <v>1782</v>
      </c>
      <c r="K8" s="704" t="s">
        <v>1782</v>
      </c>
      <c r="L8" s="705"/>
      <c r="M8" s="107" t="s">
        <v>1782</v>
      </c>
      <c r="N8" s="704" t="s">
        <v>1782</v>
      </c>
      <c r="O8" s="709"/>
      <c r="P8" s="705"/>
      <c r="Q8" s="691"/>
      <c r="R8" s="692"/>
      <c r="S8" s="693"/>
      <c r="T8" s="691"/>
      <c r="U8" s="693"/>
      <c r="V8" s="691"/>
      <c r="W8" s="693"/>
      <c r="X8" s="691"/>
      <c r="Y8" s="693"/>
    </row>
    <row r="9" spans="1:25">
      <c r="A9" s="714"/>
      <c r="B9" s="126" t="s">
        <v>1851</v>
      </c>
      <c r="C9" s="109" t="s">
        <v>1852</v>
      </c>
      <c r="D9" s="109" t="s">
        <v>1853</v>
      </c>
      <c r="E9" s="3"/>
      <c r="F9" s="3"/>
      <c r="G9" s="107" t="s">
        <v>1782</v>
      </c>
      <c r="H9" s="107" t="s">
        <v>1782</v>
      </c>
      <c r="I9" s="107" t="s">
        <v>1782</v>
      </c>
      <c r="J9" s="107" t="s">
        <v>1782</v>
      </c>
      <c r="K9" s="704" t="s">
        <v>1782</v>
      </c>
      <c r="L9" s="705"/>
      <c r="M9" s="107" t="s">
        <v>1782</v>
      </c>
      <c r="N9" s="704" t="s">
        <v>1782</v>
      </c>
      <c r="O9" s="709"/>
      <c r="P9" s="705"/>
      <c r="Q9" s="706"/>
      <c r="R9" s="708"/>
      <c r="S9" s="707"/>
      <c r="T9" s="706"/>
      <c r="U9" s="707"/>
      <c r="V9" s="706"/>
      <c r="W9" s="707"/>
      <c r="X9" s="706"/>
      <c r="Y9" s="707"/>
    </row>
    <row r="10" spans="1:25">
      <c r="A10" s="714"/>
      <c r="B10" s="126" t="s">
        <v>1854</v>
      </c>
      <c r="C10" s="109" t="s">
        <v>1855</v>
      </c>
      <c r="D10" s="126" t="s">
        <v>1856</v>
      </c>
      <c r="E10" s="3"/>
      <c r="F10" s="3"/>
      <c r="G10" s="107" t="s">
        <v>1782</v>
      </c>
      <c r="H10" s="107" t="s">
        <v>1782</v>
      </c>
      <c r="I10" s="3"/>
      <c r="J10" s="3"/>
      <c r="K10" s="706"/>
      <c r="L10" s="707"/>
      <c r="M10" s="3"/>
      <c r="N10" s="706"/>
      <c r="O10" s="708"/>
      <c r="P10" s="707"/>
      <c r="Q10" s="706"/>
      <c r="R10" s="708"/>
      <c r="S10" s="707"/>
      <c r="T10" s="706"/>
      <c r="U10" s="707"/>
      <c r="V10" s="706"/>
      <c r="W10" s="707"/>
      <c r="X10" s="706"/>
      <c r="Y10" s="707"/>
    </row>
    <row r="11" spans="1:25">
      <c r="A11" s="714"/>
      <c r="B11" s="126" t="s">
        <v>1854</v>
      </c>
      <c r="C11" s="109" t="s">
        <v>1857</v>
      </c>
      <c r="D11" s="113" t="s">
        <v>1858</v>
      </c>
      <c r="E11" s="3"/>
      <c r="F11" s="3"/>
      <c r="G11" s="107" t="s">
        <v>1782</v>
      </c>
      <c r="H11" s="107" t="s">
        <v>1782</v>
      </c>
      <c r="I11" s="3"/>
      <c r="J11" s="3"/>
      <c r="K11" s="706"/>
      <c r="L11" s="707"/>
      <c r="M11" s="3"/>
      <c r="N11" s="706"/>
      <c r="O11" s="708"/>
      <c r="P11" s="707"/>
      <c r="Q11" s="706"/>
      <c r="R11" s="708"/>
      <c r="S11" s="707"/>
      <c r="T11" s="706"/>
      <c r="U11" s="707"/>
      <c r="V11" s="706"/>
      <c r="W11" s="707"/>
      <c r="X11" s="706"/>
      <c r="Y11" s="707"/>
    </row>
    <row r="12" spans="1:25">
      <c r="A12" s="714"/>
      <c r="B12" s="126" t="s">
        <v>1851</v>
      </c>
      <c r="C12" s="109" t="s">
        <v>1859</v>
      </c>
      <c r="D12" s="109" t="s">
        <v>1860</v>
      </c>
      <c r="E12" s="3"/>
      <c r="F12" s="3"/>
      <c r="G12" s="107" t="s">
        <v>1782</v>
      </c>
      <c r="H12" s="107" t="s">
        <v>1782</v>
      </c>
      <c r="I12" s="3"/>
      <c r="J12" s="3"/>
      <c r="K12" s="706"/>
      <c r="L12" s="707"/>
      <c r="M12" s="3"/>
      <c r="N12" s="706"/>
      <c r="O12" s="708"/>
      <c r="P12" s="707"/>
      <c r="Q12" s="706"/>
      <c r="R12" s="708"/>
      <c r="S12" s="707"/>
      <c r="T12" s="706"/>
      <c r="U12" s="707"/>
      <c r="V12" s="706"/>
      <c r="W12" s="707"/>
      <c r="X12" s="706"/>
      <c r="Y12" s="707"/>
    </row>
    <row r="13" spans="1:25">
      <c r="A13" s="714"/>
      <c r="B13" s="126" t="s">
        <v>1851</v>
      </c>
      <c r="C13" s="109" t="s">
        <v>1861</v>
      </c>
      <c r="D13" s="109" t="s">
        <v>1862</v>
      </c>
      <c r="E13" s="3"/>
      <c r="F13" s="3"/>
      <c r="G13" s="107" t="s">
        <v>1782</v>
      </c>
      <c r="H13" s="107" t="s">
        <v>1782</v>
      </c>
      <c r="I13" s="3"/>
      <c r="J13" s="3"/>
      <c r="K13" s="706"/>
      <c r="L13" s="707"/>
      <c r="M13" s="3"/>
      <c r="N13" s="706"/>
      <c r="O13" s="708"/>
      <c r="P13" s="707"/>
      <c r="Q13" s="706"/>
      <c r="R13" s="708"/>
      <c r="S13" s="707"/>
      <c r="T13" s="706"/>
      <c r="U13" s="707"/>
      <c r="V13" s="706"/>
      <c r="W13" s="707"/>
      <c r="X13" s="706"/>
      <c r="Y13" s="707"/>
    </row>
    <row r="14" spans="1:25">
      <c r="A14" s="714"/>
      <c r="B14" s="126" t="s">
        <v>1851</v>
      </c>
      <c r="C14" s="109" t="s">
        <v>1863</v>
      </c>
      <c r="D14" s="109" t="s">
        <v>1864</v>
      </c>
      <c r="E14" s="3"/>
      <c r="F14" s="3"/>
      <c r="G14" s="107" t="s">
        <v>1782</v>
      </c>
      <c r="H14" s="107" t="s">
        <v>1782</v>
      </c>
      <c r="I14" s="3"/>
      <c r="J14" s="3"/>
      <c r="K14" s="706"/>
      <c r="L14" s="707"/>
      <c r="M14" s="3"/>
      <c r="N14" s="706"/>
      <c r="O14" s="708"/>
      <c r="P14" s="707"/>
      <c r="Q14" s="706"/>
      <c r="R14" s="708"/>
      <c r="S14" s="707"/>
      <c r="T14" s="706"/>
      <c r="U14" s="707"/>
      <c r="V14" s="706"/>
      <c r="W14" s="707"/>
      <c r="X14" s="706"/>
      <c r="Y14" s="707"/>
    </row>
    <row r="15" spans="1:25">
      <c r="A15" s="714"/>
      <c r="B15" s="126" t="s">
        <v>1851</v>
      </c>
      <c r="C15" s="109" t="s">
        <v>1865</v>
      </c>
      <c r="D15" s="109" t="s">
        <v>1866</v>
      </c>
      <c r="E15" s="3"/>
      <c r="F15" s="3"/>
      <c r="G15" s="107" t="s">
        <v>1782</v>
      </c>
      <c r="H15" s="107" t="s">
        <v>1782</v>
      </c>
      <c r="I15" s="3"/>
      <c r="J15" s="3"/>
      <c r="K15" s="706"/>
      <c r="L15" s="707"/>
      <c r="M15" s="3"/>
      <c r="N15" s="706"/>
      <c r="O15" s="708"/>
      <c r="P15" s="707"/>
      <c r="Q15" s="706"/>
      <c r="R15" s="708"/>
      <c r="S15" s="707"/>
      <c r="T15" s="706"/>
      <c r="U15" s="707"/>
      <c r="V15" s="706"/>
      <c r="W15" s="707"/>
      <c r="X15" s="706"/>
      <c r="Y15" s="707"/>
    </row>
    <row r="16" spans="1:25">
      <c r="A16" s="715"/>
      <c r="B16" s="126" t="s">
        <v>1851</v>
      </c>
      <c r="C16" s="109" t="s">
        <v>1867</v>
      </c>
      <c r="D16" s="109" t="s">
        <v>1868</v>
      </c>
      <c r="E16" s="3"/>
      <c r="F16" s="3"/>
      <c r="G16" s="107" t="s">
        <v>1782</v>
      </c>
      <c r="H16" s="107" t="s">
        <v>1782</v>
      </c>
      <c r="I16" s="3"/>
      <c r="J16" s="3"/>
      <c r="K16" s="706"/>
      <c r="L16" s="707"/>
      <c r="M16" s="3"/>
      <c r="N16" s="706"/>
      <c r="O16" s="708"/>
      <c r="P16" s="707"/>
      <c r="Q16" s="704" t="s">
        <v>1782</v>
      </c>
      <c r="R16" s="709"/>
      <c r="S16" s="705"/>
      <c r="T16" s="706"/>
      <c r="U16" s="707"/>
      <c r="V16" s="706"/>
      <c r="W16" s="707"/>
      <c r="X16" s="706"/>
      <c r="Y16" s="707"/>
    </row>
    <row r="17" spans="1:25">
      <c r="A17" s="105"/>
      <c r="B17" s="105"/>
      <c r="C17" s="105"/>
      <c r="D17" s="105"/>
      <c r="E17" s="105"/>
      <c r="F17" s="105"/>
      <c r="G17" s="105"/>
      <c r="H17" s="105"/>
      <c r="I17" s="105"/>
      <c r="J17" s="105"/>
      <c r="K17" s="691"/>
      <c r="L17" s="693"/>
      <c r="M17" s="105"/>
      <c r="N17" s="691"/>
      <c r="O17" s="692"/>
      <c r="P17" s="693"/>
      <c r="Q17" s="691"/>
      <c r="R17" s="692"/>
      <c r="S17" s="693"/>
      <c r="T17" s="691"/>
      <c r="U17" s="693"/>
      <c r="V17" s="691"/>
      <c r="W17" s="693"/>
      <c r="X17" s="691"/>
      <c r="Y17" s="693"/>
    </row>
    <row r="18" spans="1:25">
      <c r="A18" s="105"/>
      <c r="B18" s="105"/>
      <c r="C18" s="105"/>
      <c r="D18" s="105"/>
      <c r="E18" s="105"/>
      <c r="F18" s="105"/>
      <c r="G18" s="105"/>
      <c r="H18" s="105"/>
      <c r="I18" s="105"/>
      <c r="J18" s="105"/>
      <c r="K18" s="691"/>
      <c r="L18" s="693"/>
      <c r="M18" s="105"/>
      <c r="N18" s="691"/>
      <c r="O18" s="692"/>
      <c r="P18" s="693"/>
      <c r="Q18" s="691"/>
      <c r="R18" s="692"/>
      <c r="S18" s="693"/>
      <c r="T18" s="691"/>
      <c r="U18" s="693"/>
      <c r="V18" s="691"/>
      <c r="W18" s="693"/>
      <c r="X18" s="691"/>
      <c r="Y18" s="693"/>
    </row>
    <row r="19" spans="1:25">
      <c r="A19" s="105"/>
      <c r="B19" s="105"/>
      <c r="C19" s="105"/>
      <c r="D19" s="105"/>
      <c r="E19" s="105"/>
      <c r="F19" s="105"/>
      <c r="G19" s="105"/>
      <c r="H19" s="105"/>
      <c r="I19" s="105"/>
      <c r="J19" s="105"/>
      <c r="K19" s="691"/>
      <c r="L19" s="693"/>
      <c r="M19" s="105"/>
      <c r="N19" s="691"/>
      <c r="O19" s="692"/>
      <c r="P19" s="693"/>
      <c r="Q19" s="691"/>
      <c r="R19" s="692"/>
      <c r="S19" s="693"/>
      <c r="T19" s="691"/>
      <c r="U19" s="693"/>
      <c r="V19" s="691"/>
      <c r="W19" s="693"/>
      <c r="X19" s="691"/>
      <c r="Y19" s="693"/>
    </row>
    <row r="20" spans="1:25">
      <c r="A20" s="105"/>
      <c r="B20" s="105"/>
      <c r="C20" s="105"/>
      <c r="D20" s="105"/>
      <c r="E20" s="105"/>
      <c r="F20" s="105"/>
      <c r="G20" s="105"/>
      <c r="H20" s="105"/>
      <c r="I20" s="105"/>
      <c r="J20" s="105"/>
      <c r="K20" s="691"/>
      <c r="L20" s="693"/>
      <c r="M20" s="105"/>
      <c r="N20" s="691"/>
      <c r="O20" s="692"/>
      <c r="P20" s="693"/>
      <c r="Q20" s="691"/>
      <c r="R20" s="692"/>
      <c r="S20" s="693"/>
      <c r="T20" s="691"/>
      <c r="U20" s="693"/>
      <c r="V20" s="691"/>
      <c r="W20" s="693"/>
      <c r="X20" s="691"/>
      <c r="Y20" s="693"/>
    </row>
    <row r="21" spans="1:25">
      <c r="A21" s="105"/>
      <c r="B21" s="105"/>
      <c r="C21" s="105"/>
      <c r="D21" s="105"/>
      <c r="E21" s="105"/>
      <c r="F21" s="105"/>
      <c r="G21" s="105"/>
      <c r="H21" s="105"/>
      <c r="I21" s="105"/>
      <c r="J21" s="105"/>
      <c r="K21" s="691"/>
      <c r="L21" s="693"/>
      <c r="M21" s="105"/>
      <c r="N21" s="691"/>
      <c r="O21" s="692"/>
      <c r="P21" s="693"/>
      <c r="Q21" s="691"/>
      <c r="R21" s="692"/>
      <c r="S21" s="693"/>
      <c r="T21" s="691"/>
      <c r="U21" s="693"/>
      <c r="V21" s="691"/>
      <c r="W21" s="693"/>
      <c r="X21" s="691"/>
      <c r="Y21" s="693"/>
    </row>
    <row r="22" spans="1:25">
      <c r="A22" s="105"/>
      <c r="B22" s="105"/>
      <c r="C22" s="105"/>
      <c r="D22" s="105"/>
      <c r="E22" s="105"/>
      <c r="F22" s="105"/>
      <c r="G22" s="105"/>
      <c r="H22" s="105"/>
      <c r="I22" s="105"/>
      <c r="J22" s="105"/>
      <c r="K22" s="691"/>
      <c r="L22" s="693"/>
      <c r="M22" s="105"/>
      <c r="N22" s="691"/>
      <c r="O22" s="692"/>
      <c r="P22" s="693"/>
      <c r="Q22" s="691"/>
      <c r="R22" s="692"/>
      <c r="S22" s="693"/>
      <c r="T22" s="691"/>
      <c r="U22" s="693"/>
      <c r="V22" s="691"/>
      <c r="W22" s="693"/>
      <c r="X22" s="691"/>
      <c r="Y22" s="693"/>
    </row>
    <row r="23" spans="1:25">
      <c r="A23" s="105"/>
      <c r="B23" s="105"/>
      <c r="C23" s="105"/>
      <c r="D23" s="105"/>
      <c r="E23" s="105"/>
      <c r="F23" s="105"/>
      <c r="G23" s="105"/>
      <c r="H23" s="105"/>
      <c r="I23" s="105"/>
      <c r="J23" s="105"/>
      <c r="K23" s="691"/>
      <c r="L23" s="693"/>
      <c r="M23" s="105"/>
      <c r="N23" s="691"/>
      <c r="O23" s="692"/>
      <c r="P23" s="693"/>
      <c r="Q23" s="691"/>
      <c r="R23" s="692"/>
      <c r="S23" s="693"/>
      <c r="T23" s="691"/>
      <c r="U23" s="693"/>
      <c r="V23" s="691"/>
      <c r="W23" s="693"/>
      <c r="X23" s="691"/>
      <c r="Y23" s="693"/>
    </row>
    <row r="24" spans="1:25">
      <c r="A24" s="105"/>
      <c r="B24" s="105"/>
      <c r="C24" s="105"/>
      <c r="D24" s="105"/>
      <c r="E24" s="105"/>
      <c r="F24" s="105"/>
      <c r="G24" s="105"/>
      <c r="H24" s="105"/>
      <c r="I24" s="105"/>
      <c r="J24" s="105"/>
      <c r="K24" s="691"/>
      <c r="L24" s="693"/>
      <c r="M24" s="105"/>
      <c r="N24" s="691"/>
      <c r="O24" s="692"/>
      <c r="P24" s="693"/>
      <c r="Q24" s="691"/>
      <c r="R24" s="692"/>
      <c r="S24" s="693"/>
      <c r="T24" s="691"/>
      <c r="U24" s="693"/>
      <c r="V24" s="691"/>
      <c r="W24" s="693"/>
      <c r="X24" s="691"/>
      <c r="Y24" s="693"/>
    </row>
    <row r="25" spans="1:25">
      <c r="A25" s="105"/>
      <c r="B25" s="105"/>
      <c r="C25" s="105"/>
      <c r="D25" s="105"/>
      <c r="E25" s="105"/>
      <c r="F25" s="105"/>
      <c r="G25" s="105"/>
      <c r="H25" s="105"/>
      <c r="I25" s="105"/>
      <c r="J25" s="105"/>
      <c r="K25" s="691"/>
      <c r="L25" s="693"/>
      <c r="M25" s="105"/>
      <c r="N25" s="691"/>
      <c r="O25" s="692"/>
      <c r="P25" s="693"/>
      <c r="Q25" s="691"/>
      <c r="R25" s="692"/>
      <c r="S25" s="693"/>
      <c r="T25" s="691"/>
      <c r="U25" s="693"/>
      <c r="V25" s="691"/>
      <c r="W25" s="693"/>
      <c r="X25" s="691"/>
      <c r="Y25" s="693"/>
    </row>
    <row r="26" spans="1:25">
      <c r="A26" s="105"/>
      <c r="B26" s="105"/>
      <c r="C26" s="105"/>
      <c r="D26" s="105"/>
      <c r="E26" s="105"/>
      <c r="F26" s="105"/>
      <c r="G26" s="105"/>
      <c r="H26" s="105"/>
      <c r="I26" s="105"/>
      <c r="J26" s="105"/>
      <c r="K26" s="691"/>
      <c r="L26" s="693"/>
      <c r="M26" s="105"/>
      <c r="N26" s="691"/>
      <c r="O26" s="692"/>
      <c r="P26" s="693"/>
      <c r="Q26" s="691"/>
      <c r="R26" s="692"/>
      <c r="S26" s="693"/>
      <c r="T26" s="691"/>
      <c r="U26" s="693"/>
      <c r="V26" s="691"/>
      <c r="W26" s="693"/>
      <c r="X26" s="691"/>
      <c r="Y26" s="693"/>
    </row>
    <row r="27" spans="1:25">
      <c r="A27" s="105"/>
      <c r="B27" s="105"/>
      <c r="C27" s="105"/>
      <c r="D27" s="105"/>
      <c r="E27" s="105"/>
      <c r="F27" s="105"/>
      <c r="G27" s="105"/>
      <c r="H27" s="105"/>
      <c r="I27" s="105"/>
      <c r="J27" s="105"/>
      <c r="K27" s="691"/>
      <c r="L27" s="693"/>
      <c r="M27" s="105"/>
      <c r="N27" s="691"/>
      <c r="O27" s="692"/>
      <c r="P27" s="693"/>
      <c r="Q27" s="691"/>
      <c r="R27" s="692"/>
      <c r="S27" s="693"/>
      <c r="T27" s="691"/>
      <c r="U27" s="693"/>
      <c r="V27" s="691"/>
      <c r="W27" s="693"/>
      <c r="X27" s="691"/>
      <c r="Y27" s="693"/>
    </row>
    <row r="28" spans="1:25">
      <c r="A28" s="105"/>
      <c r="B28" s="105"/>
      <c r="C28" s="105"/>
      <c r="D28" s="105"/>
      <c r="E28" s="105"/>
      <c r="F28" s="105"/>
      <c r="G28" s="105"/>
      <c r="H28" s="105"/>
      <c r="I28" s="105"/>
      <c r="J28" s="105"/>
      <c r="K28" s="691"/>
      <c r="L28" s="693"/>
      <c r="M28" s="105"/>
      <c r="N28" s="691"/>
      <c r="O28" s="692"/>
      <c r="P28" s="693"/>
      <c r="Q28" s="691"/>
      <c r="R28" s="692"/>
      <c r="S28" s="693"/>
      <c r="T28" s="691"/>
      <c r="U28" s="693"/>
      <c r="V28" s="691"/>
      <c r="W28" s="693"/>
      <c r="X28" s="691"/>
      <c r="Y28" s="693"/>
    </row>
    <row r="29" spans="1:25">
      <c r="A29" s="105"/>
      <c r="B29" s="105"/>
      <c r="C29" s="105"/>
      <c r="D29" s="105"/>
      <c r="E29" s="105"/>
      <c r="F29" s="105"/>
      <c r="G29" s="105"/>
      <c r="H29" s="105"/>
      <c r="I29" s="105"/>
      <c r="J29" s="105"/>
      <c r="K29" s="691"/>
      <c r="L29" s="693"/>
      <c r="M29" s="105"/>
      <c r="N29" s="691"/>
      <c r="O29" s="692"/>
      <c r="P29" s="693"/>
      <c r="Q29" s="691"/>
      <c r="R29" s="692"/>
      <c r="S29" s="693"/>
      <c r="T29" s="691"/>
      <c r="U29" s="693"/>
      <c r="V29" s="691"/>
      <c r="W29" s="693"/>
      <c r="X29" s="691"/>
      <c r="Y29" s="693"/>
    </row>
    <row r="30" spans="1:25">
      <c r="A30" s="105"/>
      <c r="B30" s="105"/>
      <c r="C30" s="105"/>
      <c r="D30" s="105"/>
      <c r="E30" s="105"/>
      <c r="F30" s="105"/>
      <c r="G30" s="105"/>
      <c r="H30" s="105"/>
      <c r="I30" s="105"/>
      <c r="J30" s="105"/>
      <c r="K30" s="691"/>
      <c r="L30" s="693"/>
      <c r="M30" s="105"/>
      <c r="N30" s="691"/>
      <c r="O30" s="692"/>
      <c r="P30" s="693"/>
      <c r="Q30" s="691"/>
      <c r="R30" s="692"/>
      <c r="S30" s="693"/>
      <c r="T30" s="691"/>
      <c r="U30" s="693"/>
      <c r="V30" s="691"/>
      <c r="W30" s="693"/>
      <c r="X30" s="691"/>
      <c r="Y30" s="693"/>
    </row>
    <row r="31" spans="1:25">
      <c r="A31" s="105"/>
      <c r="B31" s="105"/>
      <c r="C31" s="105"/>
      <c r="D31" s="105"/>
      <c r="E31" s="105"/>
      <c r="F31" s="105"/>
      <c r="G31" s="105"/>
      <c r="H31" s="105"/>
      <c r="I31" s="105"/>
      <c r="J31" s="105"/>
      <c r="K31" s="691"/>
      <c r="L31" s="693"/>
      <c r="M31" s="105"/>
      <c r="N31" s="691"/>
      <c r="O31" s="692"/>
      <c r="P31" s="693"/>
      <c r="Q31" s="691"/>
      <c r="R31" s="692"/>
      <c r="S31" s="693"/>
      <c r="T31" s="691"/>
      <c r="U31" s="693"/>
      <c r="V31" s="691"/>
      <c r="W31" s="693"/>
      <c r="X31" s="691"/>
      <c r="Y31" s="693"/>
    </row>
    <row r="32" spans="1:25">
      <c r="A32" s="105"/>
      <c r="B32" s="105"/>
      <c r="C32" s="105"/>
      <c r="D32" s="105"/>
      <c r="E32" s="105"/>
      <c r="F32" s="105"/>
      <c r="G32" s="105"/>
      <c r="H32" s="105"/>
      <c r="I32" s="105"/>
      <c r="J32" s="105"/>
      <c r="K32" s="691"/>
      <c r="L32" s="693"/>
      <c r="M32" s="105"/>
      <c r="N32" s="691"/>
      <c r="O32" s="692"/>
      <c r="P32" s="693"/>
      <c r="Q32" s="691"/>
      <c r="R32" s="692"/>
      <c r="S32" s="693"/>
      <c r="T32" s="691"/>
      <c r="U32" s="693"/>
      <c r="V32" s="691"/>
      <c r="W32" s="693"/>
      <c r="X32" s="691"/>
      <c r="Y32" s="693"/>
    </row>
    <row r="33" spans="1:25">
      <c r="A33" s="105"/>
      <c r="B33" s="105"/>
      <c r="C33" s="105"/>
      <c r="D33" s="105"/>
      <c r="E33" s="105"/>
      <c r="F33" s="105"/>
      <c r="G33" s="105"/>
      <c r="H33" s="105"/>
      <c r="I33" s="105"/>
      <c r="J33" s="105"/>
      <c r="K33" s="691"/>
      <c r="L33" s="693"/>
      <c r="M33" s="105"/>
      <c r="N33" s="691"/>
      <c r="O33" s="692"/>
      <c r="P33" s="693"/>
      <c r="Q33" s="691"/>
      <c r="R33" s="692"/>
      <c r="S33" s="693"/>
      <c r="T33" s="691"/>
      <c r="U33" s="693"/>
      <c r="V33" s="691"/>
      <c r="W33" s="693"/>
      <c r="X33" s="691"/>
      <c r="Y33" s="693"/>
    </row>
    <row r="34" spans="1:25">
      <c r="A34" s="105"/>
      <c r="B34" s="105"/>
      <c r="C34" s="105"/>
      <c r="D34" s="105"/>
      <c r="E34" s="105"/>
      <c r="F34" s="105"/>
      <c r="G34" s="105"/>
      <c r="H34" s="105"/>
      <c r="I34" s="105"/>
      <c r="J34" s="105"/>
      <c r="K34" s="691"/>
      <c r="L34" s="693"/>
      <c r="M34" s="105"/>
      <c r="N34" s="691"/>
      <c r="O34" s="692"/>
      <c r="P34" s="693"/>
      <c r="Q34" s="691"/>
      <c r="R34" s="692"/>
      <c r="S34" s="693"/>
      <c r="T34" s="691"/>
      <c r="U34" s="693"/>
      <c r="V34" s="691"/>
      <c r="W34" s="693"/>
      <c r="X34" s="691"/>
      <c r="Y34" s="693"/>
    </row>
    <row r="35" spans="1:25">
      <c r="A35" s="105"/>
      <c r="B35" s="105"/>
      <c r="C35" s="105"/>
      <c r="D35" s="105"/>
      <c r="E35" s="105"/>
      <c r="F35" s="105"/>
      <c r="G35" s="105"/>
      <c r="H35" s="105"/>
      <c r="I35" s="105"/>
      <c r="J35" s="105"/>
      <c r="K35" s="691"/>
      <c r="L35" s="693"/>
      <c r="M35" s="105"/>
      <c r="N35" s="691"/>
      <c r="O35" s="692"/>
      <c r="P35" s="693"/>
      <c r="Q35" s="691"/>
      <c r="R35" s="692"/>
      <c r="S35" s="693"/>
      <c r="T35" s="691"/>
      <c r="U35" s="693"/>
      <c r="V35" s="691"/>
      <c r="W35" s="693"/>
      <c r="X35" s="691"/>
      <c r="Y35" s="693"/>
    </row>
    <row r="36" spans="1:25">
      <c r="A36" s="105"/>
      <c r="B36" s="105"/>
      <c r="C36" s="105"/>
      <c r="D36" s="105"/>
      <c r="E36" s="105"/>
      <c r="F36" s="105"/>
      <c r="G36" s="105"/>
      <c r="H36" s="105"/>
      <c r="I36" s="105"/>
      <c r="J36" s="105"/>
      <c r="K36" s="691"/>
      <c r="L36" s="693"/>
      <c r="M36" s="105"/>
      <c r="N36" s="691"/>
      <c r="O36" s="692"/>
      <c r="P36" s="693"/>
      <c r="Q36" s="691"/>
      <c r="R36" s="692"/>
      <c r="S36" s="693"/>
      <c r="T36" s="691"/>
      <c r="U36" s="693"/>
      <c r="V36" s="691"/>
      <c r="W36" s="693"/>
      <c r="X36" s="691"/>
      <c r="Y36" s="693"/>
    </row>
    <row r="37" spans="1:25">
      <c r="A37" s="105"/>
      <c r="B37" s="105"/>
      <c r="C37" s="105"/>
      <c r="D37" s="105"/>
      <c r="E37" s="105"/>
      <c r="F37" s="105"/>
      <c r="G37" s="105"/>
      <c r="H37" s="105"/>
      <c r="I37" s="105"/>
      <c r="J37" s="105"/>
      <c r="K37" s="691"/>
      <c r="L37" s="693"/>
      <c r="M37" s="105"/>
      <c r="N37" s="691"/>
      <c r="O37" s="692"/>
      <c r="P37" s="693"/>
      <c r="Q37" s="691"/>
      <c r="R37" s="692"/>
      <c r="S37" s="693"/>
      <c r="T37" s="691"/>
      <c r="U37" s="693"/>
      <c r="V37" s="691"/>
      <c r="W37" s="693"/>
      <c r="X37" s="691"/>
      <c r="Y37" s="693"/>
    </row>
    <row r="38" spans="1:25">
      <c r="A38" s="675" t="s">
        <v>1806</v>
      </c>
      <c r="B38" s="676"/>
      <c r="C38" s="676"/>
      <c r="D38" s="676"/>
      <c r="E38" s="676"/>
      <c r="F38" s="676"/>
      <c r="G38" s="676"/>
      <c r="H38" s="676"/>
      <c r="I38" s="676"/>
      <c r="J38" s="677"/>
      <c r="K38" s="3"/>
      <c r="L38" s="3"/>
      <c r="M38" s="706"/>
      <c r="N38" s="708"/>
      <c r="O38" s="708"/>
      <c r="P38" s="708"/>
      <c r="Q38" s="707"/>
      <c r="R38" s="3"/>
      <c r="S38" s="706"/>
      <c r="T38" s="707"/>
      <c r="U38" s="127" t="s">
        <v>1869</v>
      </c>
      <c r="V38" s="115" t="s">
        <v>1870</v>
      </c>
      <c r="W38" s="706"/>
      <c r="X38" s="707"/>
      <c r="Y38" s="3"/>
    </row>
    <row r="39" spans="1:25">
      <c r="A39" s="678"/>
      <c r="B39" s="679"/>
      <c r="C39" s="679"/>
      <c r="D39" s="679"/>
      <c r="E39" s="679"/>
      <c r="F39" s="679"/>
      <c r="G39" s="679"/>
      <c r="H39" s="679"/>
      <c r="I39" s="679"/>
      <c r="J39" s="680"/>
      <c r="K39" s="116">
        <v>3</v>
      </c>
      <c r="L39" s="117">
        <v>45457</v>
      </c>
      <c r="M39" s="726" t="s">
        <v>1871</v>
      </c>
      <c r="N39" s="727"/>
      <c r="O39" s="727"/>
      <c r="P39" s="727"/>
      <c r="Q39" s="728"/>
      <c r="R39" s="118" t="s">
        <v>1810</v>
      </c>
      <c r="S39" s="729" t="s">
        <v>1811</v>
      </c>
      <c r="T39" s="730"/>
      <c r="U39" s="118" t="s">
        <v>1812</v>
      </c>
      <c r="V39" s="118" t="s">
        <v>1813</v>
      </c>
      <c r="W39" s="691"/>
      <c r="X39" s="693"/>
      <c r="Y39" s="105"/>
    </row>
    <row r="40" spans="1:25">
      <c r="A40" s="678"/>
      <c r="B40" s="679"/>
      <c r="C40" s="679"/>
      <c r="D40" s="679"/>
      <c r="E40" s="679"/>
      <c r="F40" s="679"/>
      <c r="G40" s="679"/>
      <c r="H40" s="679"/>
      <c r="I40" s="679"/>
      <c r="J40" s="680"/>
      <c r="K40" s="116">
        <v>2</v>
      </c>
      <c r="L40" s="117">
        <v>45258</v>
      </c>
      <c r="M40" s="774" t="s">
        <v>1872</v>
      </c>
      <c r="N40" s="775"/>
      <c r="O40" s="775"/>
      <c r="P40" s="775"/>
      <c r="Q40" s="776"/>
      <c r="R40" s="118" t="s">
        <v>1810</v>
      </c>
      <c r="S40" s="729" t="s">
        <v>1811</v>
      </c>
      <c r="T40" s="730"/>
      <c r="U40" s="118" t="s">
        <v>1812</v>
      </c>
      <c r="V40" s="118" t="s">
        <v>1813</v>
      </c>
      <c r="W40" s="691"/>
      <c r="X40" s="693"/>
      <c r="Y40" s="105"/>
    </row>
    <row r="41" spans="1:25">
      <c r="A41" s="678"/>
      <c r="B41" s="679"/>
      <c r="C41" s="679"/>
      <c r="D41" s="679"/>
      <c r="E41" s="679"/>
      <c r="F41" s="679"/>
      <c r="G41" s="679"/>
      <c r="H41" s="679"/>
      <c r="I41" s="679"/>
      <c r="J41" s="680"/>
      <c r="K41" s="116">
        <v>1</v>
      </c>
      <c r="L41" s="117">
        <v>45120</v>
      </c>
      <c r="M41" s="726" t="s">
        <v>1815</v>
      </c>
      <c r="N41" s="727"/>
      <c r="O41" s="727"/>
      <c r="P41" s="727"/>
      <c r="Q41" s="728"/>
      <c r="R41" s="118" t="s">
        <v>1810</v>
      </c>
      <c r="S41" s="729" t="s">
        <v>1811</v>
      </c>
      <c r="T41" s="730"/>
      <c r="U41" s="118" t="s">
        <v>1812</v>
      </c>
      <c r="V41" s="118" t="s">
        <v>1813</v>
      </c>
      <c r="W41" s="691"/>
      <c r="X41" s="693"/>
      <c r="Y41" s="105"/>
    </row>
    <row r="42" spans="1:25">
      <c r="A42" s="678"/>
      <c r="B42" s="679"/>
      <c r="C42" s="679"/>
      <c r="D42" s="679"/>
      <c r="E42" s="679"/>
      <c r="F42" s="679"/>
      <c r="G42" s="679"/>
      <c r="H42" s="679"/>
      <c r="I42" s="679"/>
      <c r="J42" s="680"/>
      <c r="K42" s="118" t="s">
        <v>1816</v>
      </c>
      <c r="L42" s="118" t="s">
        <v>1817</v>
      </c>
      <c r="M42" s="726" t="s">
        <v>1818</v>
      </c>
      <c r="N42" s="727"/>
      <c r="O42" s="727"/>
      <c r="P42" s="727"/>
      <c r="Q42" s="728"/>
      <c r="R42" s="118" t="s">
        <v>1819</v>
      </c>
      <c r="S42" s="729" t="s">
        <v>1820</v>
      </c>
      <c r="T42" s="730"/>
      <c r="U42" s="118" t="s">
        <v>1821</v>
      </c>
      <c r="V42" s="118" t="s">
        <v>1822</v>
      </c>
      <c r="W42" s="731" t="s">
        <v>1823</v>
      </c>
      <c r="X42" s="732"/>
      <c r="Y42" s="118" t="s">
        <v>1824</v>
      </c>
    </row>
    <row r="43" spans="1:25">
      <c r="A43" s="678"/>
      <c r="B43" s="679"/>
      <c r="C43" s="679"/>
      <c r="D43" s="679"/>
      <c r="E43" s="679"/>
      <c r="F43" s="679"/>
      <c r="G43" s="679"/>
      <c r="H43" s="679"/>
      <c r="I43" s="679"/>
      <c r="J43" s="680"/>
      <c r="K43" s="675"/>
      <c r="L43" s="676"/>
      <c r="M43" s="676"/>
      <c r="N43" s="676"/>
      <c r="O43" s="676"/>
      <c r="P43" s="676"/>
      <c r="Q43" s="677"/>
      <c r="R43" s="729" t="s">
        <v>1825</v>
      </c>
      <c r="S43" s="755"/>
      <c r="T43" s="755"/>
      <c r="U43" s="755"/>
      <c r="V43" s="755"/>
      <c r="W43" s="755"/>
      <c r="X43" s="755"/>
      <c r="Y43" s="730"/>
    </row>
    <row r="44" spans="1:25">
      <c r="A44" s="678"/>
      <c r="B44" s="679"/>
      <c r="C44" s="679"/>
      <c r="D44" s="679"/>
      <c r="E44" s="679"/>
      <c r="F44" s="679"/>
      <c r="G44" s="679"/>
      <c r="H44" s="679"/>
      <c r="I44" s="679"/>
      <c r="J44" s="680"/>
      <c r="K44" s="678"/>
      <c r="L44" s="679"/>
      <c r="M44" s="679"/>
      <c r="N44" s="679"/>
      <c r="O44" s="679"/>
      <c r="P44" s="679"/>
      <c r="Q44" s="680"/>
      <c r="R44" s="756" t="s">
        <v>1826</v>
      </c>
      <c r="S44" s="757"/>
      <c r="T44" s="757"/>
      <c r="U44" s="757"/>
      <c r="V44" s="757"/>
      <c r="W44" s="757"/>
      <c r="X44" s="757"/>
      <c r="Y44" s="758"/>
    </row>
    <row r="45" spans="1:25">
      <c r="A45" s="678"/>
      <c r="B45" s="679"/>
      <c r="C45" s="679"/>
      <c r="D45" s="679"/>
      <c r="E45" s="679"/>
      <c r="F45" s="679"/>
      <c r="G45" s="679"/>
      <c r="H45" s="679"/>
      <c r="I45" s="679"/>
      <c r="J45" s="680"/>
      <c r="K45" s="681"/>
      <c r="L45" s="682"/>
      <c r="M45" s="682"/>
      <c r="N45" s="682"/>
      <c r="O45" s="682"/>
      <c r="P45" s="682"/>
      <c r="Q45" s="683"/>
      <c r="R45" s="729" t="s">
        <v>1827</v>
      </c>
      <c r="S45" s="755"/>
      <c r="T45" s="755"/>
      <c r="U45" s="755"/>
      <c r="V45" s="755"/>
      <c r="W45" s="755"/>
      <c r="X45" s="755"/>
      <c r="Y45" s="730"/>
    </row>
    <row r="46" spans="1:25">
      <c r="A46" s="678"/>
      <c r="B46" s="679"/>
      <c r="C46" s="679"/>
      <c r="D46" s="679"/>
      <c r="E46" s="679"/>
      <c r="F46" s="679"/>
      <c r="G46" s="679"/>
      <c r="H46" s="679"/>
      <c r="I46" s="679"/>
      <c r="J46" s="680"/>
      <c r="K46" s="729" t="s">
        <v>1828</v>
      </c>
      <c r="L46" s="755"/>
      <c r="M46" s="755"/>
      <c r="N46" s="755"/>
      <c r="O46" s="755"/>
      <c r="P46" s="755"/>
      <c r="Q46" s="730"/>
      <c r="R46" s="759" t="s">
        <v>1829</v>
      </c>
      <c r="S46" s="760"/>
      <c r="T46" s="760"/>
      <c r="U46" s="760"/>
      <c r="V46" s="760"/>
      <c r="W46" s="760"/>
      <c r="X46" s="760"/>
      <c r="Y46" s="761"/>
    </row>
    <row r="47" spans="1:25">
      <c r="A47" s="678"/>
      <c r="B47" s="679"/>
      <c r="C47" s="679"/>
      <c r="D47" s="679"/>
      <c r="E47" s="679"/>
      <c r="F47" s="679"/>
      <c r="G47" s="679"/>
      <c r="H47" s="679"/>
      <c r="I47" s="679"/>
      <c r="J47" s="680"/>
      <c r="K47" s="729" t="s">
        <v>1830</v>
      </c>
      <c r="L47" s="755"/>
      <c r="M47" s="755"/>
      <c r="N47" s="755"/>
      <c r="O47" s="755"/>
      <c r="P47" s="755"/>
      <c r="Q47" s="730"/>
      <c r="R47" s="762"/>
      <c r="S47" s="763"/>
      <c r="T47" s="763"/>
      <c r="U47" s="763"/>
      <c r="V47" s="763"/>
      <c r="W47" s="763"/>
      <c r="X47" s="763"/>
      <c r="Y47" s="764"/>
    </row>
    <row r="48" spans="1:25">
      <c r="A48" s="681"/>
      <c r="B48" s="682"/>
      <c r="C48" s="682"/>
      <c r="D48" s="682"/>
      <c r="E48" s="682"/>
      <c r="F48" s="682"/>
      <c r="G48" s="682"/>
      <c r="H48" s="682"/>
      <c r="I48" s="682"/>
      <c r="J48" s="683"/>
      <c r="K48" s="768" t="s">
        <v>1831</v>
      </c>
      <c r="L48" s="769"/>
      <c r="M48" s="769"/>
      <c r="N48" s="769"/>
      <c r="O48" s="769"/>
      <c r="P48" s="769"/>
      <c r="Q48" s="770"/>
      <c r="R48" s="765"/>
      <c r="S48" s="766"/>
      <c r="T48" s="766"/>
      <c r="U48" s="766"/>
      <c r="V48" s="766"/>
      <c r="W48" s="766"/>
      <c r="X48" s="766"/>
      <c r="Y48" s="767"/>
    </row>
    <row r="49" spans="1:25">
      <c r="A49" s="735" t="s">
        <v>1832</v>
      </c>
      <c r="B49" s="736"/>
      <c r="C49" s="736"/>
      <c r="D49" s="736"/>
      <c r="E49" s="736"/>
      <c r="F49" s="736"/>
      <c r="G49" s="736"/>
      <c r="H49" s="736"/>
      <c r="I49" s="736"/>
      <c r="J49" s="737"/>
      <c r="K49" s="741"/>
      <c r="L49" s="777" t="s">
        <v>1833</v>
      </c>
      <c r="M49" s="745" t="s">
        <v>1834</v>
      </c>
      <c r="N49" s="746"/>
      <c r="O49" s="119" t="s">
        <v>1835</v>
      </c>
      <c r="P49" s="120"/>
      <c r="Q49" s="121">
        <v>4</v>
      </c>
      <c r="R49" s="743" t="s">
        <v>1836</v>
      </c>
      <c r="S49" s="749" t="s">
        <v>1837</v>
      </c>
      <c r="T49" s="750"/>
      <c r="U49" s="750"/>
      <c r="V49" s="750"/>
      <c r="W49" s="751"/>
      <c r="X49" s="726" t="s">
        <v>1816</v>
      </c>
      <c r="Y49" s="728"/>
    </row>
    <row r="50" spans="1:25">
      <c r="A50" s="738"/>
      <c r="B50" s="739"/>
      <c r="C50" s="739"/>
      <c r="D50" s="739"/>
      <c r="E50" s="739"/>
      <c r="F50" s="739"/>
      <c r="G50" s="739"/>
      <c r="H50" s="739"/>
      <c r="I50" s="739"/>
      <c r="J50" s="740"/>
      <c r="K50" s="742"/>
      <c r="L50" s="778"/>
      <c r="M50" s="747"/>
      <c r="N50" s="748"/>
      <c r="O50" s="122" t="s">
        <v>1838</v>
      </c>
      <c r="P50" s="123"/>
      <c r="Q50" s="124">
        <v>4</v>
      </c>
      <c r="R50" s="744"/>
      <c r="S50" s="752"/>
      <c r="T50" s="753"/>
      <c r="U50" s="753"/>
      <c r="V50" s="753"/>
      <c r="W50" s="754"/>
      <c r="X50" s="733">
        <v>3</v>
      </c>
      <c r="Y50" s="734"/>
    </row>
  </sheetData>
  <mergeCells count="252">
    <mergeCell ref="X49:Y49"/>
    <mergeCell ref="X50:Y50"/>
    <mergeCell ref="A49:J50"/>
    <mergeCell ref="K49:K50"/>
    <mergeCell ref="L49:L50"/>
    <mergeCell ref="M49:N50"/>
    <mergeCell ref="R49:R50"/>
    <mergeCell ref="S49:W50"/>
    <mergeCell ref="K43:Q45"/>
    <mergeCell ref="R43:Y43"/>
    <mergeCell ref="R44:Y44"/>
    <mergeCell ref="R45:Y45"/>
    <mergeCell ref="K46:Q46"/>
    <mergeCell ref="R46:Y48"/>
    <mergeCell ref="K47:Q47"/>
    <mergeCell ref="K48:Q48"/>
    <mergeCell ref="M41:Q41"/>
    <mergeCell ref="S41:T41"/>
    <mergeCell ref="W41:X41"/>
    <mergeCell ref="M42:Q42"/>
    <mergeCell ref="S42:T42"/>
    <mergeCell ref="W42:X42"/>
    <mergeCell ref="A38:J48"/>
    <mergeCell ref="M38:Q38"/>
    <mergeCell ref="S38:T38"/>
    <mergeCell ref="W38:X38"/>
    <mergeCell ref="M39:Q39"/>
    <mergeCell ref="S39:T39"/>
    <mergeCell ref="W39:X39"/>
    <mergeCell ref="M40:Q40"/>
    <mergeCell ref="S40:T40"/>
    <mergeCell ref="W40:X40"/>
    <mergeCell ref="K37:L37"/>
    <mergeCell ref="N37:P37"/>
    <mergeCell ref="Q37:S37"/>
    <mergeCell ref="T37:U37"/>
    <mergeCell ref="V37:W37"/>
    <mergeCell ref="X37:Y37"/>
    <mergeCell ref="K36:L36"/>
    <mergeCell ref="N36:P36"/>
    <mergeCell ref="Q36:S36"/>
    <mergeCell ref="T36:U36"/>
    <mergeCell ref="V36:W36"/>
    <mergeCell ref="X36:Y36"/>
    <mergeCell ref="K35:L35"/>
    <mergeCell ref="N35:P35"/>
    <mergeCell ref="Q35:S35"/>
    <mergeCell ref="T35:U35"/>
    <mergeCell ref="V35:W35"/>
    <mergeCell ref="X35:Y35"/>
    <mergeCell ref="K34:L34"/>
    <mergeCell ref="N34:P34"/>
    <mergeCell ref="Q34:S34"/>
    <mergeCell ref="T34:U34"/>
    <mergeCell ref="V34:W34"/>
    <mergeCell ref="X34:Y34"/>
    <mergeCell ref="K33:L33"/>
    <mergeCell ref="N33:P33"/>
    <mergeCell ref="Q33:S33"/>
    <mergeCell ref="T33:U33"/>
    <mergeCell ref="V33:W33"/>
    <mergeCell ref="X33:Y33"/>
    <mergeCell ref="K32:L32"/>
    <mergeCell ref="N32:P32"/>
    <mergeCell ref="Q32:S32"/>
    <mergeCell ref="T32:U32"/>
    <mergeCell ref="V32:W32"/>
    <mergeCell ref="X32:Y32"/>
    <mergeCell ref="K31:L31"/>
    <mergeCell ref="N31:P31"/>
    <mergeCell ref="Q31:S31"/>
    <mergeCell ref="T31:U31"/>
    <mergeCell ref="V31:W31"/>
    <mergeCell ref="X31:Y31"/>
    <mergeCell ref="K30:L30"/>
    <mergeCell ref="N30:P30"/>
    <mergeCell ref="Q30:S30"/>
    <mergeCell ref="T30:U30"/>
    <mergeCell ref="V30:W30"/>
    <mergeCell ref="X30:Y30"/>
    <mergeCell ref="K29:L29"/>
    <mergeCell ref="N29:P29"/>
    <mergeCell ref="Q29:S29"/>
    <mergeCell ref="T29:U29"/>
    <mergeCell ref="V29:W29"/>
    <mergeCell ref="X29:Y29"/>
    <mergeCell ref="K28:L28"/>
    <mergeCell ref="N28:P28"/>
    <mergeCell ref="Q28:S28"/>
    <mergeCell ref="T28:U28"/>
    <mergeCell ref="V28:W28"/>
    <mergeCell ref="X28:Y28"/>
    <mergeCell ref="K27:L27"/>
    <mergeCell ref="N27:P27"/>
    <mergeCell ref="Q27:S27"/>
    <mergeCell ref="T27:U27"/>
    <mergeCell ref="V27:W27"/>
    <mergeCell ref="X27:Y27"/>
    <mergeCell ref="K26:L26"/>
    <mergeCell ref="N26:P26"/>
    <mergeCell ref="Q26:S26"/>
    <mergeCell ref="T26:U26"/>
    <mergeCell ref="V26:W26"/>
    <mergeCell ref="X26:Y26"/>
    <mergeCell ref="K25:L25"/>
    <mergeCell ref="N25:P25"/>
    <mergeCell ref="Q25:S25"/>
    <mergeCell ref="T25:U25"/>
    <mergeCell ref="V25:W25"/>
    <mergeCell ref="X25:Y25"/>
    <mergeCell ref="K24:L24"/>
    <mergeCell ref="N24:P24"/>
    <mergeCell ref="Q24:S24"/>
    <mergeCell ref="T24:U24"/>
    <mergeCell ref="V24:W24"/>
    <mergeCell ref="X24:Y24"/>
    <mergeCell ref="K23:L23"/>
    <mergeCell ref="N23:P23"/>
    <mergeCell ref="Q23:S23"/>
    <mergeCell ref="T23:U23"/>
    <mergeCell ref="V23:W23"/>
    <mergeCell ref="X23:Y23"/>
    <mergeCell ref="K22:L22"/>
    <mergeCell ref="N22:P22"/>
    <mergeCell ref="Q22:S22"/>
    <mergeCell ref="T22:U22"/>
    <mergeCell ref="V22:W22"/>
    <mergeCell ref="X22:Y22"/>
    <mergeCell ref="K21:L21"/>
    <mergeCell ref="N21:P21"/>
    <mergeCell ref="Q21:S21"/>
    <mergeCell ref="T21:U21"/>
    <mergeCell ref="V21:W21"/>
    <mergeCell ref="X21:Y21"/>
    <mergeCell ref="K20:L20"/>
    <mergeCell ref="N20:P20"/>
    <mergeCell ref="Q20:S20"/>
    <mergeCell ref="T20:U20"/>
    <mergeCell ref="V20:W20"/>
    <mergeCell ref="X20:Y20"/>
    <mergeCell ref="K19:L19"/>
    <mergeCell ref="N19:P19"/>
    <mergeCell ref="Q19:S19"/>
    <mergeCell ref="T19:U19"/>
    <mergeCell ref="V19:W19"/>
    <mergeCell ref="X19:Y19"/>
    <mergeCell ref="K18:L18"/>
    <mergeCell ref="N18:P18"/>
    <mergeCell ref="Q18:S18"/>
    <mergeCell ref="T18:U18"/>
    <mergeCell ref="V18:W18"/>
    <mergeCell ref="X18:Y18"/>
    <mergeCell ref="K17:L17"/>
    <mergeCell ref="N17:P17"/>
    <mergeCell ref="Q17:S17"/>
    <mergeCell ref="T17:U17"/>
    <mergeCell ref="V17:W17"/>
    <mergeCell ref="X17:Y17"/>
    <mergeCell ref="K16:L16"/>
    <mergeCell ref="N16:P16"/>
    <mergeCell ref="Q16:S16"/>
    <mergeCell ref="T16:U16"/>
    <mergeCell ref="V16:W16"/>
    <mergeCell ref="X16:Y16"/>
    <mergeCell ref="X13:Y13"/>
    <mergeCell ref="K12:L12"/>
    <mergeCell ref="N12:P12"/>
    <mergeCell ref="Q12:S12"/>
    <mergeCell ref="T12:U12"/>
    <mergeCell ref="V12:W12"/>
    <mergeCell ref="X12:Y12"/>
    <mergeCell ref="K15:L15"/>
    <mergeCell ref="N15:P15"/>
    <mergeCell ref="Q15:S15"/>
    <mergeCell ref="T15:U15"/>
    <mergeCell ref="V15:W15"/>
    <mergeCell ref="X15:Y15"/>
    <mergeCell ref="K14:L14"/>
    <mergeCell ref="N14:P14"/>
    <mergeCell ref="Q14:S14"/>
    <mergeCell ref="T14:U14"/>
    <mergeCell ref="V14:W14"/>
    <mergeCell ref="X14:Y14"/>
    <mergeCell ref="X10:Y10"/>
    <mergeCell ref="K11:L11"/>
    <mergeCell ref="N11:P11"/>
    <mergeCell ref="Q11:S11"/>
    <mergeCell ref="T11:U11"/>
    <mergeCell ref="V11:W11"/>
    <mergeCell ref="X11:Y11"/>
    <mergeCell ref="X8:Y8"/>
    <mergeCell ref="K9:L9"/>
    <mergeCell ref="N9:P9"/>
    <mergeCell ref="Q9:S9"/>
    <mergeCell ref="T9:U9"/>
    <mergeCell ref="V9:W9"/>
    <mergeCell ref="X9:Y9"/>
    <mergeCell ref="A8:A16"/>
    <mergeCell ref="K8:L8"/>
    <mergeCell ref="N8:P8"/>
    <mergeCell ref="Q8:S8"/>
    <mergeCell ref="T8:U8"/>
    <mergeCell ref="V8:W8"/>
    <mergeCell ref="K10:L10"/>
    <mergeCell ref="N10:P10"/>
    <mergeCell ref="Q10:S10"/>
    <mergeCell ref="T10:U10"/>
    <mergeCell ref="V10:W10"/>
    <mergeCell ref="K13:L13"/>
    <mergeCell ref="N13:P13"/>
    <mergeCell ref="Q13:S13"/>
    <mergeCell ref="T13:U13"/>
    <mergeCell ref="V13:W13"/>
    <mergeCell ref="K7:L7"/>
    <mergeCell ref="N7:P7"/>
    <mergeCell ref="Q7:S7"/>
    <mergeCell ref="T7:U7"/>
    <mergeCell ref="V7:W7"/>
    <mergeCell ref="X7:Y7"/>
    <mergeCell ref="X5:Y5"/>
    <mergeCell ref="A6:B6"/>
    <mergeCell ref="K6:L6"/>
    <mergeCell ref="N6:P6"/>
    <mergeCell ref="Q6:S6"/>
    <mergeCell ref="T6:U6"/>
    <mergeCell ref="V6:W6"/>
    <mergeCell ref="X6:Y6"/>
    <mergeCell ref="A5:E5"/>
    <mergeCell ref="K5:L5"/>
    <mergeCell ref="N5:P5"/>
    <mergeCell ref="Q5:S5"/>
    <mergeCell ref="T5:U5"/>
    <mergeCell ref="V5:W5"/>
    <mergeCell ref="A1:E4"/>
    <mergeCell ref="F1:F6"/>
    <mergeCell ref="G1:H2"/>
    <mergeCell ref="I1:Y1"/>
    <mergeCell ref="I2:M2"/>
    <mergeCell ref="N2:P2"/>
    <mergeCell ref="Q2:Y2"/>
    <mergeCell ref="K3:L3"/>
    <mergeCell ref="N3:P3"/>
    <mergeCell ref="Q3:S3"/>
    <mergeCell ref="T3:U3"/>
    <mergeCell ref="V3:W3"/>
    <mergeCell ref="X3:Y3"/>
    <mergeCell ref="K4:L4"/>
    <mergeCell ref="N4:P4"/>
    <mergeCell ref="Q4:S4"/>
    <mergeCell ref="T4:U4"/>
    <mergeCell ref="V4:W4"/>
    <mergeCell ref="X4:Y4"/>
  </mergeCells>
  <hyperlinks>
    <hyperlink ref="K47" r:id="rId1" display="http://www.2hoffshore.com/" xr:uid="{00000000-0004-0000-1000-000000000000}"/>
  </hyperlink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22"/>
  <sheetViews>
    <sheetView workbookViewId="0">
      <selection activeCell="A12" sqref="A12"/>
    </sheetView>
  </sheetViews>
  <sheetFormatPr defaultRowHeight="14.4"/>
  <cols>
    <col min="1" max="1" width="62.21875" customWidth="1"/>
    <col min="2" max="2" width="23.44140625" customWidth="1"/>
  </cols>
  <sheetData>
    <row r="1" spans="1:1">
      <c r="A1" t="s">
        <v>3055</v>
      </c>
    </row>
    <row r="3" spans="1:1">
      <c r="A3" s="258" t="s">
        <v>3069</v>
      </c>
    </row>
    <row r="4" spans="1:1">
      <c r="A4" s="258" t="s">
        <v>3078</v>
      </c>
    </row>
    <row r="5" spans="1:1">
      <c r="A5" s="258" t="s">
        <v>3070</v>
      </c>
    </row>
    <row r="6" spans="1:1">
      <c r="A6" s="258" t="s">
        <v>3071</v>
      </c>
    </row>
    <row r="7" spans="1:1">
      <c r="A7" s="258" t="s">
        <v>3072</v>
      </c>
    </row>
    <row r="8" spans="1:1">
      <c r="A8" s="258" t="s">
        <v>3073</v>
      </c>
    </row>
    <row r="9" spans="1:1">
      <c r="A9" s="258" t="s">
        <v>3074</v>
      </c>
    </row>
    <row r="10" spans="1:1">
      <c r="A10" s="258" t="s">
        <v>3075</v>
      </c>
    </row>
    <row r="11" spans="1:1">
      <c r="A11" s="258" t="s">
        <v>3076</v>
      </c>
    </row>
    <row r="12" spans="1:1">
      <c r="A12" s="258" t="s">
        <v>3077</v>
      </c>
    </row>
    <row r="13" spans="1:1">
      <c r="A13" s="258" t="s">
        <v>3092</v>
      </c>
    </row>
    <row r="14" spans="1:1">
      <c r="A14" s="258" t="s">
        <v>3093</v>
      </c>
    </row>
    <row r="15" spans="1:1">
      <c r="A15" s="258" t="s">
        <v>3094</v>
      </c>
    </row>
    <row r="19" spans="1:9">
      <c r="A19" t="s">
        <v>3056</v>
      </c>
    </row>
    <row r="22" spans="1:9" ht="100.8">
      <c r="A22" s="74" t="s">
        <v>1443</v>
      </c>
      <c r="B22" s="74" t="s">
        <v>1444</v>
      </c>
      <c r="C22" s="74" t="s">
        <v>1445</v>
      </c>
      <c r="D22" s="74" t="s">
        <v>1446</v>
      </c>
      <c r="E22" s="74" t="s">
        <v>1445</v>
      </c>
      <c r="F22" s="74" t="s">
        <v>1447</v>
      </c>
      <c r="G22" s="74" t="s">
        <v>1429</v>
      </c>
      <c r="H22" s="74" t="s">
        <v>1448</v>
      </c>
      <c r="I22" s="74">
        <v>35</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Legand</vt:lpstr>
      <vt:lpstr>WEB_Database</vt:lpstr>
      <vt:lpstr>Cable Schedule</vt:lpstr>
      <vt:lpstr>WEB_240805</vt:lpstr>
      <vt:lpstr>IO Recieved on 17-9-2024</vt:lpstr>
      <vt:lpstr>Statistics</vt:lpstr>
      <vt:lpstr>Rack Analysis</vt:lpstr>
      <vt:lpstr>Racks</vt:lpstr>
      <vt:lpstr>WEB DCS OLD IOs </vt:lpstr>
      <vt:lpstr>WEB _ ESD F&amp;G Ios</vt:lpstr>
      <vt:lpstr>PCS_CEM(1)</vt:lpstr>
      <vt:lpstr>PCS_CEM(2)</vt:lpstr>
      <vt:lpstr>PCS_CEM(3)</vt:lpstr>
      <vt:lpstr>PCS_CEM(4)</vt:lpstr>
      <vt:lpstr>SIS_CEM(1)</vt:lpstr>
      <vt:lpstr>SIS_CEM(2)</vt:lpstr>
      <vt:lpstr>SIS_CEM(3)</vt:lpstr>
      <vt:lpstr>Missings Sheet</vt:lpstr>
      <vt:lpstr>Cable_Schedule</vt:lpstr>
      <vt:lpstr>IO_DB_R4</vt:lpstr>
      <vt:lpstr>Racks!Print_Area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Mohamed Ayman</dc:creator>
  <cp:lastModifiedBy>Mohamed Ayman</cp:lastModifiedBy>
  <cp:lastPrinted>2024-10-14T06:37:15Z</cp:lastPrinted>
  <dcterms:created xsi:type="dcterms:W3CDTF">2024-08-04T09:10:48Z</dcterms:created>
  <dcterms:modified xsi:type="dcterms:W3CDTF">2024-12-22T18:41:28Z</dcterms:modified>
</cp:coreProperties>
</file>